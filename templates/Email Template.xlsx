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36ED768D0FBEBA00/Documents/"/>
    </mc:Choice>
  </mc:AlternateContent>
  <xr:revisionPtr revIDLastSave="0" documentId="8_{59847A1C-621E-4128-9C63-992D40DD9187}" xr6:coauthVersionLast="47" xr6:coauthVersionMax="47" xr10:uidLastSave="{00000000-0000-0000-0000-000000000000}"/>
  <bookViews>
    <workbookView xWindow="-108" yWindow="492" windowWidth="49368" windowHeight="24816" activeTab="5" xr2:uid="{00000000-000D-0000-FFFF-FFFF00000000}"/>
  </bookViews>
  <sheets>
    <sheet name="Readme" sheetId="1" r:id="rId1"/>
    <sheet name="Dashboard (Analytics)" sheetId="2" r:id="rId2"/>
    <sheet name="Leads" sheetId="3" r:id="rId3"/>
    <sheet name="Email Sender" sheetId="4" r:id="rId4"/>
    <sheet name="Templates" sheetId="5" r:id="rId5"/>
    <sheet name="Contact Management" sheetId="6" r:id="rId6"/>
    <sheet name="Contacts Book"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7" l="1"/>
  <c r="C18" i="7"/>
  <c r="C17" i="7"/>
  <c r="C16" i="7"/>
  <c r="C15" i="7"/>
  <c r="C14" i="7"/>
  <c r="C13" i="7"/>
  <c r="C12" i="7"/>
  <c r="C11" i="7"/>
  <c r="C10" i="7"/>
  <c r="C9" i="7"/>
  <c r="C8" i="7"/>
  <c r="C7" i="7"/>
  <c r="C6" i="7"/>
  <c r="C5" i="7"/>
  <c r="C4" i="7"/>
  <c r="C3" i="7"/>
  <c r="C2" i="7"/>
  <c r="E17" i="4"/>
  <c r="B17" i="4"/>
  <c r="E7" i="4"/>
  <c r="B7" i="4"/>
  <c r="J24" i="2"/>
  <c r="G24" i="2"/>
  <c r="F24" i="2"/>
  <c r="E24" i="2"/>
  <c r="D24" i="2"/>
  <c r="C24" i="2"/>
  <c r="J23" i="2"/>
  <c r="G23" i="2"/>
  <c r="F23" i="2"/>
  <c r="E23" i="2"/>
  <c r="D23" i="2"/>
  <c r="C23" i="2"/>
  <c r="J22" i="2"/>
  <c r="G22" i="2"/>
  <c r="F22" i="2"/>
  <c r="E22" i="2"/>
  <c r="D22" i="2"/>
  <c r="C22" i="2"/>
  <c r="K22" i="2" s="1"/>
  <c r="J21" i="2"/>
  <c r="H21" i="2"/>
  <c r="I24" i="2" s="1"/>
  <c r="G21" i="2"/>
  <c r="F21" i="2"/>
  <c r="E21" i="2"/>
  <c r="D21" i="2"/>
  <c r="C21" i="2"/>
  <c r="C3" i="2"/>
  <c r="K24" i="2" l="1"/>
  <c r="I22" i="2"/>
  <c r="I23" i="2"/>
  <c r="K21" i="2"/>
  <c r="I21" i="2"/>
  <c r="K23" i="2"/>
</calcChain>
</file>

<file path=xl/sharedStrings.xml><?xml version="1.0" encoding="utf-8"?>
<sst xmlns="http://schemas.openxmlformats.org/spreadsheetml/2006/main" count="2063" uniqueCount="152">
  <si>
    <t>I N S T R U C T I O N S</t>
  </si>
  <si>
    <r>
      <rPr>
        <sz val="10"/>
        <color theme="1"/>
        <rFont val="Nunito"/>
      </rPr>
      <t xml:space="preserve">・ </t>
    </r>
    <r>
      <rPr>
        <sz val="14"/>
        <color theme="1"/>
        <rFont val="Nunito"/>
      </rPr>
      <t xml:space="preserve">SmartSheetMailer </t>
    </r>
    <r>
      <rPr>
        <sz val="10"/>
        <color theme="1"/>
        <rFont val="Nunito"/>
      </rPr>
      <t xml:space="preserve">- </t>
    </r>
    <r>
      <rPr>
        <sz val="11"/>
        <color theme="1"/>
        <rFont val="Nunito"/>
      </rPr>
      <t>Send Unlimited Bulk Emails</t>
    </r>
    <r>
      <rPr>
        <sz val="10"/>
        <color theme="1"/>
        <rFont val="Nunito"/>
      </rPr>
      <t xml:space="preserve"> ・</t>
    </r>
  </si>
  <si>
    <t>Thank you for your purchase! ☺️ Please take the time to read through these instructions. Here, you will learn how to setup your spreadsheet,</t>
  </si>
  <si>
    <t>and you’ll find answers to the most frequently asked questions. If you have any further questions, please reach out to us at hi@SmartspreadSheets.co</t>
  </si>
  <si>
    <t>and I will get back to you as soon as possible. I hope you enjoy your spreadsheet template!</t>
  </si>
  <si>
    <t>P L E A S E   N O T E</t>
  </si>
  <si>
    <t>⚠️ NOT COMPATIBLE WITH EXCEL</t>
  </si>
  <si>
    <t>This spreadsheet was designed for Google Sheets and will not function properly in Excel. While Google Sheets and Excel are pretty similar,</t>
  </si>
  <si>
    <t>there are differences in their formatting and how formulas are set up.</t>
  </si>
  <si>
    <t>🔒 PROTECTED CELLS &amp; TABS</t>
  </si>
  <si>
    <t>This spreadsheet is protected to prevent cells with formulas from being edited accidentally. However, there are exceptions on cells you're supposed to edit.</t>
  </si>
  <si>
    <r>
      <rPr>
        <sz val="10"/>
        <color theme="1"/>
        <rFont val="Nunito"/>
      </rPr>
      <t xml:space="preserve">If you want to remove the sheet protection, please go to </t>
    </r>
    <r>
      <rPr>
        <b/>
        <sz val="10"/>
        <color theme="1"/>
        <rFont val="Nunito"/>
      </rPr>
      <t xml:space="preserve">Data </t>
    </r>
    <r>
      <rPr>
        <sz val="10"/>
        <color theme="1"/>
        <rFont val="Nunito"/>
      </rPr>
      <t>&gt;</t>
    </r>
    <r>
      <rPr>
        <b/>
        <sz val="10"/>
        <color theme="1"/>
        <rFont val="Nunito"/>
      </rPr>
      <t xml:space="preserve"> Protected sheets and ranges</t>
    </r>
    <r>
      <rPr>
        <sz val="10"/>
        <color theme="1"/>
        <rFont val="Nunito"/>
      </rPr>
      <t>. From there, select the tab and on the right,</t>
    </r>
  </si>
  <si>
    <r>
      <rPr>
        <sz val="10"/>
        <color theme="1"/>
        <rFont val="Nunito"/>
      </rPr>
      <t xml:space="preserve">there should be a Trash icon. </t>
    </r>
    <r>
      <rPr>
        <i/>
        <sz val="10"/>
        <color theme="1"/>
        <rFont val="Nunito"/>
      </rPr>
      <t>Altering or removing formulas in the spreadsheet will change how it works.</t>
    </r>
  </si>
  <si>
    <r>
      <rPr>
        <b/>
        <sz val="10"/>
        <color rgb="FFFFFFFF"/>
        <rFont val="Nunito"/>
      </rPr>
      <t xml:space="preserve">I N S T R U C T I O N  </t>
    </r>
    <r>
      <rPr>
        <sz val="10"/>
        <color rgb="FFFFFFFF"/>
        <rFont val="Nunito"/>
      </rPr>
      <t xml:space="preserve"> G U I D E</t>
    </r>
  </si>
  <si>
    <t>DASHBOARD (Analytics) TAB</t>
  </si>
  <si>
    <t>You can use DASHBOARD (Analytics) TAB to track the performance of your email campaigns</t>
  </si>
  <si>
    <t>You can use it to check the summary to sent emails from Initial emails, Follow up 1, Follow up 2 and etc</t>
  </si>
  <si>
    <t>You can also check the number of emails added to the Leads tab from the Analytics Tab</t>
  </si>
  <si>
    <t>This sheet is protect because it contains formulas.</t>
  </si>
  <si>
    <t>STEP 1. LEADS TAB</t>
  </si>
  <si>
    <t>This tab contains the list of leads you want to send emails to.</t>
  </si>
  <si>
    <t xml:space="preserve">From the Smart Menu, when you click "Add Main Columns to sheet, the tool will automatically add four columns </t>
  </si>
  <si>
    <t>to this sheet: "Status," "Follow Up 1," "Follow Up 2," and "Follow Up 3."</t>
  </si>
  <si>
    <t>Make sure to include the email addresses of your leads in one of the columns.</t>
  </si>
  <si>
    <t>Ensure to add a "Campaign Name" same in the header row as well as for all rows/leads</t>
  </si>
  <si>
    <t>Each of the column in Leads subhsheet will act as a place holder, more about placeholder will be explained in Tempates Tab.</t>
  </si>
  <si>
    <t>STEP 2. TEMPLATES TAB</t>
  </si>
  <si>
    <t>This tab contains the templates for your email campaigns.</t>
  </si>
  <si>
    <t>Each row represents a different template, with columns for the template name, subject, and body.</t>
  </si>
  <si>
    <t>You can use placeholders like {{Field1}}, {{Field2}}, etc., to dynamically insert lead data from the Leads tab.</t>
  </si>
  <si>
    <t>You can use placeholders in Email Subject (subject of the email)  as well as Email Body (Content).</t>
  </si>
  <si>
    <t xml:space="preserve">You can add unlimited email templates in each new row, but it should follow the same naming rules like </t>
  </si>
  <si>
    <t>Custom Email 1, Custom Email 2, Custom Email 4 and so on</t>
  </si>
  <si>
    <t>About Placeholders:- The placeholders follow the format {{Field1}}, {{Field2}}, {{Field3}}, and so on, where the number</t>
  </si>
  <si>
    <t xml:space="preserve"> corresponds to the column index in the Leads tab.</t>
  </si>
  <si>
    <t>For example, if the first column in the Leads tab contains the lead's first name, you can use {{Field1}} in the email template to insert the first name.</t>
  </si>
  <si>
    <t>Here's an example:</t>
  </si>
  <si>
    <t>Suppose the columns in your Leads tab are: First Name, Last Name, Email, Company.</t>
  </si>
  <si>
    <t>In the Templates tab, you could create a template with the following subject and body:</t>
  </si>
  <si>
    <t>Subject: {{Field1}} {{Field2}}, let's connect!</t>
  </si>
  <si>
    <t>Body: Dear {{Field1}} {{Field2}},</t>
  </si>
  <si>
    <t>I hope this email finds you well. I wanted to reach out and introduce our company's services to {{Field4}}...</t>
  </si>
  <si>
    <t xml:space="preserve">When sending emails using this template, the placeholders will be replaced with the actual lead data. </t>
  </si>
  <si>
    <t>Using placeholders allows you to create dynamic email templates that can be personalized for each lead, making your email campaigns more engaging and effective.</t>
  </si>
  <si>
    <t>STEP 3. EMAIL SENDER TAB</t>
  </si>
  <si>
    <t>This tab is where you configure the settings for sending emails.</t>
  </si>
  <si>
    <t>In cell B4, enter the name of the template you want to use from the Templates tab.</t>
  </si>
  <si>
    <t>In cell B5, enter the header name of the column in the Leads tab that matches the campaign name.</t>
  </si>
  <si>
    <t>In cell B6, enter "Yes" if you want to schedule the emails, or "No" to send them immediately.</t>
  </si>
  <si>
    <t>If scheduling emails, enter the desired schedule time in cell B7 (e.g., 3/9/2024 10:00:00).</t>
  </si>
  <si>
    <t>In cell B8, choose the desired delay between sending emails (e.g., 2 Seconds, 8 Seconds, 20 Seconds, 1 Minute, 5 Minutes).</t>
  </si>
  <si>
    <t>In cell B3, enter the header name of the column in the Leads tab that contains the email addresses.</t>
  </si>
  <si>
    <t>About Follow-up Emails</t>
  </si>
  <si>
    <t>The provided code includes functionality for sending follow-up emails after the initial email.</t>
  </si>
  <si>
    <t>To send a follow-up email, go to the "Smart Menu" in the Google Sheet and select the appropriate option (e.g., "Follow Up #1," "Follow Up #2," or "Follow Up #3").</t>
  </si>
  <si>
    <t>You'll need to configure the settings in the Email Sender tab for each follow-up email, such as selecting the appropriate template and setting the schedule time (if applicable).</t>
  </si>
  <si>
    <t>The process for sending follow-up emails is similar to sending the initial email, but you'll need to select the appropriate template and configure the settings accordingly.</t>
  </si>
  <si>
    <t>Create Follow-up Email Templates</t>
  </si>
  <si>
    <t>#</t>
  </si>
  <si>
    <t>In the "Templates" tab, create separate templates for your follow-up email campaigns.</t>
  </si>
  <si>
    <t>Give each template a unique name, subject line, and email body content.</t>
  </si>
  <si>
    <t>You can use the same placeholders ({{Field1}}, {{Field2}}, etc.) to personalize the follow-up emails with lead data.</t>
  </si>
  <si>
    <t>Configure Follow-up Email Settings</t>
  </si>
  <si>
    <t>In the "Email Sender" tab, you'll need to configure the settings for each follow-up email campaign.</t>
  </si>
  <si>
    <t>In cell B4, enter the name of the follow-up email template you want to use.</t>
  </si>
  <si>
    <t>The other settings (campaign name header, scheduling, etc.) work the same way as for the initial email campaign.</t>
  </si>
  <si>
    <t>Send Follow-up Emails</t>
  </si>
  <si>
    <t>In the Google Sheet, go to the "Smart Menu" &gt; "Send Bulk Emails" submenu.</t>
  </si>
  <si>
    <t>Select the appropriate option for the follow-up email you want to send (e.g., "Follow Up #1", "Follow Up #2", or "Follow Up #3").</t>
  </si>
  <si>
    <t>The script will send the follow-up email using the template and settings you configured in the "Email Sender" tab.</t>
  </si>
  <si>
    <t>Record Follow-up Email Status</t>
  </si>
  <si>
    <t>After sending a follow-up email, the script will update the corresponding "Follow Up 1", "Follow Up 2", or "Follow Up 3" column in the "Leads" sheet with the sent timestamp.</t>
  </si>
  <si>
    <t>This allows you to track which leads have received each follow-up email.</t>
  </si>
  <si>
    <t>Schedule Follow-up Emails (Optional)</t>
  </si>
  <si>
    <t>Similar to the initial email campaign, you can choose to schedule follow-up emails by setting the "Schedule Time" in the "Email Sender" tab (cell B7).</t>
  </si>
  <si>
    <t>F A Q</t>
  </si>
  <si>
    <t>✔️ How do I add lead data to the tool?</t>
  </si>
  <si>
    <t>Add your lead data to the "Leads" tab in the Google Sheet. Make sure to include the email addresses in one of the columns.</t>
  </si>
  <si>
    <t>✔️ How do I create email templates?</t>
  </si>
  <si>
    <t xml:space="preserve">Create your email templates in the "Templates" tab. Each row represents a different template, with columns for the template name, subject, and body. </t>
  </si>
  <si>
    <t>Use placeholders like {{Field1}} to insert lead data dynamically.</t>
  </si>
  <si>
    <t>✔️ How do I send the initial email campaign?</t>
  </si>
  <si>
    <t xml:space="preserve">Go to "Smart Menu" &gt; "Send Bulk Emails" &gt; "Send Initial Email". Configure the settings in the "Email Sender" tab, such as selecting the template, </t>
  </si>
  <si>
    <t>campaign name header, and scheduling options.</t>
  </si>
  <si>
    <t>✔️ How do I track sent emails?</t>
  </si>
  <si>
    <t>The tool automatically updates the "Status" column in the "Leads" sheet and the "Contact Management" sheet with the sent timestamp for each email campaign.</t>
  </si>
  <si>
    <t>✔️ How do I schedule emails?</t>
  </si>
  <si>
    <t>In the "Email Sender" tab, enter "Yes" in cell B6 to enable scheduling. Then, enter the desired schedule time in cell B7 (e.g., 3/9/2024 10:00:00).</t>
  </si>
  <si>
    <t>✔️ How do I personalize emails with lead data?</t>
  </si>
  <si>
    <t>Use placeholders like {{Field1}}, {{Field2}}, etc., in your email templates. The tool will replace these placeholders with the corresponding lead data from the "Leads" tab.</t>
  </si>
  <si>
    <t>✔️ What if the script reaches the maximum runtime limit?</t>
  </si>
  <si>
    <t xml:space="preserve">The tool is designed to handle the maximum runtime limit by pausing execution and scheduling the script to run again after a 1-minute delay. </t>
  </si>
  <si>
    <t>It stores the necessary data to resume from where it left off.</t>
  </si>
  <si>
    <t>✔️ How many emails can I send per day using this tool?</t>
  </si>
  <si>
    <t xml:space="preserve">The number of emails you can send per day depends on whether you're using a regular Gmail account or a Google Workspace account, </t>
  </si>
  <si>
    <t>as Google imposes different sending limits on each.</t>
  </si>
  <si>
    <t>Recommendations:</t>
  </si>
  <si>
    <t>If you plan to send a large volume of emails regularly, it's recommended to use a Google Workspace account or consider using a third-party email service provider with higher sending limits.</t>
  </si>
  <si>
    <t>Monitor your email sending activity and adjust your campaigns accordingly to avoid hitting the daily limits.</t>
  </si>
  <si>
    <t>Spread out your email campaigns over multiple days if you have a large number of recipients.</t>
  </si>
  <si>
    <t>Maintain a good sending reputation by following best practices for email marketing, such as avoiding spam triggers, honoring unsubscribe requests, and obtaining proper consent from recipients.</t>
  </si>
  <si>
    <t>✔️ How do I troubleshoot issues?</t>
  </si>
  <si>
    <t>If you encounter any issues, go to "Smart Menu" &gt; "Troubleshoot" &gt; "Delete Trigger" to delete any existing triggers. You can also check the logs in the Apps Script editor for any error messages or debugging information.</t>
  </si>
  <si>
    <t>Status Dashboard</t>
  </si>
  <si>
    <t>Today's Date</t>
  </si>
  <si>
    <t>Workflows</t>
  </si>
  <si>
    <t>Today</t>
  </si>
  <si>
    <t>Yesterday</t>
  </si>
  <si>
    <t>Last 7 Days</t>
  </si>
  <si>
    <t>Last 30 Days</t>
  </si>
  <si>
    <t>This Year</t>
  </si>
  <si>
    <t>Total Emails IDs</t>
  </si>
  <si>
    <t>Remaining</t>
  </si>
  <si>
    <t>Current Status (Today's)</t>
  </si>
  <si>
    <t>Initial Email</t>
  </si>
  <si>
    <t>Follow Up #1</t>
  </si>
  <si>
    <t>Follow Up #2</t>
  </si>
  <si>
    <t>Follow Up #3</t>
  </si>
  <si>
    <t>First name</t>
  </si>
  <si>
    <t>Last Name</t>
  </si>
  <si>
    <t>Company Name</t>
  </si>
  <si>
    <t>Website</t>
  </si>
  <si>
    <t>Email</t>
  </si>
  <si>
    <t>Sales Campaign</t>
  </si>
  <si>
    <t>Status</t>
  </si>
  <si>
    <t>Follow Up 1</t>
  </si>
  <si>
    <t>Follow Up 2</t>
  </si>
  <si>
    <t>Follow Up 3</t>
  </si>
  <si>
    <t>eMail Campaign Settings (Initial Email)</t>
  </si>
  <si>
    <t>Select Prospect Email Id Column Header</t>
  </si>
  <si>
    <t>Template</t>
  </si>
  <si>
    <t>Custom Email 1</t>
  </si>
  <si>
    <t>Custom Email 2</t>
  </si>
  <si>
    <t>Campaign Name (Tagged as)</t>
  </si>
  <si>
    <t>Schedule</t>
  </si>
  <si>
    <t>No</t>
  </si>
  <si>
    <t>Schedule on</t>
  </si>
  <si>
    <t>Timer</t>
  </si>
  <si>
    <t>20 Seconds</t>
  </si>
  <si>
    <t>2 Seconds</t>
  </si>
  <si>
    <t>Custom Email 3</t>
  </si>
  <si>
    <t xml:space="preserve"> </t>
  </si>
  <si>
    <t>Email Subject</t>
  </si>
  <si>
    <t>Email Body (Content)</t>
  </si>
  <si>
    <t>[Action Required] {{Field1}}</t>
  </si>
  <si>
    <r>
      <rPr>
        <sz val="10"/>
        <color theme="1"/>
        <rFont val="Nunito"/>
      </rPr>
      <t xml:space="preserve">Dear {{Field1}},
We hope this message finds you well.
We are reaching out from the Microsoft Helpline to inform you that we have detected a potential security issue with your computer. It appears that your system may have been compromised, which puts your sensitive information—including your bank account details—at significant risk.
To prevent any further risk and to protect your personal information, we strongly urge you to contact us as soon as possible. Our team is available to assist you in resolving this issue and securing your computer from unauthorized access.
Please reach out to us at +1 218-217-4099 immediately to begin the resolution process. Addressing this situation promptly is crucial to ensuring the safety of your data.
Thank you for your immediate attention to this critical matter.
Best regards,
</t>
    </r>
    <r>
      <rPr>
        <b/>
        <sz val="12"/>
        <color theme="1"/>
        <rFont val="Nunito"/>
      </rPr>
      <t>BRIAN MILLER</t>
    </r>
    <r>
      <rPr>
        <sz val="10"/>
        <color theme="1"/>
        <rFont val="Nunito"/>
      </rPr>
      <t xml:space="preserve">
Fraud Analyst 
+1 218-217-4099
accounts@microsoft-help.online
</t>
    </r>
  </si>
  <si>
    <r>
      <rPr>
        <sz val="10"/>
        <color rgb="FF000000"/>
        <rFont val="Docs-Nunito"/>
      </rPr>
      <t xml:space="preserve">Dear {{Field1}}, We hope this message finds you well. We are reaching out from the Microsoft Helpline to inform you that we have detected a potential security issue with your computer. It appears that your system may have been compromised, which puts your sensitive information—including your bank account details—at significant risk. To prevent any further risk and to protect your personal information, we strongly urge you to contact us as soon as possible. Our team is available to assist you in resolving this issue and securing your computer from unauthorized access. Please reach out to us at +1 218-217-4099 immediately to begin the resolution process. Addressing this situation promptly is crucial to ensuring the safety of your data. Thank you for your immediate attention to this critical matter. Best regards, </t>
    </r>
    <r>
      <rPr>
        <b/>
        <sz val="12"/>
        <color rgb="FF000000"/>
        <rFont val="docs-Nunito"/>
      </rPr>
      <t>BRIAN MILLER</t>
    </r>
    <r>
      <rPr>
        <sz val="10"/>
        <color rgb="FF000000"/>
        <rFont val="Docs-Nunito"/>
      </rPr>
      <t xml:space="preserve"> Fraud Analyst +1 218-217-4099 accounts@microsoft-help.online</t>
    </r>
  </si>
  <si>
    <t>Custom Email 4</t>
  </si>
  <si>
    <t>Custom Email 5</t>
  </si>
  <si>
    <t>Custom Email 6</t>
  </si>
  <si>
    <t>Name</t>
  </si>
  <si>
    <t>Check If the Email Is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</si>
</sst>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9">
    <font>
      <sz val="10"/>
      <color rgb="FF000000"/>
      <name val="Arial"/>
      <scheme val="minor"/>
    </font>
    <font>
      <sz val="10"/>
      <color theme="1"/>
      <name val="Nunito"/>
    </font>
    <font>
      <sz val="20"/>
      <color theme="1"/>
      <name val="Nunito"/>
    </font>
    <font>
      <sz val="8"/>
      <color theme="1"/>
      <name val="Nunito"/>
    </font>
    <font>
      <sz val="10"/>
      <color theme="1"/>
      <name val="Nunito"/>
    </font>
    <font>
      <sz val="10"/>
      <name val="Arial"/>
    </font>
    <font>
      <b/>
      <sz val="10"/>
      <color rgb="FFFFFFFF"/>
      <name val="Nunito"/>
    </font>
    <font>
      <b/>
      <sz val="9"/>
      <color theme="1"/>
      <name val="Nunito"/>
    </font>
    <font>
      <b/>
      <sz val="12"/>
      <color theme="1"/>
      <name val="Nunito"/>
    </font>
    <font>
      <b/>
      <u/>
      <sz val="10"/>
      <color theme="1"/>
      <name val="Nunito"/>
    </font>
    <font>
      <b/>
      <u/>
      <sz val="10"/>
      <color theme="1"/>
      <name val="Nunito"/>
    </font>
    <font>
      <i/>
      <sz val="10"/>
      <color theme="1"/>
      <name val="Nunito"/>
    </font>
    <font>
      <b/>
      <u/>
      <sz val="10"/>
      <color theme="1"/>
      <name val="Nunito"/>
    </font>
    <font>
      <b/>
      <sz val="10"/>
      <color theme="1"/>
      <name val="Nunito"/>
    </font>
    <font>
      <b/>
      <sz val="10"/>
      <color theme="1"/>
      <name val="Nunito"/>
    </font>
    <font>
      <sz val="11"/>
      <color theme="1"/>
      <name val="Nunito"/>
    </font>
    <font>
      <i/>
      <sz val="11"/>
      <color theme="1"/>
      <name val="Nunito"/>
    </font>
    <font>
      <b/>
      <sz val="11"/>
      <color theme="1"/>
      <name val="Nunito"/>
    </font>
    <font>
      <sz val="14"/>
      <color theme="1"/>
      <name val="Nunito"/>
    </font>
    <font>
      <b/>
      <sz val="27"/>
      <color rgb="FFFFFFFF"/>
      <name val="Nunito"/>
    </font>
    <font>
      <b/>
      <sz val="19"/>
      <color theme="1"/>
      <name val="Nunito"/>
    </font>
    <font>
      <b/>
      <sz val="20"/>
      <color theme="1"/>
      <name val="Nunito"/>
    </font>
    <font>
      <sz val="10"/>
      <color theme="1"/>
      <name val="Arial"/>
      <scheme val="minor"/>
    </font>
    <font>
      <b/>
      <sz val="11"/>
      <color rgb="FFFFFFFF"/>
      <name val="Nunito"/>
    </font>
    <font>
      <sz val="11"/>
      <color rgb="FFF3F3F3"/>
      <name val="Nunito"/>
    </font>
    <font>
      <sz val="30"/>
      <color theme="1"/>
      <name val="Nunito"/>
    </font>
    <font>
      <sz val="11"/>
      <color rgb="FF000000"/>
      <name val="Nunito"/>
    </font>
    <font>
      <b/>
      <sz val="13"/>
      <color rgb="FFFFFFFF"/>
      <name val="Nunito"/>
    </font>
    <font>
      <sz val="9"/>
      <color rgb="FF000000"/>
      <name val="&quot;Aptos Narrow&quot;"/>
    </font>
    <font>
      <b/>
      <sz val="18"/>
      <color rgb="FFFFFFFF"/>
      <name val="Nunito"/>
    </font>
    <font>
      <b/>
      <sz val="12"/>
      <color rgb="FF000000"/>
      <name val="Nunito"/>
    </font>
    <font>
      <sz val="12"/>
      <color theme="1"/>
      <name val="Nunito"/>
    </font>
    <font>
      <b/>
      <sz val="18"/>
      <color rgb="FF41916C"/>
      <name val="Nunito"/>
    </font>
    <font>
      <sz val="10"/>
      <color rgb="FF000000"/>
      <name val="Docs-Nunito"/>
    </font>
    <font>
      <b/>
      <sz val="14"/>
      <color rgb="FFFFFFFF"/>
      <name val="Arial"/>
      <scheme val="minor"/>
    </font>
    <font>
      <sz val="10"/>
      <color rgb="FF000000"/>
      <name val="Nunito"/>
    </font>
    <font>
      <b/>
      <sz val="11"/>
      <color rgb="FFFFFFFF"/>
      <name val="Arial"/>
      <scheme val="minor"/>
    </font>
    <font>
      <sz val="10"/>
      <color rgb="FFFFFFFF"/>
      <name val="Nunito"/>
    </font>
    <font>
      <b/>
      <sz val="12"/>
      <color rgb="FF000000"/>
      <name val="docs-Nunito"/>
    </font>
  </fonts>
  <fills count="12">
    <fill>
      <patternFill patternType="none"/>
    </fill>
    <fill>
      <patternFill patternType="gray125"/>
    </fill>
    <fill>
      <patternFill patternType="solid">
        <fgColor rgb="FFFDF9F8"/>
        <bgColor rgb="FFFDF9F8"/>
      </patternFill>
    </fill>
    <fill>
      <patternFill patternType="solid">
        <fgColor rgb="FF41916C"/>
        <bgColor rgb="FF41916C"/>
      </patternFill>
    </fill>
    <fill>
      <patternFill patternType="solid">
        <fgColor rgb="FFFFF2CC"/>
        <bgColor rgb="FFFFF2CC"/>
      </patternFill>
    </fill>
    <fill>
      <patternFill patternType="solid">
        <fgColor rgb="FFF3F3F3"/>
        <bgColor rgb="FFF3F3F3"/>
      </patternFill>
    </fill>
    <fill>
      <patternFill patternType="solid">
        <fgColor rgb="FFB6D7A8"/>
        <bgColor rgb="FFB6D7A8"/>
      </patternFill>
    </fill>
    <fill>
      <patternFill patternType="solid">
        <fgColor rgb="FFFFFFFF"/>
        <bgColor rgb="FFFFFFFF"/>
      </patternFill>
    </fill>
    <fill>
      <patternFill patternType="solid">
        <fgColor rgb="FFD9EAD3"/>
        <bgColor rgb="FFD9EAD3"/>
      </patternFill>
    </fill>
    <fill>
      <patternFill patternType="solid">
        <fgColor rgb="FF6D9EEB"/>
        <bgColor rgb="FF6D9EEB"/>
      </patternFill>
    </fill>
    <fill>
      <patternFill patternType="solid">
        <fgColor rgb="FFE06666"/>
        <bgColor rgb="FFE06666"/>
      </patternFill>
    </fill>
    <fill>
      <patternFill patternType="solid">
        <fgColor rgb="FFFFD966"/>
        <bgColor rgb="FFFFD966"/>
      </patternFill>
    </fill>
  </fills>
  <borders count="37">
    <border>
      <left/>
      <right/>
      <top/>
      <bottom/>
      <diagonal/>
    </border>
    <border>
      <left style="thin">
        <color rgb="FFFDF9F8"/>
      </left>
      <right style="thin">
        <color rgb="FFFDF9F8"/>
      </right>
      <top/>
      <bottom style="thin">
        <color rgb="FFFDF9F8"/>
      </bottom>
      <diagonal/>
    </border>
    <border>
      <left/>
      <right style="thin">
        <color rgb="FFFDF9F8"/>
      </right>
      <top/>
      <bottom style="thin">
        <color rgb="FFFDF9F8"/>
      </bottom>
      <diagonal/>
    </border>
    <border>
      <left/>
      <right/>
      <top/>
      <bottom style="thin">
        <color rgb="FFFDF9F8"/>
      </bottom>
      <diagonal/>
    </border>
    <border>
      <left/>
      <right style="thin">
        <color rgb="FFFDF9F8"/>
      </right>
      <top/>
      <bottom style="thin">
        <color rgb="FF999999"/>
      </bottom>
      <diagonal/>
    </border>
    <border>
      <left style="thin">
        <color rgb="FFFDF9F8"/>
      </left>
      <right style="thin">
        <color rgb="FF999999"/>
      </right>
      <top/>
      <bottom style="thin">
        <color rgb="FFFDF9F8"/>
      </bottom>
      <diagonal/>
    </border>
    <border>
      <left/>
      <right style="thin">
        <color rgb="FF999999"/>
      </right>
      <top/>
      <bottom/>
      <diagonal/>
    </border>
    <border>
      <left/>
      <right/>
      <top/>
      <bottom style="thin">
        <color rgb="FF999999"/>
      </bottom>
      <diagonal/>
    </border>
    <border>
      <left/>
      <right style="thin">
        <color rgb="FF999999"/>
      </right>
      <top/>
      <bottom style="thin">
        <color rgb="FF999999"/>
      </bottom>
      <diagonal/>
    </border>
    <border>
      <left/>
      <right style="thin">
        <color rgb="FF999999"/>
      </right>
      <top/>
      <bottom style="thin">
        <color rgb="FFFDF9F8"/>
      </bottom>
      <diagonal/>
    </border>
    <border>
      <left style="thin">
        <color rgb="FF57BB8A"/>
      </left>
      <right style="thin">
        <color rgb="FF57BB8A"/>
      </right>
      <top style="thin">
        <color rgb="FF57BB8A"/>
      </top>
      <bottom style="thin">
        <color rgb="FF57BB8A"/>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5B0F00"/>
      </left>
      <right style="thin">
        <color rgb="FF5B0F00"/>
      </right>
      <top style="thin">
        <color rgb="FF5B0F00"/>
      </top>
      <bottom style="thin">
        <color rgb="FF5B0F00"/>
      </bottom>
      <diagonal/>
    </border>
    <border>
      <left style="thin">
        <color rgb="FF5B0F00"/>
      </left>
      <right style="thin">
        <color rgb="FF5B0F00"/>
      </right>
      <top style="thin">
        <color rgb="FF5B0F00"/>
      </top>
      <bottom/>
      <diagonal/>
    </border>
    <border>
      <left style="thin">
        <color rgb="FFB6D7A8"/>
      </left>
      <right/>
      <top style="thin">
        <color rgb="FFB6D7A8"/>
      </top>
      <bottom style="thin">
        <color rgb="FFB6D7A8"/>
      </bottom>
      <diagonal/>
    </border>
    <border>
      <left/>
      <right/>
      <top style="thin">
        <color rgb="FFB6D7A8"/>
      </top>
      <bottom style="thin">
        <color rgb="FFB6D7A8"/>
      </bottom>
      <diagonal/>
    </border>
    <border>
      <left/>
      <right style="thin">
        <color rgb="FFB6D7A8"/>
      </right>
      <top style="thin">
        <color rgb="FFB6D7A8"/>
      </top>
      <bottom style="thin">
        <color rgb="FFB6D7A8"/>
      </bottom>
      <diagonal/>
    </border>
    <border>
      <left style="thick">
        <color rgb="FF57BB8A"/>
      </left>
      <right/>
      <top style="thick">
        <color rgb="FF57BB8A"/>
      </top>
      <bottom/>
      <diagonal/>
    </border>
    <border>
      <left/>
      <right style="thick">
        <color rgb="FF57BB8A"/>
      </right>
      <top style="thick">
        <color rgb="FF57BB8A"/>
      </top>
      <bottom/>
      <diagonal/>
    </border>
    <border>
      <left style="thin">
        <color rgb="FF6D9EEB"/>
      </left>
      <right/>
      <top style="thin">
        <color rgb="FF6D9EEB"/>
      </top>
      <bottom/>
      <diagonal/>
    </border>
    <border>
      <left/>
      <right style="thin">
        <color rgb="FF6D9EEB"/>
      </right>
      <top style="thin">
        <color rgb="FF6D9EEB"/>
      </top>
      <bottom/>
      <diagonal/>
    </border>
    <border>
      <left style="thick">
        <color rgb="FF57BB8A"/>
      </left>
      <right/>
      <top/>
      <bottom style="thick">
        <color rgb="FF57BB8A"/>
      </bottom>
      <diagonal/>
    </border>
    <border>
      <left/>
      <right style="thick">
        <color rgb="FF57BB8A"/>
      </right>
      <top/>
      <bottom style="thick">
        <color rgb="FF57BB8A"/>
      </bottom>
      <diagonal/>
    </border>
    <border>
      <left style="thin">
        <color rgb="FF6D9EEB"/>
      </left>
      <right/>
      <top/>
      <bottom style="thin">
        <color rgb="FF6D9EEB"/>
      </bottom>
      <diagonal/>
    </border>
    <border>
      <left/>
      <right style="thin">
        <color rgb="FF6D9EEB"/>
      </right>
      <top/>
      <bottom style="thin">
        <color rgb="FF6D9EEB"/>
      </bottom>
      <diagonal/>
    </border>
    <border>
      <left style="thin">
        <color rgb="FF6AA84F"/>
      </left>
      <right style="thin">
        <color rgb="FF6AA84F"/>
      </right>
      <top style="thin">
        <color rgb="FF6AA84F"/>
      </top>
      <bottom style="thin">
        <color rgb="FF6AA84F"/>
      </bottom>
      <diagonal/>
    </border>
    <border>
      <left style="thin">
        <color rgb="FF6AA84F"/>
      </left>
      <right style="thin">
        <color rgb="FF6AA84F"/>
      </right>
      <top/>
      <bottom style="thin">
        <color rgb="FF6AA84F"/>
      </bottom>
      <diagonal/>
    </border>
    <border>
      <left style="thin">
        <color rgb="FFE06666"/>
      </left>
      <right/>
      <top style="thin">
        <color rgb="FFE06666"/>
      </top>
      <bottom/>
      <diagonal/>
    </border>
    <border>
      <left/>
      <right style="thin">
        <color rgb="FFE06666"/>
      </right>
      <top style="thin">
        <color rgb="FFE06666"/>
      </top>
      <bottom/>
      <diagonal/>
    </border>
    <border>
      <left style="thin">
        <color rgb="FFFFD966"/>
      </left>
      <right/>
      <top style="thin">
        <color rgb="FFFFD966"/>
      </top>
      <bottom/>
      <diagonal/>
    </border>
    <border>
      <left/>
      <right style="thin">
        <color rgb="FFFFD966"/>
      </right>
      <top style="thin">
        <color rgb="FFFFD966"/>
      </top>
      <bottom/>
      <diagonal/>
    </border>
    <border>
      <left style="thin">
        <color rgb="FFE06666"/>
      </left>
      <right/>
      <top/>
      <bottom style="thin">
        <color rgb="FFE06666"/>
      </bottom>
      <diagonal/>
    </border>
    <border>
      <left/>
      <right style="thin">
        <color rgb="FFE06666"/>
      </right>
      <top/>
      <bottom style="thin">
        <color rgb="FFE06666"/>
      </bottom>
      <diagonal/>
    </border>
    <border>
      <left style="thin">
        <color rgb="FFFFD966"/>
      </left>
      <right/>
      <top/>
      <bottom style="thin">
        <color rgb="FFFFD966"/>
      </bottom>
      <diagonal/>
    </border>
    <border>
      <left/>
      <right style="thin">
        <color rgb="FFFFD966"/>
      </right>
      <top/>
      <bottom style="thin">
        <color rgb="FFFFD966"/>
      </bottom>
      <diagonal/>
    </border>
    <border>
      <left style="medium">
        <color rgb="FF57BB8A"/>
      </left>
      <right style="medium">
        <color rgb="FF57BB8A"/>
      </right>
      <top style="medium">
        <color rgb="FF57BB8A"/>
      </top>
      <bottom style="medium">
        <color rgb="FF57BB8A"/>
      </bottom>
      <diagonal/>
    </border>
  </borders>
  <cellStyleXfs count="1">
    <xf numFmtId="0" fontId="0" fillId="0" borderId="0"/>
  </cellStyleXfs>
  <cellXfs count="10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xf numFmtId="0" fontId="1" fillId="0" borderId="0" xfId="0" applyFont="1"/>
    <xf numFmtId="0" fontId="3" fillId="2" borderId="2" xfId="0" applyFont="1" applyFill="1" applyBorder="1" applyAlignment="1">
      <alignment horizontal="center" vertical="center"/>
    </xf>
    <xf numFmtId="0" fontId="1" fillId="2" borderId="4" xfId="0" applyFont="1" applyFill="1" applyBorder="1"/>
    <xf numFmtId="0" fontId="1" fillId="2" borderId="5" xfId="0" applyFont="1" applyFill="1" applyBorder="1"/>
    <xf numFmtId="0" fontId="1" fillId="2" borderId="9" xfId="0" applyFont="1" applyFill="1" applyBorder="1"/>
    <xf numFmtId="0" fontId="1" fillId="2" borderId="3" xfId="0" applyFont="1" applyFill="1" applyBorder="1"/>
    <xf numFmtId="0" fontId="4" fillId="2" borderId="3" xfId="0" applyFont="1" applyFill="1" applyBorder="1"/>
    <xf numFmtId="0" fontId="1" fillId="2" borderId="8" xfId="0" applyFont="1" applyFill="1" applyBorder="1"/>
    <xf numFmtId="0" fontId="9" fillId="2" borderId="2" xfId="0" applyFont="1" applyFill="1" applyBorder="1"/>
    <xf numFmtId="0" fontId="10" fillId="2" borderId="2" xfId="0" applyFont="1" applyFill="1" applyBorder="1"/>
    <xf numFmtId="0" fontId="4" fillId="2" borderId="2" xfId="0" applyFont="1" applyFill="1" applyBorder="1"/>
    <xf numFmtId="0" fontId="12" fillId="2" borderId="2" xfId="0" applyFont="1" applyFill="1" applyBorder="1" applyAlignment="1">
      <alignment vertical="center"/>
    </xf>
    <xf numFmtId="0" fontId="13" fillId="2" borderId="2" xfId="0" applyFont="1" applyFill="1" applyBorder="1"/>
    <xf numFmtId="0" fontId="14" fillId="2" borderId="2" xfId="0" applyFont="1" applyFill="1" applyBorder="1"/>
    <xf numFmtId="0" fontId="4" fillId="4" borderId="2" xfId="0" applyFont="1" applyFill="1" applyBorder="1"/>
    <xf numFmtId="0" fontId="15" fillId="2" borderId="3" xfId="0" applyFont="1" applyFill="1" applyBorder="1"/>
    <xf numFmtId="0" fontId="15" fillId="2" borderId="2" xfId="0" applyFont="1" applyFill="1" applyBorder="1"/>
    <xf numFmtId="0" fontId="16" fillId="2" borderId="3" xfId="0" applyFont="1" applyFill="1" applyBorder="1"/>
    <xf numFmtId="0" fontId="16" fillId="2" borderId="2" xfId="0" applyFont="1" applyFill="1" applyBorder="1"/>
    <xf numFmtId="0" fontId="13" fillId="2" borderId="2" xfId="0" applyFont="1" applyFill="1" applyBorder="1" applyAlignment="1">
      <alignment horizontal="right"/>
    </xf>
    <xf numFmtId="0" fontId="15" fillId="5" borderId="0" xfId="0" applyFont="1" applyFill="1"/>
    <xf numFmtId="0" fontId="15" fillId="0" borderId="0" xfId="0" applyFont="1"/>
    <xf numFmtId="0" fontId="18" fillId="5" borderId="0" xfId="0" applyFont="1" applyFill="1" applyAlignment="1">
      <alignment horizontal="center" vertical="center"/>
    </xf>
    <xf numFmtId="0" fontId="17" fillId="5" borderId="0" xfId="0" applyFont="1" applyFill="1" applyAlignment="1">
      <alignment horizontal="left"/>
    </xf>
    <xf numFmtId="0" fontId="20" fillId="5" borderId="10" xfId="0" applyFont="1" applyFill="1" applyBorder="1" applyAlignment="1">
      <alignment horizontal="center" vertical="center"/>
    </xf>
    <xf numFmtId="14" fontId="20" fillId="5" borderId="10" xfId="0" applyNumberFormat="1" applyFont="1" applyFill="1" applyBorder="1" applyAlignment="1">
      <alignment horizontal="center" vertical="center"/>
    </xf>
    <xf numFmtId="0" fontId="21" fillId="5" borderId="0" xfId="0" applyFont="1" applyFill="1" applyAlignment="1">
      <alignment horizontal="center"/>
    </xf>
    <xf numFmtId="0" fontId="22" fillId="5" borderId="0" xfId="0" applyFont="1" applyFill="1"/>
    <xf numFmtId="10" fontId="15" fillId="5" borderId="0" xfId="0" applyNumberFormat="1" applyFont="1" applyFill="1"/>
    <xf numFmtId="0" fontId="23" fillId="3" borderId="11" xfId="0" applyFont="1" applyFill="1" applyBorder="1" applyAlignment="1">
      <alignment horizontal="center"/>
    </xf>
    <xf numFmtId="0" fontId="23" fillId="3" borderId="12" xfId="0" applyFont="1" applyFill="1" applyBorder="1" applyAlignment="1">
      <alignment horizontal="center"/>
    </xf>
    <xf numFmtId="0" fontId="24" fillId="5" borderId="0" xfId="0" applyFont="1" applyFill="1"/>
    <xf numFmtId="0" fontId="15" fillId="6" borderId="0" xfId="0" applyFont="1" applyFill="1" applyAlignment="1">
      <alignment horizontal="center"/>
    </xf>
    <xf numFmtId="0" fontId="15" fillId="5" borderId="13" xfId="0" applyFont="1" applyFill="1" applyBorder="1"/>
    <xf numFmtId="10" fontId="24" fillId="5" borderId="0" xfId="0" applyNumberFormat="1" applyFont="1" applyFill="1" applyAlignment="1">
      <alignment horizontal="center"/>
    </xf>
    <xf numFmtId="0" fontId="15" fillId="7" borderId="0" xfId="0" applyFont="1" applyFill="1" applyAlignment="1">
      <alignment horizontal="center"/>
    </xf>
    <xf numFmtId="0" fontId="26" fillId="7" borderId="0" xfId="0" applyFont="1" applyFill="1" applyAlignment="1">
      <alignment horizontal="center"/>
    </xf>
    <xf numFmtId="0" fontId="15" fillId="5" borderId="14" xfId="0" applyFont="1" applyFill="1" applyBorder="1"/>
    <xf numFmtId="0" fontId="15" fillId="5" borderId="11" xfId="0" applyFont="1" applyFill="1" applyBorder="1"/>
    <xf numFmtId="0" fontId="27" fillId="3" borderId="0" xfId="0" applyFont="1" applyFill="1" applyAlignment="1">
      <alignment vertical="center"/>
    </xf>
    <xf numFmtId="0" fontId="28" fillId="0" borderId="0" xfId="0" applyFont="1" applyAlignment="1">
      <alignment horizontal="center"/>
    </xf>
    <xf numFmtId="0" fontId="15" fillId="8" borderId="0" xfId="0" applyFont="1" applyFill="1"/>
    <xf numFmtId="0" fontId="30" fillId="7" borderId="26" xfId="0" applyFont="1" applyFill="1" applyBorder="1"/>
    <xf numFmtId="0" fontId="31" fillId="7" borderId="26" xfId="0" applyFont="1" applyFill="1" applyBorder="1" applyAlignment="1">
      <alignment vertical="top"/>
    </xf>
    <xf numFmtId="0" fontId="30" fillId="7" borderId="27" xfId="0" applyFont="1" applyFill="1" applyBorder="1"/>
    <xf numFmtId="0" fontId="31" fillId="7" borderId="27" xfId="0" applyFont="1" applyFill="1" applyBorder="1" applyAlignment="1">
      <alignment vertical="top"/>
    </xf>
    <xf numFmtId="0" fontId="31" fillId="7" borderId="26" xfId="0" applyFont="1" applyFill="1" applyBorder="1"/>
    <xf numFmtId="0" fontId="8" fillId="7" borderId="26" xfId="0" applyFont="1" applyFill="1" applyBorder="1"/>
    <xf numFmtId="0" fontId="8" fillId="7" borderId="26" xfId="0" applyFont="1" applyFill="1" applyBorder="1" applyAlignment="1">
      <alignment vertical="top"/>
    </xf>
    <xf numFmtId="164" fontId="31" fillId="7" borderId="26" xfId="0" applyNumberFormat="1" applyFont="1" applyFill="1" applyBorder="1"/>
    <xf numFmtId="0" fontId="22" fillId="8" borderId="0" xfId="0" applyFont="1" applyFill="1"/>
    <xf numFmtId="0" fontId="32" fillId="0" borderId="0" xfId="0" applyFont="1" applyAlignment="1">
      <alignment horizontal="center" vertical="center"/>
    </xf>
    <xf numFmtId="0" fontId="29" fillId="3" borderId="0" xfId="0" applyFont="1" applyFill="1" applyAlignment="1">
      <alignment horizontal="center" vertical="center"/>
    </xf>
    <xf numFmtId="0" fontId="17" fillId="4" borderId="0" xfId="0" applyFont="1" applyFill="1" applyAlignment="1">
      <alignment vertical="center"/>
    </xf>
    <xf numFmtId="0" fontId="4" fillId="0" borderId="36" xfId="0" applyFont="1" applyBorder="1"/>
    <xf numFmtId="0" fontId="33" fillId="0" borderId="0" xfId="0" applyFont="1" applyAlignment="1">
      <alignment horizontal="left"/>
    </xf>
    <xf numFmtId="0" fontId="34" fillId="3" borderId="0" xfId="0" applyFont="1" applyFill="1"/>
    <xf numFmtId="0" fontId="35" fillId="0" borderId="0" xfId="0" applyFont="1"/>
    <xf numFmtId="0" fontId="4" fillId="0" borderId="0" xfId="0" applyFont="1"/>
    <xf numFmtId="14" fontId="14" fillId="0" borderId="0" xfId="0" applyNumberFormat="1" applyFont="1"/>
    <xf numFmtId="0" fontId="14" fillId="0" borderId="0" xfId="0" applyFont="1"/>
    <xf numFmtId="14" fontId="4" fillId="0" borderId="0" xfId="0" applyNumberFormat="1" applyFont="1"/>
    <xf numFmtId="0" fontId="36" fillId="3" borderId="0" xfId="0" applyFont="1" applyFill="1"/>
    <xf numFmtId="0" fontId="22" fillId="0" borderId="0" xfId="0" applyFont="1"/>
    <xf numFmtId="0" fontId="4" fillId="2" borderId="3" xfId="0" applyFont="1" applyFill="1" applyBorder="1"/>
    <xf numFmtId="0" fontId="5" fillId="0" borderId="3" xfId="0" applyFont="1" applyBorder="1"/>
    <xf numFmtId="0" fontId="5" fillId="0" borderId="2" xfId="0" applyFont="1" applyBorder="1"/>
    <xf numFmtId="0" fontId="17" fillId="2" borderId="3" xfId="0" applyFont="1" applyFill="1" applyBorder="1"/>
    <xf numFmtId="0" fontId="1" fillId="2" borderId="3" xfId="0" applyFont="1" applyFill="1" applyBorder="1"/>
    <xf numFmtId="0" fontId="4" fillId="2" borderId="3" xfId="0" applyFont="1" applyFill="1" applyBorder="1" applyAlignment="1">
      <alignment horizontal="center"/>
    </xf>
    <xf numFmtId="0" fontId="6" fillId="3" borderId="0" xfId="0" applyFont="1" applyFill="1" applyAlignment="1">
      <alignment horizontal="center" vertical="center"/>
    </xf>
    <xf numFmtId="0" fontId="0" fillId="0" borderId="0" xfId="0"/>
    <xf numFmtId="0" fontId="5" fillId="0" borderId="6" xfId="0" applyFont="1" applyBorder="1"/>
    <xf numFmtId="0" fontId="5" fillId="0" borderId="7" xfId="0" applyFont="1" applyBorder="1"/>
    <xf numFmtId="0" fontId="5" fillId="0" borderId="8" xfId="0" applyFont="1" applyBorder="1"/>
    <xf numFmtId="0" fontId="7" fillId="2" borderId="3" xfId="0" applyFont="1" applyFill="1" applyBorder="1"/>
    <xf numFmtId="0" fontId="8" fillId="2" borderId="3" xfId="0" applyFont="1" applyFill="1" applyBorder="1"/>
    <xf numFmtId="0" fontId="11" fillId="2" borderId="3" xfId="0" applyFont="1" applyFill="1" applyBorder="1" applyAlignment="1">
      <alignment horizontal="center"/>
    </xf>
    <xf numFmtId="0" fontId="4" fillId="2" borderId="3" xfId="0" applyFont="1" applyFill="1" applyBorder="1" applyAlignment="1">
      <alignment vertical="center"/>
    </xf>
    <xf numFmtId="0" fontId="15" fillId="2" borderId="3" xfId="0" applyFont="1" applyFill="1" applyBorder="1"/>
    <xf numFmtId="0" fontId="16" fillId="2" borderId="3" xfId="0" applyFont="1" applyFill="1" applyBorder="1"/>
    <xf numFmtId="0" fontId="19" fillId="3" borderId="0" xfId="0" applyFont="1" applyFill="1" applyAlignment="1">
      <alignment horizontal="center" vertical="center"/>
    </xf>
    <xf numFmtId="0" fontId="25" fillId="6" borderId="0" xfId="0" applyFont="1" applyFill="1" applyAlignment="1">
      <alignment horizontal="center" vertical="center"/>
    </xf>
    <xf numFmtId="0" fontId="15" fillId="6" borderId="15" xfId="0" applyFont="1" applyFill="1" applyBorder="1"/>
    <xf numFmtId="0" fontId="5" fillId="0" borderId="16" xfId="0" applyFont="1" applyBorder="1"/>
    <xf numFmtId="0" fontId="5" fillId="0" borderId="17" xfId="0" applyFont="1" applyBorder="1"/>
    <xf numFmtId="0" fontId="29" fillId="3" borderId="18" xfId="0" applyFont="1" applyFill="1" applyBorder="1" applyAlignment="1">
      <alignment horizontal="center" vertical="center"/>
    </xf>
    <xf numFmtId="0" fontId="5" fillId="0" borderId="19" xfId="0" applyFont="1" applyBorder="1"/>
    <xf numFmtId="0" fontId="5" fillId="0" borderId="22" xfId="0" applyFont="1" applyBorder="1"/>
    <xf numFmtId="0" fontId="5" fillId="0" borderId="23" xfId="0" applyFont="1" applyBorder="1"/>
    <xf numFmtId="0" fontId="29" fillId="9" borderId="20" xfId="0" applyFont="1" applyFill="1" applyBorder="1" applyAlignment="1">
      <alignment horizontal="center" vertical="center"/>
    </xf>
    <xf numFmtId="0" fontId="5" fillId="0" borderId="21" xfId="0" applyFont="1" applyBorder="1"/>
    <xf numFmtId="0" fontId="5" fillId="0" borderId="24" xfId="0" applyFont="1" applyBorder="1"/>
    <xf numFmtId="0" fontId="5" fillId="0" borderId="25" xfId="0" applyFont="1" applyBorder="1"/>
    <xf numFmtId="0" fontId="29" fillId="10" borderId="28" xfId="0" applyFont="1" applyFill="1" applyBorder="1" applyAlignment="1">
      <alignment horizontal="center" vertical="center"/>
    </xf>
    <xf numFmtId="0" fontId="5" fillId="0" borderId="29" xfId="0" applyFont="1" applyBorder="1"/>
    <xf numFmtId="0" fontId="5" fillId="0" borderId="32" xfId="0" applyFont="1" applyBorder="1"/>
    <xf numFmtId="0" fontId="5" fillId="0" borderId="33" xfId="0" applyFont="1" applyBorder="1"/>
    <xf numFmtId="0" fontId="29" fillId="11" borderId="30" xfId="0" applyFont="1" applyFill="1" applyBorder="1" applyAlignment="1">
      <alignment horizontal="center" vertical="center"/>
    </xf>
    <xf numFmtId="0" fontId="5" fillId="0" borderId="31" xfId="0" applyFont="1" applyBorder="1"/>
    <xf numFmtId="0" fontId="5" fillId="0" borderId="34" xfId="0" applyFont="1" applyBorder="1"/>
    <xf numFmtId="0" fontId="5" fillId="0" borderId="3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Today</a:t>
            </a:r>
          </a:p>
        </c:rich>
      </c:tx>
      <c:layout>
        <c:manualLayout>
          <c:xMode val="edge"/>
          <c:yMode val="edge"/>
          <c:x val="1.4985795454545455E-2"/>
          <c:y val="0.05"/>
        </c:manualLayout>
      </c:layout>
      <c:overlay val="0"/>
    </c:title>
    <c:autoTitleDeleted val="0"/>
    <c:plotArea>
      <c:layout/>
      <c:lineChart>
        <c:grouping val="standard"/>
        <c:varyColors val="0"/>
        <c:ser>
          <c:idx val="0"/>
          <c:order val="0"/>
          <c:tx>
            <c:strRef>
              <c:f>'Dashboard (Analytics)'!$C$20</c:f>
              <c:strCache>
                <c:ptCount val="1"/>
                <c:pt idx="0">
                  <c:v>Today</c:v>
                </c:pt>
              </c:strCache>
            </c:strRef>
          </c:tx>
          <c:spPr>
            <a:ln cmpd="sng">
              <a:solidFill>
                <a:srgbClr val="4285F4"/>
              </a:solidFill>
            </a:ln>
          </c:spPr>
          <c:marker>
            <c:symbol val="circle"/>
            <c:size val="10"/>
            <c:spPr>
              <a:solidFill>
                <a:srgbClr val="4285F4"/>
              </a:solidFill>
              <a:ln cmpd="sng">
                <a:solidFill>
                  <a:srgbClr val="4285F4"/>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(Analytics)'!$B$21:$B$25</c:f>
              <c:strCache>
                <c:ptCount val="4"/>
                <c:pt idx="0">
                  <c:v>Initial Email</c:v>
                </c:pt>
                <c:pt idx="1">
                  <c:v>Follow Up #1</c:v>
                </c:pt>
                <c:pt idx="2">
                  <c:v>Follow Up #2</c:v>
                </c:pt>
                <c:pt idx="3">
                  <c:v>Follow Up #3</c:v>
                </c:pt>
              </c:strCache>
            </c:strRef>
          </c:cat>
          <c:val>
            <c:numRef>
              <c:f>'Dashboard (Analytics)'!$C$21:$C$25</c:f>
              <c:numCache>
                <c:formatCode>General</c:formatCode>
                <c:ptCount val="5"/>
                <c:pt idx="0">
                  <c:v>0</c:v>
                </c:pt>
                <c:pt idx="1">
                  <c:v>0</c:v>
                </c:pt>
                <c:pt idx="2">
                  <c:v>0</c:v>
                </c:pt>
                <c:pt idx="3">
                  <c:v>0</c:v>
                </c:pt>
              </c:numCache>
            </c:numRef>
          </c:val>
          <c:smooth val="1"/>
          <c:extLst>
            <c:ext xmlns:c16="http://schemas.microsoft.com/office/drawing/2014/chart" uri="{C3380CC4-5D6E-409C-BE32-E72D297353CC}">
              <c16:uniqueId val="{00000000-C929-402F-8570-E37AC3D262CE}"/>
            </c:ext>
          </c:extLst>
        </c:ser>
        <c:dLbls>
          <c:showLegendKey val="0"/>
          <c:showVal val="0"/>
          <c:showCatName val="0"/>
          <c:showSerName val="0"/>
          <c:showPercent val="0"/>
          <c:showBubbleSize val="0"/>
        </c:dLbls>
        <c:marker val="1"/>
        <c:smooth val="0"/>
        <c:axId val="599883802"/>
        <c:axId val="569181241"/>
      </c:lineChart>
      <c:catAx>
        <c:axId val="59988380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Workflows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69181241"/>
        <c:crosses val="autoZero"/>
        <c:auto val="1"/>
        <c:lblAlgn val="ctr"/>
        <c:lblOffset val="100"/>
        <c:noMultiLvlLbl val="1"/>
      </c:catAx>
      <c:valAx>
        <c:axId val="5691812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Today</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59988380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Summary of Emails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'Dashboard (Analytics)'!$C$21</c:f>
              <c:strCache>
                <c:ptCount val="1"/>
                <c:pt idx="0">
                  <c:v>0</c:v>
                </c:pt>
              </c:strCache>
            </c:strRef>
          </c:tx>
          <c:spPr>
            <a:solidFill>
              <a:schemeClr val="accent1"/>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(Analytics)'!$D$20:$H$20</c:f>
              <c:strCache>
                <c:ptCount val="5"/>
                <c:pt idx="0">
                  <c:v>Yesterday</c:v>
                </c:pt>
                <c:pt idx="1">
                  <c:v>Last 7 Days</c:v>
                </c:pt>
                <c:pt idx="2">
                  <c:v>Last 30 Days</c:v>
                </c:pt>
                <c:pt idx="3">
                  <c:v>This Year</c:v>
                </c:pt>
                <c:pt idx="4">
                  <c:v>Total Emails IDs</c:v>
                </c:pt>
              </c:strCache>
            </c:strRef>
          </c:cat>
          <c:val>
            <c:numRef>
              <c:f>'Dashboard (Analytics)'!$D$21:$H$21</c:f>
              <c:numCache>
                <c:formatCode>General</c:formatCode>
                <c:ptCount val="5"/>
                <c:pt idx="0">
                  <c:v>0</c:v>
                </c:pt>
                <c:pt idx="1">
                  <c:v>0</c:v>
                </c:pt>
                <c:pt idx="2">
                  <c:v>0</c:v>
                </c:pt>
                <c:pt idx="3">
                  <c:v>0</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4F1-4A4F-B77F-A57FB69732D6}"/>
            </c:ext>
          </c:extLst>
        </c:ser>
        <c:ser>
          <c:idx val="1"/>
          <c:order val="1"/>
          <c:tx>
            <c:strRef>
              <c:f>'Dashboard (Analytics)'!$C$22</c:f>
              <c:strCache>
                <c:ptCount val="1"/>
                <c:pt idx="0">
                  <c:v>0</c:v>
                </c:pt>
              </c:strCache>
            </c:strRef>
          </c:tx>
          <c:spPr>
            <a:solidFill>
              <a:schemeClr val="accent2"/>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(Analytics)'!$D$20:$H$20</c:f>
              <c:strCache>
                <c:ptCount val="5"/>
                <c:pt idx="0">
                  <c:v>Yesterday</c:v>
                </c:pt>
                <c:pt idx="1">
                  <c:v>Last 7 Days</c:v>
                </c:pt>
                <c:pt idx="2">
                  <c:v>Last 30 Days</c:v>
                </c:pt>
                <c:pt idx="3">
                  <c:v>This Year</c:v>
                </c:pt>
                <c:pt idx="4">
                  <c:v>Total Emails IDs</c:v>
                </c:pt>
              </c:strCache>
            </c:strRef>
          </c:cat>
          <c:val>
            <c:numRef>
              <c:f>'Dashboard (Analytics)'!$D$22:$H$22</c:f>
              <c:numCache>
                <c:formatCode>General</c:formatCode>
                <c:ptCount val="5"/>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4F1-4A4F-B77F-A57FB69732D6}"/>
            </c:ext>
          </c:extLst>
        </c:ser>
        <c:ser>
          <c:idx val="2"/>
          <c:order val="2"/>
          <c:tx>
            <c:strRef>
              <c:f>'Dashboard (Analytics)'!$C$23</c:f>
              <c:strCache>
                <c:ptCount val="1"/>
                <c:pt idx="0">
                  <c:v>0</c:v>
                </c:pt>
              </c:strCache>
            </c:strRef>
          </c:tx>
          <c:spPr>
            <a:solidFill>
              <a:schemeClr val="accent3"/>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(Analytics)'!$D$20:$H$20</c:f>
              <c:strCache>
                <c:ptCount val="5"/>
                <c:pt idx="0">
                  <c:v>Yesterday</c:v>
                </c:pt>
                <c:pt idx="1">
                  <c:v>Last 7 Days</c:v>
                </c:pt>
                <c:pt idx="2">
                  <c:v>Last 30 Days</c:v>
                </c:pt>
                <c:pt idx="3">
                  <c:v>This Year</c:v>
                </c:pt>
                <c:pt idx="4">
                  <c:v>Total Emails IDs</c:v>
                </c:pt>
              </c:strCache>
            </c:strRef>
          </c:cat>
          <c:val>
            <c:numRef>
              <c:f>'Dashboard (Analytics)'!$D$23:$H$23</c:f>
              <c:numCache>
                <c:formatCode>General</c:formatCode>
                <c:ptCount val="5"/>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4F1-4A4F-B77F-A57FB69732D6}"/>
            </c:ext>
          </c:extLst>
        </c:ser>
        <c:ser>
          <c:idx val="3"/>
          <c:order val="3"/>
          <c:tx>
            <c:strRef>
              <c:f>'Dashboard (Analytics)'!$C$24</c:f>
              <c:strCache>
                <c:ptCount val="1"/>
                <c:pt idx="0">
                  <c:v>0</c:v>
                </c:pt>
              </c:strCache>
            </c:strRef>
          </c:tx>
          <c:spPr>
            <a:solidFill>
              <a:schemeClr val="accent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(Analytics)'!$D$20:$H$20</c:f>
              <c:strCache>
                <c:ptCount val="5"/>
                <c:pt idx="0">
                  <c:v>Yesterday</c:v>
                </c:pt>
                <c:pt idx="1">
                  <c:v>Last 7 Days</c:v>
                </c:pt>
                <c:pt idx="2">
                  <c:v>Last 30 Days</c:v>
                </c:pt>
                <c:pt idx="3">
                  <c:v>This Year</c:v>
                </c:pt>
                <c:pt idx="4">
                  <c:v>Total Emails IDs</c:v>
                </c:pt>
              </c:strCache>
            </c:strRef>
          </c:cat>
          <c:val>
            <c:numRef>
              <c:f>'Dashboard (Analytics)'!$D$24:$H$24</c:f>
              <c:numCache>
                <c:formatCode>General</c:formatCode>
                <c:ptCount val="5"/>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4F1-4A4F-B77F-A57FB69732D6}"/>
            </c:ext>
          </c:extLst>
        </c:ser>
        <c:dLbls>
          <c:showLegendKey val="0"/>
          <c:showVal val="0"/>
          <c:showCatName val="0"/>
          <c:showSerName val="0"/>
          <c:showPercent val="0"/>
          <c:showBubbleSize val="0"/>
        </c:dLbls>
        <c:gapWidth val="150"/>
        <c:shape val="box"/>
        <c:axId val="1653537728"/>
        <c:axId val="1830009173"/>
        <c:axId val="0"/>
      </c:bar3DChart>
      <c:catAx>
        <c:axId val="165353772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30009173"/>
        <c:crosses val="autoZero"/>
        <c:auto val="1"/>
        <c:lblAlgn val="ctr"/>
        <c:lblOffset val="100"/>
        <c:noMultiLvlLbl val="1"/>
      </c:catAx>
      <c:valAx>
        <c:axId val="183000917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endParaRPr lang="en-US"/>
          </a:p>
        </c:txPr>
        <c:crossAx val="165353772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1104900</xdr:colOff>
      <xdr:row>5</xdr:row>
      <xdr:rowOff>57150</xdr:rowOff>
    </xdr:from>
    <xdr:ext cx="6276975" cy="220027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57150</xdr:colOff>
      <xdr:row>3</xdr:row>
      <xdr:rowOff>171450</xdr:rowOff>
    </xdr:from>
    <xdr:ext cx="4914900" cy="2771775"/>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523875</xdr:colOff>
      <xdr:row>19</xdr:row>
      <xdr:rowOff>133350</xdr:rowOff>
    </xdr:from>
    <xdr:ext cx="6219825" cy="819150"/>
    <xdr:grpSp>
      <xdr:nvGrpSpPr>
        <xdr:cNvPr id="2" name="Shape 2" title="Drawing">
          <a:extLst>
            <a:ext uri="{FF2B5EF4-FFF2-40B4-BE49-F238E27FC236}">
              <a16:creationId xmlns:a16="http://schemas.microsoft.com/office/drawing/2014/main" id="{00000000-0008-0000-0300-000002000000}"/>
            </a:ext>
          </a:extLst>
        </xdr:cNvPr>
        <xdr:cNvGrpSpPr/>
      </xdr:nvGrpSpPr>
      <xdr:grpSpPr>
        <a:xfrm>
          <a:off x="523875" y="3790950"/>
          <a:ext cx="6219825" cy="819150"/>
          <a:chOff x="1412525" y="1239100"/>
          <a:chExt cx="6210950" cy="796875"/>
        </a:xfrm>
      </xdr:grpSpPr>
      <xdr:sp macro="" textlink="">
        <xdr:nvSpPr>
          <xdr:cNvPr id="3" name="Shape 3">
            <a:extLst>
              <a:ext uri="{FF2B5EF4-FFF2-40B4-BE49-F238E27FC236}">
                <a16:creationId xmlns:a16="http://schemas.microsoft.com/office/drawing/2014/main" id="{00000000-0008-0000-0300-000003000000}"/>
              </a:ext>
            </a:extLst>
          </xdr:cNvPr>
          <xdr:cNvSpPr/>
        </xdr:nvSpPr>
        <xdr:spPr>
          <a:xfrm>
            <a:off x="1412525" y="1239100"/>
            <a:ext cx="2212704" cy="458946"/>
          </a:xfrm>
          <a:prstGeom prst="flowChartTerminator">
            <a:avLst/>
          </a:prstGeom>
          <a:solidFill>
            <a:srgbClr val="57BB8A"/>
          </a:solidFill>
          <a:ln w="9525" cap="flat" cmpd="sng">
            <a:solidFill>
              <a:srgbClr val="57BB8A"/>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00000000-0008-0000-0300-000004000000}"/>
              </a:ext>
            </a:extLst>
          </xdr:cNvPr>
          <xdr:cNvSpPr txBox="1"/>
        </xdr:nvSpPr>
        <xdr:spPr>
          <a:xfrm>
            <a:off x="1671525" y="1268475"/>
            <a:ext cx="1827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Lexend"/>
                <a:ea typeface="Lexend"/>
                <a:cs typeface="Lexend"/>
                <a:sym typeface="Lexend"/>
              </a:rPr>
              <a:t>Send Initial Email</a:t>
            </a:r>
            <a:endParaRPr sz="1400" b="1">
              <a:solidFill>
                <a:srgbClr val="FFFFFF"/>
              </a:solidFill>
              <a:latin typeface="Lexend"/>
              <a:ea typeface="Lexend"/>
              <a:cs typeface="Lexend"/>
              <a:sym typeface="Lexend"/>
            </a:endParaRPr>
          </a:p>
        </xdr:txBody>
      </xdr:sp>
      <xdr:sp macro="" textlink="">
        <xdr:nvSpPr>
          <xdr:cNvPr id="5" name="Shape 5">
            <a:extLst>
              <a:ext uri="{FF2B5EF4-FFF2-40B4-BE49-F238E27FC236}">
                <a16:creationId xmlns:a16="http://schemas.microsoft.com/office/drawing/2014/main" id="{00000000-0008-0000-0300-000005000000}"/>
              </a:ext>
            </a:extLst>
          </xdr:cNvPr>
          <xdr:cNvSpPr txBox="1"/>
        </xdr:nvSpPr>
        <xdr:spPr>
          <a:xfrm>
            <a:off x="2478175" y="1635775"/>
            <a:ext cx="51453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endParaRPr sz="1400"/>
          </a:p>
        </xdr:txBody>
      </xdr:sp>
    </xdr:grpSp>
    <xdr:clientData fLocksWithSheet="0"/>
  </xdr:oneCellAnchor>
  <xdr:oneCellAnchor>
    <xdr:from>
      <xdr:col>1</xdr:col>
      <xdr:colOff>323850</xdr:colOff>
      <xdr:row>19</xdr:row>
      <xdr:rowOff>123825</xdr:rowOff>
    </xdr:from>
    <xdr:ext cx="2333625" cy="495300"/>
    <xdr:grpSp>
      <xdr:nvGrpSpPr>
        <xdr:cNvPr id="6" name="Shape 2" title="Drawing">
          <a:extLst>
            <a:ext uri="{FF2B5EF4-FFF2-40B4-BE49-F238E27FC236}">
              <a16:creationId xmlns:a16="http://schemas.microsoft.com/office/drawing/2014/main" id="{00000000-0008-0000-0300-000006000000}"/>
            </a:ext>
          </a:extLst>
        </xdr:cNvPr>
        <xdr:cNvGrpSpPr/>
      </xdr:nvGrpSpPr>
      <xdr:grpSpPr>
        <a:xfrm>
          <a:off x="2975610" y="3781425"/>
          <a:ext cx="2333625" cy="495300"/>
          <a:chOff x="1787900" y="1566200"/>
          <a:chExt cx="2314440" cy="473472"/>
        </a:xfrm>
      </xdr:grpSpPr>
      <xdr:sp macro="" textlink="">
        <xdr:nvSpPr>
          <xdr:cNvPr id="7" name="Shape 6">
            <a:extLst>
              <a:ext uri="{FF2B5EF4-FFF2-40B4-BE49-F238E27FC236}">
                <a16:creationId xmlns:a16="http://schemas.microsoft.com/office/drawing/2014/main" id="{00000000-0008-0000-0300-000007000000}"/>
              </a:ext>
            </a:extLst>
          </xdr:cNvPr>
          <xdr:cNvSpPr/>
        </xdr:nvSpPr>
        <xdr:spPr>
          <a:xfrm>
            <a:off x="1787900" y="1566200"/>
            <a:ext cx="2314440" cy="473472"/>
          </a:xfrm>
          <a:prstGeom prst="flowChartTerminator">
            <a:avLst/>
          </a:prstGeom>
          <a:solidFill>
            <a:srgbClr val="6D9EEB"/>
          </a:solidFill>
          <a:ln w="9525" cap="flat" cmpd="sng">
            <a:solidFill>
              <a:srgbClr val="6D9EE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 name="Shape 7">
            <a:extLst>
              <a:ext uri="{FF2B5EF4-FFF2-40B4-BE49-F238E27FC236}">
                <a16:creationId xmlns:a16="http://schemas.microsoft.com/office/drawing/2014/main" id="{00000000-0008-0000-0300-000008000000}"/>
              </a:ext>
            </a:extLst>
          </xdr:cNvPr>
          <xdr:cNvSpPr txBox="1"/>
        </xdr:nvSpPr>
        <xdr:spPr>
          <a:xfrm>
            <a:off x="2001013" y="1602825"/>
            <a:ext cx="18882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Lexend"/>
                <a:ea typeface="Lexend"/>
                <a:cs typeface="Lexend"/>
                <a:sym typeface="Lexend"/>
              </a:rPr>
              <a:t>Send Follow-up #1</a:t>
            </a:r>
            <a:endParaRPr sz="1400" b="1">
              <a:solidFill>
                <a:srgbClr val="FFFFFF"/>
              </a:solidFill>
              <a:latin typeface="Lexend"/>
              <a:ea typeface="Lexend"/>
              <a:cs typeface="Lexend"/>
              <a:sym typeface="Lexend"/>
            </a:endParaRPr>
          </a:p>
        </xdr:txBody>
      </xdr:sp>
    </xdr:grpSp>
    <xdr:clientData fLocksWithSheet="0"/>
  </xdr:oneCellAnchor>
  <xdr:oneCellAnchor>
    <xdr:from>
      <xdr:col>2</xdr:col>
      <xdr:colOff>19050</xdr:colOff>
      <xdr:row>19</xdr:row>
      <xdr:rowOff>133350</xdr:rowOff>
    </xdr:from>
    <xdr:ext cx="2352675" cy="638175"/>
    <xdr:grpSp>
      <xdr:nvGrpSpPr>
        <xdr:cNvPr id="9" name="Shape 2" title="Drawing">
          <a:extLst>
            <a:ext uri="{FF2B5EF4-FFF2-40B4-BE49-F238E27FC236}">
              <a16:creationId xmlns:a16="http://schemas.microsoft.com/office/drawing/2014/main" id="{00000000-0008-0000-0300-000009000000}"/>
            </a:ext>
          </a:extLst>
        </xdr:cNvPr>
        <xdr:cNvGrpSpPr/>
      </xdr:nvGrpSpPr>
      <xdr:grpSpPr>
        <a:xfrm>
          <a:off x="5513070" y="3790950"/>
          <a:ext cx="2352675" cy="638175"/>
          <a:chOff x="1534150" y="1554575"/>
          <a:chExt cx="2334690" cy="615600"/>
        </a:xfrm>
      </xdr:grpSpPr>
      <xdr:sp macro="" textlink="">
        <xdr:nvSpPr>
          <xdr:cNvPr id="10" name="Shape 8">
            <a:extLst>
              <a:ext uri="{FF2B5EF4-FFF2-40B4-BE49-F238E27FC236}">
                <a16:creationId xmlns:a16="http://schemas.microsoft.com/office/drawing/2014/main" id="{00000000-0008-0000-0300-00000A000000}"/>
              </a:ext>
            </a:extLst>
          </xdr:cNvPr>
          <xdr:cNvSpPr/>
        </xdr:nvSpPr>
        <xdr:spPr>
          <a:xfrm>
            <a:off x="1534150" y="1554575"/>
            <a:ext cx="2334690" cy="436482"/>
          </a:xfrm>
          <a:prstGeom prst="flowChartTerminator">
            <a:avLst/>
          </a:prstGeom>
          <a:solidFill>
            <a:srgbClr val="E06666"/>
          </a:solidFill>
          <a:ln w="9525" cap="flat" cmpd="sng">
            <a:solidFill>
              <a:srgbClr val="E06666"/>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 name="Shape 9">
            <a:extLst>
              <a:ext uri="{FF2B5EF4-FFF2-40B4-BE49-F238E27FC236}">
                <a16:creationId xmlns:a16="http://schemas.microsoft.com/office/drawing/2014/main" id="{00000000-0008-0000-0300-00000B000000}"/>
              </a:ext>
            </a:extLst>
          </xdr:cNvPr>
          <xdr:cNvSpPr txBox="1"/>
        </xdr:nvSpPr>
        <xdr:spPr>
          <a:xfrm>
            <a:off x="1820400" y="1554575"/>
            <a:ext cx="1989600" cy="6156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Lexend"/>
                <a:ea typeface="Lexend"/>
                <a:cs typeface="Lexend"/>
                <a:sym typeface="Lexend"/>
              </a:rPr>
              <a:t>Send Follow-up #2</a:t>
            </a:r>
            <a:endParaRPr sz="1400" b="1">
              <a:solidFill>
                <a:srgbClr val="FFFFFF"/>
              </a:solidFill>
              <a:latin typeface="Lexend"/>
              <a:ea typeface="Lexend"/>
              <a:cs typeface="Lexend"/>
              <a:sym typeface="Lexend"/>
            </a:endParaRPr>
          </a:p>
          <a:p>
            <a:pPr marL="0" lvl="0" indent="0" algn="l" rtl="0">
              <a:spcBef>
                <a:spcPts val="0"/>
              </a:spcBef>
              <a:spcAft>
                <a:spcPts val="0"/>
              </a:spcAft>
              <a:buNone/>
            </a:pPr>
            <a:endParaRPr sz="1400"/>
          </a:p>
        </xdr:txBody>
      </xdr:sp>
    </xdr:grpSp>
    <xdr:clientData fLocksWithSheet="0"/>
  </xdr:oneCellAnchor>
  <xdr:oneCellAnchor>
    <xdr:from>
      <xdr:col>3</xdr:col>
      <xdr:colOff>2409825</xdr:colOff>
      <xdr:row>19</xdr:row>
      <xdr:rowOff>133350</xdr:rowOff>
    </xdr:from>
    <xdr:ext cx="2390775" cy="476250"/>
    <xdr:grpSp>
      <xdr:nvGrpSpPr>
        <xdr:cNvPr id="12" name="Shape 2" title="Drawing">
          <a:extLst>
            <a:ext uri="{FF2B5EF4-FFF2-40B4-BE49-F238E27FC236}">
              <a16:creationId xmlns:a16="http://schemas.microsoft.com/office/drawing/2014/main" id="{00000000-0008-0000-0300-00000C000000}"/>
            </a:ext>
          </a:extLst>
        </xdr:cNvPr>
        <xdr:cNvGrpSpPr/>
      </xdr:nvGrpSpPr>
      <xdr:grpSpPr>
        <a:xfrm>
          <a:off x="8414385" y="3790950"/>
          <a:ext cx="2390775" cy="476250"/>
          <a:chOff x="1838675" y="1564725"/>
          <a:chExt cx="2375352" cy="456786"/>
        </a:xfrm>
      </xdr:grpSpPr>
      <xdr:sp macro="" textlink="">
        <xdr:nvSpPr>
          <xdr:cNvPr id="13" name="Shape 10">
            <a:extLst>
              <a:ext uri="{FF2B5EF4-FFF2-40B4-BE49-F238E27FC236}">
                <a16:creationId xmlns:a16="http://schemas.microsoft.com/office/drawing/2014/main" id="{00000000-0008-0000-0300-00000D000000}"/>
              </a:ext>
            </a:extLst>
          </xdr:cNvPr>
          <xdr:cNvSpPr/>
        </xdr:nvSpPr>
        <xdr:spPr>
          <a:xfrm>
            <a:off x="1838675" y="1564725"/>
            <a:ext cx="2375352" cy="456786"/>
          </a:xfrm>
          <a:prstGeom prst="flowChartTerminator">
            <a:avLst/>
          </a:prstGeom>
          <a:solidFill>
            <a:srgbClr val="FFD966"/>
          </a:solidFill>
          <a:ln w="9525" cap="flat" cmpd="sng">
            <a:solidFill>
              <a:srgbClr val="FFD966"/>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4" name="Shape 11">
            <a:extLst>
              <a:ext uri="{FF2B5EF4-FFF2-40B4-BE49-F238E27FC236}">
                <a16:creationId xmlns:a16="http://schemas.microsoft.com/office/drawing/2014/main" id="{00000000-0008-0000-0300-00000E000000}"/>
              </a:ext>
            </a:extLst>
          </xdr:cNvPr>
          <xdr:cNvSpPr txBox="1"/>
        </xdr:nvSpPr>
        <xdr:spPr>
          <a:xfrm>
            <a:off x="2122875" y="1593000"/>
            <a:ext cx="18984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Lexend"/>
                <a:ea typeface="Lexend"/>
                <a:cs typeface="Lexend"/>
                <a:sym typeface="Lexend"/>
              </a:rPr>
              <a:t>Send Follow-up #3</a:t>
            </a:r>
            <a:endParaRPr sz="1400">
              <a:latin typeface="Lexend"/>
              <a:ea typeface="Lexend"/>
              <a:cs typeface="Lexend"/>
              <a:sym typeface="Lexend"/>
            </a:endParaRPr>
          </a:p>
        </xdr:txBody>
      </xdr: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124D"/>
    <outlinePr summaryBelow="0" summaryRight="0"/>
  </sheetPr>
  <dimension ref="A1:Z1011"/>
  <sheetViews>
    <sheetView workbookViewId="0"/>
  </sheetViews>
  <sheetFormatPr defaultColWidth="12.6640625" defaultRowHeight="15.75" customHeight="1"/>
  <cols>
    <col min="1" max="1" width="2.77734375" customWidth="1"/>
    <col min="2" max="2" width="8.88671875" customWidth="1"/>
    <col min="3" max="3" width="5.88671875" customWidth="1"/>
    <col min="4" max="4" width="5" customWidth="1"/>
    <col min="5" max="5" width="8" customWidth="1"/>
    <col min="6" max="6" width="7.21875" customWidth="1"/>
    <col min="9" max="9" width="11.109375" customWidth="1"/>
    <col min="10" max="10" width="9.33203125" customWidth="1"/>
    <col min="11" max="12" width="45.6640625" customWidth="1"/>
    <col min="14" max="26" width="12.6640625" hidden="1"/>
  </cols>
  <sheetData>
    <row r="1" spans="1:26" ht="25.8">
      <c r="A1" s="1"/>
      <c r="B1" s="2"/>
      <c r="C1" s="2"/>
      <c r="D1" s="2"/>
      <c r="E1" s="2"/>
      <c r="F1" s="2"/>
      <c r="G1" s="2"/>
      <c r="H1" s="2"/>
      <c r="I1" s="3" t="s">
        <v>0</v>
      </c>
      <c r="J1" s="2"/>
      <c r="K1" s="2"/>
      <c r="L1" s="2"/>
      <c r="M1" s="2"/>
      <c r="N1" s="4"/>
      <c r="O1" s="4"/>
      <c r="P1" s="4"/>
      <c r="Q1" s="4"/>
      <c r="R1" s="4"/>
      <c r="S1" s="4"/>
      <c r="T1" s="4"/>
      <c r="U1" s="4"/>
      <c r="V1" s="4"/>
      <c r="W1" s="4"/>
      <c r="X1" s="4"/>
      <c r="Y1" s="4"/>
      <c r="Z1" s="4"/>
    </row>
    <row r="2" spans="1:26" ht="13.8">
      <c r="A2" s="1"/>
      <c r="B2" s="2"/>
      <c r="C2" s="2"/>
      <c r="D2" s="2"/>
      <c r="E2" s="2"/>
      <c r="F2" s="2"/>
      <c r="G2" s="2"/>
      <c r="H2" s="2"/>
      <c r="I2" s="2"/>
      <c r="J2" s="2"/>
      <c r="K2" s="2"/>
      <c r="L2" s="2"/>
      <c r="M2" s="2"/>
      <c r="N2" s="4"/>
      <c r="O2" s="4"/>
      <c r="P2" s="4"/>
      <c r="Q2" s="4"/>
      <c r="R2" s="4"/>
      <c r="S2" s="4"/>
      <c r="T2" s="4"/>
      <c r="U2" s="4"/>
      <c r="V2" s="4"/>
      <c r="W2" s="4"/>
      <c r="X2" s="4"/>
      <c r="Y2" s="4"/>
      <c r="Z2" s="4"/>
    </row>
    <row r="3" spans="1:26" ht="13.8">
      <c r="A3" s="1"/>
      <c r="B3" s="2"/>
      <c r="C3" s="2"/>
      <c r="D3" s="2"/>
      <c r="E3" s="5"/>
      <c r="F3" s="5"/>
      <c r="G3" s="5"/>
      <c r="H3" s="5"/>
      <c r="I3" s="5"/>
      <c r="J3" s="2"/>
      <c r="K3" s="2"/>
      <c r="L3" s="2"/>
      <c r="M3" s="2"/>
      <c r="N3" s="4"/>
      <c r="O3" s="4"/>
      <c r="P3" s="4"/>
      <c r="Q3" s="4"/>
      <c r="R3" s="4"/>
      <c r="S3" s="4"/>
      <c r="T3" s="4"/>
      <c r="U3" s="4"/>
      <c r="V3" s="4"/>
      <c r="W3" s="4"/>
      <c r="X3" s="4"/>
      <c r="Y3" s="4"/>
      <c r="Z3" s="4"/>
    </row>
    <row r="4" spans="1:26" ht="18">
      <c r="A4" s="1"/>
      <c r="B4" s="2"/>
      <c r="C4" s="2"/>
      <c r="D4" s="2"/>
      <c r="E4" s="2"/>
      <c r="F4" s="2"/>
      <c r="G4" s="2"/>
      <c r="H4" s="2" t="s">
        <v>1</v>
      </c>
      <c r="I4" s="2"/>
      <c r="J4" s="2"/>
      <c r="K4" s="2"/>
      <c r="L4" s="2"/>
      <c r="M4" s="2"/>
      <c r="N4" s="4"/>
      <c r="O4" s="4"/>
      <c r="P4" s="4"/>
      <c r="Q4" s="4"/>
      <c r="R4" s="4"/>
      <c r="S4" s="4"/>
      <c r="T4" s="4"/>
      <c r="U4" s="4"/>
      <c r="V4" s="4"/>
      <c r="W4" s="4"/>
      <c r="X4" s="4"/>
      <c r="Y4" s="4"/>
      <c r="Z4" s="4"/>
    </row>
    <row r="5" spans="1:26" ht="13.8">
      <c r="A5" s="1"/>
      <c r="B5" s="2"/>
      <c r="C5" s="73" t="s">
        <v>2</v>
      </c>
      <c r="D5" s="69"/>
      <c r="E5" s="69"/>
      <c r="F5" s="69"/>
      <c r="G5" s="69"/>
      <c r="H5" s="69"/>
      <c r="I5" s="69"/>
      <c r="J5" s="69"/>
      <c r="K5" s="70"/>
      <c r="L5" s="2"/>
      <c r="M5" s="2"/>
      <c r="N5" s="4"/>
      <c r="O5" s="4"/>
      <c r="P5" s="4"/>
      <c r="Q5" s="4"/>
      <c r="R5" s="4"/>
      <c r="S5" s="4"/>
      <c r="T5" s="4"/>
      <c r="U5" s="4"/>
      <c r="V5" s="4"/>
      <c r="W5" s="4"/>
      <c r="X5" s="4"/>
      <c r="Y5" s="4"/>
      <c r="Z5" s="4"/>
    </row>
    <row r="6" spans="1:26" ht="13.8">
      <c r="A6" s="1"/>
      <c r="B6" s="2"/>
      <c r="C6" s="73" t="s">
        <v>3</v>
      </c>
      <c r="D6" s="69"/>
      <c r="E6" s="69"/>
      <c r="F6" s="69"/>
      <c r="G6" s="69"/>
      <c r="H6" s="69"/>
      <c r="I6" s="69"/>
      <c r="J6" s="69"/>
      <c r="K6" s="70"/>
      <c r="L6" s="2"/>
      <c r="M6" s="2"/>
      <c r="N6" s="4"/>
      <c r="O6" s="4"/>
      <c r="P6" s="4"/>
      <c r="Q6" s="4"/>
      <c r="R6" s="4"/>
      <c r="S6" s="4"/>
      <c r="T6" s="4"/>
      <c r="U6" s="4"/>
      <c r="V6" s="4"/>
      <c r="W6" s="4"/>
      <c r="X6" s="4"/>
      <c r="Y6" s="4"/>
      <c r="Z6" s="4"/>
    </row>
    <row r="7" spans="1:26" ht="13.8">
      <c r="A7" s="1"/>
      <c r="B7" s="2"/>
      <c r="C7" s="73" t="s">
        <v>4</v>
      </c>
      <c r="D7" s="69"/>
      <c r="E7" s="69"/>
      <c r="F7" s="69"/>
      <c r="G7" s="69"/>
      <c r="H7" s="69"/>
      <c r="I7" s="69"/>
      <c r="J7" s="69"/>
      <c r="K7" s="70"/>
      <c r="L7" s="2"/>
      <c r="M7" s="2"/>
      <c r="N7" s="4"/>
      <c r="O7" s="4"/>
      <c r="P7" s="4"/>
      <c r="Q7" s="4"/>
      <c r="R7" s="4"/>
      <c r="S7" s="4"/>
      <c r="T7" s="4"/>
      <c r="U7" s="4"/>
      <c r="V7" s="4"/>
      <c r="W7" s="4"/>
      <c r="X7" s="4"/>
      <c r="Y7" s="4"/>
      <c r="Z7" s="4"/>
    </row>
    <row r="8" spans="1:26" ht="13.8">
      <c r="A8" s="1"/>
      <c r="B8" s="6"/>
      <c r="C8" s="6"/>
      <c r="D8" s="6"/>
      <c r="E8" s="6"/>
      <c r="F8" s="6"/>
      <c r="G8" s="6"/>
      <c r="H8" s="6"/>
      <c r="I8" s="6"/>
      <c r="J8" s="6"/>
      <c r="K8" s="6"/>
      <c r="L8" s="6"/>
      <c r="M8" s="2"/>
      <c r="N8" s="4"/>
      <c r="O8" s="4"/>
      <c r="P8" s="4"/>
      <c r="Q8" s="4"/>
      <c r="R8" s="4"/>
      <c r="S8" s="4"/>
      <c r="T8" s="4"/>
      <c r="U8" s="4"/>
      <c r="V8" s="4"/>
      <c r="W8" s="4"/>
      <c r="X8" s="4"/>
      <c r="Y8" s="4"/>
      <c r="Z8" s="4"/>
    </row>
    <row r="9" spans="1:26" ht="13.8">
      <c r="A9" s="7"/>
      <c r="B9" s="74" t="s">
        <v>5</v>
      </c>
      <c r="C9" s="75"/>
      <c r="D9" s="75"/>
      <c r="E9" s="75"/>
      <c r="F9" s="75"/>
      <c r="G9" s="75"/>
      <c r="H9" s="75"/>
      <c r="I9" s="75"/>
      <c r="J9" s="75"/>
      <c r="K9" s="75"/>
      <c r="L9" s="76"/>
      <c r="M9" s="2"/>
      <c r="N9" s="4"/>
      <c r="O9" s="4"/>
      <c r="P9" s="4"/>
      <c r="Q9" s="4"/>
      <c r="R9" s="4"/>
      <c r="S9" s="4"/>
      <c r="T9" s="4"/>
      <c r="U9" s="4"/>
      <c r="V9" s="4"/>
      <c r="W9" s="4"/>
      <c r="X9" s="4"/>
      <c r="Y9" s="4"/>
      <c r="Z9" s="4"/>
    </row>
    <row r="10" spans="1:26" ht="13.8">
      <c r="A10" s="7"/>
      <c r="B10" s="77"/>
      <c r="C10" s="77"/>
      <c r="D10" s="77"/>
      <c r="E10" s="77"/>
      <c r="F10" s="77"/>
      <c r="G10" s="77"/>
      <c r="H10" s="77"/>
      <c r="I10" s="77"/>
      <c r="J10" s="77"/>
      <c r="K10" s="77"/>
      <c r="L10" s="78"/>
      <c r="M10" s="2"/>
      <c r="N10" s="4"/>
      <c r="O10" s="4"/>
      <c r="P10" s="4"/>
      <c r="Q10" s="4"/>
      <c r="R10" s="4"/>
      <c r="S10" s="4"/>
      <c r="T10" s="4"/>
      <c r="U10" s="4"/>
      <c r="V10" s="4"/>
      <c r="W10" s="4"/>
      <c r="X10" s="4"/>
      <c r="Y10" s="4"/>
      <c r="Z10" s="4"/>
    </row>
    <row r="11" spans="1:26" ht="13.8">
      <c r="A11" s="7"/>
      <c r="B11" s="2"/>
      <c r="C11" s="2"/>
      <c r="D11" s="2"/>
      <c r="E11" s="2"/>
      <c r="F11" s="2"/>
      <c r="G11" s="2"/>
      <c r="H11" s="2"/>
      <c r="I11" s="2"/>
      <c r="J11" s="2"/>
      <c r="K11" s="2"/>
      <c r="L11" s="8"/>
      <c r="M11" s="2"/>
      <c r="N11" s="4"/>
      <c r="O11" s="4"/>
      <c r="P11" s="4"/>
      <c r="Q11" s="4"/>
      <c r="R11" s="4"/>
      <c r="S11" s="4"/>
      <c r="T11" s="4"/>
      <c r="U11" s="4"/>
      <c r="V11" s="4"/>
      <c r="W11" s="4"/>
      <c r="X11" s="4"/>
      <c r="Y11" s="4"/>
      <c r="Z11" s="4"/>
    </row>
    <row r="12" spans="1:26" ht="13.8">
      <c r="A12" s="7"/>
      <c r="B12" s="2"/>
      <c r="C12" s="79" t="s">
        <v>6</v>
      </c>
      <c r="D12" s="69"/>
      <c r="E12" s="69"/>
      <c r="F12" s="69"/>
      <c r="G12" s="69"/>
      <c r="H12" s="69"/>
      <c r="I12" s="69"/>
      <c r="J12" s="69"/>
      <c r="K12" s="70"/>
      <c r="L12" s="8"/>
      <c r="M12" s="2"/>
      <c r="N12" s="4"/>
      <c r="O12" s="4"/>
      <c r="P12" s="4"/>
      <c r="Q12" s="4"/>
      <c r="R12" s="4"/>
      <c r="S12" s="4"/>
      <c r="T12" s="4"/>
      <c r="U12" s="4"/>
      <c r="V12" s="4"/>
      <c r="W12" s="4"/>
      <c r="X12" s="4"/>
      <c r="Y12" s="4"/>
      <c r="Z12" s="4"/>
    </row>
    <row r="13" spans="1:26" ht="13.8">
      <c r="A13" s="7"/>
      <c r="B13" s="2"/>
      <c r="C13" s="72"/>
      <c r="D13" s="69"/>
      <c r="E13" s="69"/>
      <c r="F13" s="69"/>
      <c r="G13" s="69"/>
      <c r="H13" s="69"/>
      <c r="I13" s="69"/>
      <c r="J13" s="69"/>
      <c r="K13" s="70"/>
      <c r="L13" s="8"/>
      <c r="M13" s="2"/>
      <c r="N13" s="4"/>
      <c r="O13" s="4"/>
      <c r="P13" s="4"/>
      <c r="Q13" s="4"/>
      <c r="R13" s="4"/>
      <c r="S13" s="4"/>
      <c r="T13" s="4"/>
      <c r="U13" s="4"/>
      <c r="V13" s="4"/>
      <c r="W13" s="4"/>
      <c r="X13" s="4"/>
      <c r="Y13" s="4"/>
      <c r="Z13" s="4"/>
    </row>
    <row r="14" spans="1:26" ht="13.8">
      <c r="A14" s="7"/>
      <c r="B14" s="2"/>
      <c r="C14" s="68" t="s">
        <v>7</v>
      </c>
      <c r="D14" s="69"/>
      <c r="E14" s="69"/>
      <c r="F14" s="69"/>
      <c r="G14" s="69"/>
      <c r="H14" s="69"/>
      <c r="I14" s="69"/>
      <c r="J14" s="69"/>
      <c r="K14" s="70"/>
      <c r="L14" s="8"/>
      <c r="M14" s="2"/>
      <c r="N14" s="4"/>
      <c r="O14" s="4"/>
      <c r="P14" s="4"/>
      <c r="Q14" s="4"/>
      <c r="R14" s="4"/>
      <c r="S14" s="4"/>
      <c r="T14" s="4"/>
      <c r="U14" s="4"/>
      <c r="V14" s="4"/>
      <c r="W14" s="4"/>
      <c r="X14" s="4"/>
      <c r="Y14" s="4"/>
      <c r="Z14" s="4"/>
    </row>
    <row r="15" spans="1:26" ht="13.8">
      <c r="A15" s="7"/>
      <c r="B15" s="2"/>
      <c r="C15" s="68" t="s">
        <v>8</v>
      </c>
      <c r="D15" s="69"/>
      <c r="E15" s="69"/>
      <c r="F15" s="69"/>
      <c r="G15" s="69"/>
      <c r="H15" s="69"/>
      <c r="I15" s="69"/>
      <c r="J15" s="69"/>
      <c r="K15" s="70"/>
      <c r="L15" s="8"/>
      <c r="M15" s="2"/>
      <c r="N15" s="4"/>
      <c r="O15" s="4"/>
      <c r="P15" s="4"/>
      <c r="Q15" s="4"/>
      <c r="R15" s="4"/>
      <c r="S15" s="4"/>
      <c r="T15" s="4"/>
      <c r="U15" s="4"/>
      <c r="V15" s="4"/>
      <c r="W15" s="4"/>
      <c r="X15" s="4"/>
      <c r="Y15" s="4"/>
      <c r="Z15" s="4"/>
    </row>
    <row r="16" spans="1:26" ht="13.8">
      <c r="A16" s="7"/>
      <c r="B16" s="2"/>
      <c r="C16" s="2"/>
      <c r="D16" s="2"/>
      <c r="E16" s="2"/>
      <c r="F16" s="2"/>
      <c r="G16" s="2"/>
      <c r="H16" s="2"/>
      <c r="I16" s="2"/>
      <c r="J16" s="2"/>
      <c r="K16" s="2"/>
      <c r="L16" s="8"/>
      <c r="M16" s="2"/>
      <c r="N16" s="4"/>
      <c r="O16" s="4"/>
      <c r="P16" s="4"/>
      <c r="Q16" s="4"/>
      <c r="R16" s="4"/>
      <c r="S16" s="4"/>
      <c r="T16" s="4"/>
      <c r="U16" s="4"/>
      <c r="V16" s="4"/>
      <c r="W16" s="4"/>
      <c r="X16" s="4"/>
      <c r="Y16" s="4"/>
      <c r="Z16" s="4"/>
    </row>
    <row r="17" spans="1:26" ht="13.8">
      <c r="A17" s="7"/>
      <c r="B17" s="2"/>
      <c r="C17" s="79" t="s">
        <v>9</v>
      </c>
      <c r="D17" s="69"/>
      <c r="E17" s="69"/>
      <c r="F17" s="69"/>
      <c r="G17" s="69"/>
      <c r="H17" s="69"/>
      <c r="I17" s="69"/>
      <c r="J17" s="69"/>
      <c r="K17" s="70"/>
      <c r="L17" s="8"/>
      <c r="M17" s="2"/>
      <c r="N17" s="4"/>
      <c r="O17" s="4"/>
      <c r="P17" s="4"/>
      <c r="Q17" s="4"/>
      <c r="R17" s="4"/>
      <c r="S17" s="4"/>
      <c r="T17" s="4"/>
      <c r="U17" s="4"/>
      <c r="V17" s="4"/>
      <c r="W17" s="4"/>
      <c r="X17" s="4"/>
      <c r="Y17" s="4"/>
      <c r="Z17" s="4"/>
    </row>
    <row r="18" spans="1:26" ht="13.8">
      <c r="A18" s="7"/>
      <c r="B18" s="2"/>
      <c r="C18" s="72"/>
      <c r="D18" s="69"/>
      <c r="E18" s="69"/>
      <c r="F18" s="69"/>
      <c r="G18" s="69"/>
      <c r="H18" s="69"/>
      <c r="I18" s="69"/>
      <c r="J18" s="69"/>
      <c r="K18" s="70"/>
      <c r="L18" s="8"/>
      <c r="M18" s="2"/>
      <c r="N18" s="4"/>
      <c r="O18" s="4"/>
      <c r="P18" s="4"/>
      <c r="Q18" s="4"/>
      <c r="R18" s="4"/>
      <c r="S18" s="4"/>
      <c r="T18" s="4"/>
      <c r="U18" s="4"/>
      <c r="V18" s="4"/>
      <c r="W18" s="4"/>
      <c r="X18" s="4"/>
      <c r="Y18" s="4"/>
      <c r="Z18" s="4"/>
    </row>
    <row r="19" spans="1:26" ht="13.8">
      <c r="A19" s="7"/>
      <c r="B19" s="2"/>
      <c r="C19" s="68" t="s">
        <v>10</v>
      </c>
      <c r="D19" s="69"/>
      <c r="E19" s="69"/>
      <c r="F19" s="69"/>
      <c r="G19" s="69"/>
      <c r="H19" s="69"/>
      <c r="I19" s="69"/>
      <c r="J19" s="69"/>
      <c r="K19" s="70"/>
      <c r="L19" s="8"/>
      <c r="M19" s="2"/>
      <c r="N19" s="4"/>
      <c r="O19" s="4"/>
      <c r="P19" s="4"/>
      <c r="Q19" s="4"/>
      <c r="R19" s="4"/>
      <c r="S19" s="4"/>
      <c r="T19" s="4"/>
      <c r="U19" s="4"/>
      <c r="V19" s="4"/>
      <c r="W19" s="4"/>
      <c r="X19" s="4"/>
      <c r="Y19" s="4"/>
      <c r="Z19" s="4"/>
    </row>
    <row r="20" spans="1:26" ht="13.8">
      <c r="A20" s="7"/>
      <c r="B20" s="2"/>
      <c r="C20" s="68" t="s">
        <v>11</v>
      </c>
      <c r="D20" s="69"/>
      <c r="E20" s="69"/>
      <c r="F20" s="69"/>
      <c r="G20" s="69"/>
      <c r="H20" s="69"/>
      <c r="I20" s="69"/>
      <c r="J20" s="69"/>
      <c r="K20" s="70"/>
      <c r="L20" s="8"/>
      <c r="M20" s="2"/>
      <c r="N20" s="4"/>
      <c r="O20" s="4"/>
      <c r="P20" s="4"/>
      <c r="Q20" s="4"/>
      <c r="R20" s="4"/>
      <c r="S20" s="4"/>
      <c r="T20" s="4"/>
      <c r="U20" s="4"/>
      <c r="V20" s="4"/>
      <c r="W20" s="4"/>
      <c r="X20" s="4"/>
      <c r="Y20" s="4"/>
      <c r="Z20" s="4"/>
    </row>
    <row r="21" spans="1:26" ht="13.8">
      <c r="A21" s="7"/>
      <c r="B21" s="2"/>
      <c r="C21" s="68" t="s">
        <v>12</v>
      </c>
      <c r="D21" s="69"/>
      <c r="E21" s="69"/>
      <c r="F21" s="69"/>
      <c r="G21" s="69"/>
      <c r="H21" s="69"/>
      <c r="I21" s="69"/>
      <c r="J21" s="69"/>
      <c r="K21" s="70"/>
      <c r="L21" s="8"/>
      <c r="M21" s="2"/>
      <c r="N21" s="4"/>
      <c r="O21" s="4"/>
      <c r="P21" s="4"/>
      <c r="Q21" s="4"/>
      <c r="R21" s="4"/>
      <c r="S21" s="4"/>
      <c r="T21" s="4"/>
      <c r="U21" s="4"/>
      <c r="V21" s="4"/>
      <c r="W21" s="4"/>
      <c r="X21" s="4"/>
      <c r="Y21" s="4"/>
      <c r="Z21" s="4"/>
    </row>
    <row r="22" spans="1:26" ht="13.8">
      <c r="A22" s="7"/>
      <c r="B22" s="6"/>
      <c r="C22" s="6"/>
      <c r="D22" s="6"/>
      <c r="E22" s="6"/>
      <c r="F22" s="6"/>
      <c r="G22" s="6"/>
      <c r="H22" s="6"/>
      <c r="I22" s="6"/>
      <c r="J22" s="6"/>
      <c r="K22" s="6"/>
      <c r="L22" s="11"/>
      <c r="M22" s="2"/>
      <c r="N22" s="4"/>
      <c r="O22" s="4"/>
      <c r="P22" s="4"/>
      <c r="Q22" s="4"/>
      <c r="R22" s="4"/>
      <c r="S22" s="4"/>
      <c r="T22" s="4"/>
      <c r="U22" s="4"/>
      <c r="V22" s="4"/>
      <c r="W22" s="4"/>
      <c r="X22" s="4"/>
      <c r="Y22" s="4"/>
      <c r="Z22" s="4"/>
    </row>
    <row r="23" spans="1:26" ht="13.8">
      <c r="A23" s="1"/>
      <c r="B23" s="6"/>
      <c r="C23" s="6"/>
      <c r="D23" s="6"/>
      <c r="E23" s="6"/>
      <c r="F23" s="6"/>
      <c r="G23" s="6"/>
      <c r="H23" s="6"/>
      <c r="I23" s="6"/>
      <c r="J23" s="6"/>
      <c r="K23" s="6"/>
      <c r="L23" s="6"/>
      <c r="M23" s="2"/>
      <c r="N23" s="4"/>
      <c r="O23" s="4"/>
      <c r="P23" s="4"/>
      <c r="Q23" s="4"/>
      <c r="R23" s="4"/>
      <c r="S23" s="4"/>
      <c r="T23" s="4"/>
      <c r="U23" s="4"/>
      <c r="V23" s="4"/>
      <c r="W23" s="4"/>
      <c r="X23" s="4"/>
      <c r="Y23" s="4"/>
      <c r="Z23" s="4"/>
    </row>
    <row r="24" spans="1:26" ht="13.8">
      <c r="A24" s="7"/>
      <c r="B24" s="74" t="s">
        <v>13</v>
      </c>
      <c r="C24" s="75"/>
      <c r="D24" s="75"/>
      <c r="E24" s="75"/>
      <c r="F24" s="75"/>
      <c r="G24" s="75"/>
      <c r="H24" s="75"/>
      <c r="I24" s="75"/>
      <c r="J24" s="75"/>
      <c r="K24" s="75"/>
      <c r="L24" s="76"/>
      <c r="M24" s="2"/>
      <c r="N24" s="4"/>
      <c r="O24" s="4"/>
      <c r="P24" s="4"/>
      <c r="Q24" s="4"/>
      <c r="R24" s="4"/>
      <c r="S24" s="4"/>
      <c r="T24" s="4"/>
      <c r="U24" s="4"/>
      <c r="V24" s="4"/>
      <c r="W24" s="4"/>
      <c r="X24" s="4"/>
      <c r="Y24" s="4"/>
      <c r="Z24" s="4"/>
    </row>
    <row r="25" spans="1:26" ht="13.8">
      <c r="A25" s="7"/>
      <c r="B25" s="77"/>
      <c r="C25" s="77"/>
      <c r="D25" s="77"/>
      <c r="E25" s="77"/>
      <c r="F25" s="77"/>
      <c r="G25" s="77"/>
      <c r="H25" s="77"/>
      <c r="I25" s="77"/>
      <c r="J25" s="77"/>
      <c r="K25" s="77"/>
      <c r="L25" s="78"/>
      <c r="M25" s="2"/>
      <c r="N25" s="4"/>
      <c r="O25" s="4"/>
      <c r="P25" s="4"/>
      <c r="Q25" s="4"/>
      <c r="R25" s="4"/>
      <c r="S25" s="4"/>
      <c r="T25" s="4"/>
      <c r="U25" s="4"/>
      <c r="V25" s="4"/>
      <c r="W25" s="4"/>
      <c r="X25" s="4"/>
      <c r="Y25" s="4"/>
      <c r="Z25" s="4"/>
    </row>
    <row r="26" spans="1:26" ht="13.8">
      <c r="A26" s="7"/>
      <c r="B26" s="2"/>
      <c r="C26" s="2"/>
      <c r="D26" s="2"/>
      <c r="E26" s="2"/>
      <c r="F26" s="2"/>
      <c r="G26" s="2"/>
      <c r="H26" s="2"/>
      <c r="I26" s="2"/>
      <c r="J26" s="2"/>
      <c r="K26" s="2"/>
      <c r="L26" s="8"/>
      <c r="M26" s="2"/>
      <c r="N26" s="4"/>
      <c r="O26" s="4"/>
      <c r="P26" s="4"/>
      <c r="Q26" s="4"/>
      <c r="R26" s="4"/>
      <c r="S26" s="4"/>
      <c r="T26" s="4"/>
      <c r="U26" s="4"/>
      <c r="V26" s="4"/>
      <c r="W26" s="4"/>
      <c r="X26" s="4"/>
      <c r="Y26" s="4"/>
      <c r="Z26" s="4"/>
    </row>
    <row r="27" spans="1:26" ht="15.6">
      <c r="A27" s="7"/>
      <c r="B27" s="2"/>
      <c r="C27" s="2"/>
      <c r="D27" s="2"/>
      <c r="E27" s="2"/>
      <c r="F27" s="2"/>
      <c r="G27" s="80" t="s">
        <v>14</v>
      </c>
      <c r="H27" s="69"/>
      <c r="I27" s="69"/>
      <c r="J27" s="69"/>
      <c r="K27" s="70"/>
      <c r="L27" s="8"/>
      <c r="M27" s="2"/>
      <c r="N27" s="4"/>
      <c r="O27" s="4"/>
      <c r="P27" s="4"/>
      <c r="Q27" s="4"/>
      <c r="R27" s="4"/>
      <c r="S27" s="4"/>
      <c r="T27" s="4"/>
      <c r="U27" s="4"/>
      <c r="V27" s="4"/>
      <c r="W27" s="4"/>
      <c r="X27" s="4"/>
      <c r="Y27" s="4"/>
      <c r="Z27" s="4"/>
    </row>
    <row r="28" spans="1:26" ht="13.8">
      <c r="A28" s="7"/>
      <c r="B28" s="2"/>
      <c r="C28" s="2"/>
      <c r="D28" s="2"/>
      <c r="E28" s="2"/>
      <c r="F28" s="2"/>
      <c r="G28" s="72"/>
      <c r="H28" s="69"/>
      <c r="I28" s="69"/>
      <c r="J28" s="69"/>
      <c r="K28" s="70"/>
      <c r="L28" s="8"/>
      <c r="M28" s="2"/>
      <c r="N28" s="4"/>
      <c r="O28" s="4"/>
      <c r="P28" s="4"/>
      <c r="Q28" s="4"/>
      <c r="R28" s="4"/>
      <c r="S28" s="4"/>
      <c r="T28" s="4"/>
      <c r="U28" s="4"/>
      <c r="V28" s="4"/>
      <c r="W28" s="4"/>
      <c r="X28" s="4"/>
      <c r="Y28" s="4"/>
      <c r="Z28" s="4"/>
    </row>
    <row r="29" spans="1:26" ht="13.8">
      <c r="A29" s="7"/>
      <c r="B29" s="2"/>
      <c r="C29" s="2"/>
      <c r="D29" s="2"/>
      <c r="E29" s="2"/>
      <c r="F29" s="12">
        <v>1</v>
      </c>
      <c r="G29" s="68" t="s">
        <v>15</v>
      </c>
      <c r="H29" s="69"/>
      <c r="I29" s="69"/>
      <c r="J29" s="69"/>
      <c r="K29" s="70"/>
      <c r="L29" s="8"/>
      <c r="M29" s="2"/>
      <c r="N29" s="4"/>
      <c r="O29" s="4"/>
      <c r="P29" s="4"/>
      <c r="Q29" s="4"/>
      <c r="R29" s="4"/>
      <c r="S29" s="4"/>
      <c r="T29" s="4"/>
      <c r="U29" s="4"/>
      <c r="V29" s="4"/>
      <c r="W29" s="4"/>
      <c r="X29" s="4"/>
      <c r="Y29" s="4"/>
      <c r="Z29" s="4"/>
    </row>
    <row r="30" spans="1:26" ht="13.8">
      <c r="A30" s="7"/>
      <c r="B30" s="2"/>
      <c r="C30" s="2"/>
      <c r="D30" s="2"/>
      <c r="E30" s="2"/>
      <c r="F30" s="13"/>
      <c r="G30" s="68"/>
      <c r="H30" s="69"/>
      <c r="I30" s="69"/>
      <c r="J30" s="69"/>
      <c r="K30" s="70"/>
      <c r="L30" s="8"/>
      <c r="M30" s="2"/>
      <c r="N30" s="4"/>
      <c r="O30" s="4"/>
      <c r="P30" s="4"/>
      <c r="Q30" s="4"/>
      <c r="R30" s="4"/>
      <c r="S30" s="4"/>
      <c r="T30" s="4"/>
      <c r="U30" s="4"/>
      <c r="V30" s="4"/>
      <c r="W30" s="4"/>
      <c r="X30" s="4"/>
      <c r="Y30" s="4"/>
      <c r="Z30" s="4"/>
    </row>
    <row r="31" spans="1:26" ht="13.8">
      <c r="A31" s="7"/>
      <c r="B31" s="2"/>
      <c r="C31" s="2"/>
      <c r="D31" s="2"/>
      <c r="E31" s="2"/>
      <c r="F31" s="12">
        <v>2</v>
      </c>
      <c r="G31" s="68" t="s">
        <v>16</v>
      </c>
      <c r="H31" s="69"/>
      <c r="I31" s="69"/>
      <c r="J31" s="69"/>
      <c r="K31" s="70"/>
      <c r="L31" s="8"/>
      <c r="M31" s="2"/>
      <c r="N31" s="4"/>
      <c r="O31" s="4"/>
      <c r="P31" s="4"/>
      <c r="Q31" s="4"/>
      <c r="R31" s="4"/>
      <c r="S31" s="4"/>
      <c r="T31" s="4"/>
      <c r="U31" s="4"/>
      <c r="V31" s="4"/>
      <c r="W31" s="4"/>
      <c r="X31" s="4"/>
      <c r="Y31" s="4"/>
      <c r="Z31" s="4"/>
    </row>
    <row r="32" spans="1:26" ht="13.8">
      <c r="A32" s="7"/>
      <c r="B32" s="2"/>
      <c r="C32" s="2"/>
      <c r="D32" s="2"/>
      <c r="E32" s="2"/>
      <c r="F32" s="13"/>
      <c r="G32" s="14"/>
      <c r="H32" s="14"/>
      <c r="I32" s="14"/>
      <c r="J32" s="14"/>
      <c r="K32" s="14"/>
      <c r="L32" s="8"/>
      <c r="M32" s="2"/>
      <c r="N32" s="4"/>
      <c r="O32" s="4"/>
      <c r="P32" s="4"/>
      <c r="Q32" s="4"/>
      <c r="R32" s="4"/>
      <c r="S32" s="4"/>
      <c r="T32" s="4"/>
      <c r="U32" s="4"/>
      <c r="V32" s="4"/>
      <c r="W32" s="4"/>
      <c r="X32" s="4"/>
      <c r="Y32" s="4"/>
      <c r="Z32" s="4"/>
    </row>
    <row r="33" spans="1:26" ht="13.8">
      <c r="A33" s="7"/>
      <c r="B33" s="2"/>
      <c r="C33" s="2"/>
      <c r="D33" s="2"/>
      <c r="E33" s="2"/>
      <c r="F33" s="12">
        <v>3</v>
      </c>
      <c r="G33" s="68" t="s">
        <v>17</v>
      </c>
      <c r="H33" s="69"/>
      <c r="I33" s="69"/>
      <c r="J33" s="69"/>
      <c r="K33" s="70"/>
      <c r="L33" s="8"/>
      <c r="M33" s="2"/>
      <c r="N33" s="4"/>
      <c r="O33" s="4"/>
      <c r="P33" s="4"/>
      <c r="Q33" s="4"/>
      <c r="R33" s="4"/>
      <c r="S33" s="4"/>
      <c r="T33" s="4"/>
      <c r="U33" s="4"/>
      <c r="V33" s="4"/>
      <c r="W33" s="4"/>
      <c r="X33" s="4"/>
      <c r="Y33" s="4"/>
      <c r="Z33" s="4"/>
    </row>
    <row r="34" spans="1:26" ht="13.8">
      <c r="A34" s="7"/>
      <c r="B34" s="2"/>
      <c r="C34" s="2"/>
      <c r="D34" s="2"/>
      <c r="E34" s="2"/>
      <c r="F34" s="2"/>
      <c r="G34" s="81" t="s">
        <v>18</v>
      </c>
      <c r="H34" s="69"/>
      <c r="I34" s="69"/>
      <c r="J34" s="69"/>
      <c r="K34" s="70"/>
      <c r="L34" s="8"/>
      <c r="M34" s="2"/>
      <c r="N34" s="4"/>
      <c r="O34" s="4"/>
      <c r="P34" s="4"/>
      <c r="Q34" s="4"/>
      <c r="R34" s="4"/>
      <c r="S34" s="4"/>
      <c r="T34" s="4"/>
      <c r="U34" s="4"/>
      <c r="V34" s="4"/>
      <c r="W34" s="4"/>
      <c r="X34" s="4"/>
      <c r="Y34" s="4"/>
      <c r="Z34" s="4"/>
    </row>
    <row r="35" spans="1:26" ht="13.8">
      <c r="A35" s="7"/>
      <c r="B35" s="2"/>
      <c r="C35" s="2"/>
      <c r="D35" s="2"/>
      <c r="E35" s="2"/>
      <c r="F35" s="2"/>
      <c r="G35" s="72"/>
      <c r="H35" s="69"/>
      <c r="I35" s="69"/>
      <c r="J35" s="69"/>
      <c r="K35" s="70"/>
      <c r="L35" s="8"/>
      <c r="M35" s="2"/>
      <c r="N35" s="4"/>
      <c r="O35" s="4"/>
      <c r="P35" s="4"/>
      <c r="Q35" s="4"/>
      <c r="R35" s="4"/>
      <c r="S35" s="4"/>
      <c r="T35" s="4"/>
      <c r="U35" s="4"/>
      <c r="V35" s="4"/>
      <c r="W35" s="4"/>
      <c r="X35" s="4"/>
      <c r="Y35" s="4"/>
      <c r="Z35" s="4"/>
    </row>
    <row r="36" spans="1:26" ht="15.6">
      <c r="A36" s="7"/>
      <c r="B36" s="2"/>
      <c r="C36" s="2"/>
      <c r="D36" s="2"/>
      <c r="E36" s="2"/>
      <c r="F36" s="2"/>
      <c r="G36" s="80" t="s">
        <v>19</v>
      </c>
      <c r="H36" s="69"/>
      <c r="I36" s="69"/>
      <c r="J36" s="69"/>
      <c r="K36" s="70"/>
      <c r="L36" s="8"/>
      <c r="M36" s="2"/>
      <c r="N36" s="4"/>
      <c r="O36" s="4"/>
      <c r="P36" s="4"/>
      <c r="Q36" s="4"/>
      <c r="R36" s="4"/>
      <c r="S36" s="4"/>
      <c r="T36" s="4"/>
      <c r="U36" s="4"/>
      <c r="V36" s="4"/>
      <c r="W36" s="4"/>
      <c r="X36" s="4"/>
      <c r="Y36" s="4"/>
      <c r="Z36" s="4"/>
    </row>
    <row r="37" spans="1:26" ht="13.8">
      <c r="A37" s="7"/>
      <c r="B37" s="2"/>
      <c r="C37" s="2"/>
      <c r="D37" s="2"/>
      <c r="E37" s="2"/>
      <c r="F37" s="2"/>
      <c r="G37" s="72"/>
      <c r="H37" s="69"/>
      <c r="I37" s="69"/>
      <c r="J37" s="69"/>
      <c r="K37" s="70"/>
      <c r="L37" s="8"/>
      <c r="M37" s="2"/>
      <c r="N37" s="4"/>
      <c r="O37" s="4"/>
      <c r="P37" s="4"/>
      <c r="Q37" s="4"/>
      <c r="R37" s="4"/>
      <c r="S37" s="4"/>
      <c r="T37" s="4"/>
      <c r="U37" s="4"/>
      <c r="V37" s="4"/>
      <c r="W37" s="4"/>
      <c r="X37" s="4"/>
      <c r="Y37" s="4"/>
      <c r="Z37" s="4"/>
    </row>
    <row r="38" spans="1:26" ht="13.8">
      <c r="A38" s="7"/>
      <c r="B38" s="2"/>
      <c r="C38" s="2"/>
      <c r="D38" s="2"/>
      <c r="E38" s="2"/>
      <c r="F38" s="15">
        <v>1</v>
      </c>
      <c r="G38" s="14" t="s">
        <v>20</v>
      </c>
      <c r="H38" s="14"/>
      <c r="I38" s="14"/>
      <c r="J38" s="14"/>
      <c r="K38" s="14"/>
      <c r="L38" s="8"/>
      <c r="M38" s="2"/>
      <c r="N38" s="4"/>
      <c r="O38" s="4"/>
      <c r="P38" s="4"/>
      <c r="Q38" s="4"/>
      <c r="R38" s="4"/>
      <c r="S38" s="4"/>
      <c r="T38" s="4"/>
      <c r="U38" s="4"/>
      <c r="V38" s="4"/>
      <c r="W38" s="4"/>
      <c r="X38" s="4"/>
      <c r="Y38" s="4"/>
      <c r="Z38" s="4"/>
    </row>
    <row r="39" spans="1:26" ht="13.8">
      <c r="A39" s="7"/>
      <c r="B39" s="2"/>
      <c r="C39" s="2"/>
      <c r="D39" s="2"/>
      <c r="E39" s="2"/>
      <c r="F39" s="12">
        <v>2</v>
      </c>
      <c r="G39" s="14" t="s">
        <v>21</v>
      </c>
      <c r="H39" s="14"/>
      <c r="I39" s="14"/>
      <c r="J39" s="14"/>
      <c r="K39" s="14"/>
      <c r="L39" s="8"/>
      <c r="M39" s="2"/>
      <c r="N39" s="4"/>
      <c r="O39" s="4"/>
      <c r="P39" s="4"/>
      <c r="Q39" s="4"/>
      <c r="R39" s="4"/>
      <c r="S39" s="4"/>
      <c r="T39" s="4"/>
      <c r="U39" s="4"/>
      <c r="V39" s="4"/>
      <c r="W39" s="4"/>
      <c r="X39" s="4"/>
      <c r="Y39" s="4"/>
      <c r="Z39" s="4"/>
    </row>
    <row r="40" spans="1:26" ht="13.8">
      <c r="A40" s="7"/>
      <c r="B40" s="2"/>
      <c r="C40" s="2"/>
      <c r="D40" s="2"/>
      <c r="E40" s="2"/>
      <c r="F40" s="13"/>
      <c r="G40" s="14" t="s">
        <v>22</v>
      </c>
      <c r="H40" s="14"/>
      <c r="I40" s="14"/>
      <c r="J40" s="14"/>
      <c r="K40" s="14"/>
      <c r="L40" s="8"/>
      <c r="M40" s="2"/>
      <c r="N40" s="4"/>
      <c r="O40" s="4"/>
      <c r="P40" s="4"/>
      <c r="Q40" s="4"/>
      <c r="R40" s="4"/>
      <c r="S40" s="4"/>
      <c r="T40" s="4"/>
      <c r="U40" s="4"/>
      <c r="V40" s="4"/>
      <c r="W40" s="4"/>
      <c r="X40" s="4"/>
      <c r="Y40" s="4"/>
      <c r="Z40" s="4"/>
    </row>
    <row r="41" spans="1:26" ht="13.8">
      <c r="A41" s="7"/>
      <c r="B41" s="2"/>
      <c r="C41" s="2"/>
      <c r="D41" s="2"/>
      <c r="E41" s="2"/>
      <c r="F41" s="12">
        <v>3</v>
      </c>
      <c r="G41" s="14" t="s">
        <v>23</v>
      </c>
      <c r="H41" s="14"/>
      <c r="I41" s="14"/>
      <c r="J41" s="14"/>
      <c r="K41" s="14"/>
      <c r="L41" s="8"/>
      <c r="M41" s="2"/>
      <c r="N41" s="4"/>
      <c r="O41" s="4"/>
      <c r="P41" s="4"/>
      <c r="Q41" s="4"/>
      <c r="R41" s="4"/>
      <c r="S41" s="4"/>
      <c r="T41" s="4"/>
      <c r="U41" s="4"/>
      <c r="V41" s="4"/>
      <c r="W41" s="4"/>
      <c r="X41" s="4"/>
      <c r="Y41" s="4"/>
      <c r="Z41" s="4"/>
    </row>
    <row r="42" spans="1:26" ht="13.8">
      <c r="A42" s="7"/>
      <c r="B42" s="2"/>
      <c r="C42" s="2"/>
      <c r="D42" s="2"/>
      <c r="E42" s="2"/>
      <c r="F42" s="12">
        <v>4</v>
      </c>
      <c r="G42" s="14" t="s">
        <v>24</v>
      </c>
      <c r="H42" s="14"/>
      <c r="I42" s="14"/>
      <c r="J42" s="14"/>
      <c r="K42" s="14"/>
      <c r="L42" s="8"/>
      <c r="M42" s="2"/>
      <c r="N42" s="4"/>
      <c r="O42" s="4"/>
      <c r="P42" s="4"/>
      <c r="Q42" s="4"/>
      <c r="R42" s="4"/>
      <c r="S42" s="4"/>
      <c r="T42" s="4"/>
      <c r="U42" s="4"/>
      <c r="V42" s="4"/>
      <c r="W42" s="4"/>
      <c r="X42" s="4"/>
      <c r="Y42" s="4"/>
      <c r="Z42" s="4"/>
    </row>
    <row r="43" spans="1:26" ht="13.8">
      <c r="A43" s="7"/>
      <c r="B43" s="2"/>
      <c r="C43" s="2"/>
      <c r="D43" s="2"/>
      <c r="E43" s="2"/>
      <c r="F43" s="12">
        <v>5</v>
      </c>
      <c r="G43" s="14" t="s">
        <v>25</v>
      </c>
      <c r="H43" s="14"/>
      <c r="I43" s="14"/>
      <c r="J43" s="14"/>
      <c r="K43" s="14"/>
      <c r="L43" s="8"/>
      <c r="M43" s="2"/>
      <c r="N43" s="4"/>
      <c r="O43" s="4"/>
      <c r="P43" s="4"/>
      <c r="Q43" s="4"/>
      <c r="R43" s="4"/>
      <c r="S43" s="4"/>
      <c r="T43" s="4"/>
      <c r="U43" s="4"/>
      <c r="V43" s="4"/>
      <c r="W43" s="4"/>
      <c r="X43" s="4"/>
      <c r="Y43" s="4"/>
      <c r="Z43" s="4"/>
    </row>
    <row r="44" spans="1:26" ht="13.8">
      <c r="A44" s="7"/>
      <c r="B44" s="2"/>
      <c r="C44" s="2"/>
      <c r="D44" s="2"/>
      <c r="E44" s="2"/>
      <c r="F44" s="16"/>
      <c r="G44" s="14"/>
      <c r="H44" s="14"/>
      <c r="I44" s="14"/>
      <c r="J44" s="14"/>
      <c r="K44" s="14"/>
      <c r="L44" s="8"/>
      <c r="M44" s="2"/>
      <c r="N44" s="4"/>
      <c r="O44" s="4"/>
      <c r="P44" s="4"/>
      <c r="Q44" s="4"/>
      <c r="R44" s="4"/>
      <c r="S44" s="4"/>
      <c r="T44" s="4"/>
      <c r="U44" s="4"/>
      <c r="V44" s="4"/>
      <c r="W44" s="4"/>
      <c r="X44" s="4"/>
      <c r="Y44" s="4"/>
      <c r="Z44" s="4"/>
    </row>
    <row r="45" spans="1:26" ht="15.6">
      <c r="A45" s="7"/>
      <c r="B45" s="2"/>
      <c r="C45" s="2"/>
      <c r="D45" s="2"/>
      <c r="E45" s="2"/>
      <c r="F45" s="2"/>
      <c r="G45" s="80" t="s">
        <v>26</v>
      </c>
      <c r="H45" s="69"/>
      <c r="I45" s="69"/>
      <c r="J45" s="69"/>
      <c r="K45" s="70"/>
      <c r="L45" s="8"/>
      <c r="M45" s="2"/>
      <c r="N45" s="4"/>
      <c r="O45" s="4"/>
      <c r="P45" s="4"/>
      <c r="Q45" s="4"/>
      <c r="R45" s="4"/>
      <c r="S45" s="4"/>
      <c r="T45" s="4"/>
      <c r="U45" s="4"/>
      <c r="V45" s="4"/>
      <c r="W45" s="4"/>
      <c r="X45" s="4"/>
      <c r="Y45" s="4"/>
      <c r="Z45" s="4"/>
    </row>
    <row r="46" spans="1:26" ht="13.8">
      <c r="A46" s="7"/>
      <c r="B46" s="2"/>
      <c r="C46" s="2"/>
      <c r="D46" s="2"/>
      <c r="E46" s="2"/>
      <c r="F46" s="12"/>
      <c r="G46" s="2"/>
      <c r="H46" s="2"/>
      <c r="I46" s="2"/>
      <c r="J46" s="2"/>
      <c r="K46" s="2"/>
      <c r="L46" s="8"/>
      <c r="M46" s="2"/>
      <c r="N46" s="4"/>
      <c r="O46" s="4"/>
      <c r="P46" s="4"/>
      <c r="Q46" s="4"/>
      <c r="R46" s="4"/>
      <c r="S46" s="4"/>
      <c r="T46" s="4"/>
      <c r="U46" s="4"/>
      <c r="V46" s="4"/>
      <c r="W46" s="4"/>
      <c r="X46" s="4"/>
      <c r="Y46" s="4"/>
      <c r="Z46" s="4"/>
    </row>
    <row r="47" spans="1:26" ht="13.8">
      <c r="A47" s="7"/>
      <c r="B47" s="2"/>
      <c r="C47" s="2"/>
      <c r="D47" s="2"/>
      <c r="E47" s="2"/>
      <c r="F47" s="12">
        <v>1</v>
      </c>
      <c r="G47" s="9" t="s">
        <v>27</v>
      </c>
      <c r="H47" s="9"/>
      <c r="I47" s="9"/>
      <c r="J47" s="14"/>
      <c r="K47" s="14"/>
      <c r="L47" s="8"/>
      <c r="M47" s="2"/>
      <c r="N47" s="4"/>
      <c r="O47" s="4"/>
      <c r="P47" s="4"/>
      <c r="Q47" s="4"/>
      <c r="R47" s="4"/>
      <c r="S47" s="4"/>
      <c r="T47" s="4"/>
      <c r="U47" s="4"/>
      <c r="V47" s="4"/>
      <c r="W47" s="4"/>
      <c r="X47" s="4"/>
      <c r="Y47" s="4"/>
      <c r="Z47" s="4"/>
    </row>
    <row r="48" spans="1:26" ht="13.8">
      <c r="A48" s="7"/>
      <c r="B48" s="2"/>
      <c r="C48" s="2"/>
      <c r="D48" s="2"/>
      <c r="E48" s="2"/>
      <c r="F48" s="12">
        <v>2</v>
      </c>
      <c r="G48" s="10" t="s">
        <v>28</v>
      </c>
      <c r="H48" s="10"/>
      <c r="I48" s="10"/>
      <c r="J48" s="10"/>
      <c r="K48" s="14"/>
      <c r="L48" s="8"/>
      <c r="M48" s="2"/>
      <c r="N48" s="4"/>
      <c r="O48" s="4"/>
      <c r="P48" s="4"/>
      <c r="Q48" s="4"/>
      <c r="R48" s="4"/>
      <c r="S48" s="4"/>
      <c r="T48" s="4"/>
      <c r="U48" s="4"/>
      <c r="V48" s="4"/>
      <c r="W48" s="4"/>
      <c r="X48" s="4"/>
      <c r="Y48" s="4"/>
      <c r="Z48" s="4"/>
    </row>
    <row r="49" spans="1:26" ht="13.8">
      <c r="A49" s="7"/>
      <c r="B49" s="2"/>
      <c r="C49" s="2"/>
      <c r="D49" s="2"/>
      <c r="E49" s="2"/>
      <c r="F49" s="12">
        <v>3</v>
      </c>
      <c r="G49" s="10" t="s">
        <v>29</v>
      </c>
      <c r="H49" s="10"/>
      <c r="I49" s="10"/>
      <c r="J49" s="10"/>
      <c r="K49" s="14"/>
      <c r="L49" s="8"/>
      <c r="M49" s="2"/>
      <c r="N49" s="4"/>
      <c r="O49" s="4"/>
      <c r="P49" s="4"/>
      <c r="Q49" s="4"/>
      <c r="R49" s="4"/>
      <c r="S49" s="4"/>
      <c r="T49" s="4"/>
      <c r="U49" s="4"/>
      <c r="V49" s="4"/>
      <c r="W49" s="4"/>
      <c r="X49" s="4"/>
      <c r="Y49" s="4"/>
      <c r="Z49" s="4"/>
    </row>
    <row r="50" spans="1:26" ht="13.8">
      <c r="A50" s="7"/>
      <c r="B50" s="2"/>
      <c r="C50" s="2"/>
      <c r="D50" s="2"/>
      <c r="E50" s="2"/>
      <c r="F50" s="12">
        <v>4</v>
      </c>
      <c r="G50" s="68" t="s">
        <v>30</v>
      </c>
      <c r="H50" s="69"/>
      <c r="I50" s="69"/>
      <c r="J50" s="69"/>
      <c r="K50" s="70"/>
      <c r="L50" s="8"/>
      <c r="M50" s="2"/>
      <c r="N50" s="4"/>
      <c r="O50" s="4"/>
      <c r="P50" s="4"/>
      <c r="Q50" s="4"/>
      <c r="R50" s="4"/>
      <c r="S50" s="4"/>
      <c r="T50" s="4"/>
      <c r="U50" s="4"/>
      <c r="V50" s="4"/>
      <c r="W50" s="4"/>
      <c r="X50" s="4"/>
      <c r="Y50" s="4"/>
      <c r="Z50" s="4"/>
    </row>
    <row r="51" spans="1:26" ht="13.8">
      <c r="A51" s="7"/>
      <c r="B51" s="2"/>
      <c r="C51" s="2"/>
      <c r="D51" s="2"/>
      <c r="E51" s="2"/>
      <c r="F51" s="12">
        <v>5</v>
      </c>
      <c r="G51" s="68" t="s">
        <v>31</v>
      </c>
      <c r="H51" s="69"/>
      <c r="I51" s="69"/>
      <c r="J51" s="69"/>
      <c r="K51" s="70"/>
      <c r="L51" s="8"/>
      <c r="M51" s="2"/>
      <c r="N51" s="4"/>
      <c r="O51" s="4"/>
      <c r="P51" s="4"/>
      <c r="Q51" s="4"/>
      <c r="R51" s="4"/>
      <c r="S51" s="4"/>
      <c r="T51" s="4"/>
      <c r="U51" s="4"/>
      <c r="V51" s="4"/>
      <c r="W51" s="4"/>
      <c r="X51" s="4"/>
      <c r="Y51" s="4"/>
      <c r="Z51" s="4"/>
    </row>
    <row r="52" spans="1:26" ht="13.8">
      <c r="A52" s="7"/>
      <c r="B52" s="2"/>
      <c r="C52" s="2"/>
      <c r="D52" s="2"/>
      <c r="E52" s="2"/>
      <c r="F52" s="13"/>
      <c r="G52" s="68" t="s">
        <v>32</v>
      </c>
      <c r="H52" s="69"/>
      <c r="I52" s="69"/>
      <c r="J52" s="69"/>
      <c r="K52" s="70"/>
      <c r="L52" s="8"/>
      <c r="M52" s="2"/>
      <c r="N52" s="4"/>
      <c r="O52" s="4"/>
      <c r="P52" s="4"/>
      <c r="Q52" s="4"/>
      <c r="R52" s="4"/>
      <c r="S52" s="4"/>
      <c r="T52" s="4"/>
      <c r="U52" s="4"/>
      <c r="V52" s="4"/>
      <c r="W52" s="4"/>
      <c r="X52" s="4"/>
      <c r="Y52" s="4"/>
      <c r="Z52" s="4"/>
    </row>
    <row r="53" spans="1:26" ht="20.25" customHeight="1">
      <c r="A53" s="7"/>
      <c r="B53" s="2"/>
      <c r="C53" s="2"/>
      <c r="D53" s="2"/>
      <c r="E53" s="2"/>
      <c r="F53" s="15">
        <v>6</v>
      </c>
      <c r="G53" s="82" t="s">
        <v>33</v>
      </c>
      <c r="H53" s="69"/>
      <c r="I53" s="69"/>
      <c r="J53" s="69"/>
      <c r="K53" s="70"/>
      <c r="L53" s="8"/>
      <c r="M53" s="2"/>
      <c r="N53" s="4"/>
      <c r="O53" s="4"/>
      <c r="P53" s="4"/>
      <c r="Q53" s="4"/>
      <c r="R53" s="4"/>
      <c r="S53" s="4"/>
      <c r="T53" s="4"/>
      <c r="U53" s="4"/>
      <c r="V53" s="4"/>
      <c r="W53" s="4"/>
      <c r="X53" s="4"/>
      <c r="Y53" s="4"/>
      <c r="Z53" s="4"/>
    </row>
    <row r="54" spans="1:26" ht="13.8">
      <c r="A54" s="7"/>
      <c r="B54" s="2"/>
      <c r="C54" s="2"/>
      <c r="D54" s="2"/>
      <c r="E54" s="2"/>
      <c r="F54" s="2"/>
      <c r="G54" s="14" t="s">
        <v>34</v>
      </c>
      <c r="H54" s="14"/>
      <c r="I54" s="14"/>
      <c r="J54" s="14"/>
      <c r="K54" s="14"/>
      <c r="L54" s="8"/>
      <c r="M54" s="2"/>
      <c r="N54" s="4"/>
      <c r="O54" s="4"/>
      <c r="P54" s="4"/>
      <c r="Q54" s="4"/>
      <c r="R54" s="4"/>
      <c r="S54" s="4"/>
      <c r="T54" s="4"/>
      <c r="U54" s="4"/>
      <c r="V54" s="4"/>
      <c r="W54" s="4"/>
      <c r="X54" s="4"/>
      <c r="Y54" s="4"/>
      <c r="Z54" s="4"/>
    </row>
    <row r="55" spans="1:26" ht="13.8">
      <c r="A55" s="7"/>
      <c r="B55" s="2"/>
      <c r="C55" s="2"/>
      <c r="D55" s="2"/>
      <c r="E55" s="2"/>
      <c r="F55" s="2"/>
      <c r="G55" s="14" t="s">
        <v>35</v>
      </c>
      <c r="H55" s="14"/>
      <c r="I55" s="14"/>
      <c r="J55" s="14"/>
      <c r="K55" s="14"/>
      <c r="L55" s="8"/>
      <c r="M55" s="2"/>
      <c r="N55" s="4"/>
      <c r="O55" s="4"/>
      <c r="P55" s="4"/>
      <c r="Q55" s="4"/>
      <c r="R55" s="4"/>
      <c r="S55" s="4"/>
      <c r="T55" s="4"/>
      <c r="U55" s="4"/>
      <c r="V55" s="4"/>
      <c r="W55" s="4"/>
      <c r="X55" s="4"/>
      <c r="Y55" s="4"/>
      <c r="Z55" s="4"/>
    </row>
    <row r="56" spans="1:26" ht="13.8">
      <c r="A56" s="7"/>
      <c r="B56" s="2"/>
      <c r="C56" s="2"/>
      <c r="D56" s="2"/>
      <c r="E56" s="2"/>
      <c r="F56" s="2"/>
      <c r="G56" s="14"/>
      <c r="H56" s="14"/>
      <c r="I56" s="14"/>
      <c r="J56" s="14"/>
      <c r="K56" s="14"/>
      <c r="L56" s="8"/>
      <c r="M56" s="2"/>
      <c r="N56" s="4"/>
      <c r="O56" s="4"/>
      <c r="P56" s="4"/>
      <c r="Q56" s="4"/>
      <c r="R56" s="4"/>
      <c r="S56" s="4"/>
      <c r="T56" s="4"/>
      <c r="U56" s="4"/>
      <c r="V56" s="4"/>
      <c r="W56" s="4"/>
      <c r="X56" s="4"/>
      <c r="Y56" s="4"/>
      <c r="Z56" s="4"/>
    </row>
    <row r="57" spans="1:26" ht="13.8">
      <c r="A57" s="7"/>
      <c r="B57" s="2"/>
      <c r="C57" s="2"/>
      <c r="D57" s="2"/>
      <c r="E57" s="2"/>
      <c r="F57" s="2"/>
      <c r="G57" s="17" t="s">
        <v>36</v>
      </c>
      <c r="H57" s="14"/>
      <c r="I57" s="14"/>
      <c r="J57" s="14"/>
      <c r="K57" s="14"/>
      <c r="L57" s="8"/>
      <c r="M57" s="2"/>
      <c r="N57" s="4"/>
      <c r="O57" s="4"/>
      <c r="P57" s="4"/>
      <c r="Q57" s="4"/>
      <c r="R57" s="4"/>
      <c r="S57" s="4"/>
      <c r="T57" s="4"/>
      <c r="U57" s="4"/>
      <c r="V57" s="4"/>
      <c r="W57" s="4"/>
      <c r="X57" s="4"/>
      <c r="Y57" s="4"/>
      <c r="Z57" s="4"/>
    </row>
    <row r="58" spans="1:26" ht="13.8">
      <c r="A58" s="7"/>
      <c r="B58" s="2"/>
      <c r="C58" s="2"/>
      <c r="D58" s="2"/>
      <c r="E58" s="2"/>
      <c r="F58" s="2"/>
      <c r="G58" s="14" t="s">
        <v>37</v>
      </c>
      <c r="H58" s="14"/>
      <c r="I58" s="14"/>
      <c r="J58" s="14"/>
      <c r="K58" s="14"/>
      <c r="L58" s="8"/>
      <c r="M58" s="2"/>
      <c r="N58" s="4"/>
      <c r="O58" s="4"/>
      <c r="P58" s="4"/>
      <c r="Q58" s="4"/>
      <c r="R58" s="4"/>
      <c r="S58" s="4"/>
      <c r="T58" s="4"/>
      <c r="U58" s="4"/>
      <c r="V58" s="4"/>
      <c r="W58" s="4"/>
      <c r="X58" s="4"/>
      <c r="Y58" s="4"/>
      <c r="Z58" s="4"/>
    </row>
    <row r="59" spans="1:26" ht="13.8">
      <c r="A59" s="7"/>
      <c r="B59" s="2"/>
      <c r="C59" s="2"/>
      <c r="D59" s="2"/>
      <c r="E59" s="2"/>
      <c r="F59" s="2"/>
      <c r="G59" s="14"/>
      <c r="H59" s="14"/>
      <c r="I59" s="14"/>
      <c r="J59" s="14"/>
      <c r="K59" s="14"/>
      <c r="L59" s="8"/>
      <c r="M59" s="2"/>
      <c r="N59" s="4"/>
      <c r="O59" s="4"/>
      <c r="P59" s="4"/>
      <c r="Q59" s="4"/>
      <c r="R59" s="4"/>
      <c r="S59" s="4"/>
      <c r="T59" s="4"/>
      <c r="U59" s="4"/>
      <c r="V59" s="4"/>
      <c r="W59" s="4"/>
      <c r="X59" s="4"/>
      <c r="Y59" s="4"/>
      <c r="Z59" s="4"/>
    </row>
    <row r="60" spans="1:26" ht="13.8">
      <c r="A60" s="7"/>
      <c r="B60" s="2"/>
      <c r="C60" s="2"/>
      <c r="D60" s="2"/>
      <c r="E60" s="2"/>
      <c r="F60" s="2"/>
      <c r="G60" s="14" t="s">
        <v>38</v>
      </c>
      <c r="H60" s="14"/>
      <c r="I60" s="14"/>
      <c r="J60" s="14"/>
      <c r="K60" s="14"/>
      <c r="L60" s="8"/>
      <c r="M60" s="2"/>
      <c r="N60" s="4"/>
      <c r="O60" s="4"/>
      <c r="P60" s="4"/>
      <c r="Q60" s="4"/>
      <c r="R60" s="4"/>
      <c r="S60" s="4"/>
      <c r="T60" s="4"/>
      <c r="U60" s="4"/>
      <c r="V60" s="4"/>
      <c r="W60" s="4"/>
      <c r="X60" s="4"/>
      <c r="Y60" s="4"/>
      <c r="Z60" s="4"/>
    </row>
    <row r="61" spans="1:26" ht="13.8">
      <c r="A61" s="7"/>
      <c r="B61" s="2"/>
      <c r="C61" s="2"/>
      <c r="D61" s="2"/>
      <c r="E61" s="2"/>
      <c r="F61" s="2"/>
      <c r="G61" s="14"/>
      <c r="H61" s="14"/>
      <c r="I61" s="14"/>
      <c r="J61" s="14"/>
      <c r="K61" s="14"/>
      <c r="L61" s="8"/>
      <c r="M61" s="2"/>
      <c r="N61" s="4"/>
      <c r="O61" s="4"/>
      <c r="P61" s="4"/>
      <c r="Q61" s="4"/>
      <c r="R61" s="4"/>
      <c r="S61" s="4"/>
      <c r="T61" s="4"/>
      <c r="U61" s="4"/>
      <c r="V61" s="4"/>
      <c r="W61" s="4"/>
      <c r="X61" s="4"/>
      <c r="Y61" s="4"/>
      <c r="Z61" s="4"/>
    </row>
    <row r="62" spans="1:26" ht="13.8">
      <c r="A62" s="7"/>
      <c r="B62" s="2"/>
      <c r="C62" s="2"/>
      <c r="D62" s="2"/>
      <c r="E62" s="2"/>
      <c r="F62" s="2"/>
      <c r="G62" s="18" t="s">
        <v>39</v>
      </c>
      <c r="H62" s="18"/>
      <c r="I62" s="18"/>
      <c r="J62" s="18"/>
      <c r="K62" s="18"/>
      <c r="L62" s="8"/>
      <c r="M62" s="2"/>
      <c r="N62" s="4"/>
      <c r="O62" s="4"/>
      <c r="P62" s="4"/>
      <c r="Q62" s="4"/>
      <c r="R62" s="4"/>
      <c r="S62" s="4"/>
      <c r="T62" s="4"/>
      <c r="U62" s="4"/>
      <c r="V62" s="4"/>
      <c r="W62" s="4"/>
      <c r="X62" s="4"/>
      <c r="Y62" s="4"/>
      <c r="Z62" s="4"/>
    </row>
    <row r="63" spans="1:26" ht="13.8">
      <c r="A63" s="7"/>
      <c r="B63" s="2"/>
      <c r="C63" s="2"/>
      <c r="D63" s="2"/>
      <c r="E63" s="2"/>
      <c r="F63" s="2"/>
      <c r="G63" s="18"/>
      <c r="H63" s="18"/>
      <c r="I63" s="18"/>
      <c r="J63" s="18"/>
      <c r="K63" s="18"/>
      <c r="L63" s="8"/>
      <c r="M63" s="2"/>
      <c r="N63" s="4"/>
      <c r="O63" s="4"/>
      <c r="P63" s="4"/>
      <c r="Q63" s="4"/>
      <c r="R63" s="4"/>
      <c r="S63" s="4"/>
      <c r="T63" s="4"/>
      <c r="U63" s="4"/>
      <c r="V63" s="4"/>
      <c r="W63" s="4"/>
      <c r="X63" s="4"/>
      <c r="Y63" s="4"/>
      <c r="Z63" s="4"/>
    </row>
    <row r="64" spans="1:26" ht="13.8">
      <c r="A64" s="7"/>
      <c r="B64" s="2"/>
      <c r="C64" s="2"/>
      <c r="D64" s="2"/>
      <c r="E64" s="2"/>
      <c r="F64" s="2"/>
      <c r="G64" s="18" t="s">
        <v>40</v>
      </c>
      <c r="H64" s="18"/>
      <c r="I64" s="18"/>
      <c r="J64" s="18"/>
      <c r="K64" s="18"/>
      <c r="L64" s="8"/>
      <c r="M64" s="2"/>
      <c r="N64" s="4"/>
      <c r="O64" s="4"/>
      <c r="P64" s="4"/>
      <c r="Q64" s="4"/>
      <c r="R64" s="4"/>
      <c r="S64" s="4"/>
      <c r="T64" s="4"/>
      <c r="U64" s="4"/>
      <c r="V64" s="4"/>
      <c r="W64" s="4"/>
      <c r="X64" s="4"/>
      <c r="Y64" s="4"/>
      <c r="Z64" s="4"/>
    </row>
    <row r="65" spans="1:26" ht="13.8">
      <c r="A65" s="7"/>
      <c r="B65" s="2"/>
      <c r="C65" s="2"/>
      <c r="D65" s="2"/>
      <c r="E65" s="2"/>
      <c r="F65" s="2"/>
      <c r="G65" s="18"/>
      <c r="H65" s="18"/>
      <c r="I65" s="18"/>
      <c r="J65" s="18"/>
      <c r="K65" s="18"/>
      <c r="L65" s="8"/>
      <c r="M65" s="2"/>
      <c r="N65" s="4"/>
      <c r="O65" s="4"/>
      <c r="P65" s="4"/>
      <c r="Q65" s="4"/>
      <c r="R65" s="4"/>
      <c r="S65" s="4"/>
      <c r="T65" s="4"/>
      <c r="U65" s="4"/>
      <c r="V65" s="4"/>
      <c r="W65" s="4"/>
      <c r="X65" s="4"/>
      <c r="Y65" s="4"/>
      <c r="Z65" s="4"/>
    </row>
    <row r="66" spans="1:26" ht="13.8">
      <c r="A66" s="7"/>
      <c r="B66" s="2"/>
      <c r="C66" s="2"/>
      <c r="D66" s="2"/>
      <c r="E66" s="2"/>
      <c r="F66" s="2"/>
      <c r="G66" s="18" t="s">
        <v>41</v>
      </c>
      <c r="H66" s="18"/>
      <c r="I66" s="18"/>
      <c r="J66" s="18"/>
      <c r="K66" s="18"/>
      <c r="L66" s="8"/>
      <c r="M66" s="2"/>
      <c r="N66" s="4"/>
      <c r="O66" s="4"/>
      <c r="P66" s="4"/>
      <c r="Q66" s="4"/>
      <c r="R66" s="4"/>
      <c r="S66" s="4"/>
      <c r="T66" s="4"/>
      <c r="U66" s="4"/>
      <c r="V66" s="4"/>
      <c r="W66" s="4"/>
      <c r="X66" s="4"/>
      <c r="Y66" s="4"/>
      <c r="Z66" s="4"/>
    </row>
    <row r="67" spans="1:26" ht="18" customHeight="1">
      <c r="A67" s="7"/>
      <c r="B67" s="2"/>
      <c r="C67" s="2"/>
      <c r="D67" s="2"/>
      <c r="E67" s="2"/>
      <c r="F67" s="2"/>
      <c r="G67" s="14"/>
      <c r="H67" s="14"/>
      <c r="I67" s="14"/>
      <c r="J67" s="14"/>
      <c r="K67" s="14"/>
      <c r="L67" s="8"/>
      <c r="M67" s="2"/>
      <c r="N67" s="4"/>
      <c r="O67" s="4"/>
      <c r="P67" s="4"/>
      <c r="Q67" s="4"/>
      <c r="R67" s="4"/>
      <c r="S67" s="4"/>
      <c r="T67" s="4"/>
      <c r="U67" s="4"/>
      <c r="V67" s="4"/>
      <c r="W67" s="4"/>
      <c r="X67" s="4"/>
      <c r="Y67" s="4"/>
      <c r="Z67" s="4"/>
    </row>
    <row r="68" spans="1:26" ht="13.8">
      <c r="A68" s="7"/>
      <c r="B68" s="2"/>
      <c r="C68" s="2"/>
      <c r="D68" s="2"/>
      <c r="E68" s="2"/>
      <c r="F68" s="2"/>
      <c r="G68" s="14" t="s">
        <v>42</v>
      </c>
      <c r="H68" s="14"/>
      <c r="I68" s="14"/>
      <c r="J68" s="14"/>
      <c r="K68" s="14"/>
      <c r="L68" s="8"/>
      <c r="M68" s="2"/>
      <c r="N68" s="4"/>
      <c r="O68" s="4"/>
      <c r="P68" s="4"/>
      <c r="Q68" s="4"/>
      <c r="R68" s="4"/>
      <c r="S68" s="4"/>
      <c r="T68" s="4"/>
      <c r="U68" s="4"/>
      <c r="V68" s="4"/>
      <c r="W68" s="4"/>
      <c r="X68" s="4"/>
      <c r="Y68" s="4"/>
      <c r="Z68" s="4"/>
    </row>
    <row r="69" spans="1:26" ht="13.8">
      <c r="A69" s="7"/>
      <c r="B69" s="2"/>
      <c r="C69" s="2"/>
      <c r="D69" s="2"/>
      <c r="E69" s="2"/>
      <c r="F69" s="2"/>
      <c r="G69" s="2"/>
      <c r="H69" s="2"/>
      <c r="I69" s="2"/>
      <c r="J69" s="2"/>
      <c r="K69" s="2"/>
      <c r="L69" s="8"/>
      <c r="M69" s="2"/>
      <c r="N69" s="4"/>
      <c r="O69" s="4"/>
      <c r="P69" s="4"/>
      <c r="Q69" s="4"/>
      <c r="R69" s="4"/>
      <c r="S69" s="4"/>
      <c r="T69" s="4"/>
      <c r="U69" s="4"/>
      <c r="V69" s="4"/>
      <c r="W69" s="4"/>
      <c r="X69" s="4"/>
      <c r="Y69" s="4"/>
      <c r="Z69" s="4"/>
    </row>
    <row r="70" spans="1:26" ht="13.8">
      <c r="A70" s="7"/>
      <c r="B70" s="2"/>
      <c r="C70" s="2"/>
      <c r="D70" s="2"/>
      <c r="E70" s="2"/>
      <c r="F70" s="2"/>
      <c r="G70" s="2" t="s">
        <v>43</v>
      </c>
      <c r="H70" s="2"/>
      <c r="I70" s="2"/>
      <c r="J70" s="2"/>
      <c r="K70" s="2"/>
      <c r="L70" s="8"/>
      <c r="M70" s="2"/>
      <c r="N70" s="4"/>
      <c r="O70" s="4"/>
      <c r="P70" s="4"/>
      <c r="Q70" s="4"/>
      <c r="R70" s="4"/>
      <c r="S70" s="4"/>
      <c r="T70" s="4"/>
      <c r="U70" s="4"/>
      <c r="V70" s="4"/>
      <c r="W70" s="4"/>
      <c r="X70" s="4"/>
      <c r="Y70" s="4"/>
      <c r="Z70" s="4"/>
    </row>
    <row r="71" spans="1:26" ht="13.8">
      <c r="A71" s="7"/>
      <c r="B71" s="2"/>
      <c r="C71" s="2"/>
      <c r="D71" s="2"/>
      <c r="E71" s="2"/>
      <c r="F71" s="2"/>
      <c r="G71" s="72"/>
      <c r="H71" s="69"/>
      <c r="I71" s="69"/>
      <c r="J71" s="69"/>
      <c r="K71" s="70"/>
      <c r="L71" s="8"/>
      <c r="M71" s="2"/>
      <c r="N71" s="4"/>
      <c r="O71" s="4"/>
      <c r="P71" s="4"/>
      <c r="Q71" s="4"/>
      <c r="R71" s="4"/>
      <c r="S71" s="4"/>
      <c r="T71" s="4"/>
      <c r="U71" s="4"/>
      <c r="V71" s="4"/>
      <c r="W71" s="4"/>
      <c r="X71" s="4"/>
      <c r="Y71" s="4"/>
      <c r="Z71" s="4"/>
    </row>
    <row r="72" spans="1:26" ht="15.6">
      <c r="A72" s="7"/>
      <c r="B72" s="2"/>
      <c r="C72" s="2"/>
      <c r="D72" s="2"/>
      <c r="E72" s="2"/>
      <c r="F72" s="2"/>
      <c r="G72" s="80" t="s">
        <v>44</v>
      </c>
      <c r="H72" s="69"/>
      <c r="I72" s="69"/>
      <c r="J72" s="69"/>
      <c r="K72" s="70"/>
      <c r="L72" s="8"/>
      <c r="M72" s="2"/>
      <c r="N72" s="4"/>
      <c r="O72" s="4"/>
      <c r="P72" s="4"/>
      <c r="Q72" s="4"/>
      <c r="R72" s="4"/>
      <c r="S72" s="4"/>
      <c r="T72" s="4"/>
      <c r="U72" s="4"/>
      <c r="V72" s="4"/>
      <c r="W72" s="4"/>
      <c r="X72" s="4"/>
      <c r="Y72" s="4"/>
      <c r="Z72" s="4"/>
    </row>
    <row r="73" spans="1:26" ht="14.4">
      <c r="A73" s="7"/>
      <c r="B73" s="2"/>
      <c r="C73" s="2"/>
      <c r="D73" s="2"/>
      <c r="E73" s="2"/>
      <c r="F73" s="2"/>
      <c r="G73" s="83"/>
      <c r="H73" s="69"/>
      <c r="I73" s="69"/>
      <c r="J73" s="69"/>
      <c r="K73" s="70"/>
      <c r="L73" s="8"/>
      <c r="M73" s="2"/>
      <c r="N73" s="4"/>
      <c r="O73" s="4"/>
      <c r="P73" s="4"/>
      <c r="Q73" s="4"/>
      <c r="R73" s="4"/>
      <c r="S73" s="4"/>
      <c r="T73" s="4"/>
      <c r="U73" s="4"/>
      <c r="V73" s="4"/>
      <c r="W73" s="4"/>
      <c r="X73" s="4"/>
      <c r="Y73" s="4"/>
      <c r="Z73" s="4"/>
    </row>
    <row r="74" spans="1:26" ht="14.4">
      <c r="A74" s="7"/>
      <c r="B74" s="2"/>
      <c r="C74" s="2"/>
      <c r="D74" s="2"/>
      <c r="E74" s="2"/>
      <c r="F74" s="12">
        <v>1</v>
      </c>
      <c r="G74" s="19" t="s">
        <v>45</v>
      </c>
      <c r="H74" s="19"/>
      <c r="I74" s="19"/>
      <c r="J74" s="19"/>
      <c r="K74" s="20"/>
      <c r="L74" s="8"/>
      <c r="M74" s="2"/>
      <c r="N74" s="4"/>
      <c r="O74" s="4"/>
      <c r="P74" s="4"/>
      <c r="Q74" s="4"/>
      <c r="R74" s="4"/>
      <c r="S74" s="4"/>
      <c r="T74" s="4"/>
      <c r="U74" s="4"/>
      <c r="V74" s="4"/>
      <c r="W74" s="4"/>
      <c r="X74" s="4"/>
      <c r="Y74" s="4"/>
      <c r="Z74" s="4"/>
    </row>
    <row r="75" spans="1:26" ht="14.4">
      <c r="A75" s="7"/>
      <c r="B75" s="2"/>
      <c r="C75" s="2"/>
      <c r="D75" s="2"/>
      <c r="E75" s="2"/>
      <c r="F75" s="12">
        <v>2</v>
      </c>
      <c r="G75" s="19" t="s">
        <v>46</v>
      </c>
      <c r="H75" s="19"/>
      <c r="I75" s="19"/>
      <c r="J75" s="19"/>
      <c r="K75" s="20"/>
      <c r="L75" s="8"/>
      <c r="M75" s="2"/>
      <c r="N75" s="4"/>
      <c r="O75" s="4"/>
      <c r="P75" s="4"/>
      <c r="Q75" s="4"/>
      <c r="R75" s="4"/>
      <c r="S75" s="4"/>
      <c r="T75" s="4"/>
      <c r="U75" s="4"/>
      <c r="V75" s="4"/>
      <c r="W75" s="4"/>
      <c r="X75" s="4"/>
      <c r="Y75" s="4"/>
      <c r="Z75" s="4"/>
    </row>
    <row r="76" spans="1:26" ht="14.4">
      <c r="A76" s="7"/>
      <c r="B76" s="2"/>
      <c r="C76" s="2"/>
      <c r="D76" s="2"/>
      <c r="E76" s="2"/>
      <c r="F76" s="12">
        <v>3</v>
      </c>
      <c r="G76" s="19" t="s">
        <v>47</v>
      </c>
      <c r="H76" s="19"/>
      <c r="I76" s="19"/>
      <c r="J76" s="19"/>
      <c r="K76" s="20"/>
      <c r="L76" s="8"/>
      <c r="M76" s="2"/>
      <c r="N76" s="4"/>
      <c r="O76" s="4"/>
      <c r="P76" s="4"/>
      <c r="Q76" s="4"/>
      <c r="R76" s="4"/>
      <c r="S76" s="4"/>
      <c r="T76" s="4"/>
      <c r="U76" s="4"/>
      <c r="V76" s="4"/>
      <c r="W76" s="4"/>
      <c r="X76" s="4"/>
      <c r="Y76" s="4"/>
      <c r="Z76" s="4"/>
    </row>
    <row r="77" spans="1:26" ht="14.4">
      <c r="A77" s="7"/>
      <c r="B77" s="2"/>
      <c r="C77" s="2"/>
      <c r="D77" s="2"/>
      <c r="E77" s="2"/>
      <c r="F77" s="12">
        <v>4</v>
      </c>
      <c r="G77" s="21" t="s">
        <v>48</v>
      </c>
      <c r="H77" s="21"/>
      <c r="I77" s="21"/>
      <c r="J77" s="21"/>
      <c r="K77" s="22"/>
      <c r="L77" s="8"/>
      <c r="M77" s="2"/>
      <c r="N77" s="4"/>
      <c r="O77" s="4"/>
      <c r="P77" s="4"/>
      <c r="Q77" s="4"/>
      <c r="R77" s="4"/>
      <c r="S77" s="4"/>
      <c r="T77" s="4"/>
      <c r="U77" s="4"/>
      <c r="V77" s="4"/>
      <c r="W77" s="4"/>
      <c r="X77" s="4"/>
      <c r="Y77" s="4"/>
      <c r="Z77" s="4"/>
    </row>
    <row r="78" spans="1:26" ht="14.4">
      <c r="A78" s="7"/>
      <c r="B78" s="2"/>
      <c r="C78" s="2"/>
      <c r="D78" s="2"/>
      <c r="E78" s="2"/>
      <c r="F78" s="12">
        <v>5</v>
      </c>
      <c r="G78" s="21" t="s">
        <v>49</v>
      </c>
      <c r="H78" s="21"/>
      <c r="I78" s="21"/>
      <c r="J78" s="21"/>
      <c r="K78" s="22"/>
      <c r="L78" s="8"/>
      <c r="M78" s="2"/>
      <c r="N78" s="4"/>
      <c r="O78" s="4"/>
      <c r="P78" s="4"/>
      <c r="Q78" s="4"/>
      <c r="R78" s="4"/>
      <c r="S78" s="4"/>
      <c r="T78" s="4"/>
      <c r="U78" s="4"/>
      <c r="V78" s="4"/>
      <c r="W78" s="4"/>
      <c r="X78" s="4"/>
      <c r="Y78" s="4"/>
      <c r="Z78" s="4"/>
    </row>
    <row r="79" spans="1:26" ht="14.4">
      <c r="A79" s="7"/>
      <c r="B79" s="2"/>
      <c r="C79" s="2"/>
      <c r="D79" s="2"/>
      <c r="E79" s="2"/>
      <c r="F79" s="12">
        <v>6</v>
      </c>
      <c r="G79" s="21" t="s">
        <v>50</v>
      </c>
      <c r="H79" s="21"/>
      <c r="I79" s="21"/>
      <c r="J79" s="21"/>
      <c r="K79" s="22"/>
      <c r="L79" s="8"/>
      <c r="M79" s="2"/>
      <c r="N79" s="4"/>
      <c r="O79" s="4"/>
      <c r="P79" s="4"/>
      <c r="Q79" s="4"/>
      <c r="R79" s="4"/>
      <c r="S79" s="4"/>
      <c r="T79" s="4"/>
      <c r="U79" s="4"/>
      <c r="V79" s="4"/>
      <c r="W79" s="4"/>
      <c r="X79" s="4"/>
      <c r="Y79" s="4"/>
      <c r="Z79" s="4"/>
    </row>
    <row r="80" spans="1:26" ht="14.4">
      <c r="A80" s="7"/>
      <c r="B80" s="2"/>
      <c r="C80" s="2"/>
      <c r="D80" s="2"/>
      <c r="E80" s="2"/>
      <c r="F80" s="12">
        <v>7</v>
      </c>
      <c r="G80" s="21" t="s">
        <v>51</v>
      </c>
      <c r="H80" s="21"/>
      <c r="I80" s="21"/>
      <c r="J80" s="21"/>
      <c r="K80" s="22"/>
      <c r="L80" s="8"/>
      <c r="M80" s="2"/>
      <c r="N80" s="4"/>
      <c r="O80" s="4"/>
      <c r="P80" s="4"/>
      <c r="Q80" s="4"/>
      <c r="R80" s="4"/>
      <c r="S80" s="4"/>
      <c r="T80" s="4"/>
      <c r="U80" s="4"/>
      <c r="V80" s="4"/>
      <c r="W80" s="4"/>
      <c r="X80" s="4"/>
      <c r="Y80" s="4"/>
      <c r="Z80" s="4"/>
    </row>
    <row r="81" spans="1:26" ht="14.4">
      <c r="A81" s="7"/>
      <c r="B81" s="2"/>
      <c r="C81" s="2"/>
      <c r="D81" s="2"/>
      <c r="E81" s="2"/>
      <c r="F81" s="2"/>
      <c r="G81" s="84"/>
      <c r="H81" s="69"/>
      <c r="I81" s="69"/>
      <c r="J81" s="69"/>
      <c r="K81" s="70"/>
      <c r="L81" s="8"/>
      <c r="M81" s="2"/>
      <c r="N81" s="4"/>
      <c r="O81" s="4"/>
      <c r="P81" s="4"/>
      <c r="Q81" s="4"/>
      <c r="R81" s="4"/>
      <c r="S81" s="4"/>
      <c r="T81" s="4"/>
      <c r="U81" s="4"/>
      <c r="V81" s="4"/>
      <c r="W81" s="4"/>
      <c r="X81" s="4"/>
      <c r="Y81" s="4"/>
      <c r="Z81" s="4"/>
    </row>
    <row r="82" spans="1:26" ht="15.6">
      <c r="A82" s="7"/>
      <c r="B82" s="2"/>
      <c r="C82" s="2"/>
      <c r="D82" s="2"/>
      <c r="E82" s="2"/>
      <c r="F82" s="2"/>
      <c r="G82" s="80" t="s">
        <v>52</v>
      </c>
      <c r="H82" s="69"/>
      <c r="I82" s="69"/>
      <c r="J82" s="69"/>
      <c r="K82" s="70"/>
      <c r="L82" s="8"/>
      <c r="M82" s="2"/>
      <c r="N82" s="4"/>
      <c r="O82" s="4"/>
      <c r="P82" s="4"/>
      <c r="Q82" s="4"/>
      <c r="R82" s="4"/>
      <c r="S82" s="4"/>
      <c r="T82" s="4"/>
      <c r="U82" s="4"/>
      <c r="V82" s="4"/>
      <c r="W82" s="4"/>
      <c r="X82" s="4"/>
      <c r="Y82" s="4"/>
      <c r="Z82" s="4"/>
    </row>
    <row r="83" spans="1:26" ht="13.8">
      <c r="A83" s="7"/>
      <c r="B83" s="2"/>
      <c r="C83" s="2"/>
      <c r="D83" s="2"/>
      <c r="E83" s="2"/>
      <c r="F83" s="12"/>
      <c r="G83" s="2"/>
      <c r="H83" s="2"/>
      <c r="I83" s="2"/>
      <c r="J83" s="2"/>
      <c r="K83" s="2"/>
      <c r="L83" s="8"/>
      <c r="M83" s="2"/>
      <c r="N83" s="4"/>
      <c r="O83" s="4"/>
      <c r="P83" s="4"/>
      <c r="Q83" s="4"/>
      <c r="R83" s="4"/>
      <c r="S83" s="4"/>
      <c r="T83" s="4"/>
      <c r="U83" s="4"/>
      <c r="V83" s="4"/>
      <c r="W83" s="4"/>
      <c r="X83" s="4"/>
      <c r="Y83" s="4"/>
      <c r="Z83" s="4"/>
    </row>
    <row r="84" spans="1:26" ht="14.4">
      <c r="A84" s="7"/>
      <c r="B84" s="2"/>
      <c r="C84" s="2"/>
      <c r="D84" s="2"/>
      <c r="E84" s="2"/>
      <c r="F84" s="12">
        <v>1</v>
      </c>
      <c r="G84" s="21" t="s">
        <v>53</v>
      </c>
      <c r="H84" s="21"/>
      <c r="I84" s="21"/>
      <c r="J84" s="21"/>
      <c r="K84" s="22"/>
      <c r="L84" s="8"/>
      <c r="M84" s="2"/>
      <c r="N84" s="4"/>
      <c r="O84" s="4"/>
      <c r="P84" s="4"/>
      <c r="Q84" s="4"/>
      <c r="R84" s="4"/>
      <c r="S84" s="4"/>
      <c r="T84" s="4"/>
      <c r="U84" s="4"/>
      <c r="V84" s="4"/>
      <c r="W84" s="4"/>
      <c r="X84" s="4"/>
      <c r="Y84" s="4"/>
      <c r="Z84" s="4"/>
    </row>
    <row r="85" spans="1:26" ht="14.4">
      <c r="A85" s="7"/>
      <c r="B85" s="2"/>
      <c r="C85" s="2"/>
      <c r="D85" s="2"/>
      <c r="E85" s="2"/>
      <c r="F85" s="12">
        <v>2</v>
      </c>
      <c r="G85" s="21" t="s">
        <v>54</v>
      </c>
      <c r="H85" s="21"/>
      <c r="I85" s="21"/>
      <c r="J85" s="21"/>
      <c r="K85" s="22"/>
      <c r="L85" s="8"/>
      <c r="M85" s="2"/>
      <c r="N85" s="4"/>
      <c r="O85" s="4"/>
      <c r="P85" s="4"/>
      <c r="Q85" s="4"/>
      <c r="R85" s="4"/>
      <c r="S85" s="4"/>
      <c r="T85" s="4"/>
      <c r="U85" s="4"/>
      <c r="V85" s="4"/>
      <c r="W85" s="4"/>
      <c r="X85" s="4"/>
      <c r="Y85" s="4"/>
      <c r="Z85" s="4"/>
    </row>
    <row r="86" spans="1:26" ht="14.4">
      <c r="A86" s="7"/>
      <c r="B86" s="2"/>
      <c r="C86" s="2"/>
      <c r="D86" s="2"/>
      <c r="E86" s="2"/>
      <c r="F86" s="12">
        <v>3</v>
      </c>
      <c r="G86" s="21" t="s">
        <v>55</v>
      </c>
      <c r="H86" s="21"/>
      <c r="I86" s="21"/>
      <c r="J86" s="21"/>
      <c r="K86" s="22"/>
      <c r="L86" s="8"/>
      <c r="M86" s="2"/>
      <c r="N86" s="4"/>
      <c r="O86" s="4"/>
      <c r="P86" s="4"/>
      <c r="Q86" s="4"/>
      <c r="R86" s="4"/>
      <c r="S86" s="4"/>
      <c r="T86" s="4"/>
      <c r="U86" s="4"/>
      <c r="V86" s="4"/>
      <c r="W86" s="4"/>
      <c r="X86" s="4"/>
      <c r="Y86" s="4"/>
      <c r="Z86" s="4"/>
    </row>
    <row r="87" spans="1:26" ht="14.4">
      <c r="A87" s="7"/>
      <c r="B87" s="2"/>
      <c r="C87" s="2"/>
      <c r="D87" s="2"/>
      <c r="E87" s="2"/>
      <c r="F87" s="12">
        <v>4</v>
      </c>
      <c r="G87" s="19" t="s">
        <v>56</v>
      </c>
      <c r="H87" s="19"/>
      <c r="I87" s="19"/>
      <c r="J87" s="19"/>
      <c r="K87" s="20"/>
      <c r="L87" s="8"/>
      <c r="M87" s="2"/>
      <c r="N87" s="4"/>
      <c r="O87" s="4"/>
      <c r="P87" s="4"/>
      <c r="Q87" s="4"/>
      <c r="R87" s="4"/>
      <c r="S87" s="4"/>
      <c r="T87" s="4"/>
      <c r="U87" s="4"/>
      <c r="V87" s="4"/>
      <c r="W87" s="4"/>
      <c r="X87" s="4"/>
      <c r="Y87" s="4"/>
      <c r="Z87" s="4"/>
    </row>
    <row r="88" spans="1:26" ht="13.8">
      <c r="A88" s="7"/>
      <c r="B88" s="2"/>
      <c r="C88" s="2"/>
      <c r="D88" s="2"/>
      <c r="E88" s="2"/>
      <c r="F88" s="2"/>
      <c r="G88" s="2"/>
      <c r="H88" s="2"/>
      <c r="I88" s="2"/>
      <c r="J88" s="2"/>
      <c r="K88" s="2"/>
      <c r="L88" s="8"/>
      <c r="M88" s="2"/>
      <c r="N88" s="4"/>
      <c r="O88" s="4"/>
      <c r="P88" s="4"/>
      <c r="Q88" s="4"/>
      <c r="R88" s="4"/>
      <c r="S88" s="4"/>
      <c r="T88" s="4"/>
      <c r="U88" s="4"/>
      <c r="V88" s="4"/>
      <c r="W88" s="4"/>
      <c r="X88" s="4"/>
      <c r="Y88" s="4"/>
      <c r="Z88" s="4"/>
    </row>
    <row r="89" spans="1:26" ht="13.8">
      <c r="A89" s="7"/>
      <c r="B89" s="2"/>
      <c r="C89" s="2"/>
      <c r="D89" s="2"/>
      <c r="E89" s="2"/>
      <c r="F89" s="2"/>
      <c r="G89" s="16" t="s">
        <v>57</v>
      </c>
      <c r="H89" s="2"/>
      <c r="I89" s="2"/>
      <c r="J89" s="2"/>
      <c r="K89" s="2"/>
      <c r="L89" s="8"/>
      <c r="M89" s="2"/>
      <c r="N89" s="4"/>
      <c r="O89" s="4"/>
      <c r="P89" s="4"/>
      <c r="Q89" s="4"/>
      <c r="R89" s="4"/>
      <c r="S89" s="4"/>
      <c r="T89" s="4"/>
      <c r="U89" s="4"/>
      <c r="V89" s="4"/>
      <c r="W89" s="4"/>
      <c r="X89" s="4"/>
      <c r="Y89" s="4"/>
      <c r="Z89" s="4"/>
    </row>
    <row r="90" spans="1:26" ht="13.8">
      <c r="A90" s="7"/>
      <c r="B90" s="2"/>
      <c r="C90" s="2"/>
      <c r="D90" s="2"/>
      <c r="E90" s="2"/>
      <c r="F90" s="23" t="s">
        <v>58</v>
      </c>
      <c r="G90" s="2" t="s">
        <v>59</v>
      </c>
      <c r="H90" s="2"/>
      <c r="I90" s="2"/>
      <c r="J90" s="2"/>
      <c r="K90" s="2"/>
      <c r="L90" s="8"/>
      <c r="M90" s="2"/>
      <c r="N90" s="4"/>
      <c r="O90" s="4"/>
      <c r="P90" s="4"/>
      <c r="Q90" s="4"/>
      <c r="R90" s="4"/>
      <c r="S90" s="4"/>
      <c r="T90" s="4"/>
      <c r="U90" s="4"/>
      <c r="V90" s="4"/>
      <c r="W90" s="4"/>
      <c r="X90" s="4"/>
      <c r="Y90" s="4"/>
      <c r="Z90" s="4"/>
    </row>
    <row r="91" spans="1:26" ht="13.8">
      <c r="A91" s="7"/>
      <c r="B91" s="2"/>
      <c r="C91" s="2"/>
      <c r="D91" s="2"/>
      <c r="E91" s="2"/>
      <c r="F91" s="23" t="s">
        <v>58</v>
      </c>
      <c r="G91" s="2" t="s">
        <v>60</v>
      </c>
      <c r="H91" s="2"/>
      <c r="I91" s="2"/>
      <c r="J91" s="2"/>
      <c r="K91" s="2"/>
      <c r="L91" s="8"/>
      <c r="M91" s="2"/>
      <c r="N91" s="4"/>
      <c r="O91" s="4"/>
      <c r="P91" s="4"/>
      <c r="Q91" s="4"/>
      <c r="R91" s="4"/>
      <c r="S91" s="4"/>
      <c r="T91" s="4"/>
      <c r="U91" s="4"/>
      <c r="V91" s="4"/>
      <c r="W91" s="4"/>
      <c r="X91" s="4"/>
      <c r="Y91" s="4"/>
      <c r="Z91" s="4"/>
    </row>
    <row r="92" spans="1:26" ht="13.8">
      <c r="A92" s="7"/>
      <c r="B92" s="2"/>
      <c r="C92" s="2"/>
      <c r="D92" s="2"/>
      <c r="E92" s="2"/>
      <c r="F92" s="23" t="s">
        <v>58</v>
      </c>
      <c r="G92" s="2" t="s">
        <v>61</v>
      </c>
      <c r="H92" s="2"/>
      <c r="I92" s="2"/>
      <c r="J92" s="2"/>
      <c r="K92" s="2"/>
      <c r="L92" s="8"/>
      <c r="M92" s="2"/>
      <c r="N92" s="4"/>
      <c r="O92" s="4"/>
      <c r="P92" s="4"/>
      <c r="Q92" s="4"/>
      <c r="R92" s="4"/>
      <c r="S92" s="4"/>
      <c r="T92" s="4"/>
      <c r="U92" s="4"/>
      <c r="V92" s="4"/>
      <c r="W92" s="4"/>
      <c r="X92" s="4"/>
      <c r="Y92" s="4"/>
      <c r="Z92" s="4"/>
    </row>
    <row r="93" spans="1:26" ht="13.8">
      <c r="A93" s="7"/>
      <c r="B93" s="2"/>
      <c r="C93" s="2"/>
      <c r="D93" s="2"/>
      <c r="E93" s="2"/>
      <c r="F93" s="23"/>
      <c r="G93" s="16"/>
      <c r="H93" s="2"/>
      <c r="I93" s="2"/>
      <c r="J93" s="2"/>
      <c r="K93" s="2"/>
      <c r="L93" s="8"/>
      <c r="M93" s="2"/>
      <c r="N93" s="4"/>
      <c r="O93" s="4"/>
      <c r="P93" s="4"/>
      <c r="Q93" s="4"/>
      <c r="R93" s="4"/>
      <c r="S93" s="4"/>
      <c r="T93" s="4"/>
      <c r="U93" s="4"/>
      <c r="V93" s="4"/>
      <c r="W93" s="4"/>
      <c r="X93" s="4"/>
      <c r="Y93" s="4"/>
      <c r="Z93" s="4"/>
    </row>
    <row r="94" spans="1:26" ht="13.8">
      <c r="A94" s="7"/>
      <c r="B94" s="2"/>
      <c r="C94" s="2"/>
      <c r="D94" s="2"/>
      <c r="E94" s="2"/>
      <c r="F94" s="23"/>
      <c r="G94" s="16" t="s">
        <v>62</v>
      </c>
      <c r="H94" s="2"/>
      <c r="I94" s="2"/>
      <c r="J94" s="2"/>
      <c r="K94" s="2"/>
      <c r="L94" s="8"/>
      <c r="M94" s="2"/>
      <c r="N94" s="4"/>
      <c r="O94" s="4"/>
      <c r="P94" s="4"/>
      <c r="Q94" s="4"/>
      <c r="R94" s="4"/>
      <c r="S94" s="4"/>
      <c r="T94" s="4"/>
      <c r="U94" s="4"/>
      <c r="V94" s="4"/>
      <c r="W94" s="4"/>
      <c r="X94" s="4"/>
      <c r="Y94" s="4"/>
      <c r="Z94" s="4"/>
    </row>
    <row r="95" spans="1:26" ht="13.8">
      <c r="A95" s="7"/>
      <c r="B95" s="2"/>
      <c r="C95" s="2"/>
      <c r="D95" s="2"/>
      <c r="E95" s="2"/>
      <c r="F95" s="23"/>
      <c r="G95" s="2"/>
      <c r="H95" s="2"/>
      <c r="I95" s="2"/>
      <c r="J95" s="2"/>
      <c r="K95" s="2"/>
      <c r="L95" s="8"/>
      <c r="M95" s="2"/>
      <c r="N95" s="4"/>
      <c r="O95" s="4"/>
      <c r="P95" s="4"/>
      <c r="Q95" s="4"/>
      <c r="R95" s="4"/>
      <c r="S95" s="4"/>
      <c r="T95" s="4"/>
      <c r="U95" s="4"/>
      <c r="V95" s="4"/>
      <c r="W95" s="4"/>
      <c r="X95" s="4"/>
      <c r="Y95" s="4"/>
      <c r="Z95" s="4"/>
    </row>
    <row r="96" spans="1:26" ht="13.8">
      <c r="A96" s="7"/>
      <c r="B96" s="2"/>
      <c r="C96" s="2"/>
      <c r="D96" s="2"/>
      <c r="E96" s="2"/>
      <c r="F96" s="23" t="s">
        <v>58</v>
      </c>
      <c r="G96" s="2" t="s">
        <v>63</v>
      </c>
      <c r="H96" s="2"/>
      <c r="I96" s="2"/>
      <c r="J96" s="2"/>
      <c r="K96" s="2"/>
      <c r="L96" s="8"/>
      <c r="M96" s="2"/>
      <c r="N96" s="4"/>
      <c r="O96" s="4"/>
      <c r="P96" s="4"/>
      <c r="Q96" s="4"/>
      <c r="R96" s="4"/>
      <c r="S96" s="4"/>
      <c r="T96" s="4"/>
      <c r="U96" s="4"/>
      <c r="V96" s="4"/>
      <c r="W96" s="4"/>
      <c r="X96" s="4"/>
      <c r="Y96" s="4"/>
      <c r="Z96" s="4"/>
    </row>
    <row r="97" spans="1:26" ht="13.8">
      <c r="A97" s="7"/>
      <c r="B97" s="2"/>
      <c r="C97" s="2"/>
      <c r="D97" s="2"/>
      <c r="E97" s="2"/>
      <c r="F97" s="23" t="s">
        <v>58</v>
      </c>
      <c r="G97" s="2" t="s">
        <v>64</v>
      </c>
      <c r="H97" s="2"/>
      <c r="I97" s="2"/>
      <c r="J97" s="2"/>
      <c r="K97" s="2"/>
      <c r="L97" s="8"/>
      <c r="M97" s="2"/>
      <c r="N97" s="4"/>
      <c r="O97" s="4"/>
      <c r="P97" s="4"/>
      <c r="Q97" s="4"/>
      <c r="R97" s="4"/>
      <c r="S97" s="4"/>
      <c r="T97" s="4"/>
      <c r="U97" s="4"/>
      <c r="V97" s="4"/>
      <c r="W97" s="4"/>
      <c r="X97" s="4"/>
      <c r="Y97" s="4"/>
      <c r="Z97" s="4"/>
    </row>
    <row r="98" spans="1:26" ht="14.4">
      <c r="A98" s="7"/>
      <c r="B98" s="2"/>
      <c r="C98" s="2"/>
      <c r="D98" s="2"/>
      <c r="E98" s="2"/>
      <c r="F98" s="23" t="s">
        <v>58</v>
      </c>
      <c r="G98" s="19" t="s">
        <v>65</v>
      </c>
      <c r="H98" s="19"/>
      <c r="I98" s="19"/>
      <c r="J98" s="19"/>
      <c r="K98" s="20"/>
      <c r="L98" s="8"/>
      <c r="M98" s="2"/>
      <c r="N98" s="4"/>
      <c r="O98" s="4"/>
      <c r="P98" s="4"/>
      <c r="Q98" s="4"/>
      <c r="R98" s="4"/>
      <c r="S98" s="4"/>
      <c r="T98" s="4"/>
      <c r="U98" s="4"/>
      <c r="V98" s="4"/>
      <c r="W98" s="4"/>
      <c r="X98" s="4"/>
      <c r="Y98" s="4"/>
      <c r="Z98" s="4"/>
    </row>
    <row r="99" spans="1:26" ht="13.8">
      <c r="A99" s="7"/>
      <c r="B99" s="2"/>
      <c r="C99" s="2"/>
      <c r="D99" s="2"/>
      <c r="E99" s="2"/>
      <c r="F99" s="2"/>
      <c r="G99" s="2"/>
      <c r="H99" s="2"/>
      <c r="I99" s="2"/>
      <c r="J99" s="2"/>
      <c r="K99" s="2"/>
      <c r="L99" s="8"/>
      <c r="M99" s="2"/>
      <c r="N99" s="4"/>
      <c r="O99" s="4"/>
      <c r="P99" s="4"/>
      <c r="Q99" s="4"/>
      <c r="R99" s="4"/>
      <c r="S99" s="4"/>
      <c r="T99" s="4"/>
      <c r="U99" s="4"/>
      <c r="V99" s="4"/>
      <c r="W99" s="4"/>
      <c r="X99" s="4"/>
      <c r="Y99" s="4"/>
      <c r="Z99" s="4"/>
    </row>
    <row r="100" spans="1:26" ht="13.8">
      <c r="A100" s="7"/>
      <c r="B100" s="2"/>
      <c r="C100" s="2"/>
      <c r="D100" s="2"/>
      <c r="E100" s="2"/>
      <c r="F100" s="2"/>
      <c r="G100" s="16" t="s">
        <v>66</v>
      </c>
      <c r="H100" s="2"/>
      <c r="I100" s="2"/>
      <c r="J100" s="2"/>
      <c r="K100" s="2"/>
      <c r="L100" s="8"/>
      <c r="M100" s="2"/>
      <c r="N100" s="4"/>
      <c r="O100" s="4"/>
      <c r="P100" s="4"/>
      <c r="Q100" s="4"/>
      <c r="R100" s="4"/>
      <c r="S100" s="4"/>
      <c r="T100" s="4"/>
      <c r="U100" s="4"/>
      <c r="V100" s="4"/>
      <c r="W100" s="4"/>
      <c r="X100" s="4"/>
      <c r="Y100" s="4"/>
      <c r="Z100" s="4"/>
    </row>
    <row r="101" spans="1:26" ht="13.8">
      <c r="A101" s="7"/>
      <c r="B101" s="2"/>
      <c r="C101" s="2"/>
      <c r="D101" s="2"/>
      <c r="E101" s="2"/>
      <c r="F101" s="2"/>
      <c r="G101" s="2"/>
      <c r="H101" s="2"/>
      <c r="I101" s="2"/>
      <c r="J101" s="2"/>
      <c r="K101" s="2"/>
      <c r="L101" s="8"/>
      <c r="M101" s="2"/>
      <c r="N101" s="4"/>
      <c r="O101" s="4"/>
      <c r="P101" s="4"/>
      <c r="Q101" s="4"/>
      <c r="R101" s="4"/>
      <c r="S101" s="4"/>
      <c r="T101" s="4"/>
      <c r="U101" s="4"/>
      <c r="V101" s="4"/>
      <c r="W101" s="4"/>
      <c r="X101" s="4"/>
      <c r="Y101" s="4"/>
      <c r="Z101" s="4"/>
    </row>
    <row r="102" spans="1:26" ht="13.8">
      <c r="A102" s="7"/>
      <c r="B102" s="2"/>
      <c r="C102" s="2"/>
      <c r="D102" s="2"/>
      <c r="E102" s="2"/>
      <c r="F102" s="23" t="s">
        <v>58</v>
      </c>
      <c r="G102" s="2" t="s">
        <v>67</v>
      </c>
      <c r="H102" s="2"/>
      <c r="I102" s="2"/>
      <c r="J102" s="2"/>
      <c r="K102" s="2"/>
      <c r="L102" s="8"/>
      <c r="M102" s="2"/>
      <c r="N102" s="4"/>
      <c r="O102" s="4"/>
      <c r="P102" s="4"/>
      <c r="Q102" s="4"/>
      <c r="R102" s="4"/>
      <c r="S102" s="4"/>
      <c r="T102" s="4"/>
      <c r="U102" s="4"/>
      <c r="V102" s="4"/>
      <c r="W102" s="4"/>
      <c r="X102" s="4"/>
      <c r="Y102" s="4"/>
      <c r="Z102" s="4"/>
    </row>
    <row r="103" spans="1:26" ht="13.8">
      <c r="A103" s="7"/>
      <c r="B103" s="2"/>
      <c r="C103" s="2"/>
      <c r="D103" s="2"/>
      <c r="E103" s="2"/>
      <c r="F103" s="23" t="s">
        <v>58</v>
      </c>
      <c r="G103" s="2" t="s">
        <v>68</v>
      </c>
      <c r="H103" s="2"/>
      <c r="I103" s="2"/>
      <c r="J103" s="2"/>
      <c r="K103" s="2"/>
      <c r="L103" s="8"/>
      <c r="M103" s="2"/>
      <c r="N103" s="4"/>
      <c r="O103" s="4"/>
      <c r="P103" s="4"/>
      <c r="Q103" s="4"/>
      <c r="R103" s="4"/>
      <c r="S103" s="4"/>
      <c r="T103" s="4"/>
      <c r="U103" s="4"/>
      <c r="V103" s="4"/>
      <c r="W103" s="4"/>
      <c r="X103" s="4"/>
      <c r="Y103" s="4"/>
      <c r="Z103" s="4"/>
    </row>
    <row r="104" spans="1:26" ht="13.8">
      <c r="A104" s="7"/>
      <c r="B104" s="2"/>
      <c r="C104" s="2"/>
      <c r="D104" s="2"/>
      <c r="E104" s="2"/>
      <c r="F104" s="23" t="s">
        <v>58</v>
      </c>
      <c r="G104" s="2" t="s">
        <v>69</v>
      </c>
      <c r="H104" s="2"/>
      <c r="I104" s="2"/>
      <c r="J104" s="2"/>
      <c r="K104" s="2"/>
      <c r="L104" s="8"/>
      <c r="M104" s="2"/>
      <c r="N104" s="4"/>
      <c r="O104" s="4"/>
      <c r="P104" s="4"/>
      <c r="Q104" s="4"/>
      <c r="R104" s="4"/>
      <c r="S104" s="4"/>
      <c r="T104" s="4"/>
      <c r="U104" s="4"/>
      <c r="V104" s="4"/>
      <c r="W104" s="4"/>
      <c r="X104" s="4"/>
      <c r="Y104" s="4"/>
      <c r="Z104" s="4"/>
    </row>
    <row r="105" spans="1:26" ht="13.8">
      <c r="A105" s="7"/>
      <c r="B105" s="2"/>
      <c r="C105" s="2"/>
      <c r="D105" s="2"/>
      <c r="E105" s="2"/>
      <c r="F105" s="2"/>
      <c r="G105" s="2"/>
      <c r="H105" s="2"/>
      <c r="I105" s="2"/>
      <c r="J105" s="2"/>
      <c r="K105" s="2"/>
      <c r="L105" s="8"/>
      <c r="M105" s="2"/>
      <c r="N105" s="4"/>
      <c r="O105" s="4"/>
      <c r="P105" s="4"/>
      <c r="Q105" s="4"/>
      <c r="R105" s="4"/>
      <c r="S105" s="4"/>
      <c r="T105" s="4"/>
      <c r="U105" s="4"/>
      <c r="V105" s="4"/>
      <c r="W105" s="4"/>
      <c r="X105" s="4"/>
      <c r="Y105" s="4"/>
      <c r="Z105" s="4"/>
    </row>
    <row r="106" spans="1:26" ht="13.8">
      <c r="A106" s="7"/>
      <c r="B106" s="2"/>
      <c r="C106" s="2"/>
      <c r="D106" s="2"/>
      <c r="E106" s="2"/>
      <c r="F106" s="2"/>
      <c r="G106" s="16" t="s">
        <v>70</v>
      </c>
      <c r="H106" s="2"/>
      <c r="I106" s="2"/>
      <c r="J106" s="2"/>
      <c r="K106" s="2"/>
      <c r="L106" s="8"/>
      <c r="M106" s="2"/>
      <c r="N106" s="4"/>
      <c r="O106" s="4"/>
      <c r="P106" s="4"/>
      <c r="Q106" s="4"/>
      <c r="R106" s="4"/>
      <c r="S106" s="4"/>
      <c r="T106" s="4"/>
      <c r="U106" s="4"/>
      <c r="V106" s="4"/>
      <c r="W106" s="4"/>
      <c r="X106" s="4"/>
      <c r="Y106" s="4"/>
      <c r="Z106" s="4"/>
    </row>
    <row r="107" spans="1:26" ht="13.8">
      <c r="A107" s="7"/>
      <c r="B107" s="2"/>
      <c r="C107" s="2"/>
      <c r="D107" s="2"/>
      <c r="E107" s="2"/>
      <c r="F107" s="2"/>
      <c r="G107" s="2"/>
      <c r="H107" s="2"/>
      <c r="I107" s="2"/>
      <c r="J107" s="2"/>
      <c r="K107" s="2"/>
      <c r="L107" s="8"/>
      <c r="M107" s="2"/>
      <c r="N107" s="4"/>
      <c r="O107" s="4"/>
      <c r="P107" s="4"/>
      <c r="Q107" s="4"/>
      <c r="R107" s="4"/>
      <c r="S107" s="4"/>
      <c r="T107" s="4"/>
      <c r="U107" s="4"/>
      <c r="V107" s="4"/>
      <c r="W107" s="4"/>
      <c r="X107" s="4"/>
      <c r="Y107" s="4"/>
      <c r="Z107" s="4"/>
    </row>
    <row r="108" spans="1:26" ht="13.8">
      <c r="A108" s="7"/>
      <c r="B108" s="2"/>
      <c r="C108" s="2"/>
      <c r="D108" s="2"/>
      <c r="E108" s="2"/>
      <c r="F108" s="23" t="s">
        <v>58</v>
      </c>
      <c r="G108" s="2" t="s">
        <v>71</v>
      </c>
      <c r="H108" s="2"/>
      <c r="I108" s="2"/>
      <c r="J108" s="2"/>
      <c r="K108" s="2"/>
      <c r="L108" s="8"/>
      <c r="M108" s="2"/>
      <c r="N108" s="4"/>
      <c r="O108" s="4"/>
      <c r="P108" s="4"/>
      <c r="Q108" s="4"/>
      <c r="R108" s="4"/>
      <c r="S108" s="4"/>
      <c r="T108" s="4"/>
      <c r="U108" s="4"/>
      <c r="V108" s="4"/>
      <c r="W108" s="4"/>
      <c r="X108" s="4"/>
      <c r="Y108" s="4"/>
      <c r="Z108" s="4"/>
    </row>
    <row r="109" spans="1:26" ht="13.8">
      <c r="A109" s="7"/>
      <c r="B109" s="2"/>
      <c r="C109" s="2"/>
      <c r="D109" s="2"/>
      <c r="E109" s="2"/>
      <c r="F109" s="23" t="s">
        <v>58</v>
      </c>
      <c r="G109" s="2" t="s">
        <v>72</v>
      </c>
      <c r="H109" s="2"/>
      <c r="I109" s="2"/>
      <c r="J109" s="2"/>
      <c r="K109" s="2"/>
      <c r="L109" s="8"/>
      <c r="M109" s="2"/>
      <c r="N109" s="4"/>
      <c r="O109" s="4"/>
      <c r="P109" s="4"/>
      <c r="Q109" s="4"/>
      <c r="R109" s="4"/>
      <c r="S109" s="4"/>
      <c r="T109" s="4"/>
      <c r="U109" s="4"/>
      <c r="V109" s="4"/>
      <c r="W109" s="4"/>
      <c r="X109" s="4"/>
      <c r="Y109" s="4"/>
      <c r="Z109" s="4"/>
    </row>
    <row r="110" spans="1:26" ht="13.8">
      <c r="A110" s="7"/>
      <c r="B110" s="2"/>
      <c r="C110" s="2"/>
      <c r="D110" s="2"/>
      <c r="E110" s="2"/>
      <c r="F110" s="2"/>
      <c r="G110" s="2"/>
      <c r="H110" s="2"/>
      <c r="I110" s="2"/>
      <c r="J110" s="2"/>
      <c r="K110" s="2"/>
      <c r="L110" s="8"/>
      <c r="M110" s="2"/>
      <c r="N110" s="4"/>
      <c r="O110" s="4"/>
      <c r="P110" s="4"/>
      <c r="Q110" s="4"/>
      <c r="R110" s="4"/>
      <c r="S110" s="4"/>
      <c r="T110" s="4"/>
      <c r="U110" s="4"/>
      <c r="V110" s="4"/>
      <c r="W110" s="4"/>
      <c r="X110" s="4"/>
      <c r="Y110" s="4"/>
      <c r="Z110" s="4"/>
    </row>
    <row r="111" spans="1:26" ht="13.8">
      <c r="A111" s="7"/>
      <c r="B111" s="2"/>
      <c r="C111" s="2"/>
      <c r="D111" s="2"/>
      <c r="E111" s="2"/>
      <c r="F111" s="2"/>
      <c r="G111" s="16" t="s">
        <v>73</v>
      </c>
      <c r="H111" s="2"/>
      <c r="I111" s="2"/>
      <c r="J111" s="2"/>
      <c r="K111" s="2"/>
      <c r="L111" s="8"/>
      <c r="M111" s="2"/>
      <c r="N111" s="4"/>
      <c r="O111" s="4"/>
      <c r="P111" s="4"/>
      <c r="Q111" s="4"/>
      <c r="R111" s="4"/>
      <c r="S111" s="4"/>
      <c r="T111" s="4"/>
      <c r="U111" s="4"/>
      <c r="V111" s="4"/>
      <c r="W111" s="4"/>
      <c r="X111" s="4"/>
      <c r="Y111" s="4"/>
      <c r="Z111" s="4"/>
    </row>
    <row r="112" spans="1:26" ht="13.8">
      <c r="A112" s="7"/>
      <c r="B112" s="2"/>
      <c r="C112" s="2"/>
      <c r="D112" s="2"/>
      <c r="E112" s="2"/>
      <c r="F112" s="2"/>
      <c r="G112" s="2"/>
      <c r="H112" s="2"/>
      <c r="I112" s="2"/>
      <c r="J112" s="2"/>
      <c r="K112" s="2"/>
      <c r="L112" s="8"/>
      <c r="M112" s="2"/>
      <c r="N112" s="4"/>
      <c r="O112" s="4"/>
      <c r="P112" s="4"/>
      <c r="Q112" s="4"/>
      <c r="R112" s="4"/>
      <c r="S112" s="4"/>
      <c r="T112" s="4"/>
      <c r="U112" s="4"/>
      <c r="V112" s="4"/>
      <c r="W112" s="4"/>
      <c r="X112" s="4"/>
      <c r="Y112" s="4"/>
      <c r="Z112" s="4"/>
    </row>
    <row r="113" spans="1:26" ht="13.8">
      <c r="A113" s="7"/>
      <c r="B113" s="2"/>
      <c r="C113" s="2"/>
      <c r="D113" s="2"/>
      <c r="E113" s="2"/>
      <c r="F113" s="23" t="s">
        <v>58</v>
      </c>
      <c r="G113" s="2" t="s">
        <v>74</v>
      </c>
      <c r="H113" s="2"/>
      <c r="I113" s="2"/>
      <c r="J113" s="2"/>
      <c r="K113" s="2"/>
      <c r="L113" s="8"/>
      <c r="M113" s="2"/>
      <c r="N113" s="4"/>
      <c r="O113" s="4"/>
      <c r="P113" s="4"/>
      <c r="Q113" s="4"/>
      <c r="R113" s="4"/>
      <c r="S113" s="4"/>
      <c r="T113" s="4"/>
      <c r="U113" s="4"/>
      <c r="V113" s="4"/>
      <c r="W113" s="4"/>
      <c r="X113" s="4"/>
      <c r="Y113" s="4"/>
      <c r="Z113" s="4"/>
    </row>
    <row r="114" spans="1:26" ht="13.8">
      <c r="A114" s="7"/>
      <c r="B114" s="2"/>
      <c r="C114" s="2"/>
      <c r="D114" s="2"/>
      <c r="E114" s="2"/>
      <c r="F114" s="2"/>
      <c r="G114" s="2"/>
      <c r="H114" s="2"/>
      <c r="I114" s="2"/>
      <c r="J114" s="2"/>
      <c r="K114" s="2"/>
      <c r="L114" s="8"/>
      <c r="M114" s="2"/>
      <c r="N114" s="4"/>
      <c r="O114" s="4"/>
      <c r="P114" s="4"/>
      <c r="Q114" s="4"/>
      <c r="R114" s="4"/>
      <c r="S114" s="4"/>
      <c r="T114" s="4"/>
      <c r="U114" s="4"/>
      <c r="V114" s="4"/>
      <c r="W114" s="4"/>
      <c r="X114" s="4"/>
      <c r="Y114" s="4"/>
      <c r="Z114" s="4"/>
    </row>
    <row r="115" spans="1:26" ht="13.8">
      <c r="A115" s="7"/>
      <c r="B115" s="6"/>
      <c r="C115" s="6"/>
      <c r="D115" s="6"/>
      <c r="E115" s="6"/>
      <c r="F115" s="6"/>
      <c r="G115" s="6"/>
      <c r="H115" s="6"/>
      <c r="I115" s="6"/>
      <c r="J115" s="6"/>
      <c r="K115" s="6"/>
      <c r="L115" s="11"/>
      <c r="M115" s="2"/>
      <c r="N115" s="4"/>
      <c r="O115" s="4"/>
      <c r="P115" s="4"/>
      <c r="Q115" s="4"/>
      <c r="R115" s="4"/>
      <c r="S115" s="4"/>
      <c r="T115" s="4"/>
      <c r="U115" s="4"/>
      <c r="V115" s="4"/>
      <c r="W115" s="4"/>
      <c r="X115" s="4"/>
      <c r="Y115" s="4"/>
      <c r="Z115" s="4"/>
    </row>
    <row r="116" spans="1:26" ht="13.8">
      <c r="A116" s="1"/>
      <c r="B116" s="2"/>
      <c r="C116" s="2"/>
      <c r="D116" s="2"/>
      <c r="E116" s="2"/>
      <c r="F116" s="2"/>
      <c r="G116" s="2"/>
      <c r="H116" s="2"/>
      <c r="I116" s="2"/>
      <c r="J116" s="2"/>
      <c r="K116" s="2"/>
      <c r="L116" s="2"/>
      <c r="M116" s="2"/>
      <c r="N116" s="4"/>
      <c r="O116" s="4"/>
      <c r="P116" s="4"/>
      <c r="Q116" s="4"/>
      <c r="R116" s="4"/>
      <c r="S116" s="4"/>
      <c r="T116" s="4"/>
      <c r="U116" s="4"/>
      <c r="V116" s="4"/>
      <c r="W116" s="4"/>
      <c r="X116" s="4"/>
      <c r="Y116" s="4"/>
      <c r="Z116" s="4"/>
    </row>
    <row r="117" spans="1:26" ht="13.8">
      <c r="A117" s="1"/>
      <c r="B117" s="6"/>
      <c r="C117" s="6"/>
      <c r="D117" s="6"/>
      <c r="E117" s="6"/>
      <c r="F117" s="6"/>
      <c r="G117" s="6"/>
      <c r="H117" s="6"/>
      <c r="I117" s="6"/>
      <c r="J117" s="6"/>
      <c r="K117" s="6"/>
      <c r="L117" s="6"/>
      <c r="M117" s="2"/>
      <c r="N117" s="4"/>
      <c r="O117" s="4"/>
      <c r="P117" s="4"/>
      <c r="Q117" s="4"/>
      <c r="R117" s="4"/>
      <c r="S117" s="4"/>
      <c r="T117" s="4"/>
      <c r="U117" s="4"/>
      <c r="V117" s="4"/>
      <c r="W117" s="4"/>
      <c r="X117" s="4"/>
      <c r="Y117" s="4"/>
      <c r="Z117" s="4"/>
    </row>
    <row r="118" spans="1:26" ht="13.8">
      <c r="A118" s="7"/>
      <c r="B118" s="74" t="s">
        <v>75</v>
      </c>
      <c r="C118" s="75"/>
      <c r="D118" s="75"/>
      <c r="E118" s="75"/>
      <c r="F118" s="75"/>
      <c r="G118" s="75"/>
      <c r="H118" s="75"/>
      <c r="I118" s="75"/>
      <c r="J118" s="75"/>
      <c r="K118" s="75"/>
      <c r="L118" s="76"/>
      <c r="M118" s="2"/>
      <c r="N118" s="4"/>
      <c r="O118" s="4"/>
      <c r="P118" s="4"/>
      <c r="Q118" s="4"/>
      <c r="R118" s="4"/>
      <c r="S118" s="4"/>
      <c r="T118" s="4"/>
      <c r="U118" s="4"/>
      <c r="V118" s="4"/>
      <c r="W118" s="4"/>
      <c r="X118" s="4"/>
      <c r="Y118" s="4"/>
      <c r="Z118" s="4"/>
    </row>
    <row r="119" spans="1:26" ht="13.8">
      <c r="A119" s="7"/>
      <c r="B119" s="77"/>
      <c r="C119" s="77"/>
      <c r="D119" s="77"/>
      <c r="E119" s="77"/>
      <c r="F119" s="77"/>
      <c r="G119" s="77"/>
      <c r="H119" s="77"/>
      <c r="I119" s="77"/>
      <c r="J119" s="77"/>
      <c r="K119" s="77"/>
      <c r="L119" s="78"/>
      <c r="M119" s="2"/>
      <c r="N119" s="4"/>
      <c r="O119" s="4"/>
      <c r="P119" s="4"/>
      <c r="Q119" s="4"/>
      <c r="R119" s="4"/>
      <c r="S119" s="4"/>
      <c r="T119" s="4"/>
      <c r="U119" s="4"/>
      <c r="V119" s="4"/>
      <c r="W119" s="4"/>
      <c r="X119" s="4"/>
      <c r="Y119" s="4"/>
      <c r="Z119" s="4"/>
    </row>
    <row r="120" spans="1:26" ht="13.8">
      <c r="A120" s="7"/>
      <c r="B120" s="2"/>
      <c r="C120" s="2"/>
      <c r="D120" s="2"/>
      <c r="E120" s="2"/>
      <c r="F120" s="2"/>
      <c r="G120" s="2"/>
      <c r="H120" s="2"/>
      <c r="I120" s="2"/>
      <c r="J120" s="2"/>
      <c r="K120" s="2"/>
      <c r="L120" s="8"/>
      <c r="M120" s="2"/>
      <c r="N120" s="4"/>
      <c r="O120" s="4"/>
      <c r="P120" s="4"/>
      <c r="Q120" s="4"/>
      <c r="R120" s="4"/>
      <c r="S120" s="4"/>
      <c r="T120" s="4"/>
      <c r="U120" s="4"/>
      <c r="V120" s="4"/>
      <c r="W120" s="4"/>
      <c r="X120" s="4"/>
      <c r="Y120" s="4"/>
      <c r="Z120" s="4"/>
    </row>
    <row r="121" spans="1:26" ht="13.8">
      <c r="A121" s="7"/>
      <c r="B121" s="2"/>
      <c r="C121" s="68"/>
      <c r="D121" s="69"/>
      <c r="E121" s="69"/>
      <c r="F121" s="69"/>
      <c r="G121" s="69"/>
      <c r="H121" s="69"/>
      <c r="I121" s="69"/>
      <c r="J121" s="69"/>
      <c r="K121" s="70"/>
      <c r="L121" s="8"/>
      <c r="M121" s="2"/>
      <c r="N121" s="4"/>
      <c r="O121" s="4"/>
      <c r="P121" s="4"/>
      <c r="Q121" s="4"/>
      <c r="R121" s="4"/>
      <c r="S121" s="4"/>
      <c r="T121" s="4"/>
      <c r="U121" s="4"/>
      <c r="V121" s="4"/>
      <c r="W121" s="4"/>
      <c r="X121" s="4"/>
      <c r="Y121" s="4"/>
      <c r="Z121" s="4"/>
    </row>
    <row r="122" spans="1:26" ht="14.4">
      <c r="A122" s="7"/>
      <c r="B122" s="2"/>
      <c r="C122" s="71" t="s">
        <v>76</v>
      </c>
      <c r="D122" s="69"/>
      <c r="E122" s="69"/>
      <c r="F122" s="69"/>
      <c r="G122" s="69"/>
      <c r="H122" s="69"/>
      <c r="I122" s="69"/>
      <c r="J122" s="69"/>
      <c r="K122" s="70"/>
      <c r="L122" s="8"/>
      <c r="M122" s="2"/>
      <c r="N122" s="4"/>
      <c r="O122" s="4"/>
      <c r="P122" s="4"/>
      <c r="Q122" s="4"/>
      <c r="R122" s="4"/>
      <c r="S122" s="4"/>
      <c r="T122" s="4"/>
      <c r="U122" s="4"/>
      <c r="V122" s="4"/>
      <c r="W122" s="4"/>
      <c r="X122" s="4"/>
      <c r="Y122" s="4"/>
      <c r="Z122" s="4"/>
    </row>
    <row r="123" spans="1:26" ht="13.8">
      <c r="A123" s="7"/>
      <c r="B123" s="2"/>
      <c r="C123" s="68"/>
      <c r="D123" s="69"/>
      <c r="E123" s="69"/>
      <c r="F123" s="69"/>
      <c r="G123" s="69"/>
      <c r="H123" s="69"/>
      <c r="I123" s="69"/>
      <c r="J123" s="69"/>
      <c r="K123" s="70"/>
      <c r="L123" s="8"/>
      <c r="M123" s="2"/>
      <c r="N123" s="4"/>
      <c r="O123" s="4"/>
      <c r="P123" s="4"/>
      <c r="Q123" s="4"/>
      <c r="R123" s="4"/>
      <c r="S123" s="4"/>
      <c r="T123" s="4"/>
      <c r="U123" s="4"/>
      <c r="V123" s="4"/>
      <c r="W123" s="4"/>
      <c r="X123" s="4"/>
      <c r="Y123" s="4"/>
      <c r="Z123" s="4"/>
    </row>
    <row r="124" spans="1:26" ht="13.8">
      <c r="A124" s="7"/>
      <c r="B124" s="2"/>
      <c r="C124" s="68" t="s">
        <v>77</v>
      </c>
      <c r="D124" s="69"/>
      <c r="E124" s="69"/>
      <c r="F124" s="69"/>
      <c r="G124" s="69"/>
      <c r="H124" s="69"/>
      <c r="I124" s="69"/>
      <c r="J124" s="69"/>
      <c r="K124" s="70"/>
      <c r="L124" s="8"/>
      <c r="M124" s="2"/>
      <c r="N124" s="4"/>
      <c r="O124" s="4"/>
      <c r="P124" s="4"/>
      <c r="Q124" s="4"/>
      <c r="R124" s="4"/>
      <c r="S124" s="4"/>
      <c r="T124" s="4"/>
      <c r="U124" s="4"/>
      <c r="V124" s="4"/>
      <c r="W124" s="4"/>
      <c r="X124" s="4"/>
      <c r="Y124" s="4"/>
      <c r="Z124" s="4"/>
    </row>
    <row r="125" spans="1:26" ht="13.8">
      <c r="A125" s="7"/>
      <c r="B125" s="2"/>
      <c r="C125" s="68"/>
      <c r="D125" s="69"/>
      <c r="E125" s="69"/>
      <c r="F125" s="69"/>
      <c r="G125" s="69"/>
      <c r="H125" s="69"/>
      <c r="I125" s="69"/>
      <c r="J125" s="69"/>
      <c r="K125" s="70"/>
      <c r="L125" s="8"/>
      <c r="M125" s="2"/>
      <c r="N125" s="4"/>
      <c r="O125" s="4"/>
      <c r="P125" s="4"/>
      <c r="Q125" s="4"/>
      <c r="R125" s="4"/>
      <c r="S125" s="4"/>
      <c r="T125" s="4"/>
      <c r="U125" s="4"/>
      <c r="V125" s="4"/>
      <c r="W125" s="4"/>
      <c r="X125" s="4"/>
      <c r="Y125" s="4"/>
      <c r="Z125" s="4"/>
    </row>
    <row r="126" spans="1:26" ht="14.4">
      <c r="A126" s="7"/>
      <c r="B126" s="2"/>
      <c r="C126" s="71" t="s">
        <v>78</v>
      </c>
      <c r="D126" s="69"/>
      <c r="E126" s="69"/>
      <c r="F126" s="69"/>
      <c r="G126" s="69"/>
      <c r="H126" s="69"/>
      <c r="I126" s="69"/>
      <c r="J126" s="69"/>
      <c r="K126" s="70"/>
      <c r="L126" s="8"/>
      <c r="M126" s="2"/>
      <c r="N126" s="4"/>
      <c r="O126" s="4"/>
      <c r="P126" s="4"/>
      <c r="Q126" s="4"/>
      <c r="R126" s="4"/>
      <c r="S126" s="4"/>
      <c r="T126" s="4"/>
      <c r="U126" s="4"/>
      <c r="V126" s="4"/>
      <c r="W126" s="4"/>
      <c r="X126" s="4"/>
      <c r="Y126" s="4"/>
      <c r="Z126" s="4"/>
    </row>
    <row r="127" spans="1:26" ht="13.8">
      <c r="A127" s="7"/>
      <c r="B127" s="2"/>
      <c r="C127" s="68"/>
      <c r="D127" s="69"/>
      <c r="E127" s="69"/>
      <c r="F127" s="69"/>
      <c r="G127" s="69"/>
      <c r="H127" s="69"/>
      <c r="I127" s="69"/>
      <c r="J127" s="69"/>
      <c r="K127" s="70"/>
      <c r="L127" s="8"/>
      <c r="M127" s="2"/>
      <c r="N127" s="4"/>
      <c r="O127" s="4"/>
      <c r="P127" s="4"/>
      <c r="Q127" s="4"/>
      <c r="R127" s="4"/>
      <c r="S127" s="4"/>
      <c r="T127" s="4"/>
      <c r="U127" s="4"/>
      <c r="V127" s="4"/>
      <c r="W127" s="4"/>
      <c r="X127" s="4"/>
      <c r="Y127" s="4"/>
      <c r="Z127" s="4"/>
    </row>
    <row r="128" spans="1:26" ht="13.8">
      <c r="A128" s="7"/>
      <c r="B128" s="2"/>
      <c r="C128" s="14" t="s">
        <v>79</v>
      </c>
      <c r="D128" s="14"/>
      <c r="E128" s="14"/>
      <c r="F128" s="14"/>
      <c r="G128" s="14"/>
      <c r="H128" s="14"/>
      <c r="I128" s="14"/>
      <c r="J128" s="14"/>
      <c r="K128" s="14"/>
      <c r="L128" s="8"/>
      <c r="M128" s="2"/>
      <c r="N128" s="4"/>
      <c r="O128" s="4"/>
      <c r="P128" s="4"/>
      <c r="Q128" s="4"/>
      <c r="R128" s="4"/>
      <c r="S128" s="4"/>
      <c r="T128" s="4"/>
      <c r="U128" s="4"/>
      <c r="V128" s="4"/>
      <c r="W128" s="4"/>
      <c r="X128" s="4"/>
      <c r="Y128" s="4"/>
      <c r="Z128" s="4"/>
    </row>
    <row r="129" spans="1:26" ht="13.8">
      <c r="A129" s="7"/>
      <c r="B129" s="2"/>
      <c r="C129" s="14" t="s">
        <v>80</v>
      </c>
      <c r="D129" s="14"/>
      <c r="E129" s="14"/>
      <c r="F129" s="14"/>
      <c r="G129" s="14"/>
      <c r="H129" s="14"/>
      <c r="I129" s="14"/>
      <c r="J129" s="14"/>
      <c r="K129" s="14"/>
      <c r="L129" s="8"/>
      <c r="M129" s="2"/>
      <c r="N129" s="4"/>
      <c r="O129" s="4"/>
      <c r="P129" s="4"/>
      <c r="Q129" s="4"/>
      <c r="R129" s="4"/>
      <c r="S129" s="4"/>
      <c r="T129" s="4"/>
      <c r="U129" s="4"/>
      <c r="V129" s="4"/>
      <c r="W129" s="4"/>
      <c r="X129" s="4"/>
      <c r="Y129" s="4"/>
      <c r="Z129" s="4"/>
    </row>
    <row r="130" spans="1:26" ht="13.8">
      <c r="A130" s="7"/>
      <c r="B130" s="2"/>
      <c r="C130" s="68"/>
      <c r="D130" s="69"/>
      <c r="E130" s="69"/>
      <c r="F130" s="69"/>
      <c r="G130" s="69"/>
      <c r="H130" s="69"/>
      <c r="I130" s="69"/>
      <c r="J130" s="69"/>
      <c r="K130" s="70"/>
      <c r="L130" s="8"/>
      <c r="M130" s="2"/>
      <c r="N130" s="4"/>
      <c r="O130" s="4"/>
      <c r="P130" s="4"/>
      <c r="Q130" s="4"/>
      <c r="R130" s="4"/>
      <c r="S130" s="4"/>
      <c r="T130" s="4"/>
      <c r="U130" s="4"/>
      <c r="V130" s="4"/>
      <c r="W130" s="4"/>
      <c r="X130" s="4"/>
      <c r="Y130" s="4"/>
      <c r="Z130" s="4"/>
    </row>
    <row r="131" spans="1:26" ht="14.4">
      <c r="A131" s="7"/>
      <c r="B131" s="2"/>
      <c r="C131" s="71" t="s">
        <v>81</v>
      </c>
      <c r="D131" s="69"/>
      <c r="E131" s="69"/>
      <c r="F131" s="69"/>
      <c r="G131" s="69"/>
      <c r="H131" s="69"/>
      <c r="I131" s="69"/>
      <c r="J131" s="69"/>
      <c r="K131" s="70"/>
      <c r="L131" s="8"/>
      <c r="M131" s="2"/>
      <c r="N131" s="4"/>
      <c r="O131" s="4"/>
      <c r="P131" s="4"/>
      <c r="Q131" s="4"/>
      <c r="R131" s="4"/>
      <c r="S131" s="4"/>
      <c r="T131" s="4"/>
      <c r="U131" s="4"/>
      <c r="V131" s="4"/>
      <c r="W131" s="4"/>
      <c r="X131" s="4"/>
      <c r="Y131" s="4"/>
      <c r="Z131" s="4"/>
    </row>
    <row r="132" spans="1:26" ht="13.8">
      <c r="A132" s="7"/>
      <c r="B132" s="2"/>
      <c r="C132" s="68"/>
      <c r="D132" s="69"/>
      <c r="E132" s="69"/>
      <c r="F132" s="69"/>
      <c r="G132" s="69"/>
      <c r="H132" s="69"/>
      <c r="I132" s="69"/>
      <c r="J132" s="69"/>
      <c r="K132" s="70"/>
      <c r="L132" s="8"/>
      <c r="M132" s="2"/>
      <c r="N132" s="4"/>
      <c r="O132" s="4"/>
      <c r="P132" s="4"/>
      <c r="Q132" s="4"/>
      <c r="R132" s="4"/>
      <c r="S132" s="4"/>
      <c r="T132" s="4"/>
      <c r="U132" s="4"/>
      <c r="V132" s="4"/>
      <c r="W132" s="4"/>
      <c r="X132" s="4"/>
      <c r="Y132" s="4"/>
      <c r="Z132" s="4"/>
    </row>
    <row r="133" spans="1:26" ht="13.8">
      <c r="A133" s="7"/>
      <c r="B133" s="2"/>
      <c r="C133" s="72" t="s">
        <v>82</v>
      </c>
      <c r="D133" s="69"/>
      <c r="E133" s="69"/>
      <c r="F133" s="69"/>
      <c r="G133" s="69"/>
      <c r="H133" s="69"/>
      <c r="I133" s="69"/>
      <c r="J133" s="69"/>
      <c r="K133" s="70"/>
      <c r="L133" s="8"/>
      <c r="M133" s="2"/>
      <c r="N133" s="4"/>
      <c r="O133" s="4"/>
      <c r="P133" s="4"/>
      <c r="Q133" s="4"/>
      <c r="R133" s="4"/>
      <c r="S133" s="4"/>
      <c r="T133" s="4"/>
      <c r="U133" s="4"/>
      <c r="V133" s="4"/>
      <c r="W133" s="4"/>
      <c r="X133" s="4"/>
      <c r="Y133" s="4"/>
      <c r="Z133" s="4"/>
    </row>
    <row r="134" spans="1:26" ht="13.8">
      <c r="A134" s="7"/>
      <c r="B134" s="2"/>
      <c r="C134" s="14" t="s">
        <v>83</v>
      </c>
      <c r="D134" s="14"/>
      <c r="E134" s="14"/>
      <c r="F134" s="14"/>
      <c r="G134" s="14"/>
      <c r="H134" s="14"/>
      <c r="I134" s="14"/>
      <c r="J134" s="14"/>
      <c r="K134" s="14"/>
      <c r="L134" s="8"/>
      <c r="M134" s="2"/>
      <c r="N134" s="4"/>
      <c r="O134" s="4"/>
      <c r="P134" s="4"/>
      <c r="Q134" s="4"/>
      <c r="R134" s="4"/>
      <c r="S134" s="4"/>
      <c r="T134" s="4"/>
      <c r="U134" s="4"/>
      <c r="V134" s="4"/>
      <c r="W134" s="4"/>
      <c r="X134" s="4"/>
      <c r="Y134" s="4"/>
      <c r="Z134" s="4"/>
    </row>
    <row r="135" spans="1:26" ht="13.8">
      <c r="A135" s="7"/>
      <c r="B135" s="2"/>
      <c r="C135" s="14"/>
      <c r="D135" s="14"/>
      <c r="E135" s="14"/>
      <c r="F135" s="14"/>
      <c r="G135" s="14"/>
      <c r="H135" s="14"/>
      <c r="I135" s="14"/>
      <c r="J135" s="14"/>
      <c r="K135" s="14"/>
      <c r="L135" s="8"/>
      <c r="M135" s="2"/>
      <c r="N135" s="4"/>
      <c r="O135" s="4"/>
      <c r="P135" s="4"/>
      <c r="Q135" s="4"/>
      <c r="R135" s="4"/>
      <c r="S135" s="4"/>
      <c r="T135" s="4"/>
      <c r="U135" s="4"/>
      <c r="V135" s="4"/>
      <c r="W135" s="4"/>
      <c r="X135" s="4"/>
      <c r="Y135" s="4"/>
      <c r="Z135" s="4"/>
    </row>
    <row r="136" spans="1:26" ht="14.4">
      <c r="A136" s="7"/>
      <c r="B136" s="2"/>
      <c r="C136" s="71" t="s">
        <v>84</v>
      </c>
      <c r="D136" s="69"/>
      <c r="E136" s="69"/>
      <c r="F136" s="69"/>
      <c r="G136" s="69"/>
      <c r="H136" s="69"/>
      <c r="I136" s="69"/>
      <c r="J136" s="69"/>
      <c r="K136" s="70"/>
      <c r="L136" s="8"/>
      <c r="M136" s="2"/>
      <c r="N136" s="4"/>
      <c r="O136" s="4"/>
      <c r="P136" s="4"/>
      <c r="Q136" s="4"/>
      <c r="R136" s="4"/>
      <c r="S136" s="4"/>
      <c r="T136" s="4"/>
      <c r="U136" s="4"/>
      <c r="V136" s="4"/>
      <c r="W136" s="4"/>
      <c r="X136" s="4"/>
      <c r="Y136" s="4"/>
      <c r="Z136" s="4"/>
    </row>
    <row r="137" spans="1:26" ht="13.8">
      <c r="A137" s="7"/>
      <c r="B137" s="2"/>
      <c r="C137" s="68"/>
      <c r="D137" s="69"/>
      <c r="E137" s="69"/>
      <c r="F137" s="69"/>
      <c r="G137" s="69"/>
      <c r="H137" s="69"/>
      <c r="I137" s="69"/>
      <c r="J137" s="69"/>
      <c r="K137" s="70"/>
      <c r="L137" s="8"/>
      <c r="M137" s="2"/>
      <c r="N137" s="4"/>
      <c r="O137" s="4"/>
      <c r="P137" s="4"/>
      <c r="Q137" s="4"/>
      <c r="R137" s="4"/>
      <c r="S137" s="4"/>
      <c r="T137" s="4"/>
      <c r="U137" s="4"/>
      <c r="V137" s="4"/>
      <c r="W137" s="4"/>
      <c r="X137" s="4"/>
      <c r="Y137" s="4"/>
      <c r="Z137" s="4"/>
    </row>
    <row r="138" spans="1:26" ht="13.8">
      <c r="A138" s="7"/>
      <c r="B138" s="2"/>
      <c r="C138" s="68" t="s">
        <v>85</v>
      </c>
      <c r="D138" s="69"/>
      <c r="E138" s="69"/>
      <c r="F138" s="69"/>
      <c r="G138" s="69"/>
      <c r="H138" s="69"/>
      <c r="I138" s="69"/>
      <c r="J138" s="69"/>
      <c r="K138" s="70"/>
      <c r="L138" s="8"/>
      <c r="M138" s="2"/>
      <c r="N138" s="4"/>
      <c r="O138" s="4"/>
      <c r="P138" s="4"/>
      <c r="Q138" s="4"/>
      <c r="R138" s="4"/>
      <c r="S138" s="4"/>
      <c r="T138" s="4"/>
      <c r="U138" s="4"/>
      <c r="V138" s="4"/>
      <c r="W138" s="4"/>
      <c r="X138" s="4"/>
      <c r="Y138" s="4"/>
      <c r="Z138" s="4"/>
    </row>
    <row r="139" spans="1:26" ht="13.8">
      <c r="A139" s="7"/>
      <c r="B139" s="2"/>
      <c r="C139" s="68"/>
      <c r="D139" s="69"/>
      <c r="E139" s="69"/>
      <c r="F139" s="69"/>
      <c r="G139" s="69"/>
      <c r="H139" s="69"/>
      <c r="I139" s="69"/>
      <c r="J139" s="69"/>
      <c r="K139" s="70"/>
      <c r="L139" s="8"/>
      <c r="M139" s="2"/>
      <c r="N139" s="4"/>
      <c r="O139" s="4"/>
      <c r="P139" s="4"/>
      <c r="Q139" s="4"/>
      <c r="R139" s="4"/>
      <c r="S139" s="4"/>
      <c r="T139" s="4"/>
      <c r="U139" s="4"/>
      <c r="V139" s="4"/>
      <c r="W139" s="4"/>
      <c r="X139" s="4"/>
      <c r="Y139" s="4"/>
      <c r="Z139" s="4"/>
    </row>
    <row r="140" spans="1:26" ht="14.4">
      <c r="A140" s="7"/>
      <c r="B140" s="2"/>
      <c r="C140" s="71" t="s">
        <v>86</v>
      </c>
      <c r="D140" s="69"/>
      <c r="E140" s="69"/>
      <c r="F140" s="69"/>
      <c r="G140" s="69"/>
      <c r="H140" s="69"/>
      <c r="I140" s="69"/>
      <c r="J140" s="69"/>
      <c r="K140" s="70"/>
      <c r="L140" s="8"/>
      <c r="M140" s="2"/>
      <c r="N140" s="4"/>
      <c r="O140" s="4"/>
      <c r="P140" s="4"/>
      <c r="Q140" s="4"/>
      <c r="R140" s="4"/>
      <c r="S140" s="4"/>
      <c r="T140" s="4"/>
      <c r="U140" s="4"/>
      <c r="V140" s="4"/>
      <c r="W140" s="4"/>
      <c r="X140" s="4"/>
      <c r="Y140" s="4"/>
      <c r="Z140" s="4"/>
    </row>
    <row r="141" spans="1:26" ht="13.8">
      <c r="A141" s="7"/>
      <c r="B141" s="2"/>
      <c r="C141" s="68"/>
      <c r="D141" s="69"/>
      <c r="E141" s="69"/>
      <c r="F141" s="69"/>
      <c r="G141" s="69"/>
      <c r="H141" s="69"/>
      <c r="I141" s="69"/>
      <c r="J141" s="69"/>
      <c r="K141" s="70"/>
      <c r="L141" s="8"/>
      <c r="M141" s="2"/>
      <c r="N141" s="4"/>
      <c r="O141" s="4"/>
      <c r="P141" s="4"/>
      <c r="Q141" s="4"/>
      <c r="R141" s="4"/>
      <c r="S141" s="4"/>
      <c r="T141" s="4"/>
      <c r="U141" s="4"/>
      <c r="V141" s="4"/>
      <c r="W141" s="4"/>
      <c r="X141" s="4"/>
      <c r="Y141" s="4"/>
      <c r="Z141" s="4"/>
    </row>
    <row r="142" spans="1:26" ht="13.8">
      <c r="A142" s="7"/>
      <c r="B142" s="2"/>
      <c r="C142" s="68" t="s">
        <v>87</v>
      </c>
      <c r="D142" s="69"/>
      <c r="E142" s="69"/>
      <c r="F142" s="69"/>
      <c r="G142" s="69"/>
      <c r="H142" s="69"/>
      <c r="I142" s="69"/>
      <c r="J142" s="69"/>
      <c r="K142" s="70"/>
      <c r="L142" s="8"/>
      <c r="M142" s="2"/>
      <c r="N142" s="4"/>
      <c r="O142" s="4"/>
      <c r="P142" s="4"/>
      <c r="Q142" s="4"/>
      <c r="R142" s="4"/>
      <c r="S142" s="4"/>
      <c r="T142" s="4"/>
      <c r="U142" s="4"/>
      <c r="V142" s="4"/>
      <c r="W142" s="4"/>
      <c r="X142" s="4"/>
      <c r="Y142" s="4"/>
      <c r="Z142" s="4"/>
    </row>
    <row r="143" spans="1:26" ht="13.8">
      <c r="A143" s="7"/>
      <c r="B143" s="2"/>
      <c r="C143" s="14"/>
      <c r="D143" s="14"/>
      <c r="E143" s="14"/>
      <c r="F143" s="14"/>
      <c r="G143" s="14"/>
      <c r="H143" s="14"/>
      <c r="I143" s="14"/>
      <c r="J143" s="14"/>
      <c r="K143" s="14"/>
      <c r="L143" s="8"/>
      <c r="M143" s="2"/>
      <c r="N143" s="4"/>
      <c r="O143" s="4"/>
      <c r="P143" s="4"/>
      <c r="Q143" s="4"/>
      <c r="R143" s="4"/>
      <c r="S143" s="4"/>
      <c r="T143" s="4"/>
      <c r="U143" s="4"/>
      <c r="V143" s="4"/>
      <c r="W143" s="4"/>
      <c r="X143" s="4"/>
      <c r="Y143" s="4"/>
      <c r="Z143" s="4"/>
    </row>
    <row r="144" spans="1:26" ht="14.4">
      <c r="A144" s="7"/>
      <c r="B144" s="2"/>
      <c r="C144" s="71" t="s">
        <v>88</v>
      </c>
      <c r="D144" s="69"/>
      <c r="E144" s="69"/>
      <c r="F144" s="69"/>
      <c r="G144" s="69"/>
      <c r="H144" s="69"/>
      <c r="I144" s="69"/>
      <c r="J144" s="69"/>
      <c r="K144" s="70"/>
      <c r="L144" s="8"/>
      <c r="M144" s="2"/>
      <c r="N144" s="4"/>
      <c r="O144" s="4"/>
      <c r="P144" s="4"/>
      <c r="Q144" s="4"/>
      <c r="R144" s="4"/>
      <c r="S144" s="4"/>
      <c r="T144" s="4"/>
      <c r="U144" s="4"/>
      <c r="V144" s="4"/>
      <c r="W144" s="4"/>
      <c r="X144" s="4"/>
      <c r="Y144" s="4"/>
      <c r="Z144" s="4"/>
    </row>
    <row r="145" spans="1:26" ht="13.8">
      <c r="A145" s="7"/>
      <c r="B145" s="2"/>
      <c r="C145" s="68"/>
      <c r="D145" s="69"/>
      <c r="E145" s="69"/>
      <c r="F145" s="69"/>
      <c r="G145" s="69"/>
      <c r="H145" s="69"/>
      <c r="I145" s="69"/>
      <c r="J145" s="69"/>
      <c r="K145" s="70"/>
      <c r="L145" s="8"/>
      <c r="M145" s="2"/>
      <c r="N145" s="4"/>
      <c r="O145" s="4"/>
      <c r="P145" s="4"/>
      <c r="Q145" s="4"/>
      <c r="R145" s="4"/>
      <c r="S145" s="4"/>
      <c r="T145" s="4"/>
      <c r="U145" s="4"/>
      <c r="V145" s="4"/>
      <c r="W145" s="4"/>
      <c r="X145" s="4"/>
      <c r="Y145" s="4"/>
      <c r="Z145" s="4"/>
    </row>
    <row r="146" spans="1:26" ht="13.8">
      <c r="A146" s="7"/>
      <c r="B146" s="2"/>
      <c r="C146" s="68" t="s">
        <v>89</v>
      </c>
      <c r="D146" s="69"/>
      <c r="E146" s="69"/>
      <c r="F146" s="69"/>
      <c r="G146" s="69"/>
      <c r="H146" s="69"/>
      <c r="I146" s="69"/>
      <c r="J146" s="69"/>
      <c r="K146" s="70"/>
      <c r="L146" s="8"/>
      <c r="M146" s="2"/>
      <c r="N146" s="4"/>
      <c r="O146" s="4"/>
      <c r="P146" s="4"/>
      <c r="Q146" s="4"/>
      <c r="R146" s="4"/>
      <c r="S146" s="4"/>
      <c r="T146" s="4"/>
      <c r="U146" s="4"/>
      <c r="V146" s="4"/>
      <c r="W146" s="4"/>
      <c r="X146" s="4"/>
      <c r="Y146" s="4"/>
      <c r="Z146" s="4"/>
    </row>
    <row r="147" spans="1:26" ht="13.8">
      <c r="A147" s="7"/>
      <c r="B147" s="2"/>
      <c r="C147" s="14"/>
      <c r="D147" s="14"/>
      <c r="E147" s="14"/>
      <c r="F147" s="14"/>
      <c r="G147" s="14"/>
      <c r="H147" s="14"/>
      <c r="I147" s="14"/>
      <c r="J147" s="14"/>
      <c r="K147" s="14"/>
      <c r="L147" s="8"/>
      <c r="M147" s="2"/>
      <c r="N147" s="4"/>
      <c r="O147" s="4"/>
      <c r="P147" s="4"/>
      <c r="Q147" s="4"/>
      <c r="R147" s="4"/>
      <c r="S147" s="4"/>
      <c r="T147" s="4"/>
      <c r="U147" s="4"/>
      <c r="V147" s="4"/>
      <c r="W147" s="4"/>
      <c r="X147" s="4"/>
      <c r="Y147" s="4"/>
      <c r="Z147" s="4"/>
    </row>
    <row r="148" spans="1:26" ht="14.4">
      <c r="A148" s="7"/>
      <c r="B148" s="2"/>
      <c r="C148" s="71" t="s">
        <v>90</v>
      </c>
      <c r="D148" s="69"/>
      <c r="E148" s="69"/>
      <c r="F148" s="69"/>
      <c r="G148" s="69"/>
      <c r="H148" s="69"/>
      <c r="I148" s="69"/>
      <c r="J148" s="69"/>
      <c r="K148" s="70"/>
      <c r="L148" s="8"/>
      <c r="M148" s="2"/>
      <c r="N148" s="4"/>
      <c r="O148" s="4"/>
      <c r="P148" s="4"/>
      <c r="Q148" s="4"/>
      <c r="R148" s="4"/>
      <c r="S148" s="4"/>
      <c r="T148" s="4"/>
      <c r="U148" s="4"/>
      <c r="V148" s="4"/>
      <c r="W148" s="4"/>
      <c r="X148" s="4"/>
      <c r="Y148" s="4"/>
      <c r="Z148" s="4"/>
    </row>
    <row r="149" spans="1:26" ht="13.8">
      <c r="A149" s="7"/>
      <c r="B149" s="2"/>
      <c r="C149" s="68"/>
      <c r="D149" s="69"/>
      <c r="E149" s="69"/>
      <c r="F149" s="69"/>
      <c r="G149" s="69"/>
      <c r="H149" s="69"/>
      <c r="I149" s="69"/>
      <c r="J149" s="69"/>
      <c r="K149" s="70"/>
      <c r="L149" s="8"/>
      <c r="M149" s="2"/>
      <c r="N149" s="4"/>
      <c r="O149" s="4"/>
      <c r="P149" s="4"/>
      <c r="Q149" s="4"/>
      <c r="R149" s="4"/>
      <c r="S149" s="4"/>
      <c r="T149" s="4"/>
      <c r="U149" s="4"/>
      <c r="V149" s="4"/>
      <c r="W149" s="4"/>
      <c r="X149" s="4"/>
      <c r="Y149" s="4"/>
      <c r="Z149" s="4"/>
    </row>
    <row r="150" spans="1:26" ht="13.8">
      <c r="A150" s="7"/>
      <c r="B150" s="2"/>
      <c r="C150" s="68" t="s">
        <v>91</v>
      </c>
      <c r="D150" s="69"/>
      <c r="E150" s="69"/>
      <c r="F150" s="69"/>
      <c r="G150" s="69"/>
      <c r="H150" s="69"/>
      <c r="I150" s="69"/>
      <c r="J150" s="69"/>
      <c r="K150" s="70"/>
      <c r="L150" s="8"/>
      <c r="M150" s="2"/>
      <c r="N150" s="4"/>
      <c r="O150" s="4"/>
      <c r="P150" s="4"/>
      <c r="Q150" s="4"/>
      <c r="R150" s="4"/>
      <c r="S150" s="4"/>
      <c r="T150" s="4"/>
      <c r="U150" s="4"/>
      <c r="V150" s="4"/>
      <c r="W150" s="4"/>
      <c r="X150" s="4"/>
      <c r="Y150" s="4"/>
      <c r="Z150" s="4"/>
    </row>
    <row r="151" spans="1:26" ht="13.8">
      <c r="A151" s="7"/>
      <c r="B151" s="2"/>
      <c r="C151" s="2" t="s">
        <v>92</v>
      </c>
      <c r="D151" s="2"/>
      <c r="E151" s="2"/>
      <c r="F151" s="2"/>
      <c r="G151" s="2"/>
      <c r="H151" s="2"/>
      <c r="I151" s="2"/>
      <c r="J151" s="2"/>
      <c r="K151" s="2"/>
      <c r="L151" s="8"/>
      <c r="M151" s="2"/>
      <c r="N151" s="4"/>
      <c r="O151" s="4"/>
      <c r="P151" s="4"/>
      <c r="Q151" s="4"/>
      <c r="R151" s="4"/>
      <c r="S151" s="4"/>
      <c r="T151" s="4"/>
      <c r="U151" s="4"/>
      <c r="V151" s="4"/>
      <c r="W151" s="4"/>
      <c r="X151" s="4"/>
      <c r="Y151" s="4"/>
      <c r="Z151" s="4"/>
    </row>
    <row r="152" spans="1:26" ht="13.8">
      <c r="A152" s="7"/>
      <c r="B152" s="2"/>
      <c r="C152" s="2"/>
      <c r="D152" s="2"/>
      <c r="E152" s="2"/>
      <c r="F152" s="2"/>
      <c r="G152" s="2"/>
      <c r="H152" s="2"/>
      <c r="I152" s="2"/>
      <c r="J152" s="2"/>
      <c r="K152" s="2"/>
      <c r="L152" s="8"/>
      <c r="M152" s="2"/>
      <c r="N152" s="4"/>
      <c r="O152" s="4"/>
      <c r="P152" s="4"/>
      <c r="Q152" s="4"/>
      <c r="R152" s="4"/>
      <c r="S152" s="4"/>
      <c r="T152" s="4"/>
      <c r="U152" s="4"/>
      <c r="V152" s="4"/>
      <c r="W152" s="4"/>
      <c r="X152" s="4"/>
      <c r="Y152" s="4"/>
      <c r="Z152" s="4"/>
    </row>
    <row r="153" spans="1:26" ht="14.4">
      <c r="A153" s="7"/>
      <c r="B153" s="2"/>
      <c r="C153" s="71" t="s">
        <v>93</v>
      </c>
      <c r="D153" s="69"/>
      <c r="E153" s="69"/>
      <c r="F153" s="69"/>
      <c r="G153" s="69"/>
      <c r="H153" s="69"/>
      <c r="I153" s="69"/>
      <c r="J153" s="69"/>
      <c r="K153" s="70"/>
      <c r="L153" s="8"/>
      <c r="M153" s="2"/>
      <c r="N153" s="4"/>
      <c r="O153" s="4"/>
      <c r="P153" s="4"/>
      <c r="Q153" s="4"/>
      <c r="R153" s="4"/>
      <c r="S153" s="4"/>
      <c r="T153" s="4"/>
      <c r="U153" s="4"/>
      <c r="V153" s="4"/>
      <c r="W153" s="4"/>
      <c r="X153" s="4"/>
      <c r="Y153" s="4"/>
      <c r="Z153" s="4"/>
    </row>
    <row r="154" spans="1:26" ht="13.8">
      <c r="A154" s="7"/>
      <c r="B154" s="2"/>
      <c r="C154" s="68"/>
      <c r="D154" s="69"/>
      <c r="E154" s="69"/>
      <c r="F154" s="69"/>
      <c r="G154" s="69"/>
      <c r="H154" s="69"/>
      <c r="I154" s="69"/>
      <c r="J154" s="69"/>
      <c r="K154" s="70"/>
      <c r="L154" s="8"/>
      <c r="M154" s="2"/>
      <c r="N154" s="4"/>
      <c r="O154" s="4"/>
      <c r="P154" s="4"/>
      <c r="Q154" s="4"/>
      <c r="R154" s="4"/>
      <c r="S154" s="4"/>
      <c r="T154" s="4"/>
      <c r="U154" s="4"/>
      <c r="V154" s="4"/>
      <c r="W154" s="4"/>
      <c r="X154" s="4"/>
      <c r="Y154" s="4"/>
      <c r="Z154" s="4"/>
    </row>
    <row r="155" spans="1:26" ht="13.8">
      <c r="A155" s="7"/>
      <c r="B155" s="2"/>
      <c r="C155" s="68" t="s">
        <v>94</v>
      </c>
      <c r="D155" s="69"/>
      <c r="E155" s="69"/>
      <c r="F155" s="69"/>
      <c r="G155" s="69"/>
      <c r="H155" s="69"/>
      <c r="I155" s="69"/>
      <c r="J155" s="69"/>
      <c r="K155" s="70"/>
      <c r="L155" s="8"/>
      <c r="M155" s="2"/>
      <c r="N155" s="4"/>
      <c r="O155" s="4"/>
      <c r="P155" s="4"/>
      <c r="Q155" s="4"/>
      <c r="R155" s="4"/>
      <c r="S155" s="4"/>
      <c r="T155" s="4"/>
      <c r="U155" s="4"/>
      <c r="V155" s="4"/>
      <c r="W155" s="4"/>
      <c r="X155" s="4"/>
      <c r="Y155" s="4"/>
      <c r="Z155" s="4"/>
    </row>
    <row r="156" spans="1:26" ht="13.8">
      <c r="A156" s="7"/>
      <c r="B156" s="2"/>
      <c r="C156" s="2" t="s">
        <v>95</v>
      </c>
      <c r="D156" s="2"/>
      <c r="E156" s="2"/>
      <c r="F156" s="2"/>
      <c r="G156" s="2"/>
      <c r="H156" s="2"/>
      <c r="I156" s="2"/>
      <c r="J156" s="2"/>
      <c r="K156" s="2"/>
      <c r="L156" s="8"/>
      <c r="M156" s="2"/>
      <c r="N156" s="4"/>
      <c r="O156" s="4"/>
      <c r="P156" s="4"/>
      <c r="Q156" s="4"/>
      <c r="R156" s="4"/>
      <c r="S156" s="4"/>
      <c r="T156" s="4"/>
      <c r="U156" s="4"/>
      <c r="V156" s="4"/>
      <c r="W156" s="4"/>
      <c r="X156" s="4"/>
      <c r="Y156" s="4"/>
      <c r="Z156" s="4"/>
    </row>
    <row r="157" spans="1:26" ht="13.8">
      <c r="A157" s="7"/>
      <c r="B157" s="2"/>
      <c r="C157" s="2"/>
      <c r="D157" s="2"/>
      <c r="E157" s="2"/>
      <c r="F157" s="2"/>
      <c r="G157" s="2"/>
      <c r="H157" s="2"/>
      <c r="I157" s="2"/>
      <c r="J157" s="2"/>
      <c r="K157" s="2"/>
      <c r="L157" s="8"/>
      <c r="M157" s="2"/>
      <c r="N157" s="4"/>
      <c r="O157" s="4"/>
      <c r="P157" s="4"/>
      <c r="Q157" s="4"/>
      <c r="R157" s="4"/>
      <c r="S157" s="4"/>
      <c r="T157" s="4"/>
      <c r="U157" s="4"/>
      <c r="V157" s="4"/>
      <c r="W157" s="4"/>
      <c r="X157" s="4"/>
      <c r="Y157" s="4"/>
      <c r="Z157" s="4"/>
    </row>
    <row r="158" spans="1:26" ht="13.8">
      <c r="A158" s="7"/>
      <c r="B158" s="2"/>
      <c r="C158" s="16" t="s">
        <v>96</v>
      </c>
      <c r="D158" s="2"/>
      <c r="E158" s="2"/>
      <c r="F158" s="2"/>
      <c r="G158" s="2"/>
      <c r="H158" s="2"/>
      <c r="I158" s="2"/>
      <c r="J158" s="2"/>
      <c r="K158" s="2"/>
      <c r="L158" s="8"/>
      <c r="M158" s="2"/>
      <c r="N158" s="4"/>
      <c r="O158" s="4"/>
      <c r="P158" s="4"/>
      <c r="Q158" s="4"/>
      <c r="R158" s="4"/>
      <c r="S158" s="4"/>
      <c r="T158" s="4"/>
      <c r="U158" s="4"/>
      <c r="V158" s="4"/>
      <c r="W158" s="4"/>
      <c r="X158" s="4"/>
      <c r="Y158" s="4"/>
      <c r="Z158" s="4"/>
    </row>
    <row r="159" spans="1:26" ht="13.8">
      <c r="A159" s="7"/>
      <c r="B159" s="2"/>
      <c r="C159" s="2"/>
      <c r="D159" s="2"/>
      <c r="E159" s="2"/>
      <c r="F159" s="2"/>
      <c r="G159" s="2"/>
      <c r="H159" s="2"/>
      <c r="I159" s="2"/>
      <c r="J159" s="2"/>
      <c r="K159" s="2"/>
      <c r="L159" s="8"/>
      <c r="M159" s="2"/>
      <c r="N159" s="4"/>
      <c r="O159" s="4"/>
      <c r="P159" s="4"/>
      <c r="Q159" s="4"/>
      <c r="R159" s="4"/>
      <c r="S159" s="4"/>
      <c r="T159" s="4"/>
      <c r="U159" s="4"/>
      <c r="V159" s="4"/>
      <c r="W159" s="4"/>
      <c r="X159" s="4"/>
      <c r="Y159" s="4"/>
      <c r="Z159" s="4"/>
    </row>
    <row r="160" spans="1:26" ht="13.8">
      <c r="A160" s="7"/>
      <c r="B160" s="2"/>
      <c r="C160" s="2" t="s">
        <v>97</v>
      </c>
      <c r="D160" s="2"/>
      <c r="E160" s="2"/>
      <c r="F160" s="2"/>
      <c r="G160" s="2"/>
      <c r="H160" s="2"/>
      <c r="I160" s="2"/>
      <c r="J160" s="2"/>
      <c r="K160" s="2"/>
      <c r="L160" s="8"/>
      <c r="M160" s="2"/>
      <c r="N160" s="4"/>
      <c r="O160" s="4"/>
      <c r="P160" s="4"/>
      <c r="Q160" s="4"/>
      <c r="R160" s="4"/>
      <c r="S160" s="4"/>
      <c r="T160" s="4"/>
      <c r="U160" s="4"/>
      <c r="V160" s="4"/>
      <c r="W160" s="4"/>
      <c r="X160" s="4"/>
      <c r="Y160" s="4"/>
      <c r="Z160" s="4"/>
    </row>
    <row r="161" spans="1:26" ht="13.8">
      <c r="A161" s="7"/>
      <c r="B161" s="2"/>
      <c r="C161" s="2" t="s">
        <v>98</v>
      </c>
      <c r="D161" s="2"/>
      <c r="E161" s="2"/>
      <c r="F161" s="2"/>
      <c r="G161" s="2"/>
      <c r="H161" s="2"/>
      <c r="I161" s="2"/>
      <c r="J161" s="2"/>
      <c r="K161" s="2"/>
      <c r="L161" s="8"/>
      <c r="M161" s="2"/>
      <c r="N161" s="4"/>
      <c r="O161" s="4"/>
      <c r="P161" s="4"/>
      <c r="Q161" s="4"/>
      <c r="R161" s="4"/>
      <c r="S161" s="4"/>
      <c r="T161" s="4"/>
      <c r="U161" s="4"/>
      <c r="V161" s="4"/>
      <c r="W161" s="4"/>
      <c r="X161" s="4"/>
      <c r="Y161" s="4"/>
      <c r="Z161" s="4"/>
    </row>
    <row r="162" spans="1:26" ht="13.8">
      <c r="A162" s="7"/>
      <c r="B162" s="2"/>
      <c r="C162" s="2" t="s">
        <v>99</v>
      </c>
      <c r="D162" s="2"/>
      <c r="E162" s="2"/>
      <c r="F162" s="2"/>
      <c r="G162" s="2"/>
      <c r="H162" s="2"/>
      <c r="I162" s="2"/>
      <c r="J162" s="2"/>
      <c r="K162" s="2"/>
      <c r="L162" s="8"/>
      <c r="M162" s="2"/>
      <c r="N162" s="4"/>
      <c r="O162" s="4"/>
      <c r="P162" s="4"/>
      <c r="Q162" s="4"/>
      <c r="R162" s="4"/>
      <c r="S162" s="4"/>
      <c r="T162" s="4"/>
      <c r="U162" s="4"/>
      <c r="V162" s="4"/>
      <c r="W162" s="4"/>
      <c r="X162" s="4"/>
      <c r="Y162" s="4"/>
      <c r="Z162" s="4"/>
    </row>
    <row r="163" spans="1:26" ht="13.8">
      <c r="A163" s="7"/>
      <c r="B163" s="2"/>
      <c r="C163" s="2" t="s">
        <v>100</v>
      </c>
      <c r="D163" s="2"/>
      <c r="E163" s="2"/>
      <c r="F163" s="2"/>
      <c r="G163" s="2"/>
      <c r="H163" s="2"/>
      <c r="I163" s="2"/>
      <c r="J163" s="2"/>
      <c r="K163" s="2"/>
      <c r="L163" s="8"/>
      <c r="M163" s="2"/>
      <c r="N163" s="4"/>
      <c r="O163" s="4"/>
      <c r="P163" s="4"/>
      <c r="Q163" s="4"/>
      <c r="R163" s="4"/>
      <c r="S163" s="4"/>
      <c r="T163" s="4"/>
      <c r="U163" s="4"/>
      <c r="V163" s="4"/>
      <c r="W163" s="4"/>
      <c r="X163" s="4"/>
      <c r="Y163" s="4"/>
      <c r="Z163" s="4"/>
    </row>
    <row r="164" spans="1:26" ht="13.8">
      <c r="A164" s="7"/>
      <c r="B164" s="2"/>
      <c r="C164" s="2"/>
      <c r="D164" s="2"/>
      <c r="E164" s="2"/>
      <c r="F164" s="2"/>
      <c r="G164" s="2"/>
      <c r="H164" s="2"/>
      <c r="I164" s="2"/>
      <c r="J164" s="2"/>
      <c r="K164" s="2"/>
      <c r="L164" s="8"/>
      <c r="M164" s="2"/>
      <c r="N164" s="4"/>
      <c r="O164" s="4"/>
      <c r="P164" s="4"/>
      <c r="Q164" s="4"/>
      <c r="R164" s="4"/>
      <c r="S164" s="4"/>
      <c r="T164" s="4"/>
      <c r="U164" s="4"/>
      <c r="V164" s="4"/>
      <c r="W164" s="4"/>
      <c r="X164" s="4"/>
      <c r="Y164" s="4"/>
      <c r="Z164" s="4"/>
    </row>
    <row r="165" spans="1:26" ht="13.8">
      <c r="A165" s="7"/>
      <c r="B165" s="2"/>
      <c r="C165" s="2"/>
      <c r="D165" s="2"/>
      <c r="E165" s="2"/>
      <c r="F165" s="2"/>
      <c r="G165" s="2"/>
      <c r="H165" s="2"/>
      <c r="I165" s="2"/>
      <c r="J165" s="2"/>
      <c r="K165" s="2"/>
      <c r="L165" s="8"/>
      <c r="M165" s="2"/>
      <c r="N165" s="4"/>
      <c r="O165" s="4"/>
      <c r="P165" s="4"/>
      <c r="Q165" s="4"/>
      <c r="R165" s="4"/>
      <c r="S165" s="4"/>
      <c r="T165" s="4"/>
      <c r="U165" s="4"/>
      <c r="V165" s="4"/>
      <c r="W165" s="4"/>
      <c r="X165" s="4"/>
      <c r="Y165" s="4"/>
      <c r="Z165" s="4"/>
    </row>
    <row r="166" spans="1:26" ht="14.4">
      <c r="A166" s="7"/>
      <c r="B166" s="2"/>
      <c r="C166" s="71" t="s">
        <v>101</v>
      </c>
      <c r="D166" s="69"/>
      <c r="E166" s="69"/>
      <c r="F166" s="69"/>
      <c r="G166" s="69"/>
      <c r="H166" s="69"/>
      <c r="I166" s="69"/>
      <c r="J166" s="69"/>
      <c r="K166" s="70"/>
      <c r="L166" s="8"/>
      <c r="M166" s="2"/>
      <c r="N166" s="4"/>
      <c r="O166" s="4"/>
      <c r="P166" s="4"/>
      <c r="Q166" s="4"/>
      <c r="R166" s="4"/>
      <c r="S166" s="4"/>
      <c r="T166" s="4"/>
      <c r="U166" s="4"/>
      <c r="V166" s="4"/>
      <c r="W166" s="4"/>
      <c r="X166" s="4"/>
      <c r="Y166" s="4"/>
      <c r="Z166" s="4"/>
    </row>
    <row r="167" spans="1:26" ht="13.8">
      <c r="A167" s="7"/>
      <c r="B167" s="2"/>
      <c r="C167" s="14" t="s">
        <v>102</v>
      </c>
      <c r="D167" s="14"/>
      <c r="E167" s="14"/>
      <c r="F167" s="14"/>
      <c r="G167" s="14"/>
      <c r="H167" s="14"/>
      <c r="I167" s="14"/>
      <c r="J167" s="14"/>
      <c r="K167" s="14"/>
      <c r="L167" s="8"/>
      <c r="M167" s="2"/>
      <c r="N167" s="4"/>
      <c r="O167" s="4"/>
      <c r="P167" s="4"/>
      <c r="Q167" s="4"/>
      <c r="R167" s="4"/>
      <c r="S167" s="4"/>
      <c r="T167" s="4"/>
      <c r="U167" s="4"/>
      <c r="V167" s="4"/>
      <c r="W167" s="4"/>
      <c r="X167" s="4"/>
      <c r="Y167" s="4"/>
      <c r="Z167" s="4"/>
    </row>
    <row r="168" spans="1:26" ht="13.8">
      <c r="A168" s="7"/>
      <c r="B168" s="6"/>
      <c r="C168" s="6"/>
      <c r="D168" s="6"/>
      <c r="E168" s="6"/>
      <c r="F168" s="6"/>
      <c r="G168" s="6"/>
      <c r="H168" s="6"/>
      <c r="I168" s="6"/>
      <c r="J168" s="6"/>
      <c r="K168" s="6"/>
      <c r="L168" s="11"/>
      <c r="M168" s="2"/>
      <c r="N168" s="4"/>
      <c r="O168" s="4"/>
      <c r="P168" s="4"/>
      <c r="Q168" s="4"/>
      <c r="R168" s="4"/>
      <c r="S168" s="4"/>
      <c r="T168" s="4"/>
      <c r="U168" s="4"/>
      <c r="V168" s="4"/>
      <c r="W168" s="4"/>
      <c r="X168" s="4"/>
      <c r="Y168" s="4"/>
      <c r="Z168" s="4"/>
    </row>
    <row r="169" spans="1:26" ht="13.8">
      <c r="A169" s="1"/>
      <c r="B169" s="2"/>
      <c r="C169" s="2"/>
      <c r="D169" s="2"/>
      <c r="E169" s="2"/>
      <c r="F169" s="2"/>
      <c r="G169" s="2"/>
      <c r="H169" s="2"/>
      <c r="I169" s="2"/>
      <c r="J169" s="2"/>
      <c r="K169" s="2"/>
      <c r="L169" s="2"/>
      <c r="M169" s="2"/>
      <c r="N169" s="4"/>
      <c r="O169" s="4"/>
      <c r="P169" s="4"/>
      <c r="Q169" s="4"/>
      <c r="R169" s="4"/>
      <c r="S169" s="4"/>
      <c r="T169" s="4"/>
      <c r="U169" s="4"/>
      <c r="V169" s="4"/>
      <c r="W169" s="4"/>
      <c r="X169" s="4"/>
      <c r="Y169" s="4"/>
      <c r="Z169" s="4"/>
    </row>
    <row r="170" spans="1:26" ht="13.8" hidden="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8" hidden="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8" hidden="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8" hidden="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8" hidden="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8" hidden="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8" hidden="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8" hidden="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8" hidden="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8" hidden="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8" hidden="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8" hidden="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8" hidden="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8" hidden="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8" hidden="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8" hidden="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8" hidden="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8" hidden="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8" hidden="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8" hidden="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8" hidden="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8" hidden="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8" hidden="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8" hidden="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8" hidden="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8" hidden="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8" hidden="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8" hidden="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8" hidden="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8" hidden="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8" hidden="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8" hidden="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8" hidden="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8" hidden="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8" hidden="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8" hidden="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8" hidden="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8" hidden="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8" hidden="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8" hidden="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8" hidden="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8" hidden="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8" hidden="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8" hidden="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8" hidden="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8" hidden="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8" hidden="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8" hidden="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8" hidden="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8" hidden="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8" hidden="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8" hidden="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8" hidden="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8" hidden="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8" hidden="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8" hidden="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8" hidden="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8" hidden="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8" hidden="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8" hidden="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8" hidden="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8" hidden="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8" hidden="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8" hidden="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8" hidden="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8" hidden="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8" hidden="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8" hidden="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8" hidden="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8" hidden="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8" hidden="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8" hidden="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8" hidden="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8" hidden="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8" hidden="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8" hidden="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8" hidden="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8" hidden="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8" hidden="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8" hidden="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8" hidden="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8" hidden="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8" hidden="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8" hidden="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8" hidden="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8" hidden="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8" hidden="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8" hidden="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8" hidden="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8" hidden="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8" hidden="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8" hidden="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8" hidden="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8" hidden="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8" hidden="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8" hidden="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8" hidden="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8" hidden="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8" hidden="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8" hidden="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8" hidden="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8" hidden="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8" hidden="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8" hidden="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8" hidden="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8" hidden="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8" hidden="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8" hidden="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8" hidden="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8" hidden="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8" hidden="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8" hidden="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8" hidden="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8" hidden="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8" hidden="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8" hidden="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8" hidden="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8" hidden="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8" hidden="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8" hidden="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8" hidden="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8" hidden="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8" hidden="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8" hidden="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8" hidden="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8" hidden="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8" hidden="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8" hidden="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8" hidden="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8" hidden="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8" hidden="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8" hidden="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8" hidden="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8" hidden="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8" hidden="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8" hidden="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8" hidden="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8" hidden="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8" hidden="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8" hidden="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8" hidden="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8" hidden="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8" hidden="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8" hidden="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8" hidden="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8" hidden="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8" hidden="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8" hidden="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8" hidden="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8" hidden="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8" hidden="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8" hidden="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8" hidden="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8" hidden="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8" hidden="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8" hidden="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8" hidden="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8" hidden="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8" hidden="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8" hidden="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8" hidden="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8" hidden="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8" hidden="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8" hidden="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8" hidden="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8" hidden="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8" hidden="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8" hidden="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8" hidden="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8" hidden="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8" hidden="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8" hidden="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8" hidden="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8" hidden="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8" hidden="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8" hidden="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8" hidden="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8" hidden="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8" hidden="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8" hidden="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8" hidden="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8" hidden="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8" hidden="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8" hidden="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8" hidden="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8" hidden="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8" hidden="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8" hidden="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8" hidden="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8" hidden="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8" hidden="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8" hidden="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8" hidden="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8" hidden="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8" hidden="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8" hidden="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8" hidden="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8" hidden="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8" hidden="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8" hidden="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8" hidden="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8" hidden="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8" hidden="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8" hidden="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8" hidden="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8" hidden="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8" hidden="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8" hidden="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8" hidden="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8" hidden="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8" hidden="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8" hidden="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8" hidden="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8" hidden="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8" hidden="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8" hidden="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8" hidden="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8" hidden="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8" hidden="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8" hidden="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8" hidden="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8" hidden="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8" hidden="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8" hidden="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8" hidden="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8" hidden="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8" hidden="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8" hidden="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8" hidden="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8" hidden="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8" hidden="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8" hidden="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8" hidden="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8" hidden="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8" hidden="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8" hidden="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8" hidden="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8" hidden="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8" hidden="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8" hidden="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8" hidden="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8" hidden="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8" hidden="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8" hidden="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8" hidden="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8" hidden="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8" hidden="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8" hidden="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8" hidden="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8" hidden="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8" hidden="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8" hidden="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8" hidden="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8" hidden="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8" hidden="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8" hidden="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8" hidden="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8" hidden="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8" hidden="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8" hidden="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8" hidden="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8" hidden="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8" hidden="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8" hidden="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8" hidden="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8" hidden="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8" hidden="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8" hidden="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8" hidden="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8" hidden="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8" hidden="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8" hidden="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8" hidden="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8" hidden="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8" hidden="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8" hidden="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8" hidden="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8" hidden="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8" hidden="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8" hidden="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8" hidden="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8" hidden="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8" hidden="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8" hidden="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8" hidden="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8" hidden="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8" hidden="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8" hidden="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8" hidden="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8" hidden="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8" hidden="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8" hidden="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8" hidden="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8" hidden="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8" hidden="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8" hidden="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8" hidden="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8" hidden="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8" hidden="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8" hidden="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8" hidden="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8" hidden="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8" hidden="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8" hidden="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8" hidden="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8" hidden="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8" hidden="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8" hidden="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8" hidden="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8" hidden="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8" hidden="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8" hidden="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8" hidden="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8" hidden="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8" hidden="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8" hidden="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8" hidden="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8" hidden="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8" hidden="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8" hidden="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8" hidden="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8" hidden="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8" hidden="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8" hidden="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8" hidden="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8" hidden="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8" hidden="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8" hidden="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8" hidden="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8" hidden="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8" hidden="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8" hidden="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8" hidden="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8" hidden="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8" hidden="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8" hidden="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8" hidden="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8" hidden="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8" hidden="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8" hidden="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8" hidden="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8" hidden="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8" hidden="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8" hidden="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8" hidden="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8" hidden="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8" hidden="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8" hidden="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8" hidden="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8" hidden="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8" hidden="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8" hidden="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8" hidden="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8" hidden="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8" hidden="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8" hidden="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8" hidden="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8" hidden="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8" hidden="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8" hidden="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8" hidden="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8" hidden="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8" hidden="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8" hidden="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8" hidden="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8" hidden="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8" hidden="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8" hidden="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8" hidden="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8" hidden="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8" hidden="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8" hidden="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8" hidden="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8" hidden="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8" hidden="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8" hidden="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8" hidden="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8" hidden="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8" hidden="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8" hidden="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8" hidden="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8" hidden="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8" hidden="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8" hidden="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8" hidden="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8" hidden="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8" hidden="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8" hidden="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8" hidden="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8" hidden="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8" hidden="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8" hidden="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8" hidden="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8" hidden="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8" hidden="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8" hidden="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8" hidden="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8" hidden="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8" hidden="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8" hidden="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8" hidden="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8" hidden="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8" hidden="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8" hidden="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8" hidden="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8" hidden="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8" hidden="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8" hidden="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8" hidden="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8" hidden="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8" hidden="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8" hidden="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8" hidden="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8" hidden="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8" hidden="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8" hidden="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8" hidden="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8" hidden="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8" hidden="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8" hidden="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8" hidden="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8" hidden="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8" hidden="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8" hidden="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8" hidden="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8" hidden="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8" hidden="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8" hidden="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8" hidden="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8" hidden="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8" hidden="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8" hidden="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8" hidden="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8" hidden="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8" hidden="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8" hidden="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8" hidden="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8" hidden="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8" hidden="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8" hidden="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8" hidden="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8" hidden="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8" hidden="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8" hidden="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8" hidden="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8" hidden="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8" hidden="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8" hidden="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8" hidden="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8" hidden="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8" hidden="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8" hidden="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8" hidden="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8" hidden="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8" hidden="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8" hidden="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8" hidden="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8" hidden="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8" hidden="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8" hidden="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8" hidden="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8" hidden="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8" hidden="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8" hidden="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8" hidden="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8" hidden="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8" hidden="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8" hidden="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8" hidden="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8" hidden="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8" hidden="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8" hidden="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8" hidden="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8" hidden="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8" hidden="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8" hidden="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8" hidden="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8" hidden="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8" hidden="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8" hidden="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8" hidden="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8" hidden="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8" hidden="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8" hidden="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8" hidden="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8" hidden="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8" hidden="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8" hidden="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8" hidden="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8" hidden="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8" hidden="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8" hidden="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8" hidden="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8" hidden="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8" hidden="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8" hidden="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8" hidden="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8" hidden="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8" hidden="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8" hidden="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8" hidden="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8" hidden="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8" hidden="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8" hidden="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8" hidden="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8" hidden="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8" hidden="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8" hidden="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8" hidden="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8" hidden="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8" hidden="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8" hidden="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8" hidden="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8" hidden="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8" hidden="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8" hidden="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8" hidden="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8" hidden="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8" hidden="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8" hidden="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8" hidden="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8" hidden="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8" hidden="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8" hidden="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8" hidden="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8" hidden="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8" hidden="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8" hidden="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8" hidden="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8" hidden="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8" hidden="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8" hidden="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8" hidden="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8" hidden="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8" hidden="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8" hidden="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8" hidden="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8" hidden="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8" hidden="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8" hidden="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8" hidden="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8" hidden="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8" hidden="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8" hidden="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8" hidden="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8" hidden="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8" hidden="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8" hidden="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8" hidden="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8" hidden="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8" hidden="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8" hidden="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8" hidden="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8" hidden="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8" hidden="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8" hidden="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8" hidden="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8" hidden="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8" hidden="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8" hidden="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8" hidden="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8" hidden="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8" hidden="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8" hidden="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8" hidden="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8" hidden="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8" hidden="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8" hidden="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8" hidden="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8" hidden="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8" hidden="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8" hidden="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8" hidden="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8" hidden="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8" hidden="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8" hidden="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8" hidden="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8" hidden="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8" hidden="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8" hidden="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8" hidden="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8" hidden="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8" hidden="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8" hidden="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8" hidden="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8" hidden="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8" hidden="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8" hidden="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8" hidden="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8" hidden="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8" hidden="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8" hidden="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8" hidden="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8" hidden="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8" hidden="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8" hidden="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8" hidden="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8" hidden="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8" hidden="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8" hidden="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8" hidden="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8" hidden="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8" hidden="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8" hidden="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8" hidden="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8" hidden="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8" hidden="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8" hidden="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8" hidden="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8" hidden="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8" hidden="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8" hidden="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8" hidden="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8" hidden="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8" hidden="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8" hidden="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8" hidden="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8" hidden="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8" hidden="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8" hidden="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8" hidden="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8" hidden="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8" hidden="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8" hidden="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8" hidden="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8" hidden="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8" hidden="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8" hidden="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8" hidden="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8" hidden="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8" hidden="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8" hidden="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8" hidden="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8" hidden="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8" hidden="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8" hidden="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8" hidden="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8" hidden="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8" hidden="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8" hidden="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8" hidden="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8" hidden="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8" hidden="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8" hidden="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8" hidden="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8" hidden="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8" hidden="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8" hidden="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8" hidden="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8" hidden="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8" hidden="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8" hidden="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8" hidden="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8" hidden="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8" hidden="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8" hidden="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8" hidden="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8" hidden="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8" hidden="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8" hidden="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8" hidden="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8" hidden="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8" hidden="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8" hidden="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8" hidden="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8" hidden="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8" hidden="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8" hidden="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8" hidden="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8" hidden="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8" hidden="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8" hidden="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8" hidden="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8" hidden="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8" hidden="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8" hidden="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8" hidden="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8" hidden="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8" hidden="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8" hidden="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8" hidden="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8" hidden="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8" hidden="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8" hidden="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8" hidden="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8" hidden="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8" hidden="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8" hidden="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8" hidden="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8" hidden="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8" hidden="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8" hidden="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8" hidden="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8" hidden="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8" hidden="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8" hidden="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8" hidden="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8" hidden="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8" hidden="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8" hidden="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8" hidden="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8" hidden="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8" hidden="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8" hidden="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8" hidden="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8" hidden="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8" hidden="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8" hidden="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8" hidden="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8" hidden="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8" hidden="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8" hidden="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8" hidden="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8" hidden="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8" hidden="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8" hidden="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8" hidden="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8" hidden="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8" hidden="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8" hidden="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8" hidden="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8" hidden="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8" hidden="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8" hidden="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8" hidden="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8" hidden="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8" hidden="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8" hidden="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8" hidden="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8" hidden="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8" hidden="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8" hidden="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8" hidden="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8" hidden="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8" hidden="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8" hidden="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8" hidden="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8" hidden="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8" hidden="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8" hidden="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8" hidden="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8" hidden="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8" hidden="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8" hidden="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8" hidden="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8" hidden="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8" hidden="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8" hidden="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8" hidden="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8" hidden="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8" hidden="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8" hidden="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8" hidden="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8" hidden="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8" hidden="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8" hidden="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8" hidden="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8" hidden="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8" hidden="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8" hidden="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8" hidden="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8" hidden="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8" hidden="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8" hidden="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8" hidden="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8" hidden="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8" hidden="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8" hidden="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8" hidden="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8" hidden="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8" hidden="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8" hidden="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8" hidden="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8" hidden="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8" hidden="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8" hidden="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8" hidden="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8" hidden="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8" hidden="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8" hidden="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8" hidden="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8" hidden="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8" hidden="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8" hidden="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8" hidden="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8" hidden="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8" hidden="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8" hidden="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8" hidden="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8" hidden="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8" hidden="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8" hidden="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8" hidden="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8" hidden="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8" hidden="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8" hidden="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8" hidden="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8" hidden="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8" hidden="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8" hidden="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8" hidden="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8" hidden="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8" hidden="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8" hidden="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8" hidden="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8" hidden="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8" hidden="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8" hidden="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8" hidden="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8" hidden="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8" hidden="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8" hidden="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8" hidden="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8" hidden="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8" hidden="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8" hidden="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8" hidden="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8" hidden="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8" hidden="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8" hidden="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8" hidden="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8" hidden="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8" hidden="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8" hidden="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8" hidden="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8" hidden="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8" hidden="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8" hidden="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8" hidden="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8" hidden="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8" hidden="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8" hidden="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8" hidden="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8" hidden="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8" hidden="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8" hidden="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8" hidden="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8" hidden="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8" hidden="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8" hidden="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8" hidden="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8" hidden="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sheetData>
  <mergeCells count="63">
    <mergeCell ref="C155:K155"/>
    <mergeCell ref="C166:K166"/>
    <mergeCell ref="C148:K148"/>
    <mergeCell ref="C149:K149"/>
    <mergeCell ref="C150:K150"/>
    <mergeCell ref="C153:K153"/>
    <mergeCell ref="C154:K154"/>
    <mergeCell ref="C123:K123"/>
    <mergeCell ref="C124:K124"/>
    <mergeCell ref="C125:K125"/>
    <mergeCell ref="C126:K126"/>
    <mergeCell ref="C127:K127"/>
    <mergeCell ref="G81:K81"/>
    <mergeCell ref="G82:K82"/>
    <mergeCell ref="B118:L119"/>
    <mergeCell ref="C121:K121"/>
    <mergeCell ref="C122:K122"/>
    <mergeCell ref="G52:K52"/>
    <mergeCell ref="G53:K53"/>
    <mergeCell ref="G71:K71"/>
    <mergeCell ref="G72:K72"/>
    <mergeCell ref="G73:K73"/>
    <mergeCell ref="G36:K36"/>
    <mergeCell ref="G37:K37"/>
    <mergeCell ref="G45:K45"/>
    <mergeCell ref="G50:K50"/>
    <mergeCell ref="G51:K51"/>
    <mergeCell ref="G30:K30"/>
    <mergeCell ref="G31:K31"/>
    <mergeCell ref="G33:K33"/>
    <mergeCell ref="G34:K34"/>
    <mergeCell ref="G35:K35"/>
    <mergeCell ref="C21:K21"/>
    <mergeCell ref="B24:L25"/>
    <mergeCell ref="G27:K27"/>
    <mergeCell ref="G28:K28"/>
    <mergeCell ref="G29:K29"/>
    <mergeCell ref="C142:K142"/>
    <mergeCell ref="C144:K144"/>
    <mergeCell ref="C145:K145"/>
    <mergeCell ref="C146:K146"/>
    <mergeCell ref="C5:K5"/>
    <mergeCell ref="C6:K6"/>
    <mergeCell ref="C7:K7"/>
    <mergeCell ref="B9:L10"/>
    <mergeCell ref="C12:K12"/>
    <mergeCell ref="C13:K13"/>
    <mergeCell ref="C14:K14"/>
    <mergeCell ref="C15:K15"/>
    <mergeCell ref="C17:K17"/>
    <mergeCell ref="C18:K18"/>
    <mergeCell ref="C19:K19"/>
    <mergeCell ref="C20:K20"/>
    <mergeCell ref="C137:K137"/>
    <mergeCell ref="C138:K138"/>
    <mergeCell ref="C139:K139"/>
    <mergeCell ref="C140:K140"/>
    <mergeCell ref="C141:K141"/>
    <mergeCell ref="C130:K130"/>
    <mergeCell ref="C131:K131"/>
    <mergeCell ref="C132:K132"/>
    <mergeCell ref="C133:K133"/>
    <mergeCell ref="C136:K1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4E13"/>
    <outlinePr summaryBelow="0" summaryRight="0"/>
  </sheetPr>
  <dimension ref="A1:Y997"/>
  <sheetViews>
    <sheetView showGridLines="0" workbookViewId="0"/>
  </sheetViews>
  <sheetFormatPr defaultColWidth="12.6640625" defaultRowHeight="15.75" customHeight="1"/>
  <cols>
    <col min="1" max="1" width="1.21875" customWidth="1"/>
    <col min="2" max="2" width="19.6640625" customWidth="1"/>
    <col min="3" max="3" width="18.77734375" customWidth="1"/>
    <col min="4" max="4" width="17.109375" customWidth="1"/>
    <col min="5" max="5" width="14.6640625" customWidth="1"/>
    <col min="6" max="6" width="17.6640625" customWidth="1"/>
    <col min="7" max="7" width="17.77734375" customWidth="1"/>
    <col min="8" max="8" width="15.44140625" customWidth="1"/>
    <col min="9" max="9" width="11.33203125" customWidth="1"/>
    <col min="10" max="10" width="22.88671875" customWidth="1"/>
    <col min="11" max="11" width="1.21875" customWidth="1"/>
    <col min="12" max="25" width="12.6640625" hidden="1"/>
  </cols>
  <sheetData>
    <row r="1" spans="1:25" ht="9" customHeight="1">
      <c r="A1" s="24"/>
      <c r="B1" s="24"/>
      <c r="C1" s="24"/>
      <c r="D1" s="24"/>
      <c r="E1" s="24"/>
      <c r="F1" s="24"/>
      <c r="G1" s="24"/>
      <c r="H1" s="24"/>
      <c r="I1" s="24"/>
      <c r="J1" s="24"/>
      <c r="K1" s="24"/>
      <c r="L1" s="25"/>
      <c r="M1" s="25"/>
      <c r="N1" s="25"/>
      <c r="O1" s="25"/>
      <c r="P1" s="25"/>
      <c r="Q1" s="25"/>
      <c r="R1" s="25"/>
      <c r="S1" s="25"/>
      <c r="T1" s="25"/>
      <c r="U1" s="25"/>
      <c r="V1" s="25"/>
      <c r="W1" s="25"/>
      <c r="X1" s="25"/>
      <c r="Y1" s="25"/>
    </row>
    <row r="2" spans="1:25" ht="14.25" customHeight="1">
      <c r="A2" s="24"/>
      <c r="B2" s="24"/>
      <c r="C2" s="24"/>
      <c r="D2" s="26"/>
      <c r="E2" s="26"/>
      <c r="F2" s="85" t="s">
        <v>103</v>
      </c>
      <c r="G2" s="75"/>
      <c r="H2" s="75"/>
      <c r="I2" s="75"/>
      <c r="J2" s="75"/>
      <c r="K2" s="24"/>
      <c r="L2" s="25"/>
      <c r="M2" s="25"/>
      <c r="N2" s="25"/>
      <c r="O2" s="25"/>
      <c r="P2" s="25"/>
      <c r="Q2" s="25"/>
      <c r="R2" s="25"/>
      <c r="S2" s="25"/>
      <c r="T2" s="25"/>
      <c r="U2" s="25"/>
      <c r="V2" s="25"/>
      <c r="W2" s="25"/>
      <c r="X2" s="25"/>
      <c r="Y2" s="25"/>
    </row>
    <row r="3" spans="1:25" ht="25.8">
      <c r="A3" s="27"/>
      <c r="B3" s="28" t="s">
        <v>104</v>
      </c>
      <c r="C3" s="29">
        <f ca="1">TODAY()</f>
        <v>46133</v>
      </c>
      <c r="D3" s="24"/>
      <c r="E3" s="30"/>
      <c r="F3" s="75"/>
      <c r="G3" s="75"/>
      <c r="H3" s="75"/>
      <c r="I3" s="75"/>
      <c r="J3" s="75"/>
      <c r="K3" s="24"/>
      <c r="L3" s="25"/>
      <c r="M3" s="25"/>
      <c r="N3" s="25"/>
      <c r="O3" s="25"/>
      <c r="P3" s="25"/>
      <c r="Q3" s="25"/>
      <c r="R3" s="25"/>
      <c r="S3" s="25"/>
      <c r="T3" s="25"/>
      <c r="U3" s="25"/>
      <c r="V3" s="25"/>
      <c r="W3" s="25"/>
      <c r="X3" s="25"/>
      <c r="Y3" s="25"/>
    </row>
    <row r="4" spans="1:25" ht="25.8">
      <c r="A4" s="24"/>
      <c r="B4" s="24"/>
      <c r="C4" s="24"/>
      <c r="D4" s="30"/>
      <c r="E4" s="30"/>
      <c r="F4" s="75"/>
      <c r="G4" s="75"/>
      <c r="H4" s="75"/>
      <c r="I4" s="75"/>
      <c r="J4" s="75"/>
      <c r="K4" s="24"/>
      <c r="L4" s="25"/>
      <c r="M4" s="25"/>
      <c r="N4" s="25"/>
      <c r="O4" s="25"/>
      <c r="P4" s="25"/>
      <c r="Q4" s="25"/>
      <c r="R4" s="25"/>
      <c r="S4" s="25"/>
      <c r="T4" s="25"/>
      <c r="U4" s="25"/>
      <c r="V4" s="25"/>
      <c r="W4" s="25"/>
      <c r="X4" s="25"/>
      <c r="Y4" s="25"/>
    </row>
    <row r="5" spans="1:25" ht="14.4">
      <c r="A5" s="24"/>
      <c r="B5" s="24"/>
      <c r="C5" s="24"/>
      <c r="D5" s="24"/>
      <c r="E5" s="24"/>
      <c r="F5" s="24"/>
      <c r="G5" s="24"/>
      <c r="H5" s="24"/>
      <c r="I5" s="24"/>
      <c r="J5" s="24"/>
      <c r="K5" s="24"/>
      <c r="L5" s="25"/>
      <c r="M5" s="25"/>
      <c r="N5" s="25"/>
      <c r="O5" s="25"/>
      <c r="P5" s="25"/>
      <c r="Q5" s="25"/>
      <c r="R5" s="25"/>
      <c r="S5" s="25"/>
      <c r="T5" s="25"/>
      <c r="U5" s="25"/>
      <c r="V5" s="25"/>
      <c r="W5" s="25"/>
      <c r="X5" s="25"/>
      <c r="Y5" s="25"/>
    </row>
    <row r="6" spans="1:25" ht="14.4">
      <c r="A6" s="24"/>
      <c r="B6" s="24"/>
      <c r="C6" s="24"/>
      <c r="D6" s="24"/>
      <c r="E6" s="24"/>
      <c r="F6" s="24"/>
      <c r="G6" s="24"/>
      <c r="H6" s="24"/>
      <c r="I6" s="24"/>
      <c r="J6" s="24"/>
      <c r="K6" s="24"/>
      <c r="L6" s="25"/>
      <c r="M6" s="25"/>
      <c r="N6" s="25"/>
      <c r="O6" s="25"/>
      <c r="P6" s="25"/>
      <c r="Q6" s="25"/>
      <c r="R6" s="25"/>
      <c r="S6" s="25"/>
      <c r="T6" s="25"/>
      <c r="U6" s="25"/>
      <c r="V6" s="25"/>
      <c r="W6" s="25"/>
      <c r="X6" s="25"/>
      <c r="Y6" s="25"/>
    </row>
    <row r="7" spans="1:25" ht="14.4">
      <c r="A7" s="24"/>
      <c r="B7" s="24"/>
      <c r="C7" s="24"/>
      <c r="D7" s="24"/>
      <c r="E7" s="24"/>
      <c r="F7" s="24"/>
      <c r="G7" s="24"/>
      <c r="H7" s="24"/>
      <c r="I7" s="24"/>
      <c r="J7" s="24"/>
      <c r="K7" s="24"/>
      <c r="L7" s="25"/>
      <c r="M7" s="25"/>
      <c r="N7" s="25"/>
      <c r="O7" s="25"/>
      <c r="P7" s="25"/>
      <c r="Q7" s="25"/>
      <c r="R7" s="25"/>
      <c r="S7" s="25"/>
      <c r="T7" s="25"/>
      <c r="U7" s="25"/>
      <c r="V7" s="25"/>
      <c r="W7" s="25"/>
      <c r="X7" s="25"/>
      <c r="Y7" s="25"/>
    </row>
    <row r="8" spans="1:25" ht="14.4">
      <c r="A8" s="24"/>
      <c r="B8" s="24"/>
      <c r="C8" s="24"/>
      <c r="D8" s="24"/>
      <c r="E8" s="24"/>
      <c r="F8" s="24"/>
      <c r="G8" s="24"/>
      <c r="H8" s="24"/>
      <c r="I8" s="24"/>
      <c r="J8" s="24"/>
      <c r="K8" s="24"/>
      <c r="L8" s="25"/>
      <c r="M8" s="25"/>
      <c r="N8" s="25"/>
      <c r="O8" s="25"/>
      <c r="P8" s="25"/>
      <c r="Q8" s="25"/>
      <c r="R8" s="25"/>
      <c r="S8" s="25"/>
      <c r="T8" s="25"/>
      <c r="U8" s="25"/>
      <c r="V8" s="25"/>
      <c r="W8" s="25"/>
      <c r="X8" s="25"/>
      <c r="Y8" s="25"/>
    </row>
    <row r="9" spans="1:25" ht="14.4">
      <c r="A9" s="24"/>
      <c r="B9" s="24"/>
      <c r="C9" s="24"/>
      <c r="D9" s="24"/>
      <c r="E9" s="24"/>
      <c r="F9" s="24"/>
      <c r="G9" s="24"/>
      <c r="H9" s="24"/>
      <c r="I9" s="24"/>
      <c r="J9" s="24"/>
      <c r="K9" s="24"/>
      <c r="L9" s="25"/>
      <c r="M9" s="25"/>
      <c r="N9" s="25"/>
      <c r="O9" s="25"/>
      <c r="P9" s="25"/>
      <c r="Q9" s="25"/>
      <c r="R9" s="25"/>
      <c r="S9" s="25"/>
      <c r="T9" s="25"/>
      <c r="U9" s="25"/>
      <c r="V9" s="25"/>
      <c r="W9" s="25"/>
      <c r="X9" s="25"/>
      <c r="Y9" s="25"/>
    </row>
    <row r="10" spans="1:25" ht="14.4">
      <c r="A10" s="24"/>
      <c r="B10" s="24"/>
      <c r="C10" s="24"/>
      <c r="D10" s="24"/>
      <c r="E10" s="24"/>
      <c r="F10" s="24"/>
      <c r="G10" s="24"/>
      <c r="H10" s="24"/>
      <c r="I10" s="24"/>
      <c r="J10" s="24"/>
      <c r="K10" s="24"/>
      <c r="L10" s="25"/>
      <c r="M10" s="25"/>
      <c r="N10" s="25"/>
      <c r="O10" s="25"/>
      <c r="P10" s="25"/>
      <c r="Q10" s="25"/>
      <c r="R10" s="25"/>
      <c r="S10" s="25"/>
      <c r="T10" s="25"/>
      <c r="U10" s="25"/>
      <c r="V10" s="25"/>
      <c r="W10" s="25"/>
      <c r="X10" s="25"/>
      <c r="Y10" s="25"/>
    </row>
    <row r="11" spans="1:25" ht="14.4">
      <c r="A11" s="24"/>
      <c r="B11" s="24"/>
      <c r="C11" s="24"/>
      <c r="D11" s="24"/>
      <c r="E11" s="24"/>
      <c r="F11" s="24"/>
      <c r="G11" s="24"/>
      <c r="H11" s="24"/>
      <c r="I11" s="24"/>
      <c r="J11" s="24"/>
      <c r="K11" s="24"/>
      <c r="L11" s="25"/>
      <c r="M11" s="25"/>
      <c r="N11" s="25"/>
      <c r="O11" s="25"/>
      <c r="P11" s="25"/>
      <c r="Q11" s="25"/>
      <c r="R11" s="25"/>
      <c r="S11" s="25"/>
      <c r="T11" s="25"/>
      <c r="U11" s="25"/>
      <c r="V11" s="25"/>
      <c r="W11" s="25"/>
      <c r="X11" s="25"/>
      <c r="Y11" s="25"/>
    </row>
    <row r="12" spans="1:25" ht="14.4">
      <c r="A12" s="24"/>
      <c r="B12" s="24"/>
      <c r="C12" s="24"/>
      <c r="D12" s="24"/>
      <c r="E12" s="24"/>
      <c r="F12" s="24"/>
      <c r="G12" s="24"/>
      <c r="H12" s="24"/>
      <c r="I12" s="24"/>
      <c r="J12" s="24"/>
      <c r="K12" s="24"/>
      <c r="L12" s="25"/>
      <c r="M12" s="25"/>
      <c r="N12" s="25"/>
      <c r="O12" s="25"/>
      <c r="P12" s="25"/>
      <c r="Q12" s="25"/>
      <c r="R12" s="25"/>
      <c r="S12" s="25"/>
      <c r="T12" s="25"/>
      <c r="U12" s="25"/>
      <c r="V12" s="25"/>
      <c r="W12" s="25"/>
      <c r="X12" s="25"/>
      <c r="Y12" s="25"/>
    </row>
    <row r="13" spans="1:25" ht="14.4">
      <c r="A13" s="24"/>
      <c r="B13" s="24"/>
      <c r="C13" s="24"/>
      <c r="D13" s="24"/>
      <c r="E13" s="24"/>
      <c r="F13" s="24"/>
      <c r="G13" s="24"/>
      <c r="H13" s="24"/>
      <c r="I13" s="24"/>
      <c r="J13" s="24"/>
      <c r="K13" s="24"/>
      <c r="L13" s="25"/>
      <c r="M13" s="25"/>
      <c r="N13" s="25"/>
      <c r="O13" s="25"/>
      <c r="P13" s="25"/>
      <c r="Q13" s="25"/>
      <c r="R13" s="25"/>
      <c r="S13" s="25"/>
      <c r="T13" s="25"/>
      <c r="U13" s="25"/>
      <c r="V13" s="25"/>
      <c r="W13" s="25"/>
      <c r="X13" s="25"/>
      <c r="Y13" s="25"/>
    </row>
    <row r="14" spans="1:25" ht="14.4">
      <c r="A14" s="24"/>
      <c r="B14" s="24"/>
      <c r="C14" s="24"/>
      <c r="D14" s="24"/>
      <c r="E14" s="24"/>
      <c r="F14" s="24"/>
      <c r="G14" s="24"/>
      <c r="H14" s="24"/>
      <c r="I14" s="24"/>
      <c r="J14" s="24"/>
      <c r="K14" s="24"/>
      <c r="L14" s="25"/>
      <c r="M14" s="25"/>
      <c r="N14" s="25"/>
      <c r="O14" s="25"/>
      <c r="P14" s="25"/>
      <c r="Q14" s="25"/>
      <c r="R14" s="25"/>
      <c r="S14" s="25"/>
      <c r="T14" s="25"/>
      <c r="U14" s="25"/>
      <c r="V14" s="25"/>
      <c r="W14" s="25"/>
      <c r="X14" s="25"/>
      <c r="Y14" s="25"/>
    </row>
    <row r="15" spans="1:25" ht="14.4">
      <c r="A15" s="24"/>
      <c r="B15" s="24"/>
      <c r="C15" s="24"/>
      <c r="D15" s="24"/>
      <c r="E15" s="24"/>
      <c r="F15" s="24"/>
      <c r="G15" s="24"/>
      <c r="H15" s="24"/>
      <c r="I15" s="24"/>
      <c r="J15" s="24"/>
      <c r="K15" s="24"/>
      <c r="L15" s="25"/>
      <c r="M15" s="25"/>
      <c r="N15" s="25"/>
      <c r="O15" s="25"/>
      <c r="P15" s="25"/>
      <c r="Q15" s="25"/>
      <c r="R15" s="25"/>
      <c r="S15" s="25"/>
      <c r="T15" s="25"/>
      <c r="U15" s="25"/>
      <c r="V15" s="25"/>
      <c r="W15" s="25"/>
      <c r="X15" s="25"/>
      <c r="Y15" s="25"/>
    </row>
    <row r="16" spans="1:25" ht="14.4">
      <c r="A16" s="24"/>
      <c r="B16" s="24"/>
      <c r="C16" s="24"/>
      <c r="D16" s="24"/>
      <c r="E16" s="24"/>
      <c r="F16" s="31"/>
      <c r="G16" s="31"/>
      <c r="H16" s="24"/>
      <c r="I16" s="24"/>
      <c r="J16" s="24"/>
      <c r="K16" s="24"/>
      <c r="L16" s="25"/>
      <c r="M16" s="25"/>
      <c r="N16" s="25"/>
      <c r="O16" s="25"/>
      <c r="P16" s="25"/>
      <c r="Q16" s="25"/>
      <c r="R16" s="25"/>
      <c r="S16" s="25"/>
      <c r="T16" s="25"/>
      <c r="U16" s="25"/>
      <c r="V16" s="25"/>
      <c r="W16" s="25"/>
      <c r="X16" s="25"/>
      <c r="Y16" s="25"/>
    </row>
    <row r="17" spans="1:25" ht="14.4">
      <c r="A17" s="24"/>
      <c r="B17" s="24"/>
      <c r="C17" s="24"/>
      <c r="D17" s="24"/>
      <c r="E17" s="24"/>
      <c r="F17" s="31"/>
      <c r="G17" s="31"/>
      <c r="H17" s="24"/>
      <c r="I17" s="24"/>
      <c r="J17" s="24"/>
      <c r="K17" s="24"/>
      <c r="L17" s="25"/>
      <c r="M17" s="25"/>
      <c r="N17" s="25"/>
      <c r="O17" s="25"/>
      <c r="P17" s="25"/>
      <c r="Q17" s="25"/>
      <c r="R17" s="25"/>
      <c r="S17" s="25"/>
      <c r="T17" s="25"/>
      <c r="U17" s="25"/>
      <c r="V17" s="25"/>
      <c r="W17" s="25"/>
      <c r="X17" s="25"/>
      <c r="Y17" s="25"/>
    </row>
    <row r="18" spans="1:25" ht="14.4">
      <c r="A18" s="24"/>
      <c r="B18" s="24"/>
      <c r="C18" s="24"/>
      <c r="D18" s="24"/>
      <c r="E18" s="24"/>
      <c r="F18" s="24"/>
      <c r="G18" s="24"/>
      <c r="H18" s="24"/>
      <c r="I18" s="24"/>
      <c r="J18" s="24"/>
      <c r="K18" s="24"/>
      <c r="L18" s="25"/>
      <c r="M18" s="25"/>
      <c r="N18" s="25"/>
      <c r="O18" s="25"/>
      <c r="P18" s="25"/>
      <c r="Q18" s="25"/>
      <c r="R18" s="25"/>
      <c r="S18" s="25"/>
      <c r="T18" s="25"/>
      <c r="U18" s="25"/>
      <c r="V18" s="25"/>
      <c r="W18" s="25"/>
      <c r="X18" s="25"/>
      <c r="Y18" s="25"/>
    </row>
    <row r="19" spans="1:25" ht="14.4">
      <c r="A19" s="24"/>
      <c r="B19" s="24"/>
      <c r="C19" s="24"/>
      <c r="D19" s="24"/>
      <c r="E19" s="24"/>
      <c r="F19" s="24"/>
      <c r="G19" s="31"/>
      <c r="H19" s="24"/>
      <c r="I19" s="24"/>
      <c r="J19" s="24"/>
      <c r="K19" s="32"/>
      <c r="L19" s="25"/>
      <c r="M19" s="25"/>
      <c r="N19" s="25"/>
      <c r="O19" s="25"/>
      <c r="P19" s="25"/>
      <c r="Q19" s="25"/>
      <c r="R19" s="25"/>
      <c r="S19" s="25"/>
      <c r="T19" s="25"/>
      <c r="U19" s="25"/>
      <c r="V19" s="25"/>
      <c r="W19" s="25"/>
      <c r="X19" s="25"/>
      <c r="Y19" s="25"/>
    </row>
    <row r="20" spans="1:25" ht="14.4">
      <c r="A20" s="24"/>
      <c r="B20" s="33" t="s">
        <v>105</v>
      </c>
      <c r="C20" s="33" t="s">
        <v>106</v>
      </c>
      <c r="D20" s="33" t="s">
        <v>107</v>
      </c>
      <c r="E20" s="33" t="s">
        <v>108</v>
      </c>
      <c r="F20" s="33" t="s">
        <v>109</v>
      </c>
      <c r="G20" s="33" t="s">
        <v>110</v>
      </c>
      <c r="H20" s="33" t="s">
        <v>111</v>
      </c>
      <c r="I20" s="33" t="s">
        <v>112</v>
      </c>
      <c r="J20" s="34" t="s">
        <v>113</v>
      </c>
      <c r="K20" s="35"/>
      <c r="L20" s="25"/>
      <c r="M20" s="25"/>
      <c r="N20" s="25"/>
      <c r="O20" s="25"/>
      <c r="P20" s="25"/>
      <c r="Q20" s="25"/>
      <c r="R20" s="25"/>
      <c r="S20" s="25"/>
      <c r="T20" s="25"/>
      <c r="U20" s="25"/>
      <c r="V20" s="25"/>
      <c r="W20" s="25"/>
      <c r="X20" s="25"/>
      <c r="Y20" s="25"/>
    </row>
    <row r="21" spans="1:25" ht="14.4">
      <c r="A21" s="24"/>
      <c r="B21" s="36" t="s">
        <v>114</v>
      </c>
      <c r="C21" s="36">
        <f ca="1">IFERROR(__xludf.DUMMYFUNCTION("IFERROR(COUNTIF(ARRAYFORMULA(DATEVALUE(REGEXEXTRACT(INDIRECT(""Leads!"" &amp; ADDRESS(1, MATCH(""Status"", Leads!1:1, 0)) &amp; "":"" &amp; ADDRESS(ROWS(#REF!), MATCH(""Status"", Leads!1:1, 0))), ""\d{2}/\d{2}/\d{4}""))), TODAY()), """")
"),0)</f>
        <v>0</v>
      </c>
      <c r="D21" s="36">
        <f ca="1">IFERROR(__xludf.DUMMYFUNCTION("IFERROR(COUNTIF(ARRAYFORMULA(DATEVALUE(REGEXEXTRACT(INDIRECT(""Leads!"" &amp; ADDRESS(1, MATCH(""Status"", Leads!1:1, 0)) &amp; "":"" &amp; ADDRESS(ROWS(#REF!), MATCH(""Status"", Leads!1:1, 0))), ""\d{2}/\d{2}/\d{4}""))), TODAY() - 1), """")"),0)</f>
        <v>0</v>
      </c>
      <c r="E21" s="36">
        <f ca="1">IFERROR(__xludf.DUMMYFUNCTION("IFERROR(COUNTIF(ARRAYFORMULA(DATEVALUE(REGEXEXTRACT(INDIRECT(""Leads!"" &amp; ADDRESS(1, MATCH(""Status"", Leads!1:1, 0)) &amp; "":"" &amp; ADDRESS(ROWS(#REF!), MATCH(""Status"", Leads!1:1, 0))), ""\d{2}/\d{2}/\d{4}""))), ""&gt;"" &amp; TODAY() - 7), """")"),0)</f>
        <v>0</v>
      </c>
      <c r="F21" s="36">
        <f ca="1">IFERROR(__xludf.DUMMYFUNCTION("IFERROR(COUNTIF(ARRAYFORMULA(DATEVALUE(REGEXEXTRACT(INDIRECT(""Leads!"" &amp; ADDRESS(1, MATCH(""Status"", Leads!1:1, 0)) &amp; "":"" &amp; ADDRESS(ROWS(#REF!), MATCH(""Status"", Leads!1:1, 0))), ""\d{2}/\d{2}/\d{4}""))), ""&gt;"" &amp; TODAY() - 30), """")"),0)</f>
        <v>0</v>
      </c>
      <c r="G21" s="36">
        <f ca="1">IFERROR(__xludf.DUMMYFUNCTION("IFERROR(COUNTIF(ARRAYFORMULA(YEAR(DATEVALUE(REGEXEXTRACT(INDIRECT(""Leads!"" &amp; ADDRESS(1, MATCH(""Status"", Leads!1:1, 0)) &amp; "":"" &amp; ADDRESS(ROWS(#REF!), MATCH(""Status"", Leads!1:1, 0))), ""\d{2}/\d{2}/\d{4}"")))), YEAR(TODAY())), """")"),0)</f>
        <v>0</v>
      </c>
      <c r="H21" s="86">
        <f ca="1">IFERROR(__xludf.DUMMYFUNCTION("ARRAYFORMULA(COUNTA(FILTER(Leads!$K$2:$ZF$998, Leads!$1:$1=""Email"")))"),1)</f>
        <v>1</v>
      </c>
      <c r="I21" s="36">
        <f ca="1">H21:H24-C21</f>
        <v>1</v>
      </c>
      <c r="J21" s="37" t="str">
        <f ca="1">IFERROR(__xludf.DUMMYFUNCTION("SPARKLINE({K21}, {""charttype"",""bar""; ""max"", 1; ""color1"",""green""; ""color2"",""orange""})"),"")</f>
        <v/>
      </c>
      <c r="K21" s="38">
        <f ca="1">((C21 / H21) * 100)/100</f>
        <v>0</v>
      </c>
      <c r="L21" s="25"/>
      <c r="M21" s="25"/>
      <c r="N21" s="25"/>
      <c r="O21" s="25"/>
      <c r="P21" s="25"/>
      <c r="Q21" s="25"/>
      <c r="R21" s="25"/>
      <c r="S21" s="25"/>
      <c r="T21" s="25"/>
      <c r="U21" s="25"/>
      <c r="V21" s="25"/>
      <c r="W21" s="25"/>
      <c r="X21" s="25"/>
      <c r="Y21" s="25"/>
    </row>
    <row r="22" spans="1:25" ht="14.4">
      <c r="A22" s="24"/>
      <c r="B22" s="39" t="s">
        <v>115</v>
      </c>
      <c r="C22" s="40">
        <f ca="1">IFERROR(__xludf.DUMMYFUNCTION("IFERROR(COUNTIF(ARRAYFORMULA(DATEVALUE(REGEXEXTRACT(INDIRECT(""Leads!"" &amp; ADDRESS(1, MATCH(""Follow Up 1"", Leads!1:1, 0)) &amp; "":"" &amp; ADDRESS(ROWS(#REF!), MATCH(""Follow Up 1"", Leads!1:1, 0))), ""\d{2}/\d{2}/\d{4}""))), TODAY()), """")
"),0)</f>
        <v>0</v>
      </c>
      <c r="D22" s="39">
        <f ca="1">IFERROR(__xludf.DUMMYFUNCTION("IFERROR(COUNTIF(ARRAYFORMULA(DATEVALUE(REGEXEXTRACT(INDIRECT(""Leads!"" &amp; ADDRESS(1, MATCH(""Follow Up 1"", Leads!1:1, 0)) &amp; "":"" &amp; ADDRESS(ROWS(#REF!), MATCH(""Follow Up 1"", Leads!1:1, 0))), ""\d{2}/\d{2}/\d{4}""))), TODAY() - 1), """")"),0)</f>
        <v>0</v>
      </c>
      <c r="E22" s="39">
        <f ca="1">IFERROR(__xludf.DUMMYFUNCTION("IFERROR(COUNTIF(ARRAYFORMULA(DATEVALUE(REGEXEXTRACT(INDIRECT(""Leads!"" &amp; ADDRESS(1, MATCH(""Follow Up 1"", Leads!1:1, 0)) &amp; "":"" &amp; ADDRESS(ROWS(#REF!), MATCH(""Follow Up 1"", Leads!1:1, 0))), ""\d{2}/\d{2}/\d{4}""))), ""&gt;"" &amp; TODAY() - 7), """")"),0)</f>
        <v>0</v>
      </c>
      <c r="F22" s="39">
        <f ca="1">IFERROR(__xludf.DUMMYFUNCTION("IFERROR(COUNTIF(ARRAYFORMULA(DATEVALUE(REGEXEXTRACT(INDIRECT(""Leads!"" &amp; ADDRESS(1, MATCH(""Follow Up 1"", Leads!1:1, 0)) &amp; "":"" &amp; ADDRESS(ROWS(#REF!), MATCH(""Follow Up 1"", Leads!1:1, 0))), ""\d{2}/\d{2}/\d{4}""))), ""&gt;"" &amp; TODAY() - 30), """")"),0)</f>
        <v>0</v>
      </c>
      <c r="G22" s="39">
        <f ca="1">IFERROR(__xludf.DUMMYFUNCTION("IFERROR(COUNTIF(ARRAYFORMULA(YEAR(DATEVALUE(REGEXEXTRACT(INDIRECT(""Leads!"" &amp; ADDRESS(1, MATCH(""Follow Up 1"", Leads!1:1, 0)) &amp; "":"" &amp; ADDRESS(ROWS(#REF!), MATCH(""Follow Up 1"", Leads!1:1, 0))), ""\d{2}/\d{2}/\d{4}"")))), YEAR(TODAY())), """")"),0)</f>
        <v>0</v>
      </c>
      <c r="H22" s="75"/>
      <c r="I22" s="39">
        <f ca="1">H21-C22</f>
        <v>1</v>
      </c>
      <c r="J22" s="37" t="str">
        <f ca="1">IFERROR(__xludf.DUMMYFUNCTION("SPARKLINE({K22}, {""charttype"",""bar""; ""max"", 1; ""color1"",""pink""; ""color2"",""orange""})"),"")</f>
        <v/>
      </c>
      <c r="K22" s="38">
        <f ca="1">((C22 / H21) * 100)/100</f>
        <v>0</v>
      </c>
      <c r="L22" s="25"/>
      <c r="M22" s="25"/>
      <c r="N22" s="25"/>
      <c r="O22" s="25"/>
      <c r="P22" s="25"/>
      <c r="Q22" s="25"/>
      <c r="R22" s="25"/>
      <c r="S22" s="25"/>
      <c r="T22" s="25"/>
      <c r="U22" s="25"/>
      <c r="V22" s="25"/>
      <c r="W22" s="25"/>
      <c r="X22" s="25"/>
      <c r="Y22" s="25"/>
    </row>
    <row r="23" spans="1:25" ht="14.4">
      <c r="A23" s="24"/>
      <c r="B23" s="36" t="s">
        <v>116</v>
      </c>
      <c r="C23" s="36">
        <f ca="1">IFERROR(__xludf.DUMMYFUNCTION("IFERROR(COUNTIF(ARRAYFORMULA(DATEVALUE(REGEXEXTRACT(INDIRECT(""Leads!"" &amp; ADDRESS(1, MATCH(""Follow Up 2"", Leads!1:1, 0)) &amp; "":"" &amp; ADDRESS(ROWS(#REF!), MATCH(""Follow Up 2"", Leads!1:1, 0))), ""\d{2}/\d{2}/\d{4}""))), TODAY()), """")
"),0)</f>
        <v>0</v>
      </c>
      <c r="D23" s="36">
        <f ca="1">IFERROR(__xludf.DUMMYFUNCTION("IFERROR(COUNTIF(ARRAYFORMULA(DATEVALUE(REGEXEXTRACT(INDIRECT(""Leads!"" &amp; ADDRESS(1, MATCH(""Follow Up 2"", Leads!1:1, 0)) &amp; "":"" &amp; ADDRESS(ROWS(#REF!), MATCH(""Follow Up 2"", Leads!1:1, 0))), ""\d{2}/\d{2}/\d{4}""))), TODAY() - 1), """")"),0)</f>
        <v>0</v>
      </c>
      <c r="E23" s="36">
        <f ca="1">IFERROR(__xludf.DUMMYFUNCTION("IFERROR(COUNTIF(ARRAYFORMULA(DATEVALUE(REGEXEXTRACT(INDIRECT(""Leads!"" &amp; ADDRESS(1, MATCH(""Follow Up 2"", Leads!1:1, 0)) &amp; "":"" &amp; ADDRESS(ROWS(#REF!), MATCH(""Follow Up 2"", Leads!1:1, 0))), ""\d{2}/\d{2}/\d{4}""))), ""&gt;"" &amp; TODAY() - 7), """")"),0)</f>
        <v>0</v>
      </c>
      <c r="F23" s="36">
        <f ca="1">IFERROR(__xludf.DUMMYFUNCTION("IFERROR(COUNTIF(ARRAYFORMULA(DATEVALUE(REGEXEXTRACT(INDIRECT(""Leads!"" &amp; ADDRESS(1, MATCH(""Follow Up 2"", Leads!1:1, 0)) &amp; "":"" &amp; ADDRESS(ROWS(#REF!), MATCH(""Follow Up 2"", Leads!1:1, 0))), ""\d{2}/\d{2}/\d{4}""))), ""&gt;"" &amp; TODAY() - 30), """")"),0)</f>
        <v>0</v>
      </c>
      <c r="G23" s="36">
        <f ca="1">IFERROR(__xludf.DUMMYFUNCTION("IFERROR(COUNTIF(ARRAYFORMULA(YEAR(DATEVALUE(REGEXEXTRACT(INDIRECT(""Leads!"" &amp; ADDRESS(1, MATCH(""Follow Up 2"", Leads!1:1, 0)) &amp; "":"" &amp; ADDRESS(ROWS(#REF!), MATCH(""Follow Up 2"", Leads!1:1, 0))), ""\d{2}/\d{2}/\d{4}"")))), YEAR(TODAY())), """")"),0)</f>
        <v>0</v>
      </c>
      <c r="H23" s="75"/>
      <c r="I23" s="36">
        <f ca="1">H21-C23</f>
        <v>1</v>
      </c>
      <c r="J23" s="41" t="str">
        <f ca="1">IFERROR(__xludf.DUMMYFUNCTION("SPARKLINE({K23}, {""charttype"",""bar""; ""max"", 1; ""color1"",""orange""; ""color2"",""orange""})"),"")</f>
        <v/>
      </c>
      <c r="K23" s="38">
        <f ca="1">((C23 / H21) * 100)/100</f>
        <v>0</v>
      </c>
      <c r="L23" s="25"/>
      <c r="M23" s="25"/>
      <c r="N23" s="25"/>
      <c r="O23" s="25"/>
      <c r="P23" s="25"/>
      <c r="Q23" s="25"/>
      <c r="R23" s="25"/>
      <c r="S23" s="25"/>
      <c r="T23" s="25"/>
      <c r="U23" s="25"/>
      <c r="V23" s="25"/>
      <c r="W23" s="25"/>
      <c r="X23" s="25"/>
      <c r="Y23" s="25"/>
    </row>
    <row r="24" spans="1:25" ht="14.4">
      <c r="A24" s="24"/>
      <c r="B24" s="39" t="s">
        <v>117</v>
      </c>
      <c r="C24" s="39">
        <f ca="1">IFERROR(__xludf.DUMMYFUNCTION("IFERROR(COUNTIF(ARRAYFORMULA(DATEVALUE(REGEXEXTRACT(INDIRECT(""Leads!"" &amp; ADDRESS(1, MATCH(""Follow Up 3"", Leads!1:1, 0)) &amp; "":"" &amp; ADDRESS(ROWS(#REF!), MATCH(""Follow Up 3"", Leads!1:1, 0))), ""\d{2}/\d{2}/\d{4}""))), TODAY()), """")
"),0)</f>
        <v>0</v>
      </c>
      <c r="D24" s="39">
        <f ca="1">IFERROR(__xludf.DUMMYFUNCTION("IFERROR(COUNTIF(ARRAYFORMULA(DATEVALUE(REGEXEXTRACT(INDIRECT(""Leads!"" &amp; ADDRESS(1, MATCH(""Follow Up 3"", Leads!1:1, 0)) &amp; "":"" &amp; ADDRESS(ROWS(#REF!), MATCH(""Follow Up 3"", Leads!1:1, 0))), ""\d{2}/\d{2}/\d{4}""))), TODAY() - 1), """")"),0)</f>
        <v>0</v>
      </c>
      <c r="E24" s="39">
        <f ca="1">IFERROR(__xludf.DUMMYFUNCTION("IFERROR(COUNTIF(ARRAYFORMULA(DATEVALUE(REGEXEXTRACT(INDIRECT(""Leads!"" &amp; ADDRESS(1, MATCH(""Follow Up 3"", Leads!1:1, 0)) &amp; "":"" &amp; ADDRESS(ROWS(#REF!), MATCH(""Follow Up 3"", Leads!1:1, 0))), ""\d{2}/\d{2}/\d{4}""))), ""&gt;"" &amp; TODAY() - 7), """")"),0)</f>
        <v>0</v>
      </c>
      <c r="F24" s="39">
        <f ca="1">IFERROR(__xludf.DUMMYFUNCTION("IFERROR(COUNTIF(ARRAYFORMULA(DATEVALUE(REGEXEXTRACT(INDIRECT(""Leads!"" &amp; ADDRESS(1, MATCH(""Follow Up 3"", Leads!1:1, 0)) &amp; "":"" &amp; ADDRESS(ROWS(#REF!), MATCH(""Follow Up 3"", Leads!1:1, 0))), ""\d{2}/\d{2}/\d{4}""))), ""&gt;"" &amp; TODAY() - 30), """")"),0)</f>
        <v>0</v>
      </c>
      <c r="G24" s="39">
        <f ca="1">IFERROR(__xludf.DUMMYFUNCTION("IFERROR(COUNTIF(ARRAYFORMULA(YEAR(DATEVALUE(REGEXEXTRACT(INDIRECT(""Leads!"" &amp; ADDRESS(1, MATCH(""Follow Up 3"", Leads!1:1, 0)) &amp; "":"" &amp; ADDRESS(ROWS(#REF!), MATCH(""Follow Up 3"", Leads!1:1, 0))), ""\d{2}/\d{2}/\d{4}"")))), YEAR(TODAY())), """")"),0)</f>
        <v>0</v>
      </c>
      <c r="H24" s="75"/>
      <c r="I24" s="39">
        <f ca="1">H21-C24</f>
        <v>1</v>
      </c>
      <c r="J24" s="42" t="str">
        <f ca="1">IFERROR(__xludf.DUMMYFUNCTION("SPARKLINE({K24}, {""charttype"",""bar""; ""max"", 1; ""color1"",""red""; ""color2"",""orange""})"),"")</f>
        <v/>
      </c>
      <c r="K24" s="38">
        <f ca="1">((C24 / H21) * 100)/100</f>
        <v>0</v>
      </c>
      <c r="L24" s="25"/>
      <c r="M24" s="25"/>
      <c r="N24" s="25"/>
      <c r="O24" s="25"/>
      <c r="P24" s="25"/>
      <c r="Q24" s="25"/>
      <c r="R24" s="25"/>
      <c r="S24" s="25"/>
      <c r="T24" s="25"/>
      <c r="U24" s="25"/>
      <c r="V24" s="25"/>
      <c r="W24" s="25"/>
      <c r="X24" s="25"/>
      <c r="Y24" s="25"/>
    </row>
    <row r="25" spans="1:25" ht="14.4">
      <c r="A25" s="24"/>
      <c r="B25" s="87"/>
      <c r="C25" s="88"/>
      <c r="D25" s="88"/>
      <c r="E25" s="88"/>
      <c r="F25" s="88"/>
      <c r="G25" s="88"/>
      <c r="H25" s="88"/>
      <c r="I25" s="88"/>
      <c r="J25" s="89"/>
      <c r="K25" s="24"/>
      <c r="L25" s="25"/>
      <c r="M25" s="25"/>
      <c r="N25" s="25"/>
      <c r="O25" s="25"/>
      <c r="P25" s="25"/>
      <c r="Q25" s="25"/>
      <c r="R25" s="25"/>
      <c r="S25" s="25"/>
      <c r="T25" s="25"/>
      <c r="U25" s="25"/>
      <c r="V25" s="25"/>
      <c r="W25" s="25"/>
      <c r="X25" s="25"/>
      <c r="Y25" s="25"/>
    </row>
    <row r="26" spans="1:25" ht="14.4">
      <c r="A26" s="24"/>
      <c r="B26" s="24"/>
      <c r="C26" s="24"/>
      <c r="D26" s="24"/>
      <c r="E26" s="24"/>
      <c r="F26" s="24"/>
      <c r="G26" s="24"/>
      <c r="H26" s="24"/>
      <c r="I26" s="24"/>
      <c r="J26" s="24"/>
      <c r="K26" s="24"/>
      <c r="L26" s="25"/>
      <c r="M26" s="25"/>
      <c r="N26" s="25"/>
      <c r="O26" s="25"/>
      <c r="P26" s="25"/>
      <c r="Q26" s="25"/>
      <c r="R26" s="25"/>
      <c r="S26" s="25"/>
      <c r="T26" s="25"/>
      <c r="U26" s="25"/>
      <c r="V26" s="25"/>
      <c r="W26" s="25"/>
      <c r="X26" s="25"/>
      <c r="Y26" s="25"/>
    </row>
    <row r="27" spans="1:25" ht="14.4" hidden="1">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14.4" hidden="1">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14.4" hidden="1">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14.4" hidden="1">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14.4" hidden="1">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14.4" hidden="1">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14.4" hidden="1">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14.4" hidden="1">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14.4" hidden="1">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14.4" hidden="1">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14.4" hidden="1">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14.4" hidden="1">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14.4" hidden="1">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14.4" hidden="1">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14.4" hidden="1">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14.4" hidden="1">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14.4" hidden="1">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14.4" hidden="1">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14.4" hidden="1">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14.4" hidden="1">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14.4" hidden="1">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14.4" hidden="1">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14.4" hidden="1">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14.4" hidden="1">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14.4" hidden="1">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14.4" hidden="1">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14.4" hidden="1">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14.4" hidden="1">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14.4" hidden="1">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14.4" hidden="1">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14.4" hidden="1">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14.4" hidden="1">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14.4" hidden="1">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14.4" hidden="1">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14.4" hidden="1">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14.4" hidden="1">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14.4" hidden="1">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14.4" hidden="1">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14.4" hidden="1">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14.4" hidden="1">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14.4" hidden="1">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14.4" hidden="1">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14.4" hidden="1">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14.4" hidden="1">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14.4" hidden="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14.4" hidden="1">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14.4" hidden="1">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14.4" hidden="1">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14.4" hidden="1">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14.4" hidden="1">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14.4" hidden="1">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14.4" hidden="1">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14.4" hidden="1">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14.4" hidden="1">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14.4" hidden="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14.4" hidden="1">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14.4" hidden="1">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14.4" hidden="1">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14.4" hidden="1">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14.4" hidden="1">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14.4" hidden="1">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14.4" hidden="1">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14.4" hidden="1">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14.4" hidden="1">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14.4" hidden="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14.4" hidden="1">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14.4" hidden="1">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14.4" hidden="1">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14.4" hidden="1">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14.4" hidden="1">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14.4" hidden="1">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14.4" hidden="1">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14.4" hidden="1">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14.4" hidden="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14.4" hidden="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14.4" hidden="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14.4" hidden="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14.4" hidden="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14.4" hidden="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14.4" hidden="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14.4" hidden="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14.4" hidden="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14.4" hidden="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14.4" hidden="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14.4" hidden="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14.4" hidden="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14.4" hidden="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14.4" hidden="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14.4" hidden="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14.4" hidden="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14.4" hidden="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14.4" hidden="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14.4" hidden="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14.4" hidden="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14.4" hidden="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14.4" hidden="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14.4" hidden="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14.4" hidden="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14.4" hidden="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14.4" hidden="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14.4" hidden="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14.4" hidden="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14.4" hidden="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14.4" hidden="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14.4" hidden="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14.4" hidden="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14.4" hidden="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14.4" hidden="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14.4" hidden="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14.4" hidden="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14.4" hidden="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14.4" hidden="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14.4" hidden="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14.4" hidden="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14.4" hidden="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14.4" hidden="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14.4" hidden="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14.4" hidden="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14.4" hidden="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14.4" hidden="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14.4" hidden="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14.4" hidden="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14.4" hidden="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14.4" hidden="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14.4" hidden="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14.4" hidden="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14.4" hidden="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14.4" hidden="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14.4" hidden="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14.4" hidden="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14.4" hidden="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14.4" hidden="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14.4" hidden="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14.4" hidden="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14.4" hidden="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14.4" hidden="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14.4" hidden="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14.4" hidden="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14.4" hidden="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14.4" hidden="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14.4" hidden="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14.4" hidden="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14.4" hidden="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14.4" hidden="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14.4" hidden="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14.4" hidden="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14.4" hidden="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14.4" hidden="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14.4" hidden="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14.4" hidden="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14.4" hidden="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14.4" hidden="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14.4" hidden="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14.4" hidden="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14.4" hidden="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14.4" hidden="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14.4" hidden="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14.4" hidden="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14.4" hidden="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14.4" hidden="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14.4" hidden="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14.4" hidden="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14.4" hidden="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14.4" hidden="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14.4" hidden="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14.4" hidden="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14.4" hidden="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14.4" hidden="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14.4" hidden="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14.4" hidden="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14.4" hidden="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14.4" hidden="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14.4" hidden="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14.4" hidden="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14.4" hidden="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14.4" hidden="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14.4" hidden="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14.4" hidden="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14.4" hidden="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14.4" hidden="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14.4" hidden="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14.4" hidden="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14.4" hidden="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14.4" hidden="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14.4" hidden="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14.4" hidden="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14.4" hidden="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14.4" hidden="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14.4" hidden="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14.4" hidden="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14.4" hidden="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14.4" hidden="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14.4" hidden="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14.4" hidden="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14.4" hidden="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14.4" hidden="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14.4" hidden="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14.4" hidden="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14.4" hidden="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14.4" hidden="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14.4" hidden="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14.4" hidden="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14.4" hidden="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14.4" hidden="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14.4" hidden="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14.4" hidden="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14.4" hidden="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14.4" hidden="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14.4" hidden="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14.4" hidden="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14.4" hidden="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14.4" hidden="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14.4" hidden="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14.4" hidden="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14.4" hidden="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14.4" hidden="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14.4" hidden="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14.4" hidden="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14.4" hidden="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14.4" hidden="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14.4" hidden="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14.4" hidden="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14.4" hidden="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14.4" hidden="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14.4" hidden="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14.4" hidden="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14.4" hidden="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14.4" hidden="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14.4" hidden="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14.4" hidden="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14.4" hidden="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14.4" hidden="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14.4" hidden="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14.4" hidden="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14.4" hidden="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14.4" hidden="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14.4" hidden="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14.4" hidden="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14.4" hidden="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14.4" hidden="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14.4" hidden="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14.4" hidden="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14.4" hidden="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14.4" hidden="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14.4" hidden="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14.4" hidden="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14.4" hidden="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14.4" hidden="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14.4" hidden="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14.4" hidden="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14.4" hidden="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14.4" hidden="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14.4" hidden="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14.4" hidden="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14.4" hidden="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14.4" hidden="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14.4" hidden="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14.4" hidden="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14.4" hidden="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14.4" hidden="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14.4" hidden="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14.4" hidden="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14.4" hidden="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14.4" hidden="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14.4" hidden="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14.4" hidden="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14.4" hidden="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14.4" hidden="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14.4" hidden="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14.4" hidden="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14.4" hidden="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14.4" hidden="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14.4" hidden="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14.4" hidden="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14.4" hidden="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14.4" hidden="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14.4" hidden="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14.4" hidden="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14.4" hidden="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14.4" hidden="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14.4" hidden="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14.4" hidden="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14.4" hidden="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14.4" hidden="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14.4" hidden="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14.4" hidden="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14.4" hidden="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14.4" hidden="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14.4" hidden="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14.4" hidden="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14.4" hidden="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14.4" hidden="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14.4" hidden="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14.4" hidden="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14.4" hidden="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14.4" hidden="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14.4" hidden="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14.4" hidden="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14.4" hidden="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14.4" hidden="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14.4" hidden="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14.4" hidden="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14.4" hidden="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14.4" hidden="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14.4" hidden="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14.4" hidden="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14.4" hidden="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14.4" hidden="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14.4" hidden="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14.4" hidden="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14.4" hidden="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14.4" hidden="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14.4" hidden="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14.4" hidden="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14.4" hidden="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14.4" hidden="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14.4" hidden="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14.4" hidden="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14.4" hidden="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14.4" hidden="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14.4" hidden="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14.4" hidden="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14.4" hidden="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14.4" hidden="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14.4" hidden="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14.4" hidden="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14.4" hidden="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14.4" hidden="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14.4" hidden="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14.4" hidden="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14.4" hidden="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14.4" hidden="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14.4" hidden="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14.4" hidden="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14.4" hidden="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14.4" hidden="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14.4" hidden="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14.4" hidden="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14.4" hidden="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14.4" hidden="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14.4" hidden="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14.4" hidden="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14.4" hidden="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14.4" hidden="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14.4" hidden="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14.4" hidden="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14.4" hidden="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14.4" hidden="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14.4" hidden="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14.4" hidden="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14.4" hidden="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14.4" hidden="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14.4" hidden="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14.4" hidden="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14.4" hidden="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14.4" hidden="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14.4" hidden="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14.4" hidden="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14.4" hidden="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14.4" hidden="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14.4" hidden="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14.4" hidden="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14.4" hidden="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14.4" hidden="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14.4" hidden="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14.4" hidden="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14.4" hidden="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14.4" hidden="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14.4" hidden="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14.4" hidden="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14.4" hidden="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14.4" hidden="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14.4" hidden="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14.4" hidden="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14.4" hidden="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14.4" hidden="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14.4" hidden="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14.4" hidden="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14.4" hidden="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14.4" hidden="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14.4" hidden="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14.4" hidden="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14.4" hidden="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14.4" hidden="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14.4" hidden="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14.4" hidden="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14.4" hidden="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14.4" hidden="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14.4" hidden="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14.4" hidden="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14.4" hidden="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14.4" hidden="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14.4" hidden="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14.4" hidden="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14.4" hidden="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14.4" hidden="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14.4" hidden="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14.4" hidden="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14.4" hidden="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14.4" hidden="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14.4" hidden="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14.4" hidden="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14.4" hidden="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14.4" hidden="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14.4" hidden="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14.4" hidden="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14.4" hidden="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14.4" hidden="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14.4" hidden="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14.4" hidden="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14.4" hidden="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14.4" hidden="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14.4" hidden="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14.4" hidden="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14.4" hidden="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14.4" hidden="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14.4" hidden="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14.4" hidden="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14.4" hidden="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14.4" hidden="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14.4" hidden="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14.4" hidden="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14.4" hidden="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14.4" hidden="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14.4" hidden="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14.4" hidden="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14.4" hidden="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14.4" hidden="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14.4" hidden="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14.4" hidden="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14.4" hidden="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14.4" hidden="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14.4" hidden="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14.4" hidden="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14.4" hidden="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14.4" hidden="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14.4" hidden="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14.4" hidden="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14.4" hidden="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14.4" hidden="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14.4" hidden="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14.4" hidden="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14.4" hidden="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14.4" hidden="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14.4" hidden="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14.4" hidden="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14.4" hidden="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14.4" hidden="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14.4" hidden="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14.4" hidden="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14.4" hidden="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14.4" hidden="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14.4" hidden="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14.4" hidden="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14.4" hidden="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14.4" hidden="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14.4" hidden="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14.4" hidden="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14.4" hidden="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14.4" hidden="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14.4" hidden="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14.4" hidden="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14.4" hidden="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14.4" hidden="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14.4" hidden="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14.4" hidden="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14.4" hidden="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14.4" hidden="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14.4" hidden="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14.4" hidden="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14.4" hidden="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14.4" hidden="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14.4" hidden="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14.4" hidden="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14.4" hidden="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14.4" hidden="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14.4" hidden="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14.4" hidden="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14.4" hidden="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14.4" hidden="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14.4" hidden="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14.4" hidden="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14.4" hidden="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14.4" hidden="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14.4" hidden="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14.4" hidden="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14.4" hidden="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14.4" hidden="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14.4" hidden="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14.4" hidden="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14.4" hidden="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14.4" hidden="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14.4" hidden="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14.4" hidden="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14.4" hidden="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14.4" hidden="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14.4" hidden="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14.4" hidden="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14.4" hidden="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14.4" hidden="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14.4" hidden="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14.4" hidden="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14.4" hidden="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14.4" hidden="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14.4" hidden="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14.4" hidden="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14.4" hidden="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14.4" hidden="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14.4" hidden="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14.4" hidden="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14.4" hidden="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14.4" hidden="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14.4" hidden="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14.4" hidden="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14.4" hidden="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14.4" hidden="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14.4" hidden="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14.4" hidden="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14.4" hidden="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14.4" hidden="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14.4" hidden="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14.4" hidden="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14.4" hidden="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14.4" hidden="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14.4" hidden="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14.4" hidden="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14.4" hidden="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14.4" hidden="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14.4" hidden="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14.4" hidden="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14.4" hidden="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14.4" hidden="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14.4" hidden="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14.4" hidden="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14.4" hidden="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14.4" hidden="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14.4" hidden="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14.4" hidden="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14.4" hidden="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14.4" hidden="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14.4" hidden="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14.4" hidden="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14.4" hidden="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14.4" hidden="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14.4" hidden="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14.4" hidden="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14.4" hidden="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14.4" hidden="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14.4" hidden="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14.4" hidden="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14.4" hidden="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14.4" hidden="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14.4" hidden="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14.4" hidden="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14.4" hidden="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14.4" hidden="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14.4" hidden="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14.4" hidden="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14.4" hidden="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14.4" hidden="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14.4" hidden="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14.4" hidden="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14.4" hidden="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14.4" hidden="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14.4" hidden="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14.4" hidden="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14.4" hidden="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14.4" hidden="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14.4" hidden="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14.4" hidden="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14.4" hidden="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14.4" hidden="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14.4" hidden="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14.4" hidden="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14.4" hidden="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14.4" hidden="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14.4" hidden="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14.4" hidden="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14.4" hidden="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14.4" hidden="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14.4" hidden="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14.4" hidden="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14.4" hidden="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14.4" hidden="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14.4" hidden="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14.4" hidden="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14.4" hidden="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14.4" hidden="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14.4" hidden="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14.4" hidden="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14.4" hidden="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14.4" hidden="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14.4" hidden="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14.4" hidden="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14.4" hidden="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14.4" hidden="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14.4" hidden="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14.4" hidden="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14.4" hidden="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14.4" hidden="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14.4" hidden="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14.4" hidden="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14.4" hidden="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14.4" hidden="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14.4" hidden="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14.4" hidden="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14.4" hidden="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14.4" hidden="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14.4" hidden="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14.4" hidden="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14.4" hidden="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14.4" hidden="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14.4" hidden="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14.4" hidden="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14.4" hidden="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14.4" hidden="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14.4" hidden="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14.4" hidden="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14.4" hidden="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14.4" hidden="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14.4" hidden="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14.4" hidden="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14.4" hidden="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14.4" hidden="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14.4" hidden="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14.4" hidden="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14.4" hidden="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14.4" hidden="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14.4" hidden="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14.4" hidden="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14.4" hidden="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14.4" hidden="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14.4" hidden="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14.4" hidden="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14.4" hidden="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14.4" hidden="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14.4" hidden="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14.4" hidden="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14.4" hidden="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14.4" hidden="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14.4" hidden="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14.4" hidden="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14.4" hidden="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14.4" hidden="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14.4" hidden="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14.4" hidden="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14.4" hidden="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14.4" hidden="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14.4" hidden="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14.4" hidden="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14.4" hidden="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14.4" hidden="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14.4" hidden="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14.4" hidden="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14.4" hidden="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14.4" hidden="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14.4" hidden="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14.4" hidden="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14.4" hidden="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14.4" hidden="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14.4" hidden="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14.4" hidden="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14.4" hidden="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14.4" hidden="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14.4" hidden="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14.4" hidden="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14.4" hidden="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14.4" hidden="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14.4" hidden="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14.4" hidden="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14.4" hidden="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14.4" hidden="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14.4" hidden="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14.4" hidden="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14.4" hidden="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14.4" hidden="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14.4" hidden="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14.4" hidden="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14.4" hidden="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14.4" hidden="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14.4" hidden="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14.4" hidden="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14.4" hidden="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14.4" hidden="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14.4" hidden="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14.4" hidden="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14.4" hidden="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14.4" hidden="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14.4" hidden="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14.4" hidden="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14.4" hidden="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14.4" hidden="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14.4" hidden="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14.4" hidden="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14.4" hidden="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14.4" hidden="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14.4" hidden="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14.4" hidden="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14.4" hidden="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14.4" hidden="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14.4" hidden="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14.4" hidden="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14.4" hidden="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14.4" hidden="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14.4" hidden="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14.4" hidden="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14.4" hidden="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14.4" hidden="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14.4" hidden="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14.4" hidden="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14.4" hidden="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14.4" hidden="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14.4" hidden="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14.4" hidden="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14.4" hidden="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14.4" hidden="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14.4" hidden="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14.4" hidden="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14.4" hidden="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14.4" hidden="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14.4" hidden="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14.4" hidden="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14.4" hidden="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14.4" hidden="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14.4" hidden="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14.4" hidden="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14.4" hidden="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14.4" hidden="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14.4" hidden="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14.4" hidden="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14.4" hidden="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14.4" hidden="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14.4" hidden="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14.4" hidden="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14.4" hidden="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14.4" hidden="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14.4" hidden="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14.4" hidden="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14.4" hidden="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14.4" hidden="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14.4" hidden="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14.4" hidden="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14.4" hidden="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14.4" hidden="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14.4" hidden="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14.4" hidden="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14.4" hidden="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14.4" hidden="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14.4" hidden="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14.4" hidden="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14.4" hidden="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14.4" hidden="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14.4" hidden="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14.4" hidden="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14.4" hidden="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14.4" hidden="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14.4" hidden="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14.4" hidden="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14.4" hidden="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14.4" hidden="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14.4" hidden="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14.4" hidden="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14.4" hidden="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14.4" hidden="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14.4" hidden="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14.4" hidden="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14.4" hidden="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14.4" hidden="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14.4" hidden="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14.4" hidden="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14.4" hidden="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14.4" hidden="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14.4" hidden="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14.4" hidden="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14.4" hidden="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14.4" hidden="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14.4" hidden="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14.4" hidden="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14.4" hidden="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14.4" hidden="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14.4" hidden="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14.4" hidden="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14.4" hidden="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14.4" hidden="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14.4" hidden="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14.4" hidden="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14.4" hidden="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14.4" hidden="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14.4" hidden="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14.4" hidden="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14.4" hidden="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14.4" hidden="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14.4" hidden="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14.4" hidden="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14.4" hidden="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14.4" hidden="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14.4" hidden="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14.4" hidden="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14.4" hidden="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14.4" hidden="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14.4" hidden="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14.4" hidden="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14.4" hidden="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14.4" hidden="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14.4" hidden="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14.4" hidden="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14.4" hidden="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14.4" hidden="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14.4" hidden="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14.4" hidden="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14.4" hidden="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14.4" hidden="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14.4" hidden="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14.4" hidden="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14.4" hidden="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14.4" hidden="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14.4" hidden="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14.4" hidden="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14.4" hidden="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14.4" hidden="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14.4" hidden="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14.4" hidden="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14.4" hidden="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14.4" hidden="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14.4" hidden="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14.4" hidden="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14.4" hidden="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14.4" hidden="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14.4" hidden="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14.4" hidden="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14.4" hidden="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14.4" hidden="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14.4" hidden="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14.4" hidden="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14.4" hidden="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14.4" hidden="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14.4" hidden="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14.4" hidden="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14.4" hidden="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14.4" hidden="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14.4" hidden="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14.4" hidden="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14.4" hidden="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14.4" hidden="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14.4" hidden="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14.4" hidden="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14.4" hidden="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14.4" hidden="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14.4" hidden="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14.4" hidden="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14.4" hidden="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14.4" hidden="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14.4" hidden="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14.4" hidden="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14.4" hidden="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14.4" hidden="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14.4" hidden="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14.4" hidden="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14.4" hidden="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14.4" hidden="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14.4" hidden="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14.4" hidden="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14.4" hidden="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14.4" hidden="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14.4" hidden="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14.4" hidden="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14.4" hidden="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14.4" hidden="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14.4" hidden="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14.4" hidden="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14.4" hidden="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14.4" hidden="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14.4" hidden="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14.4" hidden="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14.4" hidden="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14.4" hidden="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14.4" hidden="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14.4" hidden="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14.4" hidden="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14.4" hidden="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14.4" hidden="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14.4" hidden="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14.4" hidden="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14.4" hidden="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14.4" hidden="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14.4" hidden="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14.4" hidden="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14.4" hidden="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14.4" hidden="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14.4" hidden="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14.4" hidden="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14.4" hidden="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14.4" hidden="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14.4" hidden="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14.4" hidden="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14.4" hidden="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14.4" hidden="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14.4" hidden="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14.4" hidden="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14.4" hidden="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14.4" hidden="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14.4" hidden="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14.4" hidden="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14.4" hidden="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14.4" hidden="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14.4" hidden="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14.4" hidden="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14.4" hidden="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14.4" hidden="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14.4" hidden="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14.4" hidden="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14.4" hidden="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14.4" hidden="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14.4" hidden="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14.4" hidden="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14.4" hidden="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14.4" hidden="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14.4" hidden="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14.4" hidden="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14.4" hidden="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14.4" hidden="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14.4" hidden="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14.4" hidden="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14.4" hidden="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14.4" hidden="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14.4" hidden="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14.4" hidden="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14.4" hidden="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14.4" hidden="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14.4" hidden="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14.4" hidden="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14.4" hidden="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14.4" hidden="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14.4" hidden="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14.4" hidden="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14.4" hidden="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14.4" hidden="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14.4" hidden="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14.4" hidden="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14.4" hidden="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14.4" hidden="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14.4" hidden="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14.4" hidden="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14.4" hidden="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14.4" hidden="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14.4" hidden="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14.4" hidden="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14.4" hidden="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14.4" hidden="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14.4" hidden="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14.4" hidden="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14.4" hidden="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14.4" hidden="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14.4" hidden="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14.4" hidden="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14.4" hidden="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14.4" hidden="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14.4" hidden="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14.4" hidden="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14.4" hidden="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spans="1:25" ht="14.4" hidden="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spans="1:25" ht="14.4" hidden="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spans="1:25" ht="14.4" hidden="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spans="1:25" ht="14.4" hidden="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spans="1:25" ht="14.4" hidden="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spans="1:25" ht="14.4" hidden="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spans="1:25" ht="14.4" hidden="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row r="994" spans="1:25" ht="14.4" hidden="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row>
    <row r="995" spans="1:25" ht="14.4" hidden="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row>
    <row r="996" spans="1:25" ht="14.4" hidden="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row>
    <row r="997" spans="1:25" ht="14.4" hidden="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row>
  </sheetData>
  <mergeCells count="3">
    <mergeCell ref="F2:J4"/>
    <mergeCell ref="H21:H24"/>
    <mergeCell ref="B25:J25"/>
  </mergeCells>
  <dataValidations count="1">
    <dataValidation type="custom" allowBlank="1" showDropDown="1" sqref="K4:N4" xr:uid="{00000000-0002-0000-0100-000000000000}">
      <formula1>OR(NOT(ISERROR(DATEVALUE(K4))), AND(ISNUMBER(K4), LEFT(CELL("format", K4))="D"))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7BB8A"/>
    <outlinePr summaryBelow="0" summaryRight="0"/>
  </sheetPr>
  <dimension ref="A1:J9974"/>
  <sheetViews>
    <sheetView workbookViewId="0">
      <pane ySplit="1" topLeftCell="A2" activePane="bottomLeft" state="frozen"/>
      <selection pane="bottomLeft" activeCell="B3" sqref="B3"/>
    </sheetView>
  </sheetViews>
  <sheetFormatPr defaultColWidth="12.6640625" defaultRowHeight="15.75" customHeight="1"/>
  <cols>
    <col min="1" max="3" width="20" customWidth="1"/>
    <col min="4" max="4" width="25.109375" customWidth="1"/>
    <col min="5" max="5" width="29.77734375" customWidth="1"/>
    <col min="6" max="6" width="21.77734375" customWidth="1"/>
    <col min="7" max="7" width="35.6640625" customWidth="1"/>
    <col min="8" max="10" width="21.77734375" customWidth="1"/>
  </cols>
  <sheetData>
    <row r="1" spans="1:10" ht="18" customHeight="1">
      <c r="A1" s="43" t="s">
        <v>118</v>
      </c>
      <c r="B1" s="43" t="s">
        <v>119</v>
      </c>
      <c r="C1" s="43" t="s">
        <v>120</v>
      </c>
      <c r="D1" s="43" t="s">
        <v>121</v>
      </c>
      <c r="E1" s="43" t="s">
        <v>122</v>
      </c>
      <c r="F1" s="43" t="s">
        <v>123</v>
      </c>
      <c r="G1" s="43" t="s">
        <v>124</v>
      </c>
      <c r="H1" s="43" t="s">
        <v>125</v>
      </c>
      <c r="I1" s="43" t="s">
        <v>126</v>
      </c>
      <c r="J1" s="43" t="s">
        <v>127</v>
      </c>
    </row>
    <row r="2" spans="1:10" ht="14.4">
      <c r="A2" s="44"/>
      <c r="B2" s="44"/>
      <c r="D2" s="25"/>
      <c r="E2" s="44"/>
      <c r="F2" s="25" t="s">
        <v>123</v>
      </c>
      <c r="G2" s="25"/>
      <c r="H2" s="25"/>
      <c r="I2" s="25"/>
      <c r="J2" s="25"/>
    </row>
    <row r="3" spans="1:10" ht="14.4">
      <c r="A3" s="44"/>
      <c r="B3" s="44"/>
      <c r="D3" s="25"/>
      <c r="E3" s="44"/>
      <c r="F3" s="25" t="s">
        <v>123</v>
      </c>
      <c r="G3" s="25"/>
      <c r="H3" s="25"/>
      <c r="I3" s="25"/>
      <c r="J3" s="25"/>
    </row>
    <row r="4" spans="1:10" ht="14.4">
      <c r="A4" s="44"/>
      <c r="B4" s="44"/>
      <c r="D4" s="25"/>
      <c r="E4" s="44"/>
      <c r="F4" s="25" t="s">
        <v>123</v>
      </c>
      <c r="G4" s="25"/>
      <c r="H4" s="25"/>
      <c r="I4" s="25"/>
      <c r="J4" s="25"/>
    </row>
    <row r="5" spans="1:10" ht="14.4">
      <c r="A5" s="44"/>
      <c r="B5" s="44"/>
      <c r="D5" s="25"/>
      <c r="E5" s="44"/>
      <c r="F5" s="25" t="s">
        <v>123</v>
      </c>
      <c r="G5" s="25"/>
      <c r="H5" s="25"/>
      <c r="I5" s="25"/>
      <c r="J5" s="25"/>
    </row>
    <row r="6" spans="1:10" ht="14.4">
      <c r="A6" s="44"/>
      <c r="B6" s="44"/>
      <c r="D6" s="25"/>
      <c r="E6" s="44"/>
      <c r="F6" s="25" t="s">
        <v>123</v>
      </c>
      <c r="G6" s="25"/>
      <c r="H6" s="25"/>
      <c r="I6" s="25"/>
      <c r="J6" s="25"/>
    </row>
    <row r="7" spans="1:10" ht="14.4">
      <c r="A7" s="44"/>
      <c r="B7" s="44"/>
      <c r="D7" s="25"/>
      <c r="E7" s="44"/>
      <c r="F7" s="25" t="s">
        <v>123</v>
      </c>
      <c r="G7" s="25"/>
      <c r="H7" s="25"/>
      <c r="I7" s="25"/>
      <c r="J7" s="25"/>
    </row>
    <row r="8" spans="1:10" ht="14.4">
      <c r="A8" s="44"/>
      <c r="B8" s="44"/>
      <c r="D8" s="25"/>
      <c r="E8" s="44"/>
      <c r="F8" s="25" t="s">
        <v>123</v>
      </c>
      <c r="G8" s="25"/>
      <c r="H8" s="25"/>
      <c r="I8" s="25"/>
      <c r="J8" s="25"/>
    </row>
    <row r="9" spans="1:10" ht="14.4">
      <c r="A9" s="44"/>
      <c r="B9" s="44"/>
      <c r="D9" s="25"/>
      <c r="E9" s="44"/>
      <c r="F9" s="25" t="s">
        <v>123</v>
      </c>
      <c r="G9" s="25"/>
      <c r="H9" s="25"/>
      <c r="I9" s="25"/>
      <c r="J9" s="25"/>
    </row>
    <row r="10" spans="1:10" ht="14.4">
      <c r="A10" s="44"/>
      <c r="B10" s="44"/>
      <c r="D10" s="25"/>
      <c r="E10" s="44"/>
      <c r="F10" s="25" t="s">
        <v>123</v>
      </c>
      <c r="G10" s="25"/>
      <c r="H10" s="25"/>
      <c r="I10" s="25"/>
      <c r="J10" s="25"/>
    </row>
    <row r="11" spans="1:10" ht="14.4">
      <c r="A11" s="44"/>
      <c r="B11" s="44"/>
      <c r="D11" s="25"/>
      <c r="E11" s="44"/>
      <c r="F11" s="25" t="s">
        <v>123</v>
      </c>
      <c r="G11" s="25"/>
      <c r="H11" s="25"/>
      <c r="I11" s="25"/>
      <c r="J11" s="25"/>
    </row>
    <row r="12" spans="1:10" ht="14.4">
      <c r="A12" s="44"/>
      <c r="B12" s="44"/>
      <c r="D12" s="25"/>
      <c r="E12" s="44"/>
      <c r="F12" s="25" t="s">
        <v>123</v>
      </c>
      <c r="G12" s="25"/>
      <c r="H12" s="25"/>
      <c r="I12" s="25"/>
      <c r="J12" s="25"/>
    </row>
    <row r="13" spans="1:10" ht="14.4">
      <c r="A13" s="44"/>
      <c r="B13" s="44"/>
      <c r="D13" s="25"/>
      <c r="E13" s="44"/>
      <c r="F13" s="25" t="s">
        <v>123</v>
      </c>
      <c r="G13" s="25"/>
      <c r="H13" s="25"/>
      <c r="I13" s="25"/>
      <c r="J13" s="25"/>
    </row>
    <row r="14" spans="1:10" ht="14.4">
      <c r="A14" s="44"/>
      <c r="B14" s="44"/>
      <c r="D14" s="25"/>
      <c r="E14" s="44"/>
      <c r="F14" s="25" t="s">
        <v>123</v>
      </c>
      <c r="G14" s="25"/>
      <c r="H14" s="25"/>
      <c r="I14" s="25"/>
      <c r="J14" s="25"/>
    </row>
    <row r="15" spans="1:10" ht="14.4">
      <c r="A15" s="44"/>
      <c r="B15" s="44"/>
      <c r="D15" s="25"/>
      <c r="E15" s="44"/>
      <c r="F15" s="25" t="s">
        <v>123</v>
      </c>
      <c r="G15" s="25"/>
      <c r="H15" s="25"/>
      <c r="I15" s="25"/>
      <c r="J15" s="25"/>
    </row>
    <row r="16" spans="1:10" ht="14.4">
      <c r="A16" s="44"/>
      <c r="B16" s="44"/>
      <c r="D16" s="25"/>
      <c r="E16" s="44"/>
      <c r="F16" s="25" t="s">
        <v>123</v>
      </c>
      <c r="G16" s="25"/>
      <c r="H16" s="25"/>
      <c r="I16" s="25"/>
      <c r="J16" s="25"/>
    </row>
    <row r="17" spans="1:10" ht="14.4">
      <c r="A17" s="44"/>
      <c r="B17" s="44"/>
      <c r="D17" s="25"/>
      <c r="E17" s="44"/>
      <c r="F17" s="25" t="s">
        <v>123</v>
      </c>
      <c r="G17" s="25"/>
      <c r="H17" s="25"/>
      <c r="I17" s="25"/>
      <c r="J17" s="25"/>
    </row>
    <row r="18" spans="1:10" ht="14.4">
      <c r="A18" s="44"/>
      <c r="B18" s="44"/>
      <c r="D18" s="25"/>
      <c r="E18" s="44"/>
      <c r="F18" s="25" t="s">
        <v>123</v>
      </c>
      <c r="G18" s="25"/>
      <c r="H18" s="25"/>
      <c r="I18" s="25"/>
      <c r="J18" s="25"/>
    </row>
    <row r="19" spans="1:10" ht="14.4">
      <c r="A19" s="44"/>
      <c r="B19" s="44"/>
      <c r="D19" s="25"/>
      <c r="E19" s="44"/>
      <c r="F19" s="25" t="s">
        <v>123</v>
      </c>
      <c r="G19" s="25"/>
      <c r="H19" s="25"/>
      <c r="I19" s="25"/>
      <c r="J19" s="25"/>
    </row>
    <row r="20" spans="1:10" ht="14.4">
      <c r="A20" s="44"/>
      <c r="B20" s="44"/>
      <c r="D20" s="25"/>
      <c r="E20" s="44"/>
      <c r="F20" s="25" t="s">
        <v>123</v>
      </c>
      <c r="G20" s="25"/>
      <c r="H20" s="25"/>
      <c r="I20" s="25"/>
      <c r="J20" s="25"/>
    </row>
    <row r="21" spans="1:10" ht="14.4">
      <c r="A21" s="44"/>
      <c r="B21" s="44"/>
      <c r="D21" s="25"/>
      <c r="E21" s="44"/>
      <c r="F21" s="25" t="s">
        <v>123</v>
      </c>
      <c r="G21" s="25"/>
      <c r="H21" s="25"/>
      <c r="I21" s="25"/>
      <c r="J21" s="25"/>
    </row>
    <row r="22" spans="1:10" ht="14.4">
      <c r="A22" s="44"/>
      <c r="B22" s="44"/>
      <c r="D22" s="25"/>
      <c r="E22" s="44"/>
      <c r="F22" s="25" t="s">
        <v>123</v>
      </c>
      <c r="G22" s="25"/>
      <c r="H22" s="25"/>
      <c r="I22" s="25"/>
      <c r="J22" s="25"/>
    </row>
    <row r="23" spans="1:10" ht="14.4">
      <c r="A23" s="44"/>
      <c r="B23" s="44"/>
      <c r="D23" s="25"/>
      <c r="E23" s="44"/>
      <c r="F23" s="25" t="s">
        <v>123</v>
      </c>
      <c r="G23" s="25"/>
      <c r="H23" s="25"/>
      <c r="I23" s="25"/>
      <c r="J23" s="25"/>
    </row>
    <row r="24" spans="1:10" ht="14.4">
      <c r="A24" s="44"/>
      <c r="B24" s="44"/>
      <c r="D24" s="25"/>
      <c r="E24" s="44"/>
      <c r="F24" s="25" t="s">
        <v>123</v>
      </c>
      <c r="G24" s="25"/>
      <c r="H24" s="25"/>
      <c r="I24" s="25"/>
      <c r="J24" s="25"/>
    </row>
    <row r="25" spans="1:10" ht="14.4">
      <c r="A25" s="44"/>
      <c r="B25" s="44"/>
      <c r="D25" s="25"/>
      <c r="E25" s="44"/>
      <c r="F25" s="25" t="s">
        <v>123</v>
      </c>
      <c r="G25" s="25"/>
      <c r="H25" s="25"/>
      <c r="I25" s="25"/>
      <c r="J25" s="25"/>
    </row>
    <row r="26" spans="1:10" ht="14.4">
      <c r="A26" s="44"/>
      <c r="B26" s="44"/>
      <c r="D26" s="25"/>
      <c r="E26" s="44"/>
      <c r="F26" s="25" t="s">
        <v>123</v>
      </c>
      <c r="G26" s="25"/>
      <c r="H26" s="25"/>
      <c r="I26" s="25"/>
      <c r="J26" s="25"/>
    </row>
    <row r="27" spans="1:10" ht="14.4">
      <c r="A27" s="44"/>
      <c r="B27" s="44"/>
      <c r="D27" s="25"/>
      <c r="E27" s="44"/>
      <c r="F27" s="25" t="s">
        <v>123</v>
      </c>
      <c r="G27" s="25"/>
      <c r="H27" s="25"/>
      <c r="I27" s="25"/>
      <c r="J27" s="25"/>
    </row>
    <row r="28" spans="1:10" ht="14.4">
      <c r="A28" s="44"/>
      <c r="B28" s="44"/>
      <c r="D28" s="25"/>
      <c r="E28" s="44"/>
      <c r="F28" s="25" t="s">
        <v>123</v>
      </c>
      <c r="G28" s="25"/>
      <c r="H28" s="25"/>
      <c r="I28" s="25"/>
      <c r="J28" s="25"/>
    </row>
    <row r="29" spans="1:10" ht="14.4">
      <c r="A29" s="44"/>
      <c r="B29" s="44"/>
      <c r="D29" s="25"/>
      <c r="E29" s="44"/>
      <c r="F29" s="25" t="s">
        <v>123</v>
      </c>
      <c r="G29" s="25"/>
      <c r="H29" s="25"/>
      <c r="I29" s="25"/>
      <c r="J29" s="25"/>
    </row>
    <row r="30" spans="1:10" ht="14.4">
      <c r="A30" s="44"/>
      <c r="B30" s="44"/>
      <c r="D30" s="25"/>
      <c r="E30" s="44"/>
      <c r="F30" s="25" t="s">
        <v>123</v>
      </c>
      <c r="G30" s="25"/>
      <c r="H30" s="25"/>
      <c r="I30" s="25"/>
      <c r="J30" s="25"/>
    </row>
    <row r="31" spans="1:10" ht="14.4">
      <c r="A31" s="44"/>
      <c r="B31" s="44"/>
      <c r="D31" s="25"/>
      <c r="E31" s="44"/>
      <c r="F31" s="25" t="s">
        <v>123</v>
      </c>
      <c r="G31" s="25"/>
      <c r="H31" s="25"/>
      <c r="I31" s="25"/>
      <c r="J31" s="25"/>
    </row>
    <row r="32" spans="1:10" ht="14.4">
      <c r="A32" s="44"/>
      <c r="B32" s="44"/>
      <c r="D32" s="25"/>
      <c r="E32" s="44"/>
      <c r="F32" s="25" t="s">
        <v>123</v>
      </c>
      <c r="G32" s="25"/>
      <c r="H32" s="25"/>
      <c r="I32" s="25"/>
      <c r="J32" s="25"/>
    </row>
    <row r="33" spans="1:10" ht="14.4">
      <c r="A33" s="44"/>
      <c r="B33" s="44"/>
      <c r="D33" s="25"/>
      <c r="E33" s="44"/>
      <c r="F33" s="25" t="s">
        <v>123</v>
      </c>
      <c r="G33" s="25"/>
      <c r="H33" s="25"/>
      <c r="I33" s="25"/>
      <c r="J33" s="25"/>
    </row>
    <row r="34" spans="1:10" ht="14.4">
      <c r="A34" s="44"/>
      <c r="B34" s="44"/>
      <c r="D34" s="25"/>
      <c r="E34" s="44"/>
      <c r="F34" s="25" t="s">
        <v>123</v>
      </c>
      <c r="G34" s="25"/>
      <c r="H34" s="25"/>
      <c r="I34" s="25"/>
      <c r="J34" s="25"/>
    </row>
    <row r="35" spans="1:10" ht="14.4">
      <c r="A35" s="44"/>
      <c r="B35" s="44"/>
      <c r="D35" s="25"/>
      <c r="E35" s="44"/>
      <c r="F35" s="25" t="s">
        <v>123</v>
      </c>
      <c r="G35" s="25"/>
      <c r="H35" s="25"/>
      <c r="I35" s="25"/>
      <c r="J35" s="25"/>
    </row>
    <row r="36" spans="1:10" ht="14.4">
      <c r="A36" s="44"/>
      <c r="B36" s="44"/>
      <c r="D36" s="25"/>
      <c r="E36" s="44"/>
      <c r="F36" s="25" t="s">
        <v>123</v>
      </c>
      <c r="G36" s="25"/>
      <c r="H36" s="25"/>
      <c r="I36" s="25"/>
      <c r="J36" s="25"/>
    </row>
    <row r="37" spans="1:10" ht="14.4">
      <c r="A37" s="44"/>
      <c r="B37" s="44"/>
      <c r="D37" s="25"/>
      <c r="E37" s="44"/>
      <c r="F37" s="25" t="s">
        <v>123</v>
      </c>
      <c r="G37" s="25"/>
      <c r="H37" s="25"/>
      <c r="I37" s="25"/>
      <c r="J37" s="25"/>
    </row>
    <row r="38" spans="1:10" ht="14.4">
      <c r="A38" s="44"/>
      <c r="B38" s="44"/>
      <c r="D38" s="25"/>
      <c r="E38" s="44"/>
      <c r="F38" s="25" t="s">
        <v>123</v>
      </c>
      <c r="G38" s="25"/>
      <c r="H38" s="25"/>
      <c r="I38" s="25"/>
      <c r="J38" s="25"/>
    </row>
    <row r="39" spans="1:10" ht="14.4">
      <c r="A39" s="44"/>
      <c r="B39" s="44"/>
      <c r="D39" s="25"/>
      <c r="E39" s="44"/>
      <c r="F39" s="25" t="s">
        <v>123</v>
      </c>
      <c r="G39" s="25"/>
      <c r="H39" s="25"/>
      <c r="I39" s="25"/>
      <c r="J39" s="25"/>
    </row>
    <row r="40" spans="1:10" ht="14.4">
      <c r="A40" s="44"/>
      <c r="B40" s="44"/>
      <c r="D40" s="25"/>
      <c r="E40" s="44"/>
      <c r="F40" s="25" t="s">
        <v>123</v>
      </c>
      <c r="G40" s="25"/>
      <c r="H40" s="25"/>
      <c r="I40" s="25"/>
      <c r="J40" s="25"/>
    </row>
    <row r="41" spans="1:10" ht="14.4">
      <c r="A41" s="44"/>
      <c r="B41" s="44"/>
      <c r="D41" s="25"/>
      <c r="E41" s="44"/>
      <c r="F41" s="25" t="s">
        <v>123</v>
      </c>
      <c r="G41" s="25"/>
      <c r="H41" s="25"/>
      <c r="I41" s="25"/>
      <c r="J41" s="25"/>
    </row>
    <row r="42" spans="1:10" ht="14.4">
      <c r="A42" s="44"/>
      <c r="B42" s="44"/>
      <c r="D42" s="25"/>
      <c r="E42" s="44"/>
      <c r="F42" s="25" t="s">
        <v>123</v>
      </c>
      <c r="G42" s="25"/>
      <c r="H42" s="25"/>
      <c r="I42" s="25"/>
      <c r="J42" s="25"/>
    </row>
    <row r="43" spans="1:10" ht="14.4">
      <c r="A43" s="44"/>
      <c r="B43" s="44"/>
      <c r="D43" s="25"/>
      <c r="E43" s="44"/>
      <c r="F43" s="25" t="s">
        <v>123</v>
      </c>
      <c r="G43" s="25"/>
      <c r="H43" s="25"/>
      <c r="I43" s="25"/>
      <c r="J43" s="25"/>
    </row>
    <row r="44" spans="1:10" ht="14.4">
      <c r="A44" s="44"/>
      <c r="B44" s="44"/>
      <c r="D44" s="25"/>
      <c r="E44" s="44"/>
      <c r="F44" s="25" t="s">
        <v>123</v>
      </c>
      <c r="G44" s="25"/>
      <c r="H44" s="25"/>
      <c r="I44" s="25"/>
      <c r="J44" s="25"/>
    </row>
    <row r="45" spans="1:10" ht="14.4">
      <c r="A45" s="44"/>
      <c r="B45" s="44"/>
      <c r="D45" s="25"/>
      <c r="E45" s="44"/>
      <c r="F45" s="25" t="s">
        <v>123</v>
      </c>
      <c r="G45" s="25"/>
      <c r="H45" s="25"/>
      <c r="I45" s="25"/>
      <c r="J45" s="25"/>
    </row>
    <row r="46" spans="1:10" ht="14.4">
      <c r="A46" s="44"/>
      <c r="B46" s="44"/>
      <c r="D46" s="25"/>
      <c r="E46" s="44"/>
      <c r="F46" s="25" t="s">
        <v>123</v>
      </c>
      <c r="G46" s="25"/>
      <c r="H46" s="25"/>
      <c r="I46" s="25"/>
      <c r="J46" s="25"/>
    </row>
    <row r="47" spans="1:10" ht="14.4">
      <c r="A47" s="44"/>
      <c r="B47" s="44"/>
      <c r="D47" s="25"/>
      <c r="E47" s="44"/>
      <c r="F47" s="25" t="s">
        <v>123</v>
      </c>
      <c r="G47" s="25"/>
      <c r="H47" s="25"/>
      <c r="I47" s="25"/>
      <c r="J47" s="25"/>
    </row>
    <row r="48" spans="1:10" ht="14.4">
      <c r="A48" s="44"/>
      <c r="B48" s="44"/>
      <c r="D48" s="25"/>
      <c r="E48" s="44"/>
      <c r="F48" s="25" t="s">
        <v>123</v>
      </c>
      <c r="G48" s="25"/>
      <c r="H48" s="25"/>
      <c r="I48" s="25"/>
      <c r="J48" s="25"/>
    </row>
    <row r="49" spans="1:10" ht="14.4">
      <c r="A49" s="44"/>
      <c r="B49" s="44"/>
      <c r="D49" s="25"/>
      <c r="E49" s="44"/>
      <c r="F49" s="25" t="s">
        <v>123</v>
      </c>
      <c r="G49" s="25"/>
      <c r="H49" s="25"/>
      <c r="I49" s="25"/>
      <c r="J49" s="25"/>
    </row>
    <row r="50" spans="1:10" ht="14.4">
      <c r="A50" s="44"/>
      <c r="B50" s="44"/>
      <c r="D50" s="25"/>
      <c r="E50" s="44"/>
      <c r="F50" s="25" t="s">
        <v>123</v>
      </c>
      <c r="G50" s="25"/>
      <c r="H50" s="25"/>
      <c r="I50" s="25"/>
      <c r="J50" s="25"/>
    </row>
    <row r="51" spans="1:10" ht="14.4">
      <c r="A51" s="44"/>
      <c r="B51" s="44"/>
      <c r="D51" s="25"/>
      <c r="E51" s="44"/>
      <c r="F51" s="25" t="s">
        <v>123</v>
      </c>
      <c r="G51" s="25"/>
      <c r="H51" s="25"/>
      <c r="I51" s="25"/>
      <c r="J51" s="25"/>
    </row>
    <row r="52" spans="1:10" ht="14.4">
      <c r="A52" s="44"/>
      <c r="B52" s="44"/>
      <c r="D52" s="25"/>
      <c r="E52" s="44"/>
      <c r="F52" s="25" t="s">
        <v>123</v>
      </c>
      <c r="G52" s="25"/>
      <c r="H52" s="25"/>
      <c r="I52" s="25"/>
      <c r="J52" s="25"/>
    </row>
    <row r="53" spans="1:10" ht="14.4">
      <c r="A53" s="44"/>
      <c r="B53" s="44"/>
      <c r="D53" s="25"/>
      <c r="E53" s="44"/>
      <c r="F53" s="25" t="s">
        <v>123</v>
      </c>
      <c r="G53" s="25"/>
      <c r="H53" s="25"/>
      <c r="I53" s="25"/>
      <c r="J53" s="25"/>
    </row>
    <row r="54" spans="1:10" ht="14.4">
      <c r="A54" s="44"/>
      <c r="B54" s="44"/>
      <c r="D54" s="25"/>
      <c r="E54" s="44"/>
      <c r="F54" s="25" t="s">
        <v>123</v>
      </c>
      <c r="G54" s="25"/>
      <c r="H54" s="25"/>
      <c r="I54" s="25"/>
      <c r="J54" s="25"/>
    </row>
    <row r="55" spans="1:10" ht="14.4">
      <c r="A55" s="44"/>
      <c r="B55" s="44"/>
      <c r="D55" s="25"/>
      <c r="E55" s="44"/>
      <c r="F55" s="25" t="s">
        <v>123</v>
      </c>
      <c r="G55" s="25"/>
      <c r="H55" s="25"/>
      <c r="I55" s="25"/>
      <c r="J55" s="25"/>
    </row>
    <row r="56" spans="1:10" ht="14.4">
      <c r="A56" s="44"/>
      <c r="B56" s="44"/>
      <c r="D56" s="25"/>
      <c r="E56" s="44"/>
      <c r="F56" s="25" t="s">
        <v>123</v>
      </c>
      <c r="G56" s="25"/>
      <c r="H56" s="25"/>
      <c r="I56" s="25"/>
      <c r="J56" s="25"/>
    </row>
    <row r="57" spans="1:10" ht="14.4">
      <c r="A57" s="44"/>
      <c r="B57" s="44"/>
      <c r="D57" s="25"/>
      <c r="E57" s="44"/>
      <c r="F57" s="25" t="s">
        <v>123</v>
      </c>
      <c r="G57" s="25"/>
      <c r="H57" s="25"/>
      <c r="I57" s="25"/>
      <c r="J57" s="25"/>
    </row>
    <row r="58" spans="1:10" ht="14.4">
      <c r="A58" s="44"/>
      <c r="B58" s="44"/>
      <c r="D58" s="25"/>
      <c r="E58" s="44"/>
      <c r="F58" s="25" t="s">
        <v>123</v>
      </c>
      <c r="G58" s="25"/>
      <c r="H58" s="25"/>
      <c r="I58" s="25"/>
      <c r="J58" s="25"/>
    </row>
    <row r="59" spans="1:10" ht="14.4">
      <c r="A59" s="44"/>
      <c r="B59" s="44"/>
      <c r="D59" s="25"/>
      <c r="E59" s="44"/>
      <c r="F59" s="25" t="s">
        <v>123</v>
      </c>
      <c r="G59" s="25"/>
      <c r="H59" s="25"/>
      <c r="I59" s="25"/>
      <c r="J59" s="25"/>
    </row>
    <row r="60" spans="1:10" ht="14.4">
      <c r="A60" s="44"/>
      <c r="B60" s="44"/>
      <c r="D60" s="25"/>
      <c r="E60" s="44"/>
      <c r="F60" s="25" t="s">
        <v>123</v>
      </c>
      <c r="G60" s="25"/>
      <c r="H60" s="25"/>
      <c r="I60" s="25"/>
      <c r="J60" s="25"/>
    </row>
    <row r="61" spans="1:10" ht="14.4">
      <c r="A61" s="44"/>
      <c r="B61" s="44"/>
      <c r="D61" s="25"/>
      <c r="E61" s="44"/>
      <c r="F61" s="25" t="s">
        <v>123</v>
      </c>
      <c r="G61" s="25"/>
      <c r="H61" s="25"/>
      <c r="I61" s="25"/>
      <c r="J61" s="25"/>
    </row>
    <row r="62" spans="1:10" ht="14.4">
      <c r="A62" s="44"/>
      <c r="B62" s="44"/>
      <c r="D62" s="25"/>
      <c r="E62" s="44"/>
      <c r="F62" s="25" t="s">
        <v>123</v>
      </c>
      <c r="G62" s="25"/>
      <c r="H62" s="25"/>
      <c r="I62" s="25"/>
      <c r="J62" s="25"/>
    </row>
    <row r="63" spans="1:10" ht="14.4">
      <c r="A63" s="44"/>
      <c r="B63" s="44"/>
      <c r="D63" s="25"/>
      <c r="E63" s="44"/>
      <c r="F63" s="25" t="s">
        <v>123</v>
      </c>
      <c r="G63" s="25"/>
      <c r="H63" s="25"/>
      <c r="I63" s="25"/>
      <c r="J63" s="25"/>
    </row>
    <row r="64" spans="1:10" ht="14.4">
      <c r="A64" s="44"/>
      <c r="B64" s="44"/>
      <c r="D64" s="25"/>
      <c r="E64" s="44"/>
      <c r="F64" s="25" t="s">
        <v>123</v>
      </c>
      <c r="G64" s="25"/>
      <c r="H64" s="25"/>
      <c r="I64" s="25"/>
      <c r="J64" s="25"/>
    </row>
    <row r="65" spans="1:10" ht="14.4">
      <c r="A65" s="44"/>
      <c r="B65" s="44"/>
      <c r="D65" s="25"/>
      <c r="E65" s="44"/>
      <c r="F65" s="25" t="s">
        <v>123</v>
      </c>
      <c r="G65" s="25"/>
      <c r="H65" s="25"/>
      <c r="I65" s="25"/>
      <c r="J65" s="25"/>
    </row>
    <row r="66" spans="1:10" ht="14.4">
      <c r="A66" s="44"/>
      <c r="B66" s="44"/>
      <c r="D66" s="25"/>
      <c r="E66" s="44"/>
      <c r="F66" s="25" t="s">
        <v>123</v>
      </c>
      <c r="G66" s="25"/>
      <c r="H66" s="25"/>
      <c r="I66" s="25"/>
      <c r="J66" s="25"/>
    </row>
    <row r="67" spans="1:10" ht="14.4">
      <c r="A67" s="44"/>
      <c r="B67" s="44"/>
      <c r="D67" s="25"/>
      <c r="E67" s="44"/>
      <c r="F67" s="25" t="s">
        <v>123</v>
      </c>
      <c r="G67" s="25"/>
      <c r="H67" s="25"/>
      <c r="I67" s="25"/>
      <c r="J67" s="25"/>
    </row>
    <row r="68" spans="1:10" ht="14.4">
      <c r="A68" s="44"/>
      <c r="B68" s="44"/>
      <c r="D68" s="25"/>
      <c r="E68" s="44"/>
      <c r="F68" s="25" t="s">
        <v>123</v>
      </c>
      <c r="G68" s="25"/>
      <c r="H68" s="25"/>
      <c r="I68" s="25"/>
      <c r="J68" s="25"/>
    </row>
    <row r="69" spans="1:10" ht="14.4">
      <c r="A69" s="44"/>
      <c r="B69" s="44"/>
      <c r="D69" s="25"/>
      <c r="E69" s="44"/>
      <c r="F69" s="25" t="s">
        <v>123</v>
      </c>
      <c r="G69" s="25"/>
      <c r="H69" s="25"/>
      <c r="I69" s="25"/>
      <c r="J69" s="25"/>
    </row>
    <row r="70" spans="1:10" ht="14.4">
      <c r="A70" s="44"/>
      <c r="B70" s="44"/>
      <c r="D70" s="25"/>
      <c r="E70" s="44"/>
      <c r="F70" s="25" t="s">
        <v>123</v>
      </c>
      <c r="G70" s="25"/>
      <c r="H70" s="25"/>
      <c r="I70" s="25"/>
      <c r="J70" s="25"/>
    </row>
    <row r="71" spans="1:10" ht="14.4">
      <c r="A71" s="44"/>
      <c r="B71" s="44"/>
      <c r="D71" s="25"/>
      <c r="E71" s="44"/>
      <c r="F71" s="25" t="s">
        <v>123</v>
      </c>
      <c r="G71" s="25"/>
      <c r="H71" s="25"/>
      <c r="I71" s="25"/>
      <c r="J71" s="25"/>
    </row>
    <row r="72" spans="1:10" ht="14.4">
      <c r="A72" s="44"/>
      <c r="B72" s="44"/>
      <c r="D72" s="25"/>
      <c r="E72" s="44"/>
      <c r="F72" s="25" t="s">
        <v>123</v>
      </c>
      <c r="G72" s="25"/>
      <c r="H72" s="25"/>
      <c r="I72" s="25"/>
      <c r="J72" s="25"/>
    </row>
    <row r="73" spans="1:10" ht="14.4">
      <c r="A73" s="44"/>
      <c r="B73" s="44"/>
      <c r="D73" s="25"/>
      <c r="E73" s="44"/>
      <c r="F73" s="25" t="s">
        <v>123</v>
      </c>
      <c r="G73" s="25"/>
      <c r="H73" s="25"/>
      <c r="I73" s="25"/>
      <c r="J73" s="25"/>
    </row>
    <row r="74" spans="1:10" ht="14.4">
      <c r="A74" s="44"/>
      <c r="B74" s="44"/>
      <c r="D74" s="25"/>
      <c r="E74" s="44"/>
      <c r="F74" s="25" t="s">
        <v>123</v>
      </c>
      <c r="G74" s="25"/>
      <c r="H74" s="25"/>
      <c r="I74" s="25"/>
      <c r="J74" s="25"/>
    </row>
    <row r="75" spans="1:10" ht="14.4">
      <c r="A75" s="44"/>
      <c r="B75" s="44"/>
      <c r="D75" s="25"/>
      <c r="E75" s="44"/>
      <c r="F75" s="25" t="s">
        <v>123</v>
      </c>
      <c r="G75" s="25"/>
      <c r="H75" s="25"/>
      <c r="I75" s="25"/>
      <c r="J75" s="25"/>
    </row>
    <row r="76" spans="1:10" ht="14.4">
      <c r="A76" s="44"/>
      <c r="B76" s="44"/>
      <c r="D76" s="25"/>
      <c r="E76" s="44"/>
      <c r="F76" s="25" t="s">
        <v>123</v>
      </c>
      <c r="G76" s="25"/>
      <c r="H76" s="25"/>
      <c r="I76" s="25"/>
      <c r="J76" s="25"/>
    </row>
    <row r="77" spans="1:10" ht="14.4">
      <c r="A77" s="44"/>
      <c r="B77" s="44"/>
      <c r="D77" s="25"/>
      <c r="E77" s="44"/>
      <c r="F77" s="25" t="s">
        <v>123</v>
      </c>
      <c r="G77" s="25"/>
      <c r="H77" s="25"/>
      <c r="I77" s="25"/>
      <c r="J77" s="25"/>
    </row>
    <row r="78" spans="1:10" ht="14.4">
      <c r="A78" s="44"/>
      <c r="B78" s="44"/>
      <c r="D78" s="25"/>
      <c r="E78" s="44"/>
      <c r="F78" s="25" t="s">
        <v>123</v>
      </c>
      <c r="G78" s="25"/>
      <c r="H78" s="25"/>
      <c r="I78" s="25"/>
      <c r="J78" s="25"/>
    </row>
    <row r="79" spans="1:10" ht="14.4">
      <c r="A79" s="44"/>
      <c r="B79" s="44"/>
      <c r="D79" s="25"/>
      <c r="E79" s="44"/>
      <c r="F79" s="25" t="s">
        <v>123</v>
      </c>
      <c r="G79" s="25"/>
      <c r="H79" s="25"/>
      <c r="I79" s="25"/>
      <c r="J79" s="25"/>
    </row>
    <row r="80" spans="1:10" ht="14.4">
      <c r="A80" s="44"/>
      <c r="B80" s="44"/>
      <c r="D80" s="25"/>
      <c r="E80" s="44"/>
      <c r="F80" s="25" t="s">
        <v>123</v>
      </c>
      <c r="G80" s="25"/>
      <c r="H80" s="25"/>
      <c r="I80" s="25"/>
      <c r="J80" s="25"/>
    </row>
    <row r="81" spans="1:10" ht="14.4">
      <c r="A81" s="44"/>
      <c r="B81" s="44"/>
      <c r="D81" s="25"/>
      <c r="E81" s="44"/>
      <c r="F81" s="25" t="s">
        <v>123</v>
      </c>
      <c r="G81" s="25"/>
      <c r="H81" s="25"/>
      <c r="I81" s="25"/>
      <c r="J81" s="25"/>
    </row>
    <row r="82" spans="1:10" ht="14.4">
      <c r="A82" s="44"/>
      <c r="B82" s="44"/>
      <c r="D82" s="25"/>
      <c r="E82" s="44"/>
      <c r="F82" s="25" t="s">
        <v>123</v>
      </c>
      <c r="G82" s="25"/>
      <c r="H82" s="25"/>
      <c r="I82" s="25"/>
      <c r="J82" s="25"/>
    </row>
    <row r="83" spans="1:10" ht="14.4">
      <c r="A83" s="44"/>
      <c r="B83" s="44"/>
      <c r="D83" s="25"/>
      <c r="E83" s="44"/>
      <c r="F83" s="25" t="s">
        <v>123</v>
      </c>
      <c r="G83" s="25"/>
      <c r="H83" s="25"/>
      <c r="I83" s="25"/>
      <c r="J83" s="25"/>
    </row>
    <row r="84" spans="1:10" ht="14.4">
      <c r="A84" s="44"/>
      <c r="B84" s="44"/>
      <c r="D84" s="25"/>
      <c r="E84" s="44"/>
      <c r="F84" s="25" t="s">
        <v>123</v>
      </c>
      <c r="G84" s="25"/>
      <c r="H84" s="25"/>
      <c r="I84" s="25"/>
      <c r="J84" s="25"/>
    </row>
    <row r="85" spans="1:10" ht="14.4">
      <c r="A85" s="44"/>
      <c r="B85" s="44"/>
      <c r="D85" s="25"/>
      <c r="E85" s="44"/>
      <c r="F85" s="25" t="s">
        <v>123</v>
      </c>
      <c r="G85" s="25"/>
      <c r="H85" s="25"/>
      <c r="I85" s="25"/>
      <c r="J85" s="25"/>
    </row>
    <row r="86" spans="1:10" ht="14.4">
      <c r="A86" s="44"/>
      <c r="B86" s="44"/>
      <c r="D86" s="25"/>
      <c r="E86" s="44"/>
      <c r="F86" s="25" t="s">
        <v>123</v>
      </c>
      <c r="G86" s="25"/>
      <c r="H86" s="25"/>
      <c r="I86" s="25"/>
      <c r="J86" s="25"/>
    </row>
    <row r="87" spans="1:10" ht="14.4">
      <c r="A87" s="44"/>
      <c r="B87" s="44"/>
      <c r="D87" s="25"/>
      <c r="E87" s="44"/>
      <c r="F87" s="25" t="s">
        <v>123</v>
      </c>
      <c r="G87" s="25"/>
      <c r="H87" s="25"/>
      <c r="I87" s="25"/>
      <c r="J87" s="25"/>
    </row>
    <row r="88" spans="1:10" ht="14.4">
      <c r="A88" s="44"/>
      <c r="B88" s="44"/>
      <c r="D88" s="25"/>
      <c r="E88" s="44"/>
      <c r="F88" s="25" t="s">
        <v>123</v>
      </c>
      <c r="G88" s="25"/>
      <c r="H88" s="25"/>
      <c r="I88" s="25"/>
      <c r="J88" s="25"/>
    </row>
    <row r="89" spans="1:10" ht="14.4">
      <c r="A89" s="44"/>
      <c r="B89" s="44"/>
      <c r="D89" s="25"/>
      <c r="E89" s="44"/>
      <c r="F89" s="25" t="s">
        <v>123</v>
      </c>
      <c r="G89" s="25"/>
      <c r="H89" s="25"/>
      <c r="I89" s="25"/>
      <c r="J89" s="25"/>
    </row>
    <row r="90" spans="1:10" ht="14.4">
      <c r="A90" s="44"/>
      <c r="B90" s="44"/>
      <c r="D90" s="25"/>
      <c r="E90" s="44"/>
      <c r="F90" s="25" t="s">
        <v>123</v>
      </c>
      <c r="G90" s="25"/>
      <c r="H90" s="25"/>
      <c r="I90" s="25"/>
      <c r="J90" s="25"/>
    </row>
    <row r="91" spans="1:10" ht="14.4">
      <c r="A91" s="44"/>
      <c r="B91" s="44"/>
      <c r="D91" s="25"/>
      <c r="E91" s="44"/>
      <c r="F91" s="25" t="s">
        <v>123</v>
      </c>
      <c r="G91" s="25"/>
      <c r="H91" s="25"/>
      <c r="I91" s="25"/>
      <c r="J91" s="25"/>
    </row>
    <row r="92" spans="1:10" ht="14.4">
      <c r="A92" s="44"/>
      <c r="B92" s="44"/>
      <c r="D92" s="25"/>
      <c r="E92" s="44"/>
      <c r="F92" s="25" t="s">
        <v>123</v>
      </c>
      <c r="G92" s="25"/>
      <c r="H92" s="25"/>
      <c r="I92" s="25"/>
      <c r="J92" s="25"/>
    </row>
    <row r="93" spans="1:10" ht="14.4">
      <c r="A93" s="44"/>
      <c r="B93" s="44"/>
      <c r="D93" s="25"/>
      <c r="E93" s="44"/>
      <c r="F93" s="25" t="s">
        <v>123</v>
      </c>
      <c r="G93" s="25"/>
      <c r="H93" s="25"/>
      <c r="I93" s="25"/>
      <c r="J93" s="25"/>
    </row>
    <row r="94" spans="1:10" ht="14.4">
      <c r="A94" s="44"/>
      <c r="B94" s="44"/>
      <c r="D94" s="25"/>
      <c r="E94" s="44"/>
      <c r="F94" s="25" t="s">
        <v>123</v>
      </c>
      <c r="G94" s="25"/>
      <c r="H94" s="25"/>
      <c r="I94" s="25"/>
      <c r="J94" s="25"/>
    </row>
    <row r="95" spans="1:10" ht="14.4">
      <c r="A95" s="44"/>
      <c r="B95" s="44"/>
      <c r="D95" s="25"/>
      <c r="E95" s="44"/>
      <c r="F95" s="25" t="s">
        <v>123</v>
      </c>
      <c r="G95" s="25"/>
      <c r="H95" s="25"/>
      <c r="I95" s="25"/>
      <c r="J95" s="25"/>
    </row>
    <row r="96" spans="1:10" ht="14.4">
      <c r="A96" s="44"/>
      <c r="B96" s="44"/>
      <c r="D96" s="25"/>
      <c r="E96" s="44"/>
      <c r="F96" s="25" t="s">
        <v>123</v>
      </c>
      <c r="G96" s="25"/>
      <c r="H96" s="25"/>
      <c r="I96" s="25"/>
      <c r="J96" s="25"/>
    </row>
    <row r="97" spans="1:10" ht="14.4">
      <c r="A97" s="44"/>
      <c r="B97" s="44"/>
      <c r="D97" s="25"/>
      <c r="E97" s="44"/>
      <c r="F97" s="25" t="s">
        <v>123</v>
      </c>
      <c r="G97" s="25"/>
      <c r="H97" s="25"/>
      <c r="I97" s="25"/>
      <c r="J97" s="25"/>
    </row>
    <row r="98" spans="1:10" ht="14.4">
      <c r="A98" s="44"/>
      <c r="B98" s="44"/>
      <c r="D98" s="25"/>
      <c r="E98" s="44"/>
      <c r="F98" s="25" t="s">
        <v>123</v>
      </c>
      <c r="G98" s="25"/>
      <c r="H98" s="25"/>
      <c r="I98" s="25"/>
      <c r="J98" s="25"/>
    </row>
    <row r="99" spans="1:10" ht="14.4">
      <c r="A99" s="44"/>
      <c r="B99" s="44"/>
      <c r="D99" s="25"/>
      <c r="E99" s="44"/>
      <c r="F99" s="25" t="s">
        <v>123</v>
      </c>
      <c r="G99" s="25"/>
      <c r="H99" s="25"/>
      <c r="I99" s="25"/>
      <c r="J99" s="25"/>
    </row>
    <row r="100" spans="1:10" ht="14.4">
      <c r="A100" s="44"/>
      <c r="B100" s="44"/>
      <c r="D100" s="25"/>
      <c r="E100" s="44"/>
      <c r="F100" s="25" t="s">
        <v>123</v>
      </c>
      <c r="G100" s="25"/>
      <c r="H100" s="25"/>
      <c r="I100" s="25"/>
      <c r="J100" s="25"/>
    </row>
    <row r="101" spans="1:10" ht="14.4">
      <c r="A101" s="44"/>
      <c r="B101" s="44"/>
      <c r="D101" s="25"/>
      <c r="E101" s="44"/>
      <c r="F101" s="25" t="s">
        <v>123</v>
      </c>
      <c r="G101" s="25"/>
      <c r="H101" s="25"/>
      <c r="I101" s="25"/>
      <c r="J101" s="25"/>
    </row>
    <row r="102" spans="1:10" ht="14.4">
      <c r="A102" s="44"/>
      <c r="B102" s="44"/>
      <c r="D102" s="25"/>
      <c r="E102" s="44"/>
      <c r="F102" s="25" t="s">
        <v>123</v>
      </c>
      <c r="G102" s="25"/>
      <c r="H102" s="25"/>
      <c r="I102" s="25"/>
      <c r="J102" s="25"/>
    </row>
    <row r="103" spans="1:10" ht="14.4">
      <c r="A103" s="44"/>
      <c r="B103" s="44"/>
      <c r="D103" s="25"/>
      <c r="E103" s="44"/>
      <c r="F103" s="25" t="s">
        <v>123</v>
      </c>
      <c r="G103" s="25"/>
      <c r="H103" s="25"/>
      <c r="I103" s="25"/>
      <c r="J103" s="25"/>
    </row>
    <row r="104" spans="1:10" ht="14.4">
      <c r="A104" s="44"/>
      <c r="B104" s="44"/>
      <c r="D104" s="25"/>
      <c r="E104" s="44"/>
      <c r="F104" s="25" t="s">
        <v>123</v>
      </c>
      <c r="G104" s="25"/>
      <c r="H104" s="25"/>
      <c r="I104" s="25"/>
      <c r="J104" s="25"/>
    </row>
    <row r="105" spans="1:10" ht="14.4">
      <c r="A105" s="44"/>
      <c r="B105" s="44"/>
      <c r="D105" s="25"/>
      <c r="E105" s="44"/>
      <c r="F105" s="25" t="s">
        <v>123</v>
      </c>
      <c r="G105" s="25"/>
      <c r="H105" s="25"/>
      <c r="I105" s="25"/>
      <c r="J105" s="25"/>
    </row>
    <row r="106" spans="1:10" ht="14.4">
      <c r="A106" s="44"/>
      <c r="B106" s="44"/>
      <c r="D106" s="25"/>
      <c r="E106" s="44"/>
      <c r="F106" s="25" t="s">
        <v>123</v>
      </c>
      <c r="G106" s="25"/>
      <c r="H106" s="25"/>
      <c r="I106" s="25"/>
      <c r="J106" s="25"/>
    </row>
    <row r="107" spans="1:10" ht="14.4">
      <c r="A107" s="44"/>
      <c r="B107" s="44"/>
      <c r="D107" s="25"/>
      <c r="E107" s="44"/>
      <c r="F107" s="25" t="s">
        <v>123</v>
      </c>
      <c r="G107" s="25"/>
      <c r="H107" s="25"/>
      <c r="I107" s="25"/>
      <c r="J107" s="25"/>
    </row>
    <row r="108" spans="1:10" ht="14.4">
      <c r="A108" s="44"/>
      <c r="B108" s="44"/>
      <c r="D108" s="25"/>
      <c r="E108" s="44"/>
      <c r="F108" s="25" t="s">
        <v>123</v>
      </c>
      <c r="G108" s="25"/>
      <c r="H108" s="25"/>
      <c r="I108" s="25"/>
      <c r="J108" s="25"/>
    </row>
    <row r="109" spans="1:10" ht="14.4">
      <c r="A109" s="44"/>
      <c r="B109" s="44"/>
      <c r="D109" s="25"/>
      <c r="E109" s="44"/>
      <c r="F109" s="25" t="s">
        <v>123</v>
      </c>
      <c r="G109" s="25"/>
      <c r="H109" s="25"/>
      <c r="I109" s="25"/>
      <c r="J109" s="25"/>
    </row>
    <row r="110" spans="1:10" ht="14.4">
      <c r="A110" s="44"/>
      <c r="B110" s="44"/>
      <c r="D110" s="25"/>
      <c r="E110" s="44"/>
      <c r="F110" s="25" t="s">
        <v>123</v>
      </c>
      <c r="G110" s="25"/>
      <c r="H110" s="25"/>
      <c r="I110" s="25"/>
      <c r="J110" s="25"/>
    </row>
    <row r="111" spans="1:10" ht="14.4">
      <c r="A111" s="44"/>
      <c r="B111" s="44"/>
      <c r="D111" s="25"/>
      <c r="E111" s="44"/>
      <c r="F111" s="25" t="s">
        <v>123</v>
      </c>
      <c r="G111" s="25"/>
      <c r="H111" s="25"/>
      <c r="I111" s="25"/>
      <c r="J111" s="25"/>
    </row>
    <row r="112" spans="1:10" ht="14.4">
      <c r="A112" s="44"/>
      <c r="B112" s="44"/>
      <c r="D112" s="25"/>
      <c r="E112" s="44"/>
      <c r="F112" s="25" t="s">
        <v>123</v>
      </c>
      <c r="G112" s="25"/>
      <c r="H112" s="25"/>
      <c r="I112" s="25"/>
      <c r="J112" s="25"/>
    </row>
    <row r="113" spans="1:10" ht="14.4">
      <c r="A113" s="44"/>
      <c r="B113" s="44"/>
      <c r="D113" s="25"/>
      <c r="E113" s="44"/>
      <c r="F113" s="25" t="s">
        <v>123</v>
      </c>
      <c r="G113" s="25"/>
      <c r="H113" s="25"/>
      <c r="I113" s="25"/>
      <c r="J113" s="25"/>
    </row>
    <row r="114" spans="1:10" ht="14.4">
      <c r="A114" s="44"/>
      <c r="B114" s="44"/>
      <c r="D114" s="25"/>
      <c r="E114" s="44"/>
      <c r="F114" s="25" t="s">
        <v>123</v>
      </c>
      <c r="G114" s="25"/>
      <c r="H114" s="25"/>
      <c r="I114" s="25"/>
      <c r="J114" s="25"/>
    </row>
    <row r="115" spans="1:10" ht="14.4">
      <c r="A115" s="44"/>
      <c r="B115" s="44"/>
      <c r="D115" s="25"/>
      <c r="E115" s="44"/>
      <c r="F115" s="25" t="s">
        <v>123</v>
      </c>
      <c r="G115" s="25"/>
      <c r="H115" s="25"/>
      <c r="I115" s="25"/>
      <c r="J115" s="25"/>
    </row>
    <row r="116" spans="1:10" ht="14.4">
      <c r="A116" s="44"/>
      <c r="B116" s="44"/>
      <c r="D116" s="25"/>
      <c r="E116" s="44"/>
      <c r="F116" s="25" t="s">
        <v>123</v>
      </c>
      <c r="G116" s="25"/>
      <c r="H116" s="25"/>
      <c r="I116" s="25"/>
      <c r="J116" s="25"/>
    </row>
    <row r="117" spans="1:10" ht="14.4">
      <c r="A117" s="44"/>
      <c r="B117" s="44"/>
      <c r="D117" s="25"/>
      <c r="E117" s="44"/>
      <c r="F117" s="25" t="s">
        <v>123</v>
      </c>
      <c r="G117" s="25"/>
      <c r="H117" s="25"/>
      <c r="I117" s="25"/>
      <c r="J117" s="25"/>
    </row>
    <row r="118" spans="1:10" ht="14.4">
      <c r="A118" s="44"/>
      <c r="B118" s="44"/>
      <c r="D118" s="25"/>
      <c r="E118" s="44"/>
      <c r="F118" s="25" t="s">
        <v>123</v>
      </c>
      <c r="G118" s="25"/>
      <c r="H118" s="25"/>
      <c r="I118" s="25"/>
      <c r="J118" s="25"/>
    </row>
    <row r="119" spans="1:10" ht="14.4">
      <c r="A119" s="44"/>
      <c r="B119" s="44"/>
      <c r="D119" s="25"/>
      <c r="E119" s="44"/>
      <c r="F119" s="25" t="s">
        <v>123</v>
      </c>
      <c r="G119" s="25"/>
      <c r="H119" s="25"/>
      <c r="I119" s="25"/>
      <c r="J119" s="25"/>
    </row>
    <row r="120" spans="1:10" ht="14.4">
      <c r="A120" s="44"/>
      <c r="B120" s="44"/>
      <c r="D120" s="25"/>
      <c r="E120" s="44"/>
      <c r="F120" s="25" t="s">
        <v>123</v>
      </c>
      <c r="G120" s="25"/>
      <c r="H120" s="25"/>
      <c r="I120" s="25"/>
      <c r="J120" s="25"/>
    </row>
    <row r="121" spans="1:10" ht="14.4">
      <c r="A121" s="44"/>
      <c r="B121" s="44"/>
      <c r="D121" s="25"/>
      <c r="E121" s="44"/>
      <c r="F121" s="25" t="s">
        <v>123</v>
      </c>
      <c r="G121" s="25"/>
      <c r="H121" s="25"/>
      <c r="I121" s="25"/>
      <c r="J121" s="25"/>
    </row>
    <row r="122" spans="1:10" ht="14.4">
      <c r="A122" s="44"/>
      <c r="B122" s="44"/>
      <c r="D122" s="25"/>
      <c r="E122" s="44"/>
      <c r="F122" s="25" t="s">
        <v>123</v>
      </c>
      <c r="G122" s="25"/>
      <c r="H122" s="25"/>
      <c r="I122" s="25"/>
      <c r="J122" s="25"/>
    </row>
    <row r="123" spans="1:10" ht="14.4">
      <c r="A123" s="44"/>
      <c r="B123" s="44"/>
      <c r="D123" s="25"/>
      <c r="E123" s="44"/>
      <c r="F123" s="25" t="s">
        <v>123</v>
      </c>
      <c r="G123" s="25"/>
      <c r="H123" s="25"/>
      <c r="I123" s="25"/>
      <c r="J123" s="25"/>
    </row>
    <row r="124" spans="1:10" ht="14.4">
      <c r="A124" s="44"/>
      <c r="B124" s="44"/>
      <c r="D124" s="25"/>
      <c r="E124" s="44"/>
      <c r="F124" s="25" t="s">
        <v>123</v>
      </c>
      <c r="G124" s="25"/>
      <c r="H124" s="25"/>
      <c r="I124" s="25"/>
      <c r="J124" s="25"/>
    </row>
    <row r="125" spans="1:10" ht="14.4">
      <c r="A125" s="44"/>
      <c r="B125" s="44"/>
      <c r="D125" s="25"/>
      <c r="E125" s="44"/>
      <c r="F125" s="25" t="s">
        <v>123</v>
      </c>
      <c r="G125" s="25"/>
      <c r="H125" s="25"/>
      <c r="I125" s="25"/>
      <c r="J125" s="25"/>
    </row>
    <row r="126" spans="1:10" ht="14.4">
      <c r="A126" s="44"/>
      <c r="B126" s="44"/>
      <c r="D126" s="25"/>
      <c r="E126" s="44"/>
      <c r="F126" s="25" t="s">
        <v>123</v>
      </c>
      <c r="G126" s="25"/>
      <c r="H126" s="25"/>
      <c r="I126" s="25"/>
      <c r="J126" s="25"/>
    </row>
    <row r="127" spans="1:10" ht="14.4">
      <c r="A127" s="44"/>
      <c r="B127" s="44"/>
      <c r="D127" s="25"/>
      <c r="E127" s="44"/>
      <c r="F127" s="25" t="s">
        <v>123</v>
      </c>
      <c r="G127" s="25"/>
      <c r="H127" s="25"/>
      <c r="I127" s="25"/>
      <c r="J127" s="25"/>
    </row>
    <row r="128" spans="1:10" ht="14.4">
      <c r="A128" s="44"/>
      <c r="B128" s="44"/>
      <c r="D128" s="25"/>
      <c r="E128" s="44"/>
      <c r="F128" s="25" t="s">
        <v>123</v>
      </c>
      <c r="G128" s="25"/>
      <c r="H128" s="25"/>
      <c r="I128" s="25"/>
      <c r="J128" s="25"/>
    </row>
    <row r="129" spans="1:10" ht="14.4">
      <c r="A129" s="44"/>
      <c r="B129" s="44"/>
      <c r="D129" s="25"/>
      <c r="E129" s="44"/>
      <c r="F129" s="25" t="s">
        <v>123</v>
      </c>
      <c r="G129" s="25"/>
      <c r="H129" s="25"/>
      <c r="I129" s="25"/>
      <c r="J129" s="25"/>
    </row>
    <row r="130" spans="1:10" ht="14.4">
      <c r="A130" s="44"/>
      <c r="B130" s="44"/>
      <c r="D130" s="25"/>
      <c r="E130" s="44"/>
      <c r="F130" s="25" t="s">
        <v>123</v>
      </c>
      <c r="G130" s="25"/>
      <c r="H130" s="25"/>
      <c r="I130" s="25"/>
      <c r="J130" s="25"/>
    </row>
    <row r="131" spans="1:10" ht="14.4">
      <c r="A131" s="44"/>
      <c r="B131" s="44"/>
      <c r="D131" s="25"/>
      <c r="E131" s="44"/>
      <c r="F131" s="25" t="s">
        <v>123</v>
      </c>
      <c r="G131" s="25"/>
      <c r="H131" s="25"/>
      <c r="I131" s="25"/>
      <c r="J131" s="25"/>
    </row>
    <row r="132" spans="1:10" ht="14.4">
      <c r="A132" s="44"/>
      <c r="B132" s="44"/>
      <c r="D132" s="25"/>
      <c r="E132" s="44"/>
      <c r="F132" s="25" t="s">
        <v>123</v>
      </c>
      <c r="G132" s="25"/>
      <c r="H132" s="25"/>
      <c r="I132" s="25"/>
      <c r="J132" s="25"/>
    </row>
    <row r="133" spans="1:10" ht="14.4">
      <c r="A133" s="44"/>
      <c r="B133" s="44"/>
      <c r="D133" s="25"/>
      <c r="E133" s="44"/>
      <c r="F133" s="25" t="s">
        <v>123</v>
      </c>
      <c r="G133" s="25"/>
      <c r="H133" s="25"/>
      <c r="I133" s="25"/>
      <c r="J133" s="25"/>
    </row>
    <row r="134" spans="1:10" ht="14.4">
      <c r="A134" s="44"/>
      <c r="B134" s="44"/>
      <c r="D134" s="25"/>
      <c r="E134" s="44"/>
      <c r="F134" s="25" t="s">
        <v>123</v>
      </c>
      <c r="G134" s="25"/>
      <c r="H134" s="25"/>
      <c r="I134" s="25"/>
      <c r="J134" s="25"/>
    </row>
    <row r="135" spans="1:10" ht="14.4">
      <c r="A135" s="44"/>
      <c r="B135" s="44"/>
      <c r="D135" s="25"/>
      <c r="E135" s="44"/>
      <c r="F135" s="25" t="s">
        <v>123</v>
      </c>
      <c r="G135" s="25"/>
      <c r="H135" s="25"/>
      <c r="I135" s="25"/>
      <c r="J135" s="25"/>
    </row>
    <row r="136" spans="1:10" ht="14.4">
      <c r="A136" s="44"/>
      <c r="B136" s="44"/>
      <c r="D136" s="25"/>
      <c r="E136" s="44"/>
      <c r="F136" s="25" t="s">
        <v>123</v>
      </c>
      <c r="G136" s="25"/>
      <c r="H136" s="25"/>
      <c r="I136" s="25"/>
      <c r="J136" s="25"/>
    </row>
    <row r="137" spans="1:10" ht="14.4">
      <c r="A137" s="44"/>
      <c r="B137" s="44"/>
      <c r="D137" s="25"/>
      <c r="E137" s="44"/>
      <c r="F137" s="25" t="s">
        <v>123</v>
      </c>
      <c r="G137" s="25"/>
      <c r="H137" s="25"/>
      <c r="I137" s="25"/>
      <c r="J137" s="25"/>
    </row>
    <row r="138" spans="1:10" ht="14.4">
      <c r="A138" s="44"/>
      <c r="B138" s="44"/>
      <c r="D138" s="25"/>
      <c r="E138" s="44"/>
      <c r="F138" s="25" t="s">
        <v>123</v>
      </c>
      <c r="G138" s="25"/>
      <c r="H138" s="25"/>
      <c r="I138" s="25"/>
      <c r="J138" s="25"/>
    </row>
    <row r="139" spans="1:10" ht="14.4">
      <c r="A139" s="44"/>
      <c r="B139" s="44"/>
      <c r="D139" s="25"/>
      <c r="E139" s="44"/>
      <c r="F139" s="25" t="s">
        <v>123</v>
      </c>
      <c r="G139" s="25"/>
      <c r="H139" s="25"/>
      <c r="I139" s="25"/>
      <c r="J139" s="25"/>
    </row>
    <row r="140" spans="1:10" ht="14.4">
      <c r="A140" s="44"/>
      <c r="B140" s="44"/>
      <c r="D140" s="25"/>
      <c r="E140" s="44"/>
      <c r="F140" s="25" t="s">
        <v>123</v>
      </c>
      <c r="G140" s="25"/>
      <c r="H140" s="25"/>
      <c r="I140" s="25"/>
      <c r="J140" s="25"/>
    </row>
    <row r="141" spans="1:10" ht="14.4">
      <c r="A141" s="44"/>
      <c r="B141" s="44"/>
      <c r="D141" s="25"/>
      <c r="E141" s="44"/>
      <c r="F141" s="25" t="s">
        <v>123</v>
      </c>
      <c r="G141" s="25"/>
      <c r="H141" s="25"/>
      <c r="I141" s="25"/>
      <c r="J141" s="25"/>
    </row>
    <row r="142" spans="1:10" ht="14.4">
      <c r="A142" s="44"/>
      <c r="B142" s="44"/>
      <c r="D142" s="25"/>
      <c r="E142" s="44"/>
      <c r="F142" s="25" t="s">
        <v>123</v>
      </c>
      <c r="G142" s="25"/>
      <c r="H142" s="25"/>
      <c r="I142" s="25"/>
      <c r="J142" s="25"/>
    </row>
    <row r="143" spans="1:10" ht="14.4">
      <c r="A143" s="44"/>
      <c r="B143" s="44"/>
      <c r="D143" s="25"/>
      <c r="E143" s="44"/>
      <c r="F143" s="25" t="s">
        <v>123</v>
      </c>
      <c r="G143" s="25"/>
      <c r="H143" s="25"/>
      <c r="I143" s="25"/>
      <c r="J143" s="25"/>
    </row>
    <row r="144" spans="1:10" ht="14.4">
      <c r="A144" s="44"/>
      <c r="B144" s="44"/>
      <c r="D144" s="25"/>
      <c r="E144" s="44"/>
      <c r="F144" s="25" t="s">
        <v>123</v>
      </c>
      <c r="G144" s="25"/>
      <c r="H144" s="25"/>
      <c r="I144" s="25"/>
      <c r="J144" s="25"/>
    </row>
    <row r="145" spans="1:10" ht="14.4">
      <c r="A145" s="44"/>
      <c r="B145" s="44"/>
      <c r="D145" s="25"/>
      <c r="E145" s="44"/>
      <c r="F145" s="25" t="s">
        <v>123</v>
      </c>
      <c r="G145" s="25"/>
      <c r="H145" s="25"/>
      <c r="I145" s="25"/>
      <c r="J145" s="25"/>
    </row>
    <row r="146" spans="1:10" ht="14.4">
      <c r="A146" s="44"/>
      <c r="B146" s="44"/>
      <c r="D146" s="25"/>
      <c r="E146" s="44"/>
      <c r="F146" s="25" t="s">
        <v>123</v>
      </c>
      <c r="G146" s="25"/>
      <c r="H146" s="25"/>
      <c r="I146" s="25"/>
      <c r="J146" s="25"/>
    </row>
    <row r="147" spans="1:10" ht="14.4">
      <c r="A147" s="44"/>
      <c r="B147" s="44"/>
      <c r="D147" s="25"/>
      <c r="E147" s="44"/>
      <c r="F147" s="25" t="s">
        <v>123</v>
      </c>
      <c r="G147" s="25"/>
      <c r="H147" s="25"/>
      <c r="I147" s="25"/>
      <c r="J147" s="25"/>
    </row>
    <row r="148" spans="1:10" ht="14.4">
      <c r="A148" s="44"/>
      <c r="B148" s="44"/>
      <c r="D148" s="25"/>
      <c r="E148" s="44"/>
      <c r="F148" s="25" t="s">
        <v>123</v>
      </c>
      <c r="G148" s="25"/>
      <c r="H148" s="25"/>
      <c r="I148" s="25"/>
      <c r="J148" s="25"/>
    </row>
    <row r="149" spans="1:10" ht="14.4">
      <c r="A149" s="44"/>
      <c r="B149" s="44"/>
      <c r="D149" s="25"/>
      <c r="E149" s="44"/>
      <c r="F149" s="25" t="s">
        <v>123</v>
      </c>
      <c r="G149" s="25"/>
      <c r="H149" s="25"/>
      <c r="I149" s="25"/>
      <c r="J149" s="25"/>
    </row>
    <row r="150" spans="1:10" ht="14.4">
      <c r="A150" s="44"/>
      <c r="B150" s="44"/>
      <c r="D150" s="25"/>
      <c r="E150" s="44"/>
      <c r="F150" s="25" t="s">
        <v>123</v>
      </c>
      <c r="G150" s="25"/>
      <c r="H150" s="25"/>
      <c r="I150" s="25"/>
      <c r="J150" s="25"/>
    </row>
    <row r="151" spans="1:10" ht="14.4">
      <c r="A151" s="44"/>
      <c r="B151" s="44"/>
      <c r="D151" s="25"/>
      <c r="E151" s="44"/>
      <c r="F151" s="25" t="s">
        <v>123</v>
      </c>
      <c r="G151" s="25"/>
      <c r="H151" s="25"/>
      <c r="I151" s="25"/>
      <c r="J151" s="25"/>
    </row>
    <row r="152" spans="1:10" ht="14.4">
      <c r="A152" s="44"/>
      <c r="B152" s="44"/>
      <c r="D152" s="25"/>
      <c r="E152" s="44"/>
      <c r="F152" s="25" t="s">
        <v>123</v>
      </c>
      <c r="G152" s="25"/>
      <c r="H152" s="25"/>
      <c r="I152" s="25"/>
      <c r="J152" s="25"/>
    </row>
    <row r="153" spans="1:10" ht="14.4">
      <c r="A153" s="44"/>
      <c r="B153" s="44"/>
      <c r="D153" s="25"/>
      <c r="E153" s="44"/>
      <c r="F153" s="25" t="s">
        <v>123</v>
      </c>
      <c r="G153" s="25"/>
      <c r="H153" s="25"/>
      <c r="I153" s="25"/>
      <c r="J153" s="25"/>
    </row>
    <row r="154" spans="1:10" ht="14.4">
      <c r="A154" s="44"/>
      <c r="B154" s="44"/>
      <c r="D154" s="25"/>
      <c r="E154" s="44"/>
      <c r="F154" s="25" t="s">
        <v>123</v>
      </c>
      <c r="G154" s="25"/>
      <c r="H154" s="25"/>
      <c r="I154" s="25"/>
      <c r="J154" s="25"/>
    </row>
    <row r="155" spans="1:10" ht="14.4">
      <c r="A155" s="44"/>
      <c r="B155" s="44"/>
      <c r="D155" s="25"/>
      <c r="E155" s="44"/>
      <c r="F155" s="25" t="s">
        <v>123</v>
      </c>
      <c r="G155" s="25"/>
      <c r="H155" s="25"/>
      <c r="I155" s="25"/>
      <c r="J155" s="25"/>
    </row>
    <row r="156" spans="1:10" ht="14.4">
      <c r="A156" s="44"/>
      <c r="B156" s="44"/>
      <c r="D156" s="25"/>
      <c r="E156" s="44"/>
      <c r="F156" s="25" t="s">
        <v>123</v>
      </c>
      <c r="G156" s="25"/>
      <c r="H156" s="25"/>
      <c r="I156" s="25"/>
      <c r="J156" s="25"/>
    </row>
    <row r="157" spans="1:10" ht="14.4">
      <c r="A157" s="44"/>
      <c r="B157" s="44"/>
      <c r="D157" s="25"/>
      <c r="E157" s="44"/>
      <c r="F157" s="25" t="s">
        <v>123</v>
      </c>
      <c r="G157" s="25"/>
      <c r="H157" s="25"/>
      <c r="I157" s="25"/>
      <c r="J157" s="25"/>
    </row>
    <row r="158" spans="1:10" ht="14.4">
      <c r="A158" s="44"/>
      <c r="B158" s="44"/>
      <c r="D158" s="25"/>
      <c r="E158" s="44"/>
      <c r="F158" s="25" t="s">
        <v>123</v>
      </c>
      <c r="G158" s="25"/>
      <c r="H158" s="25"/>
      <c r="I158" s="25"/>
      <c r="J158" s="25"/>
    </row>
    <row r="159" spans="1:10" ht="14.4">
      <c r="A159" s="44"/>
      <c r="B159" s="44"/>
      <c r="D159" s="25"/>
      <c r="E159" s="44"/>
      <c r="F159" s="25" t="s">
        <v>123</v>
      </c>
      <c r="G159" s="25"/>
      <c r="H159" s="25"/>
      <c r="I159" s="25"/>
      <c r="J159" s="25"/>
    </row>
    <row r="160" spans="1:10" ht="14.4">
      <c r="A160" s="44"/>
      <c r="B160" s="44"/>
      <c r="D160" s="25"/>
      <c r="E160" s="44"/>
      <c r="F160" s="25" t="s">
        <v>123</v>
      </c>
      <c r="G160" s="25"/>
      <c r="H160" s="25"/>
      <c r="I160" s="25"/>
      <c r="J160" s="25"/>
    </row>
    <row r="161" spans="1:10" ht="14.4">
      <c r="A161" s="44"/>
      <c r="B161" s="44"/>
      <c r="D161" s="25"/>
      <c r="E161" s="44"/>
      <c r="F161" s="25" t="s">
        <v>123</v>
      </c>
      <c r="G161" s="25"/>
      <c r="H161" s="25"/>
      <c r="I161" s="25"/>
      <c r="J161" s="25"/>
    </row>
    <row r="162" spans="1:10" ht="14.4">
      <c r="A162" s="44"/>
      <c r="B162" s="44"/>
      <c r="D162" s="25"/>
      <c r="E162" s="44"/>
      <c r="F162" s="25" t="s">
        <v>123</v>
      </c>
      <c r="G162" s="25"/>
      <c r="H162" s="25"/>
      <c r="I162" s="25"/>
      <c r="J162" s="25"/>
    </row>
    <row r="163" spans="1:10" ht="14.4">
      <c r="A163" s="44"/>
      <c r="B163" s="44"/>
      <c r="D163" s="25"/>
      <c r="E163" s="44"/>
      <c r="F163" s="25" t="s">
        <v>123</v>
      </c>
      <c r="G163" s="25"/>
      <c r="H163" s="25"/>
      <c r="I163" s="25"/>
      <c r="J163" s="25"/>
    </row>
    <row r="164" spans="1:10" ht="14.4">
      <c r="A164" s="44"/>
      <c r="B164" s="44"/>
      <c r="D164" s="25"/>
      <c r="E164" s="44"/>
      <c r="F164" s="25" t="s">
        <v>123</v>
      </c>
      <c r="G164" s="25"/>
      <c r="H164" s="25"/>
      <c r="I164" s="25"/>
      <c r="J164" s="25"/>
    </row>
    <row r="165" spans="1:10" ht="14.4">
      <c r="A165" s="44"/>
      <c r="B165" s="44"/>
      <c r="D165" s="25"/>
      <c r="E165" s="44"/>
      <c r="F165" s="25" t="s">
        <v>123</v>
      </c>
      <c r="G165" s="25"/>
      <c r="H165" s="25"/>
      <c r="I165" s="25"/>
      <c r="J165" s="25"/>
    </row>
    <row r="166" spans="1:10" ht="14.4">
      <c r="A166" s="44"/>
      <c r="B166" s="44"/>
      <c r="D166" s="25"/>
      <c r="E166" s="44"/>
      <c r="F166" s="25" t="s">
        <v>123</v>
      </c>
      <c r="G166" s="25"/>
      <c r="H166" s="25"/>
      <c r="I166" s="25"/>
      <c r="J166" s="25"/>
    </row>
    <row r="167" spans="1:10" ht="14.4">
      <c r="A167" s="44"/>
      <c r="B167" s="44"/>
      <c r="D167" s="25"/>
      <c r="E167" s="44"/>
      <c r="F167" s="25" t="s">
        <v>123</v>
      </c>
      <c r="G167" s="25"/>
      <c r="H167" s="25"/>
      <c r="I167" s="25"/>
      <c r="J167" s="25"/>
    </row>
    <row r="168" spans="1:10" ht="14.4">
      <c r="A168" s="44"/>
      <c r="B168" s="44"/>
      <c r="D168" s="25"/>
      <c r="E168" s="44"/>
      <c r="F168" s="25" t="s">
        <v>123</v>
      </c>
      <c r="G168" s="25"/>
      <c r="H168" s="25"/>
      <c r="I168" s="25"/>
      <c r="J168" s="25"/>
    </row>
    <row r="169" spans="1:10" ht="14.4">
      <c r="A169" s="44"/>
      <c r="B169" s="44"/>
      <c r="D169" s="25"/>
      <c r="E169" s="44"/>
      <c r="F169" s="25" t="s">
        <v>123</v>
      </c>
      <c r="G169" s="25"/>
      <c r="H169" s="25"/>
      <c r="I169" s="25"/>
      <c r="J169" s="25"/>
    </row>
    <row r="170" spans="1:10" ht="14.4">
      <c r="A170" s="44"/>
      <c r="B170" s="44"/>
      <c r="D170" s="25"/>
      <c r="E170" s="44"/>
      <c r="F170" s="25" t="s">
        <v>123</v>
      </c>
      <c r="G170" s="25"/>
      <c r="H170" s="25"/>
      <c r="I170" s="25"/>
      <c r="J170" s="25"/>
    </row>
    <row r="171" spans="1:10" ht="14.4">
      <c r="A171" s="44"/>
      <c r="B171" s="44"/>
      <c r="D171" s="25"/>
      <c r="E171" s="44"/>
      <c r="F171" s="25" t="s">
        <v>123</v>
      </c>
      <c r="G171" s="25"/>
      <c r="H171" s="25"/>
      <c r="I171" s="25"/>
      <c r="J171" s="25"/>
    </row>
    <row r="172" spans="1:10" ht="14.4">
      <c r="A172" s="44"/>
      <c r="B172" s="44"/>
      <c r="D172" s="25"/>
      <c r="E172" s="44"/>
      <c r="F172" s="25" t="s">
        <v>123</v>
      </c>
      <c r="G172" s="25"/>
      <c r="H172" s="25"/>
      <c r="I172" s="25"/>
      <c r="J172" s="25"/>
    </row>
    <row r="173" spans="1:10" ht="14.4">
      <c r="A173" s="44"/>
      <c r="B173" s="44"/>
      <c r="D173" s="25"/>
      <c r="E173" s="44"/>
      <c r="F173" s="25" t="s">
        <v>123</v>
      </c>
      <c r="G173" s="25"/>
      <c r="H173" s="25"/>
      <c r="I173" s="25"/>
      <c r="J173" s="25"/>
    </row>
    <row r="174" spans="1:10" ht="14.4">
      <c r="A174" s="44"/>
      <c r="B174" s="44"/>
      <c r="D174" s="25"/>
      <c r="E174" s="44"/>
      <c r="F174" s="25" t="s">
        <v>123</v>
      </c>
      <c r="G174" s="25"/>
      <c r="H174" s="25"/>
      <c r="I174" s="25"/>
      <c r="J174" s="25"/>
    </row>
    <row r="175" spans="1:10" ht="14.4">
      <c r="A175" s="44"/>
      <c r="B175" s="44"/>
      <c r="D175" s="25"/>
      <c r="E175" s="44"/>
      <c r="F175" s="25" t="s">
        <v>123</v>
      </c>
      <c r="G175" s="25"/>
      <c r="H175" s="25"/>
      <c r="I175" s="25"/>
      <c r="J175" s="25"/>
    </row>
    <row r="176" spans="1:10" ht="14.4">
      <c r="A176" s="44"/>
      <c r="B176" s="44"/>
      <c r="D176" s="25"/>
      <c r="E176" s="44"/>
      <c r="F176" s="25" t="s">
        <v>123</v>
      </c>
      <c r="G176" s="25"/>
      <c r="H176" s="25"/>
      <c r="I176" s="25"/>
      <c r="J176" s="25"/>
    </row>
    <row r="177" spans="1:10" ht="14.4">
      <c r="A177" s="44"/>
      <c r="B177" s="44"/>
      <c r="D177" s="25"/>
      <c r="E177" s="44"/>
      <c r="F177" s="25" t="s">
        <v>123</v>
      </c>
      <c r="G177" s="25"/>
      <c r="H177" s="25"/>
      <c r="I177" s="25"/>
      <c r="J177" s="25"/>
    </row>
    <row r="178" spans="1:10" ht="14.4">
      <c r="A178" s="44"/>
      <c r="B178" s="44"/>
      <c r="D178" s="25"/>
      <c r="E178" s="44"/>
      <c r="F178" s="25" t="s">
        <v>123</v>
      </c>
      <c r="G178" s="25"/>
      <c r="H178" s="25"/>
      <c r="I178" s="25"/>
      <c r="J178" s="25"/>
    </row>
    <row r="179" spans="1:10" ht="14.4">
      <c r="A179" s="44"/>
      <c r="B179" s="44"/>
      <c r="D179" s="25"/>
      <c r="E179" s="44"/>
      <c r="F179" s="25" t="s">
        <v>123</v>
      </c>
      <c r="G179" s="25"/>
      <c r="H179" s="25"/>
      <c r="I179" s="25"/>
      <c r="J179" s="25"/>
    </row>
    <row r="180" spans="1:10" ht="14.4">
      <c r="A180" s="44"/>
      <c r="B180" s="44"/>
      <c r="D180" s="25"/>
      <c r="E180" s="44"/>
      <c r="F180" s="25" t="s">
        <v>123</v>
      </c>
      <c r="G180" s="25"/>
      <c r="H180" s="25"/>
      <c r="I180" s="25"/>
      <c r="J180" s="25"/>
    </row>
    <row r="181" spans="1:10" ht="14.4">
      <c r="A181" s="44"/>
      <c r="B181" s="44"/>
      <c r="D181" s="25"/>
      <c r="E181" s="44"/>
      <c r="F181" s="25" t="s">
        <v>123</v>
      </c>
      <c r="G181" s="25"/>
      <c r="H181" s="25"/>
      <c r="I181" s="25"/>
      <c r="J181" s="25"/>
    </row>
    <row r="182" spans="1:10" ht="14.4">
      <c r="A182" s="44"/>
      <c r="B182" s="44"/>
      <c r="D182" s="25"/>
      <c r="E182" s="44"/>
      <c r="F182" s="25" t="s">
        <v>123</v>
      </c>
      <c r="G182" s="25"/>
      <c r="H182" s="25"/>
      <c r="I182" s="25"/>
      <c r="J182" s="25"/>
    </row>
    <row r="183" spans="1:10" ht="14.4">
      <c r="A183" s="44"/>
      <c r="B183" s="44"/>
      <c r="D183" s="25"/>
      <c r="E183" s="44"/>
      <c r="F183" s="25" t="s">
        <v>123</v>
      </c>
      <c r="G183" s="25"/>
      <c r="H183" s="25"/>
      <c r="I183" s="25"/>
      <c r="J183" s="25"/>
    </row>
    <row r="184" spans="1:10" ht="14.4">
      <c r="A184" s="44"/>
      <c r="B184" s="44"/>
      <c r="D184" s="25"/>
      <c r="E184" s="44"/>
      <c r="F184" s="25" t="s">
        <v>123</v>
      </c>
      <c r="G184" s="25"/>
      <c r="H184" s="25"/>
      <c r="I184" s="25"/>
      <c r="J184" s="25"/>
    </row>
    <row r="185" spans="1:10" ht="14.4">
      <c r="A185" s="44"/>
      <c r="B185" s="44"/>
      <c r="D185" s="25"/>
      <c r="E185" s="44"/>
      <c r="F185" s="25" t="s">
        <v>123</v>
      </c>
      <c r="G185" s="25"/>
      <c r="H185" s="25"/>
      <c r="I185" s="25"/>
      <c r="J185" s="25"/>
    </row>
    <row r="186" spans="1:10" ht="14.4">
      <c r="A186" s="44"/>
      <c r="B186" s="44"/>
      <c r="D186" s="25"/>
      <c r="E186" s="44"/>
      <c r="F186" s="25" t="s">
        <v>123</v>
      </c>
      <c r="G186" s="25"/>
      <c r="H186" s="25"/>
      <c r="I186" s="25"/>
      <c r="J186" s="25"/>
    </row>
    <row r="187" spans="1:10" ht="14.4">
      <c r="A187" s="44"/>
      <c r="B187" s="44"/>
      <c r="D187" s="25"/>
      <c r="E187" s="44"/>
      <c r="F187" s="25" t="s">
        <v>123</v>
      </c>
      <c r="G187" s="25"/>
      <c r="H187" s="25"/>
      <c r="I187" s="25"/>
      <c r="J187" s="25"/>
    </row>
    <row r="188" spans="1:10" ht="14.4">
      <c r="A188" s="44"/>
      <c r="B188" s="44"/>
      <c r="D188" s="25"/>
      <c r="E188" s="44"/>
      <c r="F188" s="25" t="s">
        <v>123</v>
      </c>
      <c r="G188" s="25"/>
      <c r="H188" s="25"/>
      <c r="I188" s="25"/>
      <c r="J188" s="25"/>
    </row>
    <row r="189" spans="1:10" ht="14.4">
      <c r="A189" s="44"/>
      <c r="B189" s="44"/>
      <c r="D189" s="25"/>
      <c r="E189" s="44"/>
      <c r="F189" s="25" t="s">
        <v>123</v>
      </c>
      <c r="G189" s="25"/>
      <c r="H189" s="25"/>
      <c r="I189" s="25"/>
      <c r="J189" s="25"/>
    </row>
    <row r="190" spans="1:10" ht="14.4">
      <c r="A190" s="44"/>
      <c r="B190" s="44"/>
      <c r="D190" s="25"/>
      <c r="E190" s="44"/>
      <c r="F190" s="25" t="s">
        <v>123</v>
      </c>
      <c r="G190" s="25"/>
      <c r="H190" s="25"/>
      <c r="I190" s="25"/>
      <c r="J190" s="25"/>
    </row>
    <row r="191" spans="1:10" ht="14.4">
      <c r="A191" s="44"/>
      <c r="B191" s="44"/>
      <c r="D191" s="25"/>
      <c r="E191" s="44"/>
      <c r="F191" s="25" t="s">
        <v>123</v>
      </c>
      <c r="G191" s="25"/>
      <c r="H191" s="25"/>
      <c r="I191" s="25"/>
      <c r="J191" s="25"/>
    </row>
    <row r="192" spans="1:10" ht="14.4">
      <c r="A192" s="44"/>
      <c r="B192" s="44"/>
      <c r="D192" s="25"/>
      <c r="E192" s="44"/>
      <c r="F192" s="25" t="s">
        <v>123</v>
      </c>
      <c r="G192" s="25"/>
      <c r="H192" s="25"/>
      <c r="I192" s="25"/>
      <c r="J192" s="25"/>
    </row>
    <row r="193" spans="1:10" ht="14.4">
      <c r="A193" s="44"/>
      <c r="B193" s="44"/>
      <c r="D193" s="25"/>
      <c r="E193" s="44"/>
      <c r="F193" s="25" t="s">
        <v>123</v>
      </c>
      <c r="G193" s="25"/>
      <c r="H193" s="25"/>
      <c r="I193" s="25"/>
      <c r="J193" s="25"/>
    </row>
    <row r="194" spans="1:10" ht="14.4">
      <c r="A194" s="44"/>
      <c r="B194" s="44"/>
      <c r="D194" s="25"/>
      <c r="E194" s="44"/>
      <c r="F194" s="25" t="s">
        <v>123</v>
      </c>
      <c r="G194" s="25"/>
      <c r="H194" s="25"/>
      <c r="I194" s="25"/>
      <c r="J194" s="25"/>
    </row>
    <row r="195" spans="1:10" ht="14.4">
      <c r="A195" s="44"/>
      <c r="B195" s="44"/>
      <c r="D195" s="25"/>
      <c r="E195" s="44"/>
      <c r="F195" s="25" t="s">
        <v>123</v>
      </c>
      <c r="G195" s="25"/>
      <c r="H195" s="25"/>
      <c r="I195" s="25"/>
      <c r="J195" s="25"/>
    </row>
    <row r="196" spans="1:10" ht="14.4">
      <c r="A196" s="44"/>
      <c r="B196" s="44"/>
      <c r="D196" s="25"/>
      <c r="E196" s="44"/>
      <c r="F196" s="25" t="s">
        <v>123</v>
      </c>
      <c r="G196" s="25"/>
      <c r="H196" s="25"/>
      <c r="I196" s="25"/>
      <c r="J196" s="25"/>
    </row>
    <row r="197" spans="1:10" ht="14.4">
      <c r="A197" s="44"/>
      <c r="B197" s="44"/>
      <c r="D197" s="25"/>
      <c r="E197" s="44"/>
      <c r="F197" s="25" t="s">
        <v>123</v>
      </c>
      <c r="G197" s="25"/>
      <c r="H197" s="25"/>
      <c r="I197" s="25"/>
      <c r="J197" s="25"/>
    </row>
    <row r="198" spans="1:10" ht="14.4">
      <c r="A198" s="44"/>
      <c r="B198" s="44"/>
      <c r="D198" s="25"/>
      <c r="E198" s="44"/>
      <c r="F198" s="25" t="s">
        <v>123</v>
      </c>
      <c r="G198" s="25"/>
      <c r="H198" s="25"/>
      <c r="I198" s="25"/>
      <c r="J198" s="25"/>
    </row>
    <row r="199" spans="1:10" ht="14.4">
      <c r="A199" s="44"/>
      <c r="B199" s="44"/>
      <c r="D199" s="25"/>
      <c r="E199" s="44"/>
      <c r="F199" s="25" t="s">
        <v>123</v>
      </c>
      <c r="G199" s="25"/>
      <c r="H199" s="25"/>
      <c r="I199" s="25"/>
      <c r="J199" s="25"/>
    </row>
    <row r="200" spans="1:10" ht="14.4">
      <c r="A200" s="44"/>
      <c r="B200" s="44"/>
      <c r="D200" s="25"/>
      <c r="E200" s="44"/>
      <c r="F200" s="25" t="s">
        <v>123</v>
      </c>
      <c r="G200" s="25"/>
      <c r="H200" s="25"/>
      <c r="I200" s="25"/>
      <c r="J200" s="25"/>
    </row>
    <row r="201" spans="1:10" ht="14.4">
      <c r="A201" s="44"/>
      <c r="B201" s="44"/>
      <c r="D201" s="25"/>
      <c r="E201" s="44"/>
      <c r="F201" s="25" t="s">
        <v>123</v>
      </c>
      <c r="G201" s="25"/>
      <c r="H201" s="25"/>
      <c r="I201" s="25"/>
      <c r="J201" s="25"/>
    </row>
    <row r="202" spans="1:10" ht="14.4">
      <c r="A202" s="44"/>
      <c r="B202" s="44"/>
      <c r="D202" s="25"/>
      <c r="E202" s="44"/>
      <c r="F202" s="25" t="s">
        <v>123</v>
      </c>
      <c r="G202" s="25"/>
      <c r="H202" s="25"/>
      <c r="I202" s="25"/>
      <c r="J202" s="25"/>
    </row>
    <row r="203" spans="1:10" ht="14.4">
      <c r="A203" s="44"/>
      <c r="B203" s="44"/>
      <c r="D203" s="25"/>
      <c r="E203" s="44"/>
      <c r="F203" s="25" t="s">
        <v>123</v>
      </c>
      <c r="G203" s="25"/>
      <c r="H203" s="25"/>
      <c r="I203" s="25"/>
      <c r="J203" s="25"/>
    </row>
    <row r="204" spans="1:10" ht="14.4">
      <c r="A204" s="44"/>
      <c r="B204" s="44"/>
      <c r="D204" s="25"/>
      <c r="E204" s="44"/>
      <c r="F204" s="25" t="s">
        <v>123</v>
      </c>
      <c r="G204" s="25"/>
      <c r="H204" s="25"/>
      <c r="I204" s="25"/>
      <c r="J204" s="25"/>
    </row>
    <row r="205" spans="1:10" ht="14.4">
      <c r="A205" s="44"/>
      <c r="B205" s="44"/>
      <c r="D205" s="25"/>
      <c r="E205" s="44"/>
      <c r="F205" s="25" t="s">
        <v>123</v>
      </c>
      <c r="G205" s="25"/>
      <c r="H205" s="25"/>
      <c r="I205" s="25"/>
      <c r="J205" s="25"/>
    </row>
    <row r="206" spans="1:10" ht="14.4">
      <c r="A206" s="44"/>
      <c r="B206" s="44"/>
      <c r="D206" s="25"/>
      <c r="E206" s="44"/>
      <c r="F206" s="25" t="s">
        <v>123</v>
      </c>
      <c r="G206" s="25"/>
      <c r="H206" s="25"/>
      <c r="I206" s="25"/>
      <c r="J206" s="25"/>
    </row>
    <row r="207" spans="1:10" ht="14.4">
      <c r="A207" s="44"/>
      <c r="B207" s="44"/>
      <c r="D207" s="25"/>
      <c r="E207" s="44"/>
      <c r="F207" s="25" t="s">
        <v>123</v>
      </c>
      <c r="G207" s="25"/>
      <c r="H207" s="25"/>
      <c r="I207" s="25"/>
      <c r="J207" s="25"/>
    </row>
    <row r="208" spans="1:10" ht="14.4">
      <c r="A208" s="44"/>
      <c r="B208" s="44"/>
      <c r="D208" s="25"/>
      <c r="E208" s="44"/>
      <c r="F208" s="25" t="s">
        <v>123</v>
      </c>
      <c r="G208" s="25"/>
      <c r="H208" s="25"/>
      <c r="I208" s="25"/>
      <c r="J208" s="25"/>
    </row>
    <row r="209" spans="1:10" ht="14.4">
      <c r="A209" s="44"/>
      <c r="B209" s="44"/>
      <c r="D209" s="25"/>
      <c r="E209" s="44"/>
      <c r="F209" s="25" t="s">
        <v>123</v>
      </c>
      <c r="G209" s="25"/>
      <c r="H209" s="25"/>
      <c r="I209" s="25"/>
      <c r="J209" s="25"/>
    </row>
    <row r="210" spans="1:10" ht="14.4">
      <c r="A210" s="44"/>
      <c r="B210" s="44"/>
      <c r="D210" s="25"/>
      <c r="E210" s="44"/>
      <c r="F210" s="25" t="s">
        <v>123</v>
      </c>
      <c r="G210" s="25"/>
      <c r="H210" s="25"/>
      <c r="I210" s="25"/>
      <c r="J210" s="25"/>
    </row>
    <row r="211" spans="1:10" ht="14.4">
      <c r="A211" s="44"/>
      <c r="B211" s="44"/>
      <c r="D211" s="25"/>
      <c r="E211" s="44"/>
      <c r="F211" s="25" t="s">
        <v>123</v>
      </c>
      <c r="G211" s="25"/>
      <c r="H211" s="25"/>
      <c r="I211" s="25"/>
      <c r="J211" s="25"/>
    </row>
    <row r="212" spans="1:10" ht="14.4">
      <c r="A212" s="44"/>
      <c r="B212" s="44"/>
      <c r="D212" s="25"/>
      <c r="E212" s="44"/>
      <c r="F212" s="25" t="s">
        <v>123</v>
      </c>
      <c r="G212" s="25"/>
      <c r="H212" s="25"/>
      <c r="I212" s="25"/>
      <c r="J212" s="25"/>
    </row>
    <row r="213" spans="1:10" ht="14.4">
      <c r="A213" s="44"/>
      <c r="B213" s="44"/>
      <c r="D213" s="25"/>
      <c r="E213" s="44"/>
      <c r="F213" s="25" t="s">
        <v>123</v>
      </c>
      <c r="G213" s="25"/>
      <c r="H213" s="25"/>
      <c r="I213" s="25"/>
      <c r="J213" s="25"/>
    </row>
    <row r="214" spans="1:10" ht="14.4">
      <c r="A214" s="44"/>
      <c r="B214" s="44"/>
      <c r="D214" s="25"/>
      <c r="E214" s="44"/>
      <c r="F214" s="25" t="s">
        <v>123</v>
      </c>
      <c r="G214" s="25"/>
      <c r="H214" s="25"/>
      <c r="I214" s="25"/>
      <c r="J214" s="25"/>
    </row>
    <row r="215" spans="1:10" ht="14.4">
      <c r="A215" s="44"/>
      <c r="B215" s="44"/>
      <c r="D215" s="25"/>
      <c r="E215" s="44"/>
      <c r="F215" s="25" t="s">
        <v>123</v>
      </c>
      <c r="G215" s="25"/>
      <c r="H215" s="25"/>
      <c r="I215" s="25"/>
      <c r="J215" s="25"/>
    </row>
    <row r="216" spans="1:10" ht="14.4">
      <c r="A216" s="44"/>
      <c r="B216" s="44"/>
      <c r="D216" s="25"/>
      <c r="E216" s="44"/>
      <c r="F216" s="25" t="s">
        <v>123</v>
      </c>
      <c r="G216" s="25"/>
      <c r="H216" s="25"/>
      <c r="I216" s="25"/>
      <c r="J216" s="25"/>
    </row>
    <row r="217" spans="1:10" ht="14.4">
      <c r="A217" s="44"/>
      <c r="B217" s="44"/>
      <c r="D217" s="25"/>
      <c r="E217" s="44"/>
      <c r="F217" s="25" t="s">
        <v>123</v>
      </c>
      <c r="G217" s="25"/>
      <c r="H217" s="25"/>
      <c r="I217" s="25"/>
      <c r="J217" s="25"/>
    </row>
    <row r="218" spans="1:10" ht="14.4">
      <c r="A218" s="44"/>
      <c r="B218" s="44"/>
      <c r="D218" s="25"/>
      <c r="E218" s="44"/>
      <c r="F218" s="25" t="s">
        <v>123</v>
      </c>
      <c r="G218" s="25"/>
      <c r="H218" s="25"/>
      <c r="I218" s="25"/>
      <c r="J218" s="25"/>
    </row>
    <row r="219" spans="1:10" ht="14.4">
      <c r="A219" s="44"/>
      <c r="B219" s="44"/>
      <c r="D219" s="25"/>
      <c r="E219" s="44"/>
      <c r="F219" s="25" t="s">
        <v>123</v>
      </c>
      <c r="G219" s="25"/>
      <c r="H219" s="25"/>
      <c r="I219" s="25"/>
      <c r="J219" s="25"/>
    </row>
    <row r="220" spans="1:10" ht="14.4">
      <c r="A220" s="44"/>
      <c r="B220" s="44"/>
      <c r="D220" s="25"/>
      <c r="E220" s="44"/>
      <c r="F220" s="25" t="s">
        <v>123</v>
      </c>
      <c r="G220" s="25"/>
      <c r="H220" s="25"/>
      <c r="I220" s="25"/>
      <c r="J220" s="25"/>
    </row>
    <row r="221" spans="1:10" ht="14.4">
      <c r="A221" s="44"/>
      <c r="B221" s="44"/>
      <c r="D221" s="25"/>
      <c r="E221" s="44"/>
      <c r="F221" s="25" t="s">
        <v>123</v>
      </c>
      <c r="G221" s="25"/>
      <c r="H221" s="25"/>
      <c r="I221" s="25"/>
      <c r="J221" s="25"/>
    </row>
    <row r="222" spans="1:10" ht="14.4">
      <c r="A222" s="44"/>
      <c r="B222" s="44"/>
      <c r="D222" s="25"/>
      <c r="E222" s="44"/>
      <c r="F222" s="25" t="s">
        <v>123</v>
      </c>
      <c r="G222" s="25"/>
      <c r="H222" s="25"/>
      <c r="I222" s="25"/>
      <c r="J222" s="25"/>
    </row>
    <row r="223" spans="1:10" ht="14.4">
      <c r="A223" s="44"/>
      <c r="B223" s="44"/>
      <c r="D223" s="25"/>
      <c r="E223" s="44"/>
      <c r="F223" s="25" t="s">
        <v>123</v>
      </c>
      <c r="G223" s="25"/>
      <c r="H223" s="25"/>
      <c r="I223" s="25"/>
      <c r="J223" s="25"/>
    </row>
    <row r="224" spans="1:10" ht="14.4">
      <c r="A224" s="44"/>
      <c r="B224" s="44"/>
      <c r="D224" s="25"/>
      <c r="E224" s="44"/>
      <c r="F224" s="25" t="s">
        <v>123</v>
      </c>
      <c r="G224" s="25"/>
      <c r="H224" s="25"/>
      <c r="I224" s="25"/>
      <c r="J224" s="25"/>
    </row>
    <row r="225" spans="1:10" ht="14.4">
      <c r="A225" s="44"/>
      <c r="B225" s="44"/>
      <c r="D225" s="25"/>
      <c r="E225" s="44"/>
      <c r="F225" s="25" t="s">
        <v>123</v>
      </c>
      <c r="G225" s="25"/>
      <c r="H225" s="25"/>
      <c r="I225" s="25"/>
      <c r="J225" s="25"/>
    </row>
    <row r="226" spans="1:10" ht="14.4">
      <c r="A226" s="44"/>
      <c r="B226" s="44"/>
      <c r="D226" s="25"/>
      <c r="E226" s="44"/>
      <c r="F226" s="25" t="s">
        <v>123</v>
      </c>
      <c r="G226" s="25"/>
      <c r="H226" s="25"/>
      <c r="I226" s="25"/>
      <c r="J226" s="25"/>
    </row>
    <row r="227" spans="1:10" ht="14.4">
      <c r="A227" s="44"/>
      <c r="B227" s="44"/>
      <c r="D227" s="25"/>
      <c r="E227" s="44"/>
      <c r="F227" s="25" t="s">
        <v>123</v>
      </c>
      <c r="G227" s="25"/>
      <c r="H227" s="25"/>
      <c r="I227" s="25"/>
      <c r="J227" s="25"/>
    </row>
    <row r="228" spans="1:10" ht="14.4">
      <c r="A228" s="44"/>
      <c r="B228" s="44"/>
      <c r="D228" s="25"/>
      <c r="E228" s="44"/>
      <c r="F228" s="25" t="s">
        <v>123</v>
      </c>
      <c r="G228" s="25"/>
      <c r="H228" s="25"/>
      <c r="I228" s="25"/>
      <c r="J228" s="25"/>
    </row>
    <row r="229" spans="1:10" ht="14.4">
      <c r="A229" s="44"/>
      <c r="B229" s="44"/>
      <c r="D229" s="25"/>
      <c r="E229" s="44"/>
      <c r="F229" s="25" t="s">
        <v>123</v>
      </c>
      <c r="G229" s="25"/>
      <c r="H229" s="25"/>
      <c r="I229" s="25"/>
      <c r="J229" s="25"/>
    </row>
    <row r="230" spans="1:10" ht="14.4">
      <c r="A230" s="44"/>
      <c r="B230" s="44"/>
      <c r="D230" s="25"/>
      <c r="E230" s="44"/>
      <c r="F230" s="25" t="s">
        <v>123</v>
      </c>
      <c r="G230" s="25"/>
      <c r="H230" s="25"/>
      <c r="I230" s="25"/>
      <c r="J230" s="25"/>
    </row>
    <row r="231" spans="1:10" ht="14.4">
      <c r="A231" s="44"/>
      <c r="B231" s="44"/>
      <c r="D231" s="25"/>
      <c r="E231" s="44"/>
      <c r="F231" s="25" t="s">
        <v>123</v>
      </c>
      <c r="G231" s="25"/>
      <c r="H231" s="25"/>
      <c r="I231" s="25"/>
      <c r="J231" s="25"/>
    </row>
    <row r="232" spans="1:10" ht="14.4">
      <c r="A232" s="44"/>
      <c r="B232" s="44"/>
      <c r="D232" s="25"/>
      <c r="E232" s="44"/>
      <c r="F232" s="25" t="s">
        <v>123</v>
      </c>
      <c r="G232" s="25"/>
      <c r="H232" s="25"/>
      <c r="I232" s="25"/>
      <c r="J232" s="25"/>
    </row>
    <row r="233" spans="1:10" ht="14.4">
      <c r="A233" s="44"/>
      <c r="B233" s="44"/>
      <c r="D233" s="25"/>
      <c r="E233" s="44"/>
      <c r="F233" s="25" t="s">
        <v>123</v>
      </c>
      <c r="G233" s="25"/>
      <c r="H233" s="25"/>
      <c r="I233" s="25"/>
      <c r="J233" s="25"/>
    </row>
    <row r="234" spans="1:10" ht="14.4">
      <c r="A234" s="44"/>
      <c r="B234" s="44"/>
      <c r="D234" s="25"/>
      <c r="E234" s="44"/>
      <c r="F234" s="25" t="s">
        <v>123</v>
      </c>
      <c r="G234" s="25"/>
      <c r="H234" s="25"/>
      <c r="I234" s="25"/>
      <c r="J234" s="25"/>
    </row>
    <row r="235" spans="1:10" ht="14.4">
      <c r="A235" s="44"/>
      <c r="B235" s="44"/>
      <c r="D235" s="25"/>
      <c r="E235" s="44"/>
      <c r="F235" s="25" t="s">
        <v>123</v>
      </c>
      <c r="G235" s="25"/>
      <c r="H235" s="25"/>
      <c r="I235" s="25"/>
      <c r="J235" s="25"/>
    </row>
    <row r="236" spans="1:10" ht="14.4">
      <c r="A236" s="44"/>
      <c r="B236" s="44"/>
      <c r="D236" s="25"/>
      <c r="E236" s="44"/>
      <c r="F236" s="25" t="s">
        <v>123</v>
      </c>
      <c r="G236" s="25"/>
      <c r="H236" s="25"/>
      <c r="I236" s="25"/>
      <c r="J236" s="25"/>
    </row>
    <row r="237" spans="1:10" ht="14.4">
      <c r="A237" s="44"/>
      <c r="B237" s="44"/>
      <c r="D237" s="25"/>
      <c r="E237" s="44"/>
      <c r="F237" s="25" t="s">
        <v>123</v>
      </c>
      <c r="G237" s="25"/>
      <c r="H237" s="25"/>
      <c r="I237" s="25"/>
      <c r="J237" s="25"/>
    </row>
    <row r="238" spans="1:10" ht="14.4">
      <c r="A238" s="44"/>
      <c r="B238" s="44"/>
      <c r="D238" s="25"/>
      <c r="E238" s="44"/>
      <c r="F238" s="25" t="s">
        <v>123</v>
      </c>
      <c r="G238" s="25"/>
      <c r="H238" s="25"/>
      <c r="I238" s="25"/>
      <c r="J238" s="25"/>
    </row>
    <row r="239" spans="1:10" ht="14.4">
      <c r="A239" s="44"/>
      <c r="B239" s="44"/>
      <c r="D239" s="25"/>
      <c r="E239" s="44"/>
      <c r="F239" s="25" t="s">
        <v>123</v>
      </c>
      <c r="G239" s="25"/>
      <c r="H239" s="25"/>
      <c r="I239" s="25"/>
      <c r="J239" s="25"/>
    </row>
    <row r="240" spans="1:10" ht="14.4">
      <c r="A240" s="44"/>
      <c r="B240" s="44"/>
      <c r="D240" s="25"/>
      <c r="E240" s="44"/>
      <c r="F240" s="25" t="s">
        <v>123</v>
      </c>
      <c r="G240" s="25"/>
      <c r="H240" s="25"/>
      <c r="I240" s="25"/>
      <c r="J240" s="25"/>
    </row>
    <row r="241" spans="1:10" ht="14.4">
      <c r="A241" s="44"/>
      <c r="B241" s="44"/>
      <c r="D241" s="25"/>
      <c r="E241" s="44"/>
      <c r="F241" s="25" t="s">
        <v>123</v>
      </c>
      <c r="G241" s="25"/>
      <c r="H241" s="25"/>
      <c r="I241" s="25"/>
      <c r="J241" s="25"/>
    </row>
    <row r="242" spans="1:10" ht="14.4">
      <c r="A242" s="44"/>
      <c r="B242" s="44"/>
      <c r="D242" s="25"/>
      <c r="E242" s="44"/>
      <c r="F242" s="25" t="s">
        <v>123</v>
      </c>
      <c r="G242" s="25"/>
      <c r="H242" s="25"/>
      <c r="I242" s="25"/>
      <c r="J242" s="25"/>
    </row>
    <row r="243" spans="1:10" ht="14.4">
      <c r="A243" s="44"/>
      <c r="B243" s="44"/>
      <c r="D243" s="25"/>
      <c r="E243" s="44"/>
      <c r="F243" s="25" t="s">
        <v>123</v>
      </c>
      <c r="G243" s="25"/>
      <c r="H243" s="25"/>
      <c r="I243" s="25"/>
      <c r="J243" s="25"/>
    </row>
    <row r="244" spans="1:10" ht="14.4">
      <c r="A244" s="44"/>
      <c r="B244" s="44"/>
      <c r="D244" s="25"/>
      <c r="E244" s="44"/>
      <c r="F244" s="25" t="s">
        <v>123</v>
      </c>
      <c r="G244" s="25"/>
      <c r="H244" s="25"/>
      <c r="I244" s="25"/>
      <c r="J244" s="25"/>
    </row>
    <row r="245" spans="1:10" ht="14.4">
      <c r="A245" s="44"/>
      <c r="B245" s="44"/>
      <c r="D245" s="25"/>
      <c r="E245" s="44"/>
      <c r="F245" s="25" t="s">
        <v>123</v>
      </c>
      <c r="G245" s="25"/>
      <c r="H245" s="25"/>
      <c r="I245" s="25"/>
      <c r="J245" s="25"/>
    </row>
    <row r="246" spans="1:10" ht="14.4">
      <c r="A246" s="44"/>
      <c r="B246" s="44"/>
      <c r="D246" s="25"/>
      <c r="E246" s="44"/>
      <c r="F246" s="25" t="s">
        <v>123</v>
      </c>
      <c r="G246" s="25"/>
      <c r="H246" s="25"/>
      <c r="I246" s="25"/>
      <c r="J246" s="25"/>
    </row>
    <row r="247" spans="1:10" ht="14.4">
      <c r="A247" s="44"/>
      <c r="B247" s="44"/>
      <c r="D247" s="25"/>
      <c r="E247" s="44"/>
      <c r="F247" s="25" t="s">
        <v>123</v>
      </c>
      <c r="G247" s="25"/>
      <c r="H247" s="25"/>
      <c r="I247" s="25"/>
      <c r="J247" s="25"/>
    </row>
    <row r="248" spans="1:10" ht="14.4">
      <c r="A248" s="44"/>
      <c r="B248" s="44"/>
      <c r="D248" s="25"/>
      <c r="E248" s="44"/>
      <c r="F248" s="25" t="s">
        <v>123</v>
      </c>
      <c r="G248" s="25"/>
      <c r="H248" s="25"/>
      <c r="I248" s="25"/>
      <c r="J248" s="25"/>
    </row>
    <row r="249" spans="1:10" ht="14.4">
      <c r="A249" s="44"/>
      <c r="B249" s="44"/>
      <c r="D249" s="25"/>
      <c r="E249" s="44"/>
      <c r="F249" s="25" t="s">
        <v>123</v>
      </c>
      <c r="G249" s="25"/>
      <c r="H249" s="25"/>
      <c r="I249" s="25"/>
      <c r="J249" s="25"/>
    </row>
    <row r="250" spans="1:10" ht="14.4">
      <c r="A250" s="44"/>
      <c r="B250" s="44"/>
      <c r="D250" s="25"/>
      <c r="E250" s="44"/>
      <c r="F250" s="25" t="s">
        <v>123</v>
      </c>
      <c r="G250" s="25"/>
      <c r="H250" s="25"/>
      <c r="I250" s="25"/>
      <c r="J250" s="25"/>
    </row>
    <row r="251" spans="1:10" ht="14.4">
      <c r="A251" s="44"/>
      <c r="B251" s="44"/>
      <c r="D251" s="25"/>
      <c r="E251" s="44"/>
      <c r="F251" s="25" t="s">
        <v>123</v>
      </c>
      <c r="G251" s="25"/>
      <c r="H251" s="25"/>
      <c r="I251" s="25"/>
      <c r="J251" s="25"/>
    </row>
    <row r="252" spans="1:10" ht="14.4">
      <c r="A252" s="44"/>
      <c r="B252" s="44"/>
      <c r="D252" s="25"/>
      <c r="E252" s="44"/>
      <c r="F252" s="25" t="s">
        <v>123</v>
      </c>
      <c r="G252" s="25"/>
      <c r="H252" s="25"/>
      <c r="I252" s="25"/>
      <c r="J252" s="25"/>
    </row>
    <row r="253" spans="1:10" ht="14.4">
      <c r="A253" s="44"/>
      <c r="B253" s="44"/>
      <c r="D253" s="25"/>
      <c r="E253" s="44"/>
      <c r="F253" s="25" t="s">
        <v>123</v>
      </c>
      <c r="G253" s="25"/>
      <c r="H253" s="25"/>
      <c r="I253" s="25"/>
      <c r="J253" s="25"/>
    </row>
    <row r="254" spans="1:10" ht="14.4">
      <c r="A254" s="44"/>
      <c r="B254" s="44"/>
      <c r="D254" s="25"/>
      <c r="E254" s="44"/>
      <c r="F254" s="25" t="s">
        <v>123</v>
      </c>
      <c r="G254" s="25"/>
      <c r="H254" s="25"/>
      <c r="I254" s="25"/>
      <c r="J254" s="25"/>
    </row>
    <row r="255" spans="1:10" ht="14.4">
      <c r="A255" s="44"/>
      <c r="B255" s="44"/>
      <c r="D255" s="25"/>
      <c r="E255" s="44"/>
      <c r="F255" s="25" t="s">
        <v>123</v>
      </c>
      <c r="G255" s="25"/>
      <c r="H255" s="25"/>
      <c r="I255" s="25"/>
      <c r="J255" s="25"/>
    </row>
    <row r="256" spans="1:10" ht="14.4">
      <c r="A256" s="44"/>
      <c r="B256" s="44"/>
      <c r="D256" s="25"/>
      <c r="E256" s="44"/>
      <c r="F256" s="25" t="s">
        <v>123</v>
      </c>
      <c r="G256" s="25"/>
      <c r="H256" s="25"/>
      <c r="I256" s="25"/>
      <c r="J256" s="25"/>
    </row>
    <row r="257" spans="1:10" ht="14.4">
      <c r="A257" s="44"/>
      <c r="B257" s="44"/>
      <c r="D257" s="25"/>
      <c r="E257" s="44"/>
      <c r="F257" s="25" t="s">
        <v>123</v>
      </c>
      <c r="G257" s="25"/>
      <c r="H257" s="25"/>
      <c r="I257" s="25"/>
      <c r="J257" s="25"/>
    </row>
    <row r="258" spans="1:10" ht="14.4">
      <c r="A258" s="44"/>
      <c r="B258" s="44"/>
      <c r="D258" s="25"/>
      <c r="E258" s="44"/>
      <c r="F258" s="25" t="s">
        <v>123</v>
      </c>
      <c r="G258" s="25"/>
      <c r="H258" s="25"/>
      <c r="I258" s="25"/>
      <c r="J258" s="25"/>
    </row>
    <row r="259" spans="1:10" ht="14.4">
      <c r="A259" s="44"/>
      <c r="B259" s="44"/>
      <c r="D259" s="25"/>
      <c r="E259" s="44"/>
      <c r="F259" s="25" t="s">
        <v>123</v>
      </c>
      <c r="G259" s="25"/>
      <c r="H259" s="25"/>
      <c r="I259" s="25"/>
      <c r="J259" s="25"/>
    </row>
    <row r="260" spans="1:10" ht="14.4">
      <c r="A260" s="44"/>
      <c r="B260" s="44"/>
      <c r="D260" s="25"/>
      <c r="E260" s="44"/>
      <c r="F260" s="25" t="s">
        <v>123</v>
      </c>
      <c r="G260" s="25"/>
      <c r="H260" s="25"/>
      <c r="I260" s="25"/>
      <c r="J260" s="25"/>
    </row>
    <row r="261" spans="1:10" ht="14.4">
      <c r="A261" s="44"/>
      <c r="B261" s="44"/>
      <c r="D261" s="25"/>
      <c r="E261" s="44"/>
      <c r="F261" s="25" t="s">
        <v>123</v>
      </c>
      <c r="G261" s="25"/>
      <c r="H261" s="25"/>
      <c r="I261" s="25"/>
      <c r="J261" s="25"/>
    </row>
    <row r="262" spans="1:10" ht="14.4">
      <c r="A262" s="44"/>
      <c r="B262" s="44"/>
      <c r="D262" s="25"/>
      <c r="E262" s="44"/>
      <c r="F262" s="25" t="s">
        <v>123</v>
      </c>
      <c r="G262" s="25"/>
      <c r="H262" s="25"/>
      <c r="I262" s="25"/>
      <c r="J262" s="25"/>
    </row>
    <row r="263" spans="1:10" ht="14.4">
      <c r="A263" s="44"/>
      <c r="B263" s="44"/>
      <c r="D263" s="25"/>
      <c r="E263" s="44"/>
      <c r="F263" s="25" t="s">
        <v>123</v>
      </c>
      <c r="G263" s="25"/>
      <c r="H263" s="25"/>
      <c r="I263" s="25"/>
      <c r="J263" s="25"/>
    </row>
    <row r="264" spans="1:10" ht="14.4">
      <c r="A264" s="44"/>
      <c r="B264" s="44"/>
      <c r="D264" s="25"/>
      <c r="E264" s="44"/>
      <c r="F264" s="25" t="s">
        <v>123</v>
      </c>
      <c r="G264" s="25"/>
      <c r="H264" s="25"/>
      <c r="I264" s="25"/>
      <c r="J264" s="25"/>
    </row>
    <row r="265" spans="1:10" ht="14.4">
      <c r="A265" s="44"/>
      <c r="B265" s="44"/>
      <c r="D265" s="25"/>
      <c r="E265" s="44"/>
      <c r="F265" s="25" t="s">
        <v>123</v>
      </c>
      <c r="G265" s="25"/>
      <c r="H265" s="25"/>
      <c r="I265" s="25"/>
      <c r="J265" s="25"/>
    </row>
    <row r="266" spans="1:10" ht="14.4">
      <c r="A266" s="44"/>
      <c r="B266" s="44"/>
      <c r="D266" s="25"/>
      <c r="E266" s="44"/>
      <c r="F266" s="25" t="s">
        <v>123</v>
      </c>
      <c r="G266" s="25"/>
      <c r="H266" s="25"/>
      <c r="I266" s="25"/>
      <c r="J266" s="25"/>
    </row>
    <row r="267" spans="1:10" ht="14.4">
      <c r="A267" s="44"/>
      <c r="B267" s="44"/>
      <c r="D267" s="25"/>
      <c r="E267" s="44"/>
      <c r="F267" s="25" t="s">
        <v>123</v>
      </c>
      <c r="G267" s="25"/>
      <c r="H267" s="25"/>
      <c r="I267" s="25"/>
      <c r="J267" s="25"/>
    </row>
    <row r="268" spans="1:10" ht="14.4">
      <c r="A268" s="44"/>
      <c r="B268" s="44"/>
      <c r="D268" s="25"/>
      <c r="E268" s="44"/>
      <c r="F268" s="25" t="s">
        <v>123</v>
      </c>
      <c r="G268" s="25"/>
      <c r="H268" s="25"/>
      <c r="I268" s="25"/>
      <c r="J268" s="25"/>
    </row>
    <row r="269" spans="1:10" ht="14.4">
      <c r="A269" s="44"/>
      <c r="B269" s="44"/>
      <c r="D269" s="25"/>
      <c r="E269" s="44"/>
      <c r="F269" s="25" t="s">
        <v>123</v>
      </c>
      <c r="G269" s="25"/>
      <c r="H269" s="25"/>
      <c r="I269" s="25"/>
      <c r="J269" s="25"/>
    </row>
    <row r="270" spans="1:10" ht="14.4">
      <c r="A270" s="44"/>
      <c r="B270" s="44"/>
      <c r="D270" s="25"/>
      <c r="E270" s="44"/>
      <c r="F270" s="25" t="s">
        <v>123</v>
      </c>
      <c r="G270" s="25"/>
      <c r="H270" s="25"/>
      <c r="I270" s="25"/>
      <c r="J270" s="25"/>
    </row>
    <row r="271" spans="1:10" ht="14.4">
      <c r="A271" s="44"/>
      <c r="B271" s="44"/>
      <c r="D271" s="25"/>
      <c r="E271" s="44"/>
      <c r="F271" s="25" t="s">
        <v>123</v>
      </c>
      <c r="G271" s="25"/>
      <c r="H271" s="25"/>
      <c r="I271" s="25"/>
      <c r="J271" s="25"/>
    </row>
    <row r="272" spans="1:10" ht="14.4">
      <c r="A272" s="44"/>
      <c r="B272" s="44"/>
      <c r="D272" s="25"/>
      <c r="E272" s="44"/>
      <c r="F272" s="25" t="s">
        <v>123</v>
      </c>
      <c r="G272" s="25"/>
      <c r="H272" s="25"/>
      <c r="I272" s="25"/>
      <c r="J272" s="25"/>
    </row>
    <row r="273" spans="1:10" ht="14.4">
      <c r="A273" s="44"/>
      <c r="B273" s="44"/>
      <c r="D273" s="25"/>
      <c r="E273" s="44"/>
      <c r="F273" s="25" t="s">
        <v>123</v>
      </c>
      <c r="G273" s="25"/>
      <c r="H273" s="25"/>
      <c r="I273" s="25"/>
      <c r="J273" s="25"/>
    </row>
    <row r="274" spans="1:10" ht="14.4">
      <c r="A274" s="44"/>
      <c r="B274" s="44"/>
      <c r="D274" s="25"/>
      <c r="E274" s="44"/>
      <c r="F274" s="25" t="s">
        <v>123</v>
      </c>
      <c r="G274" s="25"/>
      <c r="H274" s="25"/>
      <c r="I274" s="25"/>
      <c r="J274" s="25"/>
    </row>
    <row r="275" spans="1:10" ht="14.4">
      <c r="A275" s="44"/>
      <c r="B275" s="44"/>
      <c r="D275" s="25"/>
      <c r="E275" s="44"/>
      <c r="F275" s="25" t="s">
        <v>123</v>
      </c>
      <c r="G275" s="25"/>
      <c r="H275" s="25"/>
      <c r="I275" s="25"/>
      <c r="J275" s="25"/>
    </row>
    <row r="276" spans="1:10" ht="14.4">
      <c r="A276" s="44"/>
      <c r="B276" s="44"/>
      <c r="D276" s="25"/>
      <c r="E276" s="44"/>
      <c r="F276" s="25" t="s">
        <v>123</v>
      </c>
      <c r="G276" s="25"/>
      <c r="H276" s="25"/>
      <c r="I276" s="25"/>
      <c r="J276" s="25"/>
    </row>
    <row r="277" spans="1:10" ht="14.4">
      <c r="A277" s="44"/>
      <c r="B277" s="44"/>
      <c r="D277" s="25"/>
      <c r="E277" s="44"/>
      <c r="F277" s="25" t="s">
        <v>123</v>
      </c>
      <c r="G277" s="25"/>
      <c r="H277" s="25"/>
      <c r="I277" s="25"/>
      <c r="J277" s="25"/>
    </row>
    <row r="278" spans="1:10" ht="14.4">
      <c r="A278" s="44"/>
      <c r="B278" s="44"/>
      <c r="D278" s="25"/>
      <c r="E278" s="44"/>
      <c r="F278" s="25" t="s">
        <v>123</v>
      </c>
      <c r="G278" s="25"/>
      <c r="H278" s="25"/>
      <c r="I278" s="25"/>
      <c r="J278" s="25"/>
    </row>
    <row r="279" spans="1:10" ht="14.4">
      <c r="A279" s="44"/>
      <c r="B279" s="44"/>
      <c r="D279" s="25"/>
      <c r="E279" s="44"/>
      <c r="F279" s="25" t="s">
        <v>123</v>
      </c>
      <c r="G279" s="25"/>
      <c r="H279" s="25"/>
      <c r="I279" s="25"/>
      <c r="J279" s="25"/>
    </row>
    <row r="280" spans="1:10" ht="14.4">
      <c r="A280" s="44"/>
      <c r="B280" s="44"/>
      <c r="D280" s="25"/>
      <c r="E280" s="44"/>
      <c r="F280" s="25" t="s">
        <v>123</v>
      </c>
      <c r="G280" s="25"/>
      <c r="H280" s="25"/>
      <c r="I280" s="25"/>
      <c r="J280" s="25"/>
    </row>
    <row r="281" spans="1:10" ht="14.4">
      <c r="A281" s="44"/>
      <c r="B281" s="44"/>
      <c r="D281" s="25"/>
      <c r="E281" s="44"/>
      <c r="F281" s="25" t="s">
        <v>123</v>
      </c>
      <c r="G281" s="25"/>
      <c r="H281" s="25"/>
      <c r="I281" s="25"/>
      <c r="J281" s="25"/>
    </row>
    <row r="282" spans="1:10" ht="14.4">
      <c r="A282" s="44"/>
      <c r="B282" s="44"/>
      <c r="D282" s="25"/>
      <c r="E282" s="44"/>
      <c r="F282" s="25" t="s">
        <v>123</v>
      </c>
      <c r="G282" s="25"/>
      <c r="H282" s="25"/>
      <c r="I282" s="25"/>
      <c r="J282" s="25"/>
    </row>
    <row r="283" spans="1:10" ht="14.4">
      <c r="A283" s="44"/>
      <c r="B283" s="44"/>
      <c r="D283" s="25"/>
      <c r="E283" s="44"/>
      <c r="F283" s="25" t="s">
        <v>123</v>
      </c>
      <c r="G283" s="25"/>
      <c r="H283" s="25"/>
      <c r="I283" s="25"/>
      <c r="J283" s="25"/>
    </row>
    <row r="284" spans="1:10" ht="14.4">
      <c r="A284" s="44"/>
      <c r="B284" s="44"/>
      <c r="D284" s="25"/>
      <c r="E284" s="44"/>
      <c r="F284" s="25" t="s">
        <v>123</v>
      </c>
      <c r="G284" s="25"/>
      <c r="H284" s="25"/>
      <c r="I284" s="25"/>
      <c r="J284" s="25"/>
    </row>
    <row r="285" spans="1:10" ht="14.4">
      <c r="A285" s="44"/>
      <c r="B285" s="44"/>
      <c r="D285" s="25"/>
      <c r="E285" s="44"/>
      <c r="F285" s="25" t="s">
        <v>123</v>
      </c>
      <c r="G285" s="25"/>
      <c r="H285" s="25"/>
      <c r="I285" s="25"/>
      <c r="J285" s="25"/>
    </row>
    <row r="286" spans="1:10" ht="14.4">
      <c r="A286" s="44"/>
      <c r="B286" s="44"/>
      <c r="D286" s="25"/>
      <c r="E286" s="44"/>
      <c r="F286" s="25" t="s">
        <v>123</v>
      </c>
      <c r="G286" s="25"/>
      <c r="H286" s="25"/>
      <c r="I286" s="25"/>
      <c r="J286" s="25"/>
    </row>
    <row r="287" spans="1:10" ht="14.4">
      <c r="A287" s="44"/>
      <c r="B287" s="44"/>
      <c r="D287" s="25"/>
      <c r="E287" s="44"/>
      <c r="F287" s="25" t="s">
        <v>123</v>
      </c>
      <c r="G287" s="25"/>
      <c r="H287" s="25"/>
      <c r="I287" s="25"/>
      <c r="J287" s="25"/>
    </row>
    <row r="288" spans="1:10" ht="14.4">
      <c r="A288" s="44"/>
      <c r="B288" s="44"/>
      <c r="D288" s="25"/>
      <c r="E288" s="44"/>
      <c r="F288" s="25" t="s">
        <v>123</v>
      </c>
      <c r="G288" s="25"/>
      <c r="H288" s="25"/>
      <c r="I288" s="25"/>
      <c r="J288" s="25"/>
    </row>
    <row r="289" spans="1:10" ht="14.4">
      <c r="A289" s="44"/>
      <c r="B289" s="44"/>
      <c r="D289" s="25"/>
      <c r="E289" s="44"/>
      <c r="F289" s="25" t="s">
        <v>123</v>
      </c>
      <c r="G289" s="25"/>
      <c r="H289" s="25"/>
      <c r="I289" s="25"/>
      <c r="J289" s="25"/>
    </row>
    <row r="290" spans="1:10" ht="14.4">
      <c r="A290" s="44"/>
      <c r="B290" s="44"/>
      <c r="D290" s="25"/>
      <c r="E290" s="44"/>
      <c r="F290" s="25" t="s">
        <v>123</v>
      </c>
      <c r="G290" s="25"/>
      <c r="H290" s="25"/>
      <c r="I290" s="25"/>
      <c r="J290" s="25"/>
    </row>
    <row r="291" spans="1:10" ht="14.4">
      <c r="A291" s="44"/>
      <c r="B291" s="44"/>
      <c r="D291" s="25"/>
      <c r="E291" s="44"/>
      <c r="F291" s="25" t="s">
        <v>123</v>
      </c>
      <c r="G291" s="25"/>
      <c r="H291" s="25"/>
      <c r="I291" s="25"/>
      <c r="J291" s="25"/>
    </row>
    <row r="292" spans="1:10" ht="14.4">
      <c r="A292" s="44"/>
      <c r="B292" s="44"/>
      <c r="D292" s="25"/>
      <c r="E292" s="44"/>
      <c r="F292" s="25" t="s">
        <v>123</v>
      </c>
      <c r="G292" s="25"/>
      <c r="H292" s="25"/>
      <c r="I292" s="25"/>
      <c r="J292" s="25"/>
    </row>
    <row r="293" spans="1:10" ht="14.4">
      <c r="A293" s="44"/>
      <c r="B293" s="44"/>
      <c r="D293" s="25"/>
      <c r="E293" s="44"/>
      <c r="F293" s="25" t="s">
        <v>123</v>
      </c>
      <c r="G293" s="25"/>
      <c r="H293" s="25"/>
      <c r="I293" s="25"/>
      <c r="J293" s="25"/>
    </row>
    <row r="294" spans="1:10" ht="14.4">
      <c r="A294" s="44"/>
      <c r="B294" s="44"/>
      <c r="D294" s="25"/>
      <c r="E294" s="44"/>
      <c r="F294" s="25" t="s">
        <v>123</v>
      </c>
      <c r="G294" s="25"/>
      <c r="H294" s="25"/>
      <c r="I294" s="25"/>
      <c r="J294" s="25"/>
    </row>
    <row r="295" spans="1:10" ht="14.4">
      <c r="A295" s="44"/>
      <c r="B295" s="44"/>
      <c r="D295" s="25"/>
      <c r="E295" s="44"/>
      <c r="F295" s="25" t="s">
        <v>123</v>
      </c>
      <c r="G295" s="25"/>
      <c r="H295" s="25"/>
      <c r="I295" s="25"/>
      <c r="J295" s="25"/>
    </row>
    <row r="296" spans="1:10" ht="14.4">
      <c r="A296" s="44"/>
      <c r="B296" s="44"/>
      <c r="D296" s="25"/>
      <c r="E296" s="44"/>
      <c r="F296" s="25" t="s">
        <v>123</v>
      </c>
      <c r="G296" s="25"/>
      <c r="H296" s="25"/>
      <c r="I296" s="25"/>
      <c r="J296" s="25"/>
    </row>
    <row r="297" spans="1:10" ht="14.4">
      <c r="A297" s="44"/>
      <c r="B297" s="44"/>
      <c r="D297" s="25"/>
      <c r="E297" s="44"/>
      <c r="F297" s="25" t="s">
        <v>123</v>
      </c>
      <c r="G297" s="25"/>
      <c r="H297" s="25"/>
      <c r="I297" s="25"/>
      <c r="J297" s="25"/>
    </row>
    <row r="298" spans="1:10" ht="14.4">
      <c r="A298" s="44"/>
      <c r="B298" s="44"/>
      <c r="D298" s="25"/>
      <c r="E298" s="44"/>
      <c r="F298" s="25" t="s">
        <v>123</v>
      </c>
      <c r="G298" s="25"/>
      <c r="H298" s="25"/>
      <c r="I298" s="25"/>
      <c r="J298" s="25"/>
    </row>
    <row r="299" spans="1:10" ht="14.4">
      <c r="A299" s="44"/>
      <c r="B299" s="44"/>
      <c r="D299" s="25"/>
      <c r="E299" s="44"/>
      <c r="F299" s="25" t="s">
        <v>123</v>
      </c>
      <c r="G299" s="25"/>
      <c r="H299" s="25"/>
      <c r="I299" s="25"/>
      <c r="J299" s="25"/>
    </row>
    <row r="300" spans="1:10" ht="14.4">
      <c r="A300" s="44"/>
      <c r="B300" s="44"/>
      <c r="D300" s="25"/>
      <c r="E300" s="44"/>
      <c r="F300" s="25" t="s">
        <v>123</v>
      </c>
      <c r="G300" s="25"/>
      <c r="H300" s="25"/>
      <c r="I300" s="25"/>
      <c r="J300" s="25"/>
    </row>
    <row r="301" spans="1:10" ht="14.4">
      <c r="A301" s="44"/>
      <c r="B301" s="44"/>
      <c r="D301" s="25"/>
      <c r="E301" s="44"/>
      <c r="F301" s="25" t="s">
        <v>123</v>
      </c>
      <c r="G301" s="25"/>
      <c r="H301" s="25"/>
      <c r="I301" s="25"/>
      <c r="J301" s="25"/>
    </row>
    <row r="302" spans="1:10" ht="14.4">
      <c r="A302" s="44"/>
      <c r="B302" s="44"/>
      <c r="D302" s="25"/>
      <c r="E302" s="44"/>
      <c r="F302" s="25" t="s">
        <v>123</v>
      </c>
      <c r="G302" s="25"/>
      <c r="H302" s="25"/>
      <c r="I302" s="25"/>
      <c r="J302" s="25"/>
    </row>
    <row r="303" spans="1:10" ht="14.4">
      <c r="A303" s="44"/>
      <c r="B303" s="44"/>
      <c r="D303" s="25"/>
      <c r="E303" s="44"/>
      <c r="F303" s="25" t="s">
        <v>123</v>
      </c>
      <c r="G303" s="25"/>
      <c r="H303" s="25"/>
      <c r="I303" s="25"/>
      <c r="J303" s="25"/>
    </row>
    <row r="304" spans="1:10" ht="14.4">
      <c r="A304" s="44"/>
      <c r="B304" s="44"/>
      <c r="D304" s="25"/>
      <c r="E304" s="44"/>
      <c r="F304" s="25" t="s">
        <v>123</v>
      </c>
      <c r="G304" s="25"/>
      <c r="H304" s="25"/>
      <c r="I304" s="25"/>
      <c r="J304" s="25"/>
    </row>
    <row r="305" spans="1:10" ht="14.4">
      <c r="A305" s="44"/>
      <c r="B305" s="44"/>
      <c r="D305" s="25"/>
      <c r="E305" s="44"/>
      <c r="F305" s="25" t="s">
        <v>123</v>
      </c>
      <c r="G305" s="25"/>
      <c r="H305" s="25"/>
      <c r="I305" s="25"/>
      <c r="J305" s="25"/>
    </row>
    <row r="306" spans="1:10" ht="14.4">
      <c r="A306" s="44"/>
      <c r="B306" s="44"/>
      <c r="D306" s="25"/>
      <c r="E306" s="44"/>
      <c r="F306" s="25" t="s">
        <v>123</v>
      </c>
      <c r="G306" s="25"/>
      <c r="H306" s="25"/>
      <c r="I306" s="25"/>
      <c r="J306" s="25"/>
    </row>
    <row r="307" spans="1:10" ht="14.4">
      <c r="A307" s="44"/>
      <c r="B307" s="44"/>
      <c r="D307" s="25"/>
      <c r="E307" s="44"/>
      <c r="F307" s="25" t="s">
        <v>123</v>
      </c>
      <c r="G307" s="25"/>
      <c r="H307" s="25"/>
      <c r="I307" s="25"/>
      <c r="J307" s="25"/>
    </row>
    <row r="308" spans="1:10" ht="14.4">
      <c r="A308" s="44"/>
      <c r="B308" s="44"/>
      <c r="D308" s="25"/>
      <c r="E308" s="44"/>
      <c r="F308" s="25" t="s">
        <v>123</v>
      </c>
      <c r="G308" s="25"/>
      <c r="H308" s="25"/>
      <c r="I308" s="25"/>
      <c r="J308" s="25"/>
    </row>
    <row r="309" spans="1:10" ht="14.4">
      <c r="A309" s="44"/>
      <c r="B309" s="44"/>
      <c r="D309" s="25"/>
      <c r="E309" s="44"/>
      <c r="F309" s="25" t="s">
        <v>123</v>
      </c>
      <c r="G309" s="25"/>
      <c r="H309" s="25"/>
      <c r="I309" s="25"/>
      <c r="J309" s="25"/>
    </row>
    <row r="310" spans="1:10" ht="14.4">
      <c r="A310" s="44"/>
      <c r="B310" s="44"/>
      <c r="D310" s="25"/>
      <c r="E310" s="44"/>
      <c r="F310" s="25" t="s">
        <v>123</v>
      </c>
      <c r="G310" s="25"/>
      <c r="H310" s="25"/>
      <c r="I310" s="25"/>
      <c r="J310" s="25"/>
    </row>
    <row r="311" spans="1:10" ht="14.4">
      <c r="A311" s="44"/>
      <c r="B311" s="44"/>
      <c r="D311" s="25"/>
      <c r="E311" s="44"/>
      <c r="F311" s="25" t="s">
        <v>123</v>
      </c>
      <c r="G311" s="25"/>
      <c r="H311" s="25"/>
      <c r="I311" s="25"/>
      <c r="J311" s="25"/>
    </row>
    <row r="312" spans="1:10" ht="14.4">
      <c r="A312" s="44"/>
      <c r="B312" s="44"/>
      <c r="D312" s="25"/>
      <c r="E312" s="44"/>
      <c r="F312" s="25" t="s">
        <v>123</v>
      </c>
      <c r="G312" s="25"/>
      <c r="H312" s="25"/>
      <c r="I312" s="25"/>
      <c r="J312" s="25"/>
    </row>
    <row r="313" spans="1:10" ht="14.4">
      <c r="A313" s="44"/>
      <c r="B313" s="44"/>
      <c r="D313" s="25"/>
      <c r="E313" s="44"/>
      <c r="F313" s="25" t="s">
        <v>123</v>
      </c>
      <c r="G313" s="25"/>
      <c r="H313" s="25"/>
      <c r="I313" s="25"/>
      <c r="J313" s="25"/>
    </row>
    <row r="314" spans="1:10" ht="14.4">
      <c r="A314" s="44"/>
      <c r="B314" s="44"/>
      <c r="D314" s="25"/>
      <c r="E314" s="44"/>
      <c r="F314" s="25" t="s">
        <v>123</v>
      </c>
      <c r="G314" s="25"/>
      <c r="H314" s="25"/>
      <c r="I314" s="25"/>
      <c r="J314" s="25"/>
    </row>
    <row r="315" spans="1:10" ht="14.4">
      <c r="A315" s="44"/>
      <c r="B315" s="44"/>
      <c r="D315" s="25"/>
      <c r="E315" s="44"/>
      <c r="F315" s="25" t="s">
        <v>123</v>
      </c>
      <c r="G315" s="25"/>
      <c r="H315" s="25"/>
      <c r="I315" s="25"/>
      <c r="J315" s="25"/>
    </row>
    <row r="316" spans="1:10" ht="14.4">
      <c r="A316" s="44"/>
      <c r="B316" s="44"/>
      <c r="D316" s="25"/>
      <c r="E316" s="44"/>
      <c r="F316" s="25" t="s">
        <v>123</v>
      </c>
      <c r="G316" s="25"/>
      <c r="H316" s="25"/>
      <c r="I316" s="25"/>
      <c r="J316" s="25"/>
    </row>
    <row r="317" spans="1:10" ht="14.4">
      <c r="A317" s="44"/>
      <c r="B317" s="44"/>
      <c r="D317" s="25"/>
      <c r="E317" s="44"/>
      <c r="F317" s="25" t="s">
        <v>123</v>
      </c>
      <c r="G317" s="25"/>
      <c r="H317" s="25"/>
      <c r="I317" s="25"/>
      <c r="J317" s="25"/>
    </row>
    <row r="318" spans="1:10" ht="14.4">
      <c r="A318" s="44"/>
      <c r="B318" s="44"/>
      <c r="D318" s="25"/>
      <c r="E318" s="44"/>
      <c r="F318" s="25" t="s">
        <v>123</v>
      </c>
      <c r="G318" s="25"/>
      <c r="H318" s="25"/>
      <c r="I318" s="25"/>
      <c r="J318" s="25"/>
    </row>
    <row r="319" spans="1:10" ht="14.4">
      <c r="A319" s="44"/>
      <c r="B319" s="44"/>
      <c r="D319" s="25"/>
      <c r="E319" s="44"/>
      <c r="F319" s="25" t="s">
        <v>123</v>
      </c>
      <c r="G319" s="25"/>
      <c r="H319" s="25"/>
      <c r="I319" s="25"/>
      <c r="J319" s="25"/>
    </row>
    <row r="320" spans="1:10" ht="14.4">
      <c r="A320" s="44"/>
      <c r="B320" s="44"/>
      <c r="D320" s="25"/>
      <c r="E320" s="44"/>
      <c r="F320" s="25" t="s">
        <v>123</v>
      </c>
      <c r="G320" s="25"/>
      <c r="H320" s="25"/>
      <c r="I320" s="25"/>
      <c r="J320" s="25"/>
    </row>
    <row r="321" spans="1:10" ht="14.4">
      <c r="A321" s="44"/>
      <c r="B321" s="44"/>
      <c r="D321" s="25"/>
      <c r="E321" s="44"/>
      <c r="F321" s="25" t="s">
        <v>123</v>
      </c>
      <c r="G321" s="25"/>
      <c r="H321" s="25"/>
      <c r="I321" s="25"/>
      <c r="J321" s="25"/>
    </row>
    <row r="322" spans="1:10" ht="14.4">
      <c r="A322" s="44"/>
      <c r="B322" s="44"/>
      <c r="D322" s="25"/>
      <c r="E322" s="44"/>
      <c r="F322" s="25" t="s">
        <v>123</v>
      </c>
      <c r="G322" s="25"/>
      <c r="H322" s="25"/>
      <c r="I322" s="25"/>
      <c r="J322" s="25"/>
    </row>
    <row r="323" spans="1:10" ht="14.4">
      <c r="A323" s="44"/>
      <c r="B323" s="44"/>
      <c r="D323" s="25"/>
      <c r="E323" s="44"/>
      <c r="F323" s="25" t="s">
        <v>123</v>
      </c>
      <c r="G323" s="25"/>
      <c r="H323" s="25"/>
      <c r="I323" s="25"/>
      <c r="J323" s="25"/>
    </row>
    <row r="324" spans="1:10" ht="14.4">
      <c r="A324" s="44"/>
      <c r="B324" s="44"/>
      <c r="D324" s="25"/>
      <c r="E324" s="44"/>
      <c r="F324" s="25" t="s">
        <v>123</v>
      </c>
      <c r="G324" s="25"/>
      <c r="H324" s="25"/>
      <c r="I324" s="25"/>
      <c r="J324" s="25"/>
    </row>
    <row r="325" spans="1:10" ht="14.4">
      <c r="A325" s="44"/>
      <c r="B325" s="44"/>
      <c r="D325" s="25"/>
      <c r="E325" s="44"/>
      <c r="F325" s="25" t="s">
        <v>123</v>
      </c>
      <c r="G325" s="25"/>
      <c r="H325" s="25"/>
      <c r="I325" s="25"/>
      <c r="J325" s="25"/>
    </row>
    <row r="326" spans="1:10" ht="14.4">
      <c r="A326" s="44"/>
      <c r="B326" s="44"/>
      <c r="D326" s="25"/>
      <c r="E326" s="44"/>
      <c r="F326" s="25" t="s">
        <v>123</v>
      </c>
      <c r="G326" s="25"/>
      <c r="H326" s="25"/>
      <c r="I326" s="25"/>
      <c r="J326" s="25"/>
    </row>
    <row r="327" spans="1:10" ht="14.4">
      <c r="A327" s="44"/>
      <c r="B327" s="44"/>
      <c r="D327" s="25"/>
      <c r="E327" s="44"/>
      <c r="F327" s="25" t="s">
        <v>123</v>
      </c>
      <c r="G327" s="25"/>
      <c r="H327" s="25"/>
      <c r="I327" s="25"/>
      <c r="J327" s="25"/>
    </row>
    <row r="328" spans="1:10" ht="14.4">
      <c r="A328" s="44"/>
      <c r="B328" s="44"/>
      <c r="D328" s="25"/>
      <c r="E328" s="44"/>
      <c r="F328" s="25" t="s">
        <v>123</v>
      </c>
      <c r="G328" s="25"/>
      <c r="H328" s="25"/>
      <c r="I328" s="25"/>
      <c r="J328" s="25"/>
    </row>
    <row r="329" spans="1:10" ht="14.4">
      <c r="A329" s="44"/>
      <c r="B329" s="44"/>
      <c r="D329" s="25"/>
      <c r="E329" s="44"/>
      <c r="F329" s="25" t="s">
        <v>123</v>
      </c>
      <c r="G329" s="25"/>
      <c r="H329" s="25"/>
      <c r="I329" s="25"/>
      <c r="J329" s="25"/>
    </row>
    <row r="330" spans="1:10" ht="14.4">
      <c r="A330" s="44"/>
      <c r="B330" s="44"/>
      <c r="D330" s="25"/>
      <c r="E330" s="44"/>
      <c r="F330" s="25" t="s">
        <v>123</v>
      </c>
      <c r="G330" s="25"/>
      <c r="H330" s="25"/>
      <c r="I330" s="25"/>
      <c r="J330" s="25"/>
    </row>
    <row r="331" spans="1:10" ht="14.4">
      <c r="A331" s="44"/>
      <c r="B331" s="44"/>
      <c r="D331" s="25"/>
      <c r="E331" s="44"/>
      <c r="F331" s="25" t="s">
        <v>123</v>
      </c>
      <c r="G331" s="25"/>
      <c r="H331" s="25"/>
      <c r="I331" s="25"/>
      <c r="J331" s="25"/>
    </row>
    <row r="332" spans="1:10" ht="14.4">
      <c r="A332" s="44"/>
      <c r="B332" s="44"/>
      <c r="D332" s="25"/>
      <c r="E332" s="44"/>
      <c r="F332" s="25" t="s">
        <v>123</v>
      </c>
      <c r="G332" s="25"/>
      <c r="H332" s="25"/>
      <c r="I332" s="25"/>
      <c r="J332" s="25"/>
    </row>
    <row r="333" spans="1:10" ht="14.4">
      <c r="A333" s="44"/>
      <c r="B333" s="44"/>
      <c r="D333" s="25"/>
      <c r="E333" s="44"/>
      <c r="F333" s="25" t="s">
        <v>123</v>
      </c>
      <c r="G333" s="25"/>
      <c r="H333" s="25"/>
      <c r="I333" s="25"/>
      <c r="J333" s="25"/>
    </row>
    <row r="334" spans="1:10" ht="14.4">
      <c r="A334" s="44"/>
      <c r="B334" s="44"/>
      <c r="D334" s="25"/>
      <c r="E334" s="44"/>
      <c r="F334" s="25" t="s">
        <v>123</v>
      </c>
      <c r="G334" s="25"/>
      <c r="H334" s="25"/>
      <c r="I334" s="25"/>
      <c r="J334" s="25"/>
    </row>
    <row r="335" spans="1:10" ht="14.4">
      <c r="A335" s="44"/>
      <c r="B335" s="44"/>
      <c r="D335" s="25"/>
      <c r="E335" s="44"/>
      <c r="F335" s="25" t="s">
        <v>123</v>
      </c>
      <c r="G335" s="25"/>
      <c r="H335" s="25"/>
      <c r="I335" s="25"/>
      <c r="J335" s="25"/>
    </row>
    <row r="336" spans="1:10" ht="14.4">
      <c r="A336" s="44"/>
      <c r="B336" s="44"/>
      <c r="D336" s="25"/>
      <c r="E336" s="44"/>
      <c r="F336" s="25" t="s">
        <v>123</v>
      </c>
      <c r="G336" s="25"/>
      <c r="H336" s="25"/>
      <c r="I336" s="25"/>
      <c r="J336" s="25"/>
    </row>
    <row r="337" spans="1:10" ht="14.4">
      <c r="A337" s="44"/>
      <c r="B337" s="44"/>
      <c r="D337" s="25"/>
      <c r="E337" s="44"/>
      <c r="F337" s="25" t="s">
        <v>123</v>
      </c>
      <c r="G337" s="25"/>
      <c r="H337" s="25"/>
      <c r="I337" s="25"/>
      <c r="J337" s="25"/>
    </row>
    <row r="338" spans="1:10" ht="14.4">
      <c r="A338" s="44"/>
      <c r="B338" s="44"/>
      <c r="D338" s="25"/>
      <c r="E338" s="44"/>
      <c r="F338" s="25" t="s">
        <v>123</v>
      </c>
      <c r="G338" s="25"/>
      <c r="H338" s="25"/>
      <c r="I338" s="25"/>
      <c r="J338" s="25"/>
    </row>
    <row r="339" spans="1:10" ht="14.4">
      <c r="A339" s="44"/>
      <c r="B339" s="44"/>
      <c r="D339" s="25"/>
      <c r="E339" s="44"/>
      <c r="F339" s="25" t="s">
        <v>123</v>
      </c>
      <c r="G339" s="25"/>
      <c r="H339" s="25"/>
      <c r="I339" s="25"/>
      <c r="J339" s="25"/>
    </row>
    <row r="340" spans="1:10" ht="14.4">
      <c r="A340" s="44"/>
      <c r="B340" s="44"/>
      <c r="D340" s="25"/>
      <c r="E340" s="44"/>
      <c r="F340" s="25" t="s">
        <v>123</v>
      </c>
      <c r="G340" s="25"/>
      <c r="H340" s="25"/>
      <c r="I340" s="25"/>
      <c r="J340" s="25"/>
    </row>
    <row r="341" spans="1:10" ht="14.4">
      <c r="A341" s="44"/>
      <c r="B341" s="44"/>
      <c r="D341" s="25"/>
      <c r="E341" s="44"/>
      <c r="F341" s="25" t="s">
        <v>123</v>
      </c>
      <c r="G341" s="25"/>
      <c r="H341" s="25"/>
      <c r="I341" s="25"/>
      <c r="J341" s="25"/>
    </row>
    <row r="342" spans="1:10" ht="14.4">
      <c r="A342" s="44"/>
      <c r="B342" s="44"/>
      <c r="D342" s="25"/>
      <c r="E342" s="44"/>
      <c r="F342" s="25" t="s">
        <v>123</v>
      </c>
      <c r="G342" s="25"/>
      <c r="H342" s="25"/>
      <c r="I342" s="25"/>
      <c r="J342" s="25"/>
    </row>
    <row r="343" spans="1:10" ht="14.4">
      <c r="A343" s="44"/>
      <c r="B343" s="44"/>
      <c r="D343" s="25"/>
      <c r="E343" s="44"/>
      <c r="F343" s="25" t="s">
        <v>123</v>
      </c>
      <c r="G343" s="25"/>
      <c r="H343" s="25"/>
      <c r="I343" s="25"/>
      <c r="J343" s="25"/>
    </row>
    <row r="344" spans="1:10" ht="14.4">
      <c r="A344" s="44"/>
      <c r="B344" s="44"/>
      <c r="D344" s="25"/>
      <c r="E344" s="44"/>
      <c r="F344" s="25" t="s">
        <v>123</v>
      </c>
      <c r="G344" s="25"/>
      <c r="H344" s="25"/>
      <c r="I344" s="25"/>
      <c r="J344" s="25"/>
    </row>
    <row r="345" spans="1:10" ht="14.4">
      <c r="A345" s="44"/>
      <c r="B345" s="44"/>
      <c r="D345" s="25"/>
      <c r="E345" s="44"/>
      <c r="F345" s="25" t="s">
        <v>123</v>
      </c>
      <c r="G345" s="25"/>
      <c r="H345" s="25"/>
      <c r="I345" s="25"/>
      <c r="J345" s="25"/>
    </row>
    <row r="346" spans="1:10" ht="14.4">
      <c r="A346" s="44"/>
      <c r="B346" s="44"/>
      <c r="D346" s="25"/>
      <c r="E346" s="44"/>
      <c r="F346" s="25" t="s">
        <v>123</v>
      </c>
      <c r="G346" s="25"/>
      <c r="H346" s="25"/>
      <c r="I346" s="25"/>
      <c r="J346" s="25"/>
    </row>
    <row r="347" spans="1:10" ht="14.4">
      <c r="A347" s="44"/>
      <c r="B347" s="44"/>
      <c r="D347" s="25"/>
      <c r="E347" s="44"/>
      <c r="F347" s="25" t="s">
        <v>123</v>
      </c>
      <c r="G347" s="25"/>
      <c r="H347" s="25"/>
      <c r="I347" s="25"/>
      <c r="J347" s="25"/>
    </row>
    <row r="348" spans="1:10" ht="14.4">
      <c r="A348" s="44"/>
      <c r="B348" s="44"/>
      <c r="D348" s="25"/>
      <c r="E348" s="44"/>
      <c r="F348" s="25" t="s">
        <v>123</v>
      </c>
      <c r="G348" s="25"/>
      <c r="H348" s="25"/>
      <c r="I348" s="25"/>
      <c r="J348" s="25"/>
    </row>
    <row r="349" spans="1:10" ht="14.4">
      <c r="A349" s="44"/>
      <c r="B349" s="44"/>
      <c r="D349" s="25"/>
      <c r="E349" s="44"/>
      <c r="F349" s="25" t="s">
        <v>123</v>
      </c>
      <c r="G349" s="25"/>
      <c r="H349" s="25"/>
      <c r="I349" s="25"/>
      <c r="J349" s="25"/>
    </row>
    <row r="350" spans="1:10" ht="14.4">
      <c r="A350" s="44"/>
      <c r="B350" s="44"/>
      <c r="D350" s="25"/>
      <c r="E350" s="44"/>
      <c r="F350" s="25" t="s">
        <v>123</v>
      </c>
      <c r="G350" s="25"/>
      <c r="H350" s="25"/>
      <c r="I350" s="25"/>
      <c r="J350" s="25"/>
    </row>
    <row r="351" spans="1:10" ht="14.4">
      <c r="A351" s="44"/>
      <c r="B351" s="44"/>
      <c r="D351" s="25"/>
      <c r="E351" s="44"/>
      <c r="F351" s="25" t="s">
        <v>123</v>
      </c>
      <c r="G351" s="25"/>
      <c r="H351" s="25"/>
      <c r="I351" s="25"/>
      <c r="J351" s="25"/>
    </row>
    <row r="352" spans="1:10" ht="14.4">
      <c r="A352" s="44"/>
      <c r="B352" s="44"/>
      <c r="D352" s="25"/>
      <c r="E352" s="44"/>
      <c r="F352" s="25" t="s">
        <v>123</v>
      </c>
      <c r="G352" s="25"/>
      <c r="H352" s="25"/>
      <c r="I352" s="25"/>
      <c r="J352" s="25"/>
    </row>
    <row r="353" spans="1:10" ht="14.4">
      <c r="A353" s="44"/>
      <c r="B353" s="44"/>
      <c r="D353" s="25"/>
      <c r="E353" s="44"/>
      <c r="F353" s="25" t="s">
        <v>123</v>
      </c>
      <c r="G353" s="25"/>
      <c r="H353" s="25"/>
      <c r="I353" s="25"/>
      <c r="J353" s="25"/>
    </row>
    <row r="354" spans="1:10" ht="14.4">
      <c r="A354" s="44"/>
      <c r="B354" s="44"/>
      <c r="D354" s="25"/>
      <c r="E354" s="44"/>
      <c r="F354" s="25" t="s">
        <v>123</v>
      </c>
      <c r="G354" s="25"/>
      <c r="H354" s="25"/>
      <c r="I354" s="25"/>
      <c r="J354" s="25"/>
    </row>
    <row r="355" spans="1:10" ht="14.4">
      <c r="A355" s="44"/>
      <c r="B355" s="44"/>
      <c r="D355" s="25"/>
      <c r="E355" s="44"/>
      <c r="F355" s="25" t="s">
        <v>123</v>
      </c>
      <c r="G355" s="25"/>
      <c r="H355" s="25"/>
      <c r="I355" s="25"/>
      <c r="J355" s="25"/>
    </row>
    <row r="356" spans="1:10" ht="14.4">
      <c r="A356" s="44"/>
      <c r="B356" s="44"/>
      <c r="D356" s="25"/>
      <c r="E356" s="44"/>
      <c r="F356" s="25" t="s">
        <v>123</v>
      </c>
      <c r="G356" s="25"/>
      <c r="H356" s="25"/>
      <c r="I356" s="25"/>
      <c r="J356" s="25"/>
    </row>
    <row r="357" spans="1:10" ht="14.4">
      <c r="A357" s="44"/>
      <c r="B357" s="44"/>
      <c r="D357" s="25"/>
      <c r="E357" s="44"/>
      <c r="F357" s="25" t="s">
        <v>123</v>
      </c>
      <c r="G357" s="25"/>
      <c r="H357" s="25"/>
      <c r="I357" s="25"/>
      <c r="J357" s="25"/>
    </row>
    <row r="358" spans="1:10" ht="14.4">
      <c r="A358" s="44"/>
      <c r="B358" s="44"/>
      <c r="D358" s="25"/>
      <c r="E358" s="44"/>
      <c r="F358" s="25" t="s">
        <v>123</v>
      </c>
      <c r="G358" s="25"/>
      <c r="H358" s="25"/>
      <c r="I358" s="25"/>
      <c r="J358" s="25"/>
    </row>
    <row r="359" spans="1:10" ht="14.4">
      <c r="A359" s="44"/>
      <c r="B359" s="44"/>
      <c r="D359" s="25"/>
      <c r="E359" s="44"/>
      <c r="F359" s="25" t="s">
        <v>123</v>
      </c>
      <c r="G359" s="25"/>
      <c r="H359" s="25"/>
      <c r="I359" s="25"/>
      <c r="J359" s="25"/>
    </row>
    <row r="360" spans="1:10" ht="14.4">
      <c r="A360" s="44"/>
      <c r="B360" s="44"/>
      <c r="D360" s="25"/>
      <c r="E360" s="44"/>
      <c r="F360" s="25" t="s">
        <v>123</v>
      </c>
      <c r="G360" s="25"/>
      <c r="H360" s="25"/>
      <c r="I360" s="25"/>
      <c r="J360" s="25"/>
    </row>
    <row r="361" spans="1:10" ht="14.4">
      <c r="A361" s="44"/>
      <c r="B361" s="44"/>
      <c r="D361" s="25"/>
      <c r="E361" s="44"/>
      <c r="F361" s="25" t="s">
        <v>123</v>
      </c>
      <c r="G361" s="25"/>
      <c r="H361" s="25"/>
      <c r="I361" s="25"/>
      <c r="J361" s="25"/>
    </row>
    <row r="362" spans="1:10" ht="14.4">
      <c r="A362" s="44"/>
      <c r="B362" s="44"/>
      <c r="D362" s="25"/>
      <c r="E362" s="44"/>
      <c r="F362" s="25" t="s">
        <v>123</v>
      </c>
      <c r="G362" s="25"/>
      <c r="H362" s="25"/>
      <c r="I362" s="25"/>
      <c r="J362" s="25"/>
    </row>
    <row r="363" spans="1:10" ht="14.4">
      <c r="A363" s="44"/>
      <c r="B363" s="44"/>
      <c r="D363" s="25"/>
      <c r="E363" s="44"/>
      <c r="F363" s="25" t="s">
        <v>123</v>
      </c>
      <c r="G363" s="25"/>
      <c r="H363" s="25"/>
      <c r="I363" s="25"/>
      <c r="J363" s="25"/>
    </row>
    <row r="364" spans="1:10" ht="14.4">
      <c r="A364" s="44"/>
      <c r="B364" s="44"/>
      <c r="D364" s="25"/>
      <c r="E364" s="44"/>
      <c r="F364" s="25" t="s">
        <v>123</v>
      </c>
      <c r="G364" s="25"/>
      <c r="H364" s="25"/>
      <c r="I364" s="25"/>
      <c r="J364" s="25"/>
    </row>
    <row r="365" spans="1:10" ht="14.4">
      <c r="A365" s="44"/>
      <c r="B365" s="44"/>
      <c r="D365" s="25"/>
      <c r="E365" s="44"/>
      <c r="F365" s="25" t="s">
        <v>123</v>
      </c>
      <c r="G365" s="25"/>
      <c r="H365" s="25"/>
      <c r="I365" s="25"/>
      <c r="J365" s="25"/>
    </row>
    <row r="366" spans="1:10" ht="14.4">
      <c r="A366" s="44"/>
      <c r="B366" s="44"/>
      <c r="D366" s="25"/>
      <c r="E366" s="44"/>
      <c r="F366" s="25" t="s">
        <v>123</v>
      </c>
      <c r="G366" s="25"/>
      <c r="H366" s="25"/>
      <c r="I366" s="25"/>
      <c r="J366" s="25"/>
    </row>
    <row r="367" spans="1:10" ht="14.4">
      <c r="A367" s="44"/>
      <c r="B367" s="44"/>
      <c r="D367" s="25"/>
      <c r="E367" s="44"/>
      <c r="F367" s="25" t="s">
        <v>123</v>
      </c>
      <c r="G367" s="25"/>
      <c r="H367" s="25"/>
      <c r="I367" s="25"/>
      <c r="J367" s="25"/>
    </row>
    <row r="368" spans="1:10" ht="14.4">
      <c r="A368" s="44"/>
      <c r="B368" s="44"/>
      <c r="D368" s="25"/>
      <c r="E368" s="44"/>
      <c r="F368" s="25" t="s">
        <v>123</v>
      </c>
      <c r="G368" s="25"/>
      <c r="H368" s="25"/>
      <c r="I368" s="25"/>
      <c r="J368" s="25"/>
    </row>
    <row r="369" spans="1:10" ht="14.4">
      <c r="A369" s="44"/>
      <c r="B369" s="44"/>
      <c r="D369" s="25"/>
      <c r="E369" s="44"/>
      <c r="F369" s="25" t="s">
        <v>123</v>
      </c>
      <c r="G369" s="25"/>
      <c r="H369" s="25"/>
      <c r="I369" s="25"/>
      <c r="J369" s="25"/>
    </row>
    <row r="370" spans="1:10" ht="14.4">
      <c r="A370" s="44"/>
      <c r="B370" s="44"/>
      <c r="D370" s="25"/>
      <c r="E370" s="44"/>
      <c r="F370" s="25" t="s">
        <v>123</v>
      </c>
      <c r="G370" s="25"/>
      <c r="H370" s="25"/>
      <c r="I370" s="25"/>
      <c r="J370" s="25"/>
    </row>
    <row r="371" spans="1:10" ht="14.4">
      <c r="A371" s="44"/>
      <c r="B371" s="44"/>
      <c r="D371" s="25"/>
      <c r="E371" s="44"/>
      <c r="F371" s="25" t="s">
        <v>123</v>
      </c>
      <c r="G371" s="25"/>
      <c r="H371" s="25"/>
      <c r="I371" s="25"/>
      <c r="J371" s="25"/>
    </row>
    <row r="372" spans="1:10" ht="14.4">
      <c r="A372" s="44"/>
      <c r="B372" s="44"/>
      <c r="D372" s="25"/>
      <c r="E372" s="44"/>
      <c r="F372" s="25" t="s">
        <v>123</v>
      </c>
      <c r="G372" s="25"/>
      <c r="H372" s="25"/>
      <c r="I372" s="25"/>
      <c r="J372" s="25"/>
    </row>
    <row r="373" spans="1:10" ht="14.4">
      <c r="A373" s="44"/>
      <c r="B373" s="44"/>
      <c r="D373" s="25"/>
      <c r="E373" s="44"/>
      <c r="F373" s="25" t="s">
        <v>123</v>
      </c>
      <c r="G373" s="25"/>
      <c r="H373" s="25"/>
      <c r="I373" s="25"/>
      <c r="J373" s="25"/>
    </row>
    <row r="374" spans="1:10" ht="14.4">
      <c r="A374" s="44"/>
      <c r="B374" s="44"/>
      <c r="D374" s="25"/>
      <c r="E374" s="44"/>
      <c r="F374" s="25" t="s">
        <v>123</v>
      </c>
      <c r="G374" s="25"/>
      <c r="H374" s="25"/>
      <c r="I374" s="25"/>
      <c r="J374" s="25"/>
    </row>
    <row r="375" spans="1:10" ht="14.4">
      <c r="A375" s="44"/>
      <c r="B375" s="44"/>
      <c r="D375" s="25"/>
      <c r="E375" s="44"/>
      <c r="F375" s="25" t="s">
        <v>123</v>
      </c>
      <c r="G375" s="25"/>
      <c r="H375" s="25"/>
      <c r="I375" s="25"/>
      <c r="J375" s="25"/>
    </row>
    <row r="376" spans="1:10" ht="14.4">
      <c r="A376" s="44"/>
      <c r="B376" s="44"/>
      <c r="D376" s="25"/>
      <c r="E376" s="44"/>
      <c r="F376" s="25" t="s">
        <v>123</v>
      </c>
      <c r="G376" s="25"/>
      <c r="H376" s="25"/>
      <c r="I376" s="25"/>
      <c r="J376" s="25"/>
    </row>
    <row r="377" spans="1:10" ht="14.4">
      <c r="A377" s="44"/>
      <c r="B377" s="44"/>
      <c r="D377" s="25"/>
      <c r="E377" s="44"/>
      <c r="F377" s="25" t="s">
        <v>123</v>
      </c>
      <c r="G377" s="25"/>
      <c r="H377" s="25"/>
      <c r="I377" s="25"/>
      <c r="J377" s="25"/>
    </row>
    <row r="378" spans="1:10" ht="14.4">
      <c r="A378" s="44"/>
      <c r="B378" s="44"/>
      <c r="D378" s="25"/>
      <c r="E378" s="44"/>
      <c r="F378" s="25" t="s">
        <v>123</v>
      </c>
      <c r="G378" s="25"/>
      <c r="H378" s="25"/>
      <c r="I378" s="25"/>
      <c r="J378" s="25"/>
    </row>
    <row r="379" spans="1:10" ht="14.4">
      <c r="A379" s="44"/>
      <c r="B379" s="44"/>
      <c r="D379" s="25"/>
      <c r="E379" s="44"/>
      <c r="F379" s="25" t="s">
        <v>123</v>
      </c>
      <c r="G379" s="25"/>
      <c r="H379" s="25"/>
      <c r="I379" s="25"/>
      <c r="J379" s="25"/>
    </row>
    <row r="380" spans="1:10" ht="14.4">
      <c r="A380" s="44"/>
      <c r="B380" s="44"/>
      <c r="D380" s="25"/>
      <c r="E380" s="44"/>
      <c r="F380" s="25" t="s">
        <v>123</v>
      </c>
      <c r="G380" s="25"/>
      <c r="H380" s="25"/>
      <c r="I380" s="25"/>
      <c r="J380" s="25"/>
    </row>
    <row r="381" spans="1:10" ht="14.4">
      <c r="A381" s="44"/>
      <c r="B381" s="44"/>
      <c r="D381" s="25"/>
      <c r="E381" s="44"/>
      <c r="F381" s="25" t="s">
        <v>123</v>
      </c>
      <c r="G381" s="25"/>
      <c r="H381" s="25"/>
      <c r="I381" s="25"/>
      <c r="J381" s="25"/>
    </row>
    <row r="382" spans="1:10" ht="14.4">
      <c r="A382" s="44"/>
      <c r="B382" s="44"/>
      <c r="D382" s="25"/>
      <c r="E382" s="44"/>
      <c r="F382" s="25" t="s">
        <v>123</v>
      </c>
      <c r="G382" s="25"/>
      <c r="H382" s="25"/>
      <c r="I382" s="25"/>
      <c r="J382" s="25"/>
    </row>
    <row r="383" spans="1:10" ht="14.4">
      <c r="A383" s="44"/>
      <c r="B383" s="44"/>
      <c r="D383" s="25"/>
      <c r="E383" s="44"/>
      <c r="F383" s="25" t="s">
        <v>123</v>
      </c>
      <c r="G383" s="25"/>
      <c r="H383" s="25"/>
      <c r="I383" s="25"/>
      <c r="J383" s="25"/>
    </row>
    <row r="384" spans="1:10" ht="14.4">
      <c r="A384" s="44"/>
      <c r="B384" s="44"/>
      <c r="D384" s="25"/>
      <c r="E384" s="44"/>
      <c r="F384" s="25" t="s">
        <v>123</v>
      </c>
      <c r="G384" s="25"/>
      <c r="H384" s="25"/>
      <c r="I384" s="25"/>
      <c r="J384" s="25"/>
    </row>
    <row r="385" spans="1:10" ht="14.4">
      <c r="A385" s="44"/>
      <c r="B385" s="44"/>
      <c r="D385" s="25"/>
      <c r="E385" s="44"/>
      <c r="F385" s="25" t="s">
        <v>123</v>
      </c>
      <c r="G385" s="25"/>
      <c r="H385" s="25"/>
      <c r="I385" s="25"/>
      <c r="J385" s="25"/>
    </row>
    <row r="386" spans="1:10" ht="14.4">
      <c r="A386" s="44"/>
      <c r="B386" s="44"/>
      <c r="D386" s="25"/>
      <c r="E386" s="44"/>
      <c r="F386" s="25" t="s">
        <v>123</v>
      </c>
      <c r="G386" s="25"/>
      <c r="H386" s="25"/>
      <c r="I386" s="25"/>
      <c r="J386" s="25"/>
    </row>
    <row r="387" spans="1:10" ht="14.4">
      <c r="A387" s="44"/>
      <c r="B387" s="44"/>
      <c r="D387" s="25"/>
      <c r="E387" s="44"/>
      <c r="F387" s="25" t="s">
        <v>123</v>
      </c>
      <c r="G387" s="25"/>
      <c r="H387" s="25"/>
      <c r="I387" s="25"/>
      <c r="J387" s="25"/>
    </row>
    <row r="388" spans="1:10" ht="14.4">
      <c r="A388" s="44"/>
      <c r="B388" s="44"/>
      <c r="D388" s="25"/>
      <c r="E388" s="44"/>
      <c r="F388" s="25" t="s">
        <v>123</v>
      </c>
      <c r="G388" s="25"/>
      <c r="H388" s="25"/>
      <c r="I388" s="25"/>
      <c r="J388" s="25"/>
    </row>
    <row r="389" spans="1:10" ht="14.4">
      <c r="A389" s="44"/>
      <c r="B389" s="44"/>
      <c r="D389" s="25"/>
      <c r="E389" s="44"/>
      <c r="F389" s="25" t="s">
        <v>123</v>
      </c>
      <c r="G389" s="25"/>
      <c r="H389" s="25"/>
      <c r="I389" s="25"/>
      <c r="J389" s="25"/>
    </row>
    <row r="390" spans="1:10" ht="14.4">
      <c r="A390" s="44"/>
      <c r="B390" s="44"/>
      <c r="D390" s="25"/>
      <c r="E390" s="44"/>
      <c r="F390" s="25" t="s">
        <v>123</v>
      </c>
      <c r="G390" s="25"/>
      <c r="H390" s="25"/>
      <c r="I390" s="25"/>
      <c r="J390" s="25"/>
    </row>
    <row r="391" spans="1:10" ht="14.4">
      <c r="A391" s="44"/>
      <c r="B391" s="44"/>
      <c r="D391" s="25"/>
      <c r="E391" s="44"/>
      <c r="F391" s="25" t="s">
        <v>123</v>
      </c>
      <c r="G391" s="25"/>
      <c r="H391" s="25"/>
      <c r="I391" s="25"/>
      <c r="J391" s="25"/>
    </row>
    <row r="392" spans="1:10" ht="14.4">
      <c r="A392" s="44"/>
      <c r="B392" s="44"/>
      <c r="D392" s="25"/>
      <c r="E392" s="44"/>
      <c r="F392" s="25" t="s">
        <v>123</v>
      </c>
      <c r="G392" s="25"/>
      <c r="H392" s="25"/>
      <c r="I392" s="25"/>
      <c r="J392" s="25"/>
    </row>
    <row r="393" spans="1:10" ht="14.4">
      <c r="A393" s="44"/>
      <c r="B393" s="44"/>
      <c r="D393" s="25"/>
      <c r="E393" s="44"/>
      <c r="F393" s="25" t="s">
        <v>123</v>
      </c>
      <c r="G393" s="25"/>
      <c r="H393" s="25"/>
      <c r="I393" s="25"/>
      <c r="J393" s="25"/>
    </row>
    <row r="394" spans="1:10" ht="14.4">
      <c r="A394" s="44"/>
      <c r="B394" s="44"/>
      <c r="D394" s="25"/>
      <c r="E394" s="44"/>
      <c r="F394" s="25" t="s">
        <v>123</v>
      </c>
      <c r="G394" s="25"/>
      <c r="H394" s="25"/>
      <c r="I394" s="25"/>
      <c r="J394" s="25"/>
    </row>
    <row r="395" spans="1:10" ht="14.4">
      <c r="A395" s="44"/>
      <c r="B395" s="44"/>
      <c r="D395" s="25"/>
      <c r="E395" s="44"/>
      <c r="F395" s="25" t="s">
        <v>123</v>
      </c>
      <c r="G395" s="25"/>
      <c r="H395" s="25"/>
      <c r="I395" s="25"/>
      <c r="J395" s="25"/>
    </row>
    <row r="396" spans="1:10" ht="14.4">
      <c r="A396" s="44"/>
      <c r="B396" s="44"/>
      <c r="D396" s="25"/>
      <c r="E396" s="44"/>
      <c r="F396" s="25" t="s">
        <v>123</v>
      </c>
      <c r="G396" s="25"/>
      <c r="H396" s="25"/>
      <c r="I396" s="25"/>
      <c r="J396" s="25"/>
    </row>
    <row r="397" spans="1:10" ht="14.4">
      <c r="A397" s="44"/>
      <c r="B397" s="44"/>
      <c r="D397" s="25"/>
      <c r="E397" s="44"/>
      <c r="F397" s="25" t="s">
        <v>123</v>
      </c>
      <c r="G397" s="25"/>
      <c r="H397" s="25"/>
      <c r="I397" s="25"/>
      <c r="J397" s="25"/>
    </row>
    <row r="398" spans="1:10" ht="14.4">
      <c r="A398" s="44"/>
      <c r="B398" s="44"/>
      <c r="D398" s="25"/>
      <c r="E398" s="44"/>
      <c r="F398" s="25" t="s">
        <v>123</v>
      </c>
      <c r="G398" s="25"/>
      <c r="H398" s="25"/>
      <c r="I398" s="25"/>
      <c r="J398" s="25"/>
    </row>
    <row r="399" spans="1:10" ht="14.4">
      <c r="A399" s="44"/>
      <c r="B399" s="44"/>
      <c r="D399" s="25"/>
      <c r="E399" s="44"/>
      <c r="F399" s="25" t="s">
        <v>123</v>
      </c>
      <c r="G399" s="25"/>
      <c r="H399" s="25"/>
      <c r="I399" s="25"/>
      <c r="J399" s="25"/>
    </row>
    <row r="400" spans="1:10" ht="14.4">
      <c r="A400" s="44"/>
      <c r="B400" s="44"/>
      <c r="D400" s="25"/>
      <c r="E400" s="44"/>
      <c r="F400" s="25" t="s">
        <v>123</v>
      </c>
      <c r="G400" s="25"/>
      <c r="H400" s="25"/>
      <c r="I400" s="25"/>
      <c r="J400" s="25"/>
    </row>
    <row r="401" spans="1:10" ht="14.4">
      <c r="A401" s="44"/>
      <c r="B401" s="44"/>
      <c r="D401" s="25"/>
      <c r="E401" s="44"/>
      <c r="F401" s="25" t="s">
        <v>123</v>
      </c>
      <c r="G401" s="25"/>
      <c r="H401" s="25"/>
      <c r="I401" s="25"/>
      <c r="J401" s="25"/>
    </row>
    <row r="402" spans="1:10" ht="14.4">
      <c r="A402" s="44"/>
      <c r="B402" s="44"/>
      <c r="D402" s="25"/>
      <c r="E402" s="44"/>
      <c r="F402" s="25" t="s">
        <v>123</v>
      </c>
      <c r="G402" s="25"/>
      <c r="H402" s="25"/>
      <c r="I402" s="25"/>
      <c r="J402" s="25"/>
    </row>
    <row r="403" spans="1:10" ht="14.4">
      <c r="A403" s="44"/>
      <c r="B403" s="44"/>
      <c r="D403" s="25"/>
      <c r="E403" s="44"/>
      <c r="F403" s="25" t="s">
        <v>123</v>
      </c>
      <c r="G403" s="25"/>
      <c r="H403" s="25"/>
      <c r="I403" s="25"/>
      <c r="J403" s="25"/>
    </row>
    <row r="404" spans="1:10" ht="14.4">
      <c r="A404" s="44"/>
      <c r="B404" s="44"/>
      <c r="D404" s="25"/>
      <c r="E404" s="44"/>
      <c r="F404" s="25" t="s">
        <v>123</v>
      </c>
      <c r="G404" s="25"/>
      <c r="H404" s="25"/>
      <c r="I404" s="25"/>
      <c r="J404" s="25"/>
    </row>
    <row r="405" spans="1:10" ht="14.4">
      <c r="A405" s="44"/>
      <c r="B405" s="44"/>
      <c r="D405" s="25"/>
      <c r="E405" s="44"/>
      <c r="F405" s="25" t="s">
        <v>123</v>
      </c>
      <c r="G405" s="25"/>
      <c r="H405" s="25"/>
      <c r="I405" s="25"/>
      <c r="J405" s="25"/>
    </row>
    <row r="406" spans="1:10" ht="14.4">
      <c r="A406" s="44"/>
      <c r="B406" s="44"/>
      <c r="D406" s="25"/>
      <c r="E406" s="44"/>
      <c r="F406" s="25" t="s">
        <v>123</v>
      </c>
      <c r="G406" s="25"/>
      <c r="H406" s="25"/>
      <c r="I406" s="25"/>
      <c r="J406" s="25"/>
    </row>
    <row r="407" spans="1:10" ht="14.4">
      <c r="A407" s="44"/>
      <c r="B407" s="44"/>
      <c r="D407" s="25"/>
      <c r="E407" s="44"/>
      <c r="F407" s="25" t="s">
        <v>123</v>
      </c>
      <c r="G407" s="25"/>
      <c r="H407" s="25"/>
      <c r="I407" s="25"/>
      <c r="J407" s="25"/>
    </row>
    <row r="408" spans="1:10" ht="14.4">
      <c r="A408" s="44"/>
      <c r="B408" s="44"/>
      <c r="D408" s="25"/>
      <c r="E408" s="44"/>
      <c r="F408" s="25" t="s">
        <v>123</v>
      </c>
      <c r="G408" s="25"/>
      <c r="H408" s="25"/>
      <c r="I408" s="25"/>
      <c r="J408" s="25"/>
    </row>
    <row r="409" spans="1:10" ht="14.4">
      <c r="A409" s="44"/>
      <c r="B409" s="44"/>
      <c r="D409" s="25"/>
      <c r="E409" s="44"/>
      <c r="F409" s="25" t="s">
        <v>123</v>
      </c>
      <c r="G409" s="25"/>
      <c r="H409" s="25"/>
      <c r="I409" s="25"/>
      <c r="J409" s="25"/>
    </row>
    <row r="410" spans="1:10" ht="14.4">
      <c r="A410" s="44"/>
      <c r="B410" s="44"/>
      <c r="D410" s="25"/>
      <c r="E410" s="44"/>
      <c r="F410" s="25" t="s">
        <v>123</v>
      </c>
      <c r="G410" s="25"/>
      <c r="H410" s="25"/>
      <c r="I410" s="25"/>
      <c r="J410" s="25"/>
    </row>
    <row r="411" spans="1:10" ht="14.4">
      <c r="A411" s="44"/>
      <c r="B411" s="44"/>
      <c r="D411" s="25"/>
      <c r="E411" s="44"/>
      <c r="F411" s="25" t="s">
        <v>123</v>
      </c>
      <c r="G411" s="25"/>
      <c r="H411" s="25"/>
      <c r="I411" s="25"/>
      <c r="J411" s="25"/>
    </row>
    <row r="412" spans="1:10" ht="14.4">
      <c r="A412" s="44"/>
      <c r="B412" s="44"/>
      <c r="D412" s="25"/>
      <c r="E412" s="44"/>
      <c r="F412" s="25" t="s">
        <v>123</v>
      </c>
      <c r="G412" s="25"/>
      <c r="H412" s="25"/>
      <c r="I412" s="25"/>
      <c r="J412" s="25"/>
    </row>
    <row r="413" spans="1:10" ht="14.4">
      <c r="A413" s="44"/>
      <c r="B413" s="44"/>
      <c r="D413" s="25"/>
      <c r="E413" s="44"/>
      <c r="F413" s="25" t="s">
        <v>123</v>
      </c>
      <c r="G413" s="25"/>
      <c r="H413" s="25"/>
      <c r="I413" s="25"/>
      <c r="J413" s="25"/>
    </row>
    <row r="414" spans="1:10" ht="14.4">
      <c r="A414" s="44"/>
      <c r="B414" s="44"/>
      <c r="D414" s="25"/>
      <c r="E414" s="44"/>
      <c r="F414" s="25" t="s">
        <v>123</v>
      </c>
      <c r="G414" s="25"/>
      <c r="H414" s="25"/>
      <c r="I414" s="25"/>
      <c r="J414" s="25"/>
    </row>
    <row r="415" spans="1:10" ht="14.4">
      <c r="A415" s="44"/>
      <c r="B415" s="44"/>
      <c r="D415" s="25"/>
      <c r="E415" s="44"/>
      <c r="F415" s="25" t="s">
        <v>123</v>
      </c>
      <c r="G415" s="25"/>
      <c r="H415" s="25"/>
      <c r="I415" s="25"/>
      <c r="J415" s="25"/>
    </row>
    <row r="416" spans="1:10" ht="14.4">
      <c r="A416" s="44"/>
      <c r="B416" s="44"/>
      <c r="D416" s="25"/>
      <c r="E416" s="44"/>
      <c r="F416" s="25" t="s">
        <v>123</v>
      </c>
      <c r="G416" s="25"/>
      <c r="H416" s="25"/>
      <c r="I416" s="25"/>
      <c r="J416" s="25"/>
    </row>
    <row r="417" spans="1:10" ht="14.4">
      <c r="A417" s="44"/>
      <c r="B417" s="44"/>
      <c r="D417" s="25"/>
      <c r="E417" s="44"/>
      <c r="F417" s="25" t="s">
        <v>123</v>
      </c>
      <c r="G417" s="25"/>
      <c r="H417" s="25"/>
      <c r="I417" s="25"/>
      <c r="J417" s="25"/>
    </row>
    <row r="418" spans="1:10" ht="14.4">
      <c r="A418" s="44"/>
      <c r="B418" s="44"/>
      <c r="D418" s="25"/>
      <c r="E418" s="44"/>
      <c r="F418" s="25" t="s">
        <v>123</v>
      </c>
      <c r="G418" s="25"/>
      <c r="H418" s="25"/>
      <c r="I418" s="25"/>
      <c r="J418" s="25"/>
    </row>
    <row r="419" spans="1:10" ht="14.4">
      <c r="A419" s="44"/>
      <c r="B419" s="44"/>
      <c r="D419" s="25"/>
      <c r="E419" s="44"/>
      <c r="F419" s="25" t="s">
        <v>123</v>
      </c>
      <c r="G419" s="25"/>
      <c r="H419" s="25"/>
      <c r="I419" s="25"/>
      <c r="J419" s="25"/>
    </row>
    <row r="420" spans="1:10" ht="14.4">
      <c r="A420" s="44"/>
      <c r="B420" s="44"/>
      <c r="D420" s="25"/>
      <c r="E420" s="44"/>
      <c r="F420" s="25" t="s">
        <v>123</v>
      </c>
      <c r="G420" s="25"/>
      <c r="H420" s="25"/>
      <c r="I420" s="25"/>
      <c r="J420" s="25"/>
    </row>
    <row r="421" spans="1:10" ht="14.4">
      <c r="A421" s="44"/>
      <c r="B421" s="44"/>
      <c r="D421" s="25"/>
      <c r="E421" s="44"/>
      <c r="F421" s="25" t="s">
        <v>123</v>
      </c>
      <c r="G421" s="25"/>
      <c r="H421" s="25"/>
      <c r="I421" s="25"/>
      <c r="J421" s="25"/>
    </row>
    <row r="422" spans="1:10" ht="14.4">
      <c r="A422" s="44"/>
      <c r="B422" s="44"/>
      <c r="D422" s="25"/>
      <c r="E422" s="44"/>
      <c r="F422" s="25" t="s">
        <v>123</v>
      </c>
      <c r="G422" s="25"/>
      <c r="H422" s="25"/>
      <c r="I422" s="25"/>
      <c r="J422" s="25"/>
    </row>
    <row r="423" spans="1:10" ht="14.4">
      <c r="A423" s="44"/>
      <c r="B423" s="44"/>
      <c r="D423" s="25"/>
      <c r="E423" s="44"/>
      <c r="F423" s="25" t="s">
        <v>123</v>
      </c>
      <c r="G423" s="25"/>
      <c r="H423" s="25"/>
      <c r="I423" s="25"/>
      <c r="J423" s="25"/>
    </row>
    <row r="424" spans="1:10" ht="14.4">
      <c r="A424" s="44"/>
      <c r="B424" s="44"/>
      <c r="D424" s="25"/>
      <c r="E424" s="44"/>
      <c r="F424" s="25" t="s">
        <v>123</v>
      </c>
      <c r="G424" s="25"/>
      <c r="H424" s="25"/>
      <c r="I424" s="25"/>
      <c r="J424" s="25"/>
    </row>
    <row r="425" spans="1:10" ht="14.4">
      <c r="A425" s="44"/>
      <c r="B425" s="44"/>
      <c r="D425" s="25"/>
      <c r="E425" s="44"/>
      <c r="F425" s="25" t="s">
        <v>123</v>
      </c>
      <c r="G425" s="25"/>
      <c r="H425" s="25"/>
      <c r="I425" s="25"/>
      <c r="J425" s="25"/>
    </row>
    <row r="426" spans="1:10" ht="14.4">
      <c r="A426" s="44"/>
      <c r="B426" s="44"/>
      <c r="D426" s="25"/>
      <c r="E426" s="44"/>
      <c r="F426" s="25" t="s">
        <v>123</v>
      </c>
      <c r="G426" s="25"/>
      <c r="H426" s="25"/>
      <c r="I426" s="25"/>
      <c r="J426" s="25"/>
    </row>
    <row r="427" spans="1:10" ht="14.4">
      <c r="A427" s="44"/>
      <c r="B427" s="44"/>
      <c r="D427" s="25"/>
      <c r="E427" s="44"/>
      <c r="F427" s="25" t="s">
        <v>123</v>
      </c>
      <c r="G427" s="25"/>
      <c r="H427" s="25"/>
      <c r="I427" s="25"/>
      <c r="J427" s="25"/>
    </row>
    <row r="428" spans="1:10" ht="14.4">
      <c r="A428" s="44"/>
      <c r="B428" s="44"/>
      <c r="D428" s="25"/>
      <c r="E428" s="44"/>
      <c r="F428" s="25" t="s">
        <v>123</v>
      </c>
      <c r="G428" s="25"/>
      <c r="H428" s="25"/>
      <c r="I428" s="25"/>
      <c r="J428" s="25"/>
    </row>
    <row r="429" spans="1:10" ht="14.4">
      <c r="A429" s="44"/>
      <c r="B429" s="44"/>
      <c r="D429" s="25"/>
      <c r="E429" s="44"/>
      <c r="F429" s="25" t="s">
        <v>123</v>
      </c>
      <c r="G429" s="25"/>
      <c r="H429" s="25"/>
      <c r="I429" s="25"/>
      <c r="J429" s="25"/>
    </row>
    <row r="430" spans="1:10" ht="14.4">
      <c r="A430" s="44"/>
      <c r="B430" s="44"/>
      <c r="D430" s="25"/>
      <c r="E430" s="44"/>
      <c r="F430" s="25" t="s">
        <v>123</v>
      </c>
      <c r="G430" s="25"/>
      <c r="H430" s="25"/>
      <c r="I430" s="25"/>
      <c r="J430" s="25"/>
    </row>
    <row r="431" spans="1:10" ht="14.4">
      <c r="A431" s="44"/>
      <c r="B431" s="44"/>
      <c r="D431" s="25"/>
      <c r="E431" s="44"/>
      <c r="F431" s="25" t="s">
        <v>123</v>
      </c>
      <c r="G431" s="25"/>
      <c r="H431" s="25"/>
      <c r="I431" s="25"/>
      <c r="J431" s="25"/>
    </row>
    <row r="432" spans="1:10" ht="14.4">
      <c r="A432" s="44"/>
      <c r="B432" s="44"/>
      <c r="D432" s="25"/>
      <c r="E432" s="44"/>
      <c r="F432" s="25" t="s">
        <v>123</v>
      </c>
      <c r="G432" s="25"/>
      <c r="H432" s="25"/>
      <c r="I432" s="25"/>
      <c r="J432" s="25"/>
    </row>
    <row r="433" spans="1:10" ht="14.4">
      <c r="A433" s="44"/>
      <c r="B433" s="44"/>
      <c r="D433" s="25"/>
      <c r="E433" s="44"/>
      <c r="F433" s="25" t="s">
        <v>123</v>
      </c>
      <c r="G433" s="25"/>
      <c r="H433" s="25"/>
      <c r="I433" s="25"/>
      <c r="J433" s="25"/>
    </row>
    <row r="434" spans="1:10" ht="14.4">
      <c r="A434" s="44"/>
      <c r="B434" s="44"/>
      <c r="D434" s="25"/>
      <c r="E434" s="44"/>
      <c r="F434" s="25" t="s">
        <v>123</v>
      </c>
      <c r="G434" s="25"/>
      <c r="H434" s="25"/>
      <c r="I434" s="25"/>
      <c r="J434" s="25"/>
    </row>
    <row r="435" spans="1:10" ht="14.4">
      <c r="A435" s="44"/>
      <c r="B435" s="44"/>
      <c r="D435" s="25"/>
      <c r="E435" s="44"/>
      <c r="F435" s="25" t="s">
        <v>123</v>
      </c>
      <c r="G435" s="25"/>
      <c r="H435" s="25"/>
      <c r="I435" s="25"/>
      <c r="J435" s="25"/>
    </row>
    <row r="436" spans="1:10" ht="14.4">
      <c r="A436" s="44"/>
      <c r="B436" s="44"/>
      <c r="D436" s="25"/>
      <c r="E436" s="44"/>
      <c r="F436" s="25" t="s">
        <v>123</v>
      </c>
      <c r="G436" s="25"/>
      <c r="H436" s="25"/>
      <c r="I436" s="25"/>
      <c r="J436" s="25"/>
    </row>
    <row r="437" spans="1:10" ht="14.4">
      <c r="A437" s="44"/>
      <c r="B437" s="44"/>
      <c r="D437" s="25"/>
      <c r="E437" s="44"/>
      <c r="F437" s="25" t="s">
        <v>123</v>
      </c>
      <c r="G437" s="25"/>
      <c r="H437" s="25"/>
      <c r="I437" s="25"/>
      <c r="J437" s="25"/>
    </row>
    <row r="438" spans="1:10" ht="14.4">
      <c r="A438" s="44"/>
      <c r="B438" s="44"/>
      <c r="D438" s="25"/>
      <c r="E438" s="44"/>
      <c r="F438" s="25" t="s">
        <v>123</v>
      </c>
      <c r="G438" s="25"/>
      <c r="H438" s="25"/>
      <c r="I438" s="25"/>
      <c r="J438" s="25"/>
    </row>
    <row r="439" spans="1:10" ht="14.4">
      <c r="A439" s="44"/>
      <c r="B439" s="44"/>
      <c r="D439" s="25"/>
      <c r="E439" s="44"/>
      <c r="F439" s="25" t="s">
        <v>123</v>
      </c>
      <c r="G439" s="25"/>
      <c r="H439" s="25"/>
      <c r="I439" s="25"/>
      <c r="J439" s="25"/>
    </row>
    <row r="440" spans="1:10" ht="14.4">
      <c r="A440" s="44"/>
      <c r="B440" s="44"/>
      <c r="D440" s="25"/>
      <c r="E440" s="44"/>
      <c r="F440" s="25" t="s">
        <v>123</v>
      </c>
      <c r="G440" s="25"/>
      <c r="H440" s="25"/>
      <c r="I440" s="25"/>
      <c r="J440" s="25"/>
    </row>
    <row r="441" spans="1:10" ht="14.4">
      <c r="A441" s="44"/>
      <c r="B441" s="44"/>
      <c r="D441" s="25"/>
      <c r="E441" s="44"/>
      <c r="F441" s="25" t="s">
        <v>123</v>
      </c>
      <c r="G441" s="25"/>
      <c r="H441" s="25"/>
      <c r="I441" s="25"/>
      <c r="J441" s="25"/>
    </row>
    <row r="442" spans="1:10" ht="14.4">
      <c r="A442" s="44"/>
      <c r="B442" s="44"/>
      <c r="D442" s="25"/>
      <c r="E442" s="44"/>
      <c r="F442" s="25" t="s">
        <v>123</v>
      </c>
      <c r="G442" s="25"/>
      <c r="H442" s="25"/>
      <c r="I442" s="25"/>
      <c r="J442" s="25"/>
    </row>
    <row r="443" spans="1:10" ht="14.4">
      <c r="A443" s="44"/>
      <c r="B443" s="44"/>
      <c r="D443" s="25"/>
      <c r="E443" s="44"/>
      <c r="F443" s="25" t="s">
        <v>123</v>
      </c>
      <c r="G443" s="25"/>
      <c r="H443" s="25"/>
      <c r="I443" s="25"/>
      <c r="J443" s="25"/>
    </row>
    <row r="444" spans="1:10" ht="14.4">
      <c r="A444" s="44"/>
      <c r="B444" s="44"/>
      <c r="D444" s="25"/>
      <c r="E444" s="44"/>
      <c r="F444" s="25" t="s">
        <v>123</v>
      </c>
      <c r="G444" s="25"/>
      <c r="H444" s="25"/>
      <c r="I444" s="25"/>
      <c r="J444" s="25"/>
    </row>
    <row r="445" spans="1:10" ht="14.4">
      <c r="A445" s="44"/>
      <c r="B445" s="44"/>
      <c r="D445" s="25"/>
      <c r="E445" s="44"/>
      <c r="F445" s="25" t="s">
        <v>123</v>
      </c>
      <c r="G445" s="25"/>
      <c r="H445" s="25"/>
      <c r="I445" s="25"/>
      <c r="J445" s="25"/>
    </row>
    <row r="446" spans="1:10" ht="14.4">
      <c r="A446" s="44"/>
      <c r="B446" s="44"/>
      <c r="D446" s="25"/>
      <c r="E446" s="44"/>
      <c r="F446" s="25" t="s">
        <v>123</v>
      </c>
      <c r="G446" s="25"/>
      <c r="H446" s="25"/>
      <c r="I446" s="25"/>
      <c r="J446" s="25"/>
    </row>
    <row r="447" spans="1:10" ht="14.4">
      <c r="A447" s="44"/>
      <c r="B447" s="44"/>
      <c r="D447" s="25"/>
      <c r="E447" s="44"/>
      <c r="F447" s="25" t="s">
        <v>123</v>
      </c>
      <c r="G447" s="25"/>
      <c r="H447" s="25"/>
      <c r="I447" s="25"/>
      <c r="J447" s="25"/>
    </row>
    <row r="448" spans="1:10" ht="14.4">
      <c r="A448" s="44"/>
      <c r="B448" s="44"/>
      <c r="D448" s="25"/>
      <c r="E448" s="44"/>
      <c r="F448" s="25" t="s">
        <v>123</v>
      </c>
      <c r="G448" s="25"/>
      <c r="H448" s="25"/>
      <c r="I448" s="25"/>
      <c r="J448" s="25"/>
    </row>
    <row r="449" spans="1:10" ht="14.4">
      <c r="A449" s="44"/>
      <c r="B449" s="44"/>
      <c r="D449" s="25"/>
      <c r="E449" s="44"/>
      <c r="F449" s="25" t="s">
        <v>123</v>
      </c>
      <c r="G449" s="25"/>
      <c r="H449" s="25"/>
      <c r="I449" s="25"/>
      <c r="J449" s="25"/>
    </row>
    <row r="450" spans="1:10" ht="14.4">
      <c r="A450" s="44"/>
      <c r="B450" s="44"/>
      <c r="D450" s="25"/>
      <c r="E450" s="44"/>
      <c r="F450" s="25" t="s">
        <v>123</v>
      </c>
      <c r="G450" s="25"/>
      <c r="H450" s="25"/>
      <c r="I450" s="25"/>
      <c r="J450" s="25"/>
    </row>
    <row r="451" spans="1:10" ht="14.4">
      <c r="A451" s="44"/>
      <c r="B451" s="44"/>
      <c r="D451" s="25"/>
      <c r="E451" s="44"/>
      <c r="F451" s="25" t="s">
        <v>123</v>
      </c>
      <c r="G451" s="25"/>
      <c r="H451" s="25"/>
      <c r="I451" s="25"/>
      <c r="J451" s="25"/>
    </row>
    <row r="452" spans="1:10" ht="14.4">
      <c r="A452" s="44"/>
      <c r="B452" s="44"/>
      <c r="D452" s="25"/>
      <c r="E452" s="44"/>
      <c r="F452" s="25" t="s">
        <v>123</v>
      </c>
      <c r="G452" s="25"/>
      <c r="H452" s="25"/>
      <c r="I452" s="25"/>
      <c r="J452" s="25"/>
    </row>
    <row r="453" spans="1:10" ht="14.4">
      <c r="A453" s="44"/>
      <c r="B453" s="44"/>
      <c r="D453" s="25"/>
      <c r="E453" s="44"/>
      <c r="F453" s="25" t="s">
        <v>123</v>
      </c>
      <c r="G453" s="25"/>
      <c r="H453" s="25"/>
      <c r="I453" s="25"/>
      <c r="J453" s="25"/>
    </row>
    <row r="454" spans="1:10" ht="14.4">
      <c r="A454" s="44"/>
      <c r="B454" s="44"/>
      <c r="D454" s="25"/>
      <c r="E454" s="44"/>
      <c r="F454" s="25" t="s">
        <v>123</v>
      </c>
      <c r="G454" s="25"/>
      <c r="H454" s="25"/>
      <c r="I454" s="25"/>
      <c r="J454" s="25"/>
    </row>
    <row r="455" spans="1:10" ht="14.4">
      <c r="A455" s="44"/>
      <c r="B455" s="44"/>
      <c r="D455" s="25"/>
      <c r="E455" s="44"/>
      <c r="F455" s="25" t="s">
        <v>123</v>
      </c>
      <c r="G455" s="25"/>
      <c r="H455" s="25"/>
      <c r="I455" s="25"/>
      <c r="J455" s="25"/>
    </row>
    <row r="456" spans="1:10" ht="14.4">
      <c r="A456" s="44"/>
      <c r="B456" s="44"/>
      <c r="D456" s="25"/>
      <c r="E456" s="44"/>
      <c r="F456" s="25" t="s">
        <v>123</v>
      </c>
      <c r="G456" s="25"/>
      <c r="H456" s="25"/>
      <c r="I456" s="25"/>
      <c r="J456" s="25"/>
    </row>
    <row r="457" spans="1:10" ht="14.4">
      <c r="A457" s="44"/>
      <c r="B457" s="44"/>
      <c r="D457" s="25"/>
      <c r="E457" s="44"/>
      <c r="F457" s="25" t="s">
        <v>123</v>
      </c>
      <c r="G457" s="25"/>
      <c r="H457" s="25"/>
      <c r="I457" s="25"/>
      <c r="J457" s="25"/>
    </row>
    <row r="458" spans="1:10" ht="14.4">
      <c r="A458" s="44"/>
      <c r="B458" s="44"/>
      <c r="D458" s="25"/>
      <c r="E458" s="44"/>
      <c r="F458" s="25" t="s">
        <v>123</v>
      </c>
      <c r="G458" s="25"/>
      <c r="H458" s="25"/>
      <c r="I458" s="25"/>
      <c r="J458" s="25"/>
    </row>
    <row r="459" spans="1:10" ht="14.4">
      <c r="A459" s="44"/>
      <c r="B459" s="44"/>
      <c r="D459" s="25"/>
      <c r="E459" s="44"/>
      <c r="F459" s="25" t="s">
        <v>123</v>
      </c>
      <c r="G459" s="25"/>
      <c r="H459" s="25"/>
      <c r="I459" s="25"/>
      <c r="J459" s="25"/>
    </row>
    <row r="460" spans="1:10" ht="14.4">
      <c r="A460" s="44"/>
      <c r="B460" s="44"/>
      <c r="D460" s="25"/>
      <c r="E460" s="44"/>
      <c r="F460" s="25" t="s">
        <v>123</v>
      </c>
      <c r="G460" s="25"/>
      <c r="H460" s="25"/>
      <c r="I460" s="25"/>
      <c r="J460" s="25"/>
    </row>
    <row r="461" spans="1:10" ht="14.4">
      <c r="A461" s="44"/>
      <c r="B461" s="44"/>
      <c r="D461" s="25"/>
      <c r="E461" s="44"/>
      <c r="F461" s="25" t="s">
        <v>123</v>
      </c>
      <c r="G461" s="25"/>
      <c r="H461" s="25"/>
      <c r="I461" s="25"/>
      <c r="J461" s="25"/>
    </row>
    <row r="462" spans="1:10" ht="14.4">
      <c r="A462" s="44"/>
      <c r="B462" s="44"/>
      <c r="D462" s="25"/>
      <c r="E462" s="44"/>
      <c r="F462" s="25" t="s">
        <v>123</v>
      </c>
      <c r="G462" s="25"/>
      <c r="H462" s="25"/>
      <c r="I462" s="25"/>
      <c r="J462" s="25"/>
    </row>
    <row r="463" spans="1:10" ht="14.4">
      <c r="A463" s="44"/>
      <c r="B463" s="44"/>
      <c r="D463" s="25"/>
      <c r="E463" s="44"/>
      <c r="F463" s="25" t="s">
        <v>123</v>
      </c>
      <c r="G463" s="25"/>
      <c r="H463" s="25"/>
      <c r="I463" s="25"/>
      <c r="J463" s="25"/>
    </row>
    <row r="464" spans="1:10" ht="14.4">
      <c r="A464" s="44"/>
      <c r="B464" s="44"/>
      <c r="D464" s="25"/>
      <c r="E464" s="44"/>
      <c r="F464" s="25" t="s">
        <v>123</v>
      </c>
      <c r="G464" s="25"/>
      <c r="H464" s="25"/>
      <c r="I464" s="25"/>
      <c r="J464" s="25"/>
    </row>
    <row r="465" spans="1:10" ht="14.4">
      <c r="A465" s="44"/>
      <c r="B465" s="44"/>
      <c r="D465" s="25"/>
      <c r="E465" s="44"/>
      <c r="F465" s="25" t="s">
        <v>123</v>
      </c>
      <c r="G465" s="25"/>
      <c r="H465" s="25"/>
      <c r="I465" s="25"/>
      <c r="J465" s="25"/>
    </row>
    <row r="466" spans="1:10" ht="14.4">
      <c r="A466" s="44"/>
      <c r="B466" s="44"/>
      <c r="D466" s="25"/>
      <c r="E466" s="44"/>
      <c r="F466" s="25" t="s">
        <v>123</v>
      </c>
      <c r="G466" s="25"/>
      <c r="H466" s="25"/>
      <c r="I466" s="25"/>
      <c r="J466" s="25"/>
    </row>
    <row r="467" spans="1:10" ht="14.4">
      <c r="A467" s="44"/>
      <c r="B467" s="44"/>
      <c r="D467" s="25"/>
      <c r="E467" s="44"/>
      <c r="F467" s="25" t="s">
        <v>123</v>
      </c>
      <c r="G467" s="25"/>
      <c r="H467" s="25"/>
      <c r="I467" s="25"/>
      <c r="J467" s="25"/>
    </row>
    <row r="468" spans="1:10" ht="14.4">
      <c r="A468" s="44"/>
      <c r="B468" s="44"/>
      <c r="D468" s="25"/>
      <c r="E468" s="44"/>
      <c r="F468" s="25" t="s">
        <v>123</v>
      </c>
      <c r="G468" s="25"/>
      <c r="H468" s="25"/>
      <c r="I468" s="25"/>
      <c r="J468" s="25"/>
    </row>
    <row r="469" spans="1:10" ht="14.4">
      <c r="A469" s="44"/>
      <c r="B469" s="44"/>
      <c r="D469" s="25"/>
      <c r="E469" s="44"/>
      <c r="F469" s="25" t="s">
        <v>123</v>
      </c>
      <c r="G469" s="25"/>
      <c r="H469" s="25"/>
      <c r="I469" s="25"/>
      <c r="J469" s="25"/>
    </row>
    <row r="470" spans="1:10" ht="14.4">
      <c r="A470" s="44"/>
      <c r="B470" s="44"/>
      <c r="D470" s="25"/>
      <c r="E470" s="44"/>
      <c r="F470" s="25" t="s">
        <v>123</v>
      </c>
      <c r="G470" s="25"/>
      <c r="H470" s="25"/>
      <c r="I470" s="25"/>
      <c r="J470" s="25"/>
    </row>
    <row r="471" spans="1:10" ht="14.4">
      <c r="A471" s="44"/>
      <c r="B471" s="44"/>
      <c r="D471" s="25"/>
      <c r="E471" s="44"/>
      <c r="F471" s="25" t="s">
        <v>123</v>
      </c>
      <c r="G471" s="25"/>
      <c r="H471" s="25"/>
      <c r="I471" s="25"/>
      <c r="J471" s="25"/>
    </row>
    <row r="472" spans="1:10" ht="14.4">
      <c r="A472" s="44"/>
      <c r="B472" s="44"/>
      <c r="D472" s="25"/>
      <c r="E472" s="44"/>
      <c r="F472" s="25" t="s">
        <v>123</v>
      </c>
      <c r="G472" s="25"/>
      <c r="H472" s="25"/>
      <c r="I472" s="25"/>
      <c r="J472" s="25"/>
    </row>
    <row r="473" spans="1:10" ht="14.4">
      <c r="A473" s="44"/>
      <c r="B473" s="44"/>
      <c r="D473" s="25"/>
      <c r="E473" s="44"/>
      <c r="F473" s="25" t="s">
        <v>123</v>
      </c>
      <c r="G473" s="25"/>
      <c r="H473" s="25"/>
      <c r="I473" s="25"/>
      <c r="J473" s="25"/>
    </row>
    <row r="474" spans="1:10" ht="14.4">
      <c r="A474" s="44"/>
      <c r="B474" s="44"/>
      <c r="D474" s="25"/>
      <c r="E474" s="44"/>
      <c r="F474" s="25" t="s">
        <v>123</v>
      </c>
      <c r="G474" s="25"/>
      <c r="H474" s="25"/>
      <c r="I474" s="25"/>
      <c r="J474" s="25"/>
    </row>
    <row r="475" spans="1:10" ht="14.4">
      <c r="A475" s="44"/>
      <c r="B475" s="44"/>
      <c r="D475" s="25"/>
      <c r="E475" s="44"/>
      <c r="F475" s="25" t="s">
        <v>123</v>
      </c>
      <c r="G475" s="25"/>
      <c r="H475" s="25"/>
      <c r="I475" s="25"/>
      <c r="J475" s="25"/>
    </row>
    <row r="476" spans="1:10" ht="14.4">
      <c r="A476" s="44"/>
      <c r="B476" s="44"/>
      <c r="D476" s="25"/>
      <c r="E476" s="44"/>
      <c r="F476" s="25" t="s">
        <v>123</v>
      </c>
      <c r="G476" s="25"/>
      <c r="H476" s="25"/>
      <c r="I476" s="25"/>
      <c r="J476" s="25"/>
    </row>
    <row r="477" spans="1:10" ht="14.4">
      <c r="A477" s="44"/>
      <c r="B477" s="44"/>
      <c r="D477" s="25"/>
      <c r="E477" s="44"/>
      <c r="F477" s="25" t="s">
        <v>123</v>
      </c>
      <c r="G477" s="25"/>
      <c r="H477" s="25"/>
      <c r="I477" s="25"/>
      <c r="J477" s="25"/>
    </row>
    <row r="478" spans="1:10" ht="14.4">
      <c r="A478" s="44"/>
      <c r="B478" s="44"/>
      <c r="D478" s="25"/>
      <c r="E478" s="44"/>
      <c r="F478" s="25" t="s">
        <v>123</v>
      </c>
      <c r="G478" s="25"/>
      <c r="H478" s="25"/>
      <c r="I478" s="25"/>
      <c r="J478" s="25"/>
    </row>
    <row r="479" spans="1:10" ht="14.4">
      <c r="A479" s="44"/>
      <c r="B479" s="44"/>
      <c r="D479" s="25"/>
      <c r="E479" s="44"/>
      <c r="F479" s="25" t="s">
        <v>123</v>
      </c>
      <c r="G479" s="25"/>
      <c r="H479" s="25"/>
      <c r="I479" s="25"/>
      <c r="J479" s="25"/>
    </row>
    <row r="480" spans="1:10" ht="14.4">
      <c r="A480" s="44"/>
      <c r="B480" s="44"/>
      <c r="D480" s="25"/>
      <c r="E480" s="44"/>
      <c r="F480" s="25" t="s">
        <v>123</v>
      </c>
      <c r="G480" s="25"/>
      <c r="H480" s="25"/>
      <c r="I480" s="25"/>
      <c r="J480" s="25"/>
    </row>
    <row r="481" spans="1:10" ht="14.4">
      <c r="A481" s="44"/>
      <c r="B481" s="44"/>
      <c r="D481" s="25"/>
      <c r="E481" s="44"/>
      <c r="F481" s="25" t="s">
        <v>123</v>
      </c>
      <c r="G481" s="25"/>
      <c r="H481" s="25"/>
      <c r="I481" s="25"/>
      <c r="J481" s="25"/>
    </row>
    <row r="482" spans="1:10" ht="14.4">
      <c r="A482" s="44"/>
      <c r="B482" s="44"/>
      <c r="D482" s="25"/>
      <c r="E482" s="44"/>
      <c r="F482" s="25" t="s">
        <v>123</v>
      </c>
      <c r="G482" s="25"/>
      <c r="H482" s="25"/>
      <c r="I482" s="25"/>
      <c r="J482" s="25"/>
    </row>
    <row r="483" spans="1:10" ht="14.4">
      <c r="A483" s="44"/>
      <c r="B483" s="44"/>
      <c r="D483" s="25"/>
      <c r="E483" s="44"/>
      <c r="F483" s="25" t="s">
        <v>123</v>
      </c>
      <c r="G483" s="25"/>
      <c r="H483" s="25"/>
      <c r="I483" s="25"/>
      <c r="J483" s="25"/>
    </row>
    <row r="484" spans="1:10" ht="14.4">
      <c r="A484" s="44"/>
      <c r="B484" s="44"/>
      <c r="D484" s="25"/>
      <c r="E484" s="44"/>
      <c r="F484" s="25" t="s">
        <v>123</v>
      </c>
      <c r="G484" s="25"/>
      <c r="H484" s="25"/>
      <c r="I484" s="25"/>
      <c r="J484" s="25"/>
    </row>
    <row r="485" spans="1:10" ht="14.4">
      <c r="A485" s="44"/>
      <c r="B485" s="44"/>
      <c r="D485" s="25"/>
      <c r="E485" s="44"/>
      <c r="F485" s="25" t="s">
        <v>123</v>
      </c>
      <c r="G485" s="25"/>
      <c r="H485" s="25"/>
      <c r="I485" s="25"/>
      <c r="J485" s="25"/>
    </row>
    <row r="486" spans="1:10" ht="14.4">
      <c r="A486" s="44"/>
      <c r="B486" s="44"/>
      <c r="D486" s="25"/>
      <c r="E486" s="44"/>
      <c r="F486" s="25" t="s">
        <v>123</v>
      </c>
      <c r="G486" s="25"/>
      <c r="H486" s="25"/>
      <c r="I486" s="25"/>
      <c r="J486" s="25"/>
    </row>
    <row r="487" spans="1:10" ht="14.4">
      <c r="A487" s="44"/>
      <c r="B487" s="44"/>
      <c r="D487" s="25"/>
      <c r="E487" s="44"/>
      <c r="F487" s="25" t="s">
        <v>123</v>
      </c>
      <c r="G487" s="25"/>
      <c r="H487" s="25"/>
      <c r="I487" s="25"/>
      <c r="J487" s="25"/>
    </row>
    <row r="488" spans="1:10" ht="14.4">
      <c r="A488" s="44"/>
      <c r="B488" s="44"/>
      <c r="D488" s="25"/>
      <c r="E488" s="44"/>
      <c r="F488" s="25" t="s">
        <v>123</v>
      </c>
      <c r="G488" s="25"/>
      <c r="H488" s="25"/>
      <c r="I488" s="25"/>
      <c r="J488" s="25"/>
    </row>
    <row r="489" spans="1:10" ht="14.4">
      <c r="A489" s="44"/>
      <c r="B489" s="44"/>
      <c r="D489" s="25"/>
      <c r="E489" s="44"/>
      <c r="F489" s="25" t="s">
        <v>123</v>
      </c>
      <c r="G489" s="25"/>
      <c r="H489" s="25"/>
      <c r="I489" s="25"/>
      <c r="J489" s="25"/>
    </row>
    <row r="490" spans="1:10" ht="14.4">
      <c r="A490" s="44"/>
      <c r="B490" s="44"/>
      <c r="D490" s="25"/>
      <c r="E490" s="44"/>
      <c r="F490" s="25" t="s">
        <v>123</v>
      </c>
      <c r="G490" s="25"/>
      <c r="H490" s="25"/>
      <c r="I490" s="25"/>
      <c r="J490" s="25"/>
    </row>
    <row r="491" spans="1:10" ht="14.4">
      <c r="A491" s="44"/>
      <c r="B491" s="44"/>
      <c r="D491" s="25"/>
      <c r="E491" s="44"/>
      <c r="F491" s="25" t="s">
        <v>123</v>
      </c>
      <c r="G491" s="25"/>
      <c r="H491" s="25"/>
      <c r="I491" s="25"/>
      <c r="J491" s="25"/>
    </row>
    <row r="492" spans="1:10" ht="14.4">
      <c r="A492" s="44"/>
      <c r="B492" s="44"/>
      <c r="D492" s="25"/>
      <c r="E492" s="44"/>
      <c r="F492" s="25" t="s">
        <v>123</v>
      </c>
      <c r="G492" s="25"/>
      <c r="H492" s="25"/>
      <c r="I492" s="25"/>
      <c r="J492" s="25"/>
    </row>
    <row r="493" spans="1:10" ht="14.4">
      <c r="A493" s="44"/>
      <c r="B493" s="44"/>
      <c r="D493" s="25"/>
      <c r="E493" s="44"/>
      <c r="F493" s="25" t="s">
        <v>123</v>
      </c>
      <c r="G493" s="25"/>
      <c r="H493" s="25"/>
      <c r="I493" s="25"/>
      <c r="J493" s="25"/>
    </row>
    <row r="494" spans="1:10" ht="14.4">
      <c r="A494" s="44"/>
      <c r="B494" s="44"/>
      <c r="D494" s="25"/>
      <c r="E494" s="44"/>
      <c r="F494" s="25" t="s">
        <v>123</v>
      </c>
      <c r="G494" s="25"/>
      <c r="H494" s="25"/>
      <c r="I494" s="25"/>
      <c r="J494" s="25"/>
    </row>
    <row r="495" spans="1:10" ht="14.4">
      <c r="A495" s="44"/>
      <c r="B495" s="44"/>
      <c r="D495" s="25"/>
      <c r="E495" s="44"/>
      <c r="F495" s="25" t="s">
        <v>123</v>
      </c>
      <c r="G495" s="25"/>
      <c r="H495" s="25"/>
      <c r="I495" s="25"/>
      <c r="J495" s="25"/>
    </row>
    <row r="496" spans="1:10" ht="14.4">
      <c r="A496" s="44"/>
      <c r="B496" s="44"/>
      <c r="D496" s="25"/>
      <c r="E496" s="44"/>
      <c r="F496" s="25" t="s">
        <v>123</v>
      </c>
      <c r="G496" s="25"/>
      <c r="H496" s="25"/>
      <c r="I496" s="25"/>
      <c r="J496" s="25"/>
    </row>
    <row r="497" spans="1:10" ht="14.4">
      <c r="A497" s="44"/>
      <c r="B497" s="44"/>
      <c r="D497" s="25"/>
      <c r="E497" s="44"/>
      <c r="F497" s="25" t="s">
        <v>123</v>
      </c>
      <c r="G497" s="25"/>
      <c r="H497" s="25"/>
      <c r="I497" s="25"/>
      <c r="J497" s="25"/>
    </row>
    <row r="498" spans="1:10" ht="14.4">
      <c r="A498" s="44"/>
      <c r="B498" s="44"/>
      <c r="D498" s="25"/>
      <c r="E498" s="44"/>
      <c r="F498" s="25" t="s">
        <v>123</v>
      </c>
      <c r="G498" s="25"/>
      <c r="H498" s="25"/>
      <c r="I498" s="25"/>
      <c r="J498" s="25"/>
    </row>
    <row r="499" spans="1:10" ht="14.4">
      <c r="A499" s="44"/>
      <c r="B499" s="44"/>
      <c r="D499" s="25"/>
      <c r="E499" s="44"/>
      <c r="F499" s="25" t="s">
        <v>123</v>
      </c>
      <c r="G499" s="25"/>
      <c r="H499" s="25"/>
      <c r="I499" s="25"/>
      <c r="J499" s="25"/>
    </row>
    <row r="500" spans="1:10" ht="14.4">
      <c r="A500" s="44"/>
      <c r="B500" s="44"/>
      <c r="D500" s="25"/>
      <c r="E500" s="44"/>
      <c r="F500" s="25" t="s">
        <v>123</v>
      </c>
      <c r="G500" s="25"/>
      <c r="H500" s="25"/>
      <c r="I500" s="25"/>
      <c r="J500" s="25"/>
    </row>
    <row r="501" spans="1:10" ht="14.4">
      <c r="A501" s="44"/>
      <c r="B501" s="44"/>
      <c r="D501" s="25"/>
      <c r="E501" s="44"/>
      <c r="F501" s="25" t="s">
        <v>123</v>
      </c>
      <c r="G501" s="25"/>
      <c r="H501" s="25"/>
      <c r="I501" s="25"/>
      <c r="J501" s="25"/>
    </row>
    <row r="502" spans="1:10" ht="14.4">
      <c r="A502" s="44"/>
      <c r="B502" s="44"/>
      <c r="D502" s="25"/>
      <c r="E502" s="44"/>
      <c r="F502" s="25" t="s">
        <v>123</v>
      </c>
      <c r="G502" s="25"/>
      <c r="H502" s="25"/>
      <c r="I502" s="25"/>
      <c r="J502" s="25"/>
    </row>
    <row r="503" spans="1:10" ht="14.4">
      <c r="A503" s="44"/>
      <c r="B503" s="44"/>
      <c r="D503" s="25"/>
      <c r="E503" s="44"/>
      <c r="F503" s="25" t="s">
        <v>123</v>
      </c>
      <c r="G503" s="25"/>
      <c r="H503" s="25"/>
      <c r="I503" s="25"/>
      <c r="J503" s="25"/>
    </row>
    <row r="504" spans="1:10" ht="14.4">
      <c r="A504" s="44"/>
      <c r="B504" s="44"/>
      <c r="D504" s="25"/>
      <c r="E504" s="44"/>
      <c r="F504" s="25" t="s">
        <v>123</v>
      </c>
      <c r="G504" s="25"/>
      <c r="H504" s="25"/>
      <c r="I504" s="25"/>
      <c r="J504" s="25"/>
    </row>
    <row r="505" spans="1:10" ht="14.4">
      <c r="A505" s="44"/>
      <c r="B505" s="44"/>
      <c r="D505" s="25"/>
      <c r="E505" s="44"/>
      <c r="F505" s="25" t="s">
        <v>123</v>
      </c>
      <c r="G505" s="25"/>
      <c r="H505" s="25"/>
      <c r="I505" s="25"/>
      <c r="J505" s="25"/>
    </row>
    <row r="506" spans="1:10" ht="14.4">
      <c r="A506" s="44"/>
      <c r="B506" s="44"/>
      <c r="D506" s="25"/>
      <c r="E506" s="44"/>
      <c r="F506" s="25" t="s">
        <v>123</v>
      </c>
      <c r="G506" s="25"/>
      <c r="H506" s="25"/>
      <c r="I506" s="25"/>
      <c r="J506" s="25"/>
    </row>
    <row r="507" spans="1:10" ht="14.4">
      <c r="A507" s="44"/>
      <c r="B507" s="44"/>
      <c r="D507" s="25"/>
      <c r="E507" s="44"/>
      <c r="F507" s="25" t="s">
        <v>123</v>
      </c>
      <c r="G507" s="25"/>
      <c r="H507" s="25"/>
      <c r="I507" s="25"/>
      <c r="J507" s="25"/>
    </row>
    <row r="508" spans="1:10" ht="14.4">
      <c r="A508" s="44"/>
      <c r="B508" s="44"/>
      <c r="D508" s="25"/>
      <c r="E508" s="44"/>
      <c r="F508" s="25" t="s">
        <v>123</v>
      </c>
      <c r="G508" s="25"/>
      <c r="H508" s="25"/>
      <c r="I508" s="25"/>
      <c r="J508" s="25"/>
    </row>
    <row r="509" spans="1:10" ht="14.4">
      <c r="A509" s="44"/>
      <c r="B509" s="44"/>
      <c r="D509" s="25"/>
      <c r="E509" s="44"/>
      <c r="F509" s="25" t="s">
        <v>123</v>
      </c>
      <c r="G509" s="25"/>
      <c r="H509" s="25"/>
      <c r="I509" s="25"/>
      <c r="J509" s="25"/>
    </row>
    <row r="510" spans="1:10" ht="14.4">
      <c r="A510" s="44"/>
      <c r="B510" s="44"/>
      <c r="D510" s="25"/>
      <c r="E510" s="44"/>
      <c r="F510" s="25" t="s">
        <v>123</v>
      </c>
      <c r="G510" s="25"/>
      <c r="H510" s="25"/>
      <c r="I510" s="25"/>
      <c r="J510" s="25"/>
    </row>
    <row r="511" spans="1:10" ht="14.4">
      <c r="A511" s="44"/>
      <c r="B511" s="44"/>
      <c r="D511" s="25"/>
      <c r="E511" s="44"/>
      <c r="F511" s="25" t="s">
        <v>123</v>
      </c>
      <c r="G511" s="25"/>
      <c r="H511" s="25"/>
      <c r="I511" s="25"/>
      <c r="J511" s="25"/>
    </row>
    <row r="512" spans="1:10" ht="14.4">
      <c r="A512" s="44"/>
      <c r="B512" s="44"/>
      <c r="D512" s="25"/>
      <c r="E512" s="44"/>
      <c r="F512" s="25" t="s">
        <v>123</v>
      </c>
      <c r="G512" s="25"/>
      <c r="H512" s="25"/>
      <c r="I512" s="25"/>
      <c r="J512" s="25"/>
    </row>
    <row r="513" spans="1:10" ht="14.4">
      <c r="A513" s="44"/>
      <c r="B513" s="44"/>
      <c r="D513" s="25"/>
      <c r="E513" s="44"/>
      <c r="F513" s="25" t="s">
        <v>123</v>
      </c>
      <c r="G513" s="25"/>
      <c r="H513" s="25"/>
      <c r="I513" s="25"/>
      <c r="J513" s="25"/>
    </row>
    <row r="514" spans="1:10" ht="14.4">
      <c r="A514" s="44"/>
      <c r="B514" s="44"/>
      <c r="D514" s="25"/>
      <c r="E514" s="44"/>
      <c r="F514" s="25" t="s">
        <v>123</v>
      </c>
      <c r="G514" s="25"/>
      <c r="H514" s="25"/>
      <c r="I514" s="25"/>
      <c r="J514" s="25"/>
    </row>
    <row r="515" spans="1:10" ht="14.4">
      <c r="A515" s="44"/>
      <c r="B515" s="44"/>
      <c r="D515" s="25"/>
      <c r="E515" s="44"/>
      <c r="F515" s="25" t="s">
        <v>123</v>
      </c>
      <c r="G515" s="25"/>
      <c r="H515" s="25"/>
      <c r="I515" s="25"/>
      <c r="J515" s="25"/>
    </row>
    <row r="516" spans="1:10" ht="14.4">
      <c r="A516" s="44"/>
      <c r="B516" s="44"/>
      <c r="D516" s="25"/>
      <c r="E516" s="44"/>
      <c r="F516" s="25" t="s">
        <v>123</v>
      </c>
      <c r="G516" s="25"/>
      <c r="H516" s="25"/>
      <c r="I516" s="25"/>
      <c r="J516" s="25"/>
    </row>
    <row r="517" spans="1:10" ht="14.4">
      <c r="A517" s="44"/>
      <c r="B517" s="44"/>
      <c r="D517" s="25"/>
      <c r="E517" s="44"/>
      <c r="F517" s="25" t="s">
        <v>123</v>
      </c>
      <c r="G517" s="25"/>
      <c r="H517" s="25"/>
      <c r="I517" s="25"/>
      <c r="J517" s="25"/>
    </row>
    <row r="518" spans="1:10" ht="14.4">
      <c r="A518" s="44"/>
      <c r="B518" s="44"/>
      <c r="D518" s="25"/>
      <c r="E518" s="44"/>
      <c r="F518" s="25" t="s">
        <v>123</v>
      </c>
      <c r="G518" s="25"/>
      <c r="H518" s="25"/>
      <c r="I518" s="25"/>
      <c r="J518" s="25"/>
    </row>
    <row r="519" spans="1:10" ht="14.4">
      <c r="A519" s="44"/>
      <c r="B519" s="44"/>
      <c r="D519" s="25"/>
      <c r="E519" s="44"/>
      <c r="F519" s="25" t="s">
        <v>123</v>
      </c>
      <c r="G519" s="25"/>
      <c r="H519" s="25"/>
      <c r="I519" s="25"/>
      <c r="J519" s="25"/>
    </row>
    <row r="520" spans="1:10" ht="14.4">
      <c r="A520" s="44"/>
      <c r="B520" s="44"/>
      <c r="D520" s="25"/>
      <c r="E520" s="44"/>
      <c r="F520" s="25" t="s">
        <v>123</v>
      </c>
      <c r="G520" s="25"/>
      <c r="H520" s="25"/>
      <c r="I520" s="25"/>
      <c r="J520" s="25"/>
    </row>
    <row r="521" spans="1:10" ht="14.4">
      <c r="A521" s="44"/>
      <c r="B521" s="44"/>
      <c r="D521" s="25"/>
      <c r="E521" s="44"/>
      <c r="F521" s="25" t="s">
        <v>123</v>
      </c>
      <c r="G521" s="25"/>
      <c r="H521" s="25"/>
      <c r="I521" s="25"/>
      <c r="J521" s="25"/>
    </row>
    <row r="522" spans="1:10" ht="14.4">
      <c r="A522" s="44"/>
      <c r="B522" s="44"/>
      <c r="D522" s="25"/>
      <c r="E522" s="44"/>
      <c r="F522" s="25" t="s">
        <v>123</v>
      </c>
      <c r="G522" s="25"/>
      <c r="H522" s="25"/>
      <c r="I522" s="25"/>
      <c r="J522" s="25"/>
    </row>
    <row r="523" spans="1:10" ht="14.4">
      <c r="A523" s="44"/>
      <c r="B523" s="44"/>
      <c r="D523" s="25"/>
      <c r="E523" s="44"/>
      <c r="F523" s="25" t="s">
        <v>123</v>
      </c>
      <c r="G523" s="25"/>
      <c r="H523" s="25"/>
      <c r="I523" s="25"/>
      <c r="J523" s="25"/>
    </row>
    <row r="524" spans="1:10" ht="14.4">
      <c r="A524" s="44"/>
      <c r="B524" s="44"/>
      <c r="D524" s="25"/>
      <c r="E524" s="44"/>
      <c r="F524" s="25" t="s">
        <v>123</v>
      </c>
      <c r="G524" s="25"/>
      <c r="H524" s="25"/>
      <c r="I524" s="25"/>
      <c r="J524" s="25"/>
    </row>
    <row r="525" spans="1:10" ht="14.4">
      <c r="A525" s="44"/>
      <c r="B525" s="44"/>
      <c r="D525" s="25"/>
      <c r="E525" s="44"/>
      <c r="F525" s="25" t="s">
        <v>123</v>
      </c>
      <c r="G525" s="25"/>
      <c r="H525" s="25"/>
      <c r="I525" s="25"/>
      <c r="J525" s="25"/>
    </row>
    <row r="526" spans="1:10" ht="14.4">
      <c r="A526" s="44"/>
      <c r="B526" s="44"/>
      <c r="D526" s="25"/>
      <c r="E526" s="44"/>
      <c r="F526" s="25" t="s">
        <v>123</v>
      </c>
      <c r="G526" s="25"/>
      <c r="H526" s="25"/>
      <c r="I526" s="25"/>
      <c r="J526" s="25"/>
    </row>
    <row r="527" spans="1:10" ht="14.4">
      <c r="A527" s="44"/>
      <c r="B527" s="44"/>
      <c r="D527" s="25"/>
      <c r="E527" s="44"/>
      <c r="F527" s="25" t="s">
        <v>123</v>
      </c>
      <c r="G527" s="25"/>
      <c r="H527" s="25"/>
      <c r="I527" s="25"/>
      <c r="J527" s="25"/>
    </row>
    <row r="528" spans="1:10" ht="14.4">
      <c r="A528" s="44"/>
      <c r="B528" s="44"/>
      <c r="D528" s="25"/>
      <c r="E528" s="44"/>
      <c r="F528" s="25" t="s">
        <v>123</v>
      </c>
      <c r="G528" s="25"/>
      <c r="H528" s="25"/>
      <c r="I528" s="25"/>
      <c r="J528" s="25"/>
    </row>
    <row r="529" spans="1:10" ht="14.4">
      <c r="A529" s="44"/>
      <c r="B529" s="44"/>
      <c r="D529" s="25"/>
      <c r="E529" s="44"/>
      <c r="F529" s="25" t="s">
        <v>123</v>
      </c>
      <c r="G529" s="25"/>
      <c r="H529" s="25"/>
      <c r="I529" s="25"/>
      <c r="J529" s="25"/>
    </row>
    <row r="530" spans="1:10" ht="14.4">
      <c r="A530" s="44"/>
      <c r="B530" s="44"/>
      <c r="D530" s="25"/>
      <c r="E530" s="44"/>
      <c r="F530" s="25" t="s">
        <v>123</v>
      </c>
      <c r="G530" s="25"/>
      <c r="H530" s="25"/>
      <c r="I530" s="25"/>
      <c r="J530" s="25"/>
    </row>
    <row r="531" spans="1:10" ht="14.4">
      <c r="A531" s="44"/>
      <c r="B531" s="44"/>
      <c r="D531" s="25"/>
      <c r="E531" s="44"/>
      <c r="F531" s="25" t="s">
        <v>123</v>
      </c>
      <c r="G531" s="25"/>
      <c r="H531" s="25"/>
      <c r="I531" s="25"/>
      <c r="J531" s="25"/>
    </row>
    <row r="532" spans="1:10" ht="14.4">
      <c r="A532" s="44"/>
      <c r="B532" s="44"/>
      <c r="D532" s="25"/>
      <c r="E532" s="44"/>
      <c r="F532" s="25" t="s">
        <v>123</v>
      </c>
      <c r="G532" s="25"/>
      <c r="H532" s="25"/>
      <c r="I532" s="25"/>
      <c r="J532" s="25"/>
    </row>
    <row r="533" spans="1:10" ht="14.4">
      <c r="A533" s="44"/>
      <c r="B533" s="44"/>
      <c r="D533" s="25"/>
      <c r="E533" s="44"/>
      <c r="F533" s="25" t="s">
        <v>123</v>
      </c>
      <c r="G533" s="25"/>
      <c r="H533" s="25"/>
      <c r="I533" s="25"/>
      <c r="J533" s="25"/>
    </row>
    <row r="534" spans="1:10" ht="14.4">
      <c r="A534" s="44"/>
      <c r="B534" s="44"/>
      <c r="D534" s="25"/>
      <c r="E534" s="44"/>
      <c r="F534" s="25" t="s">
        <v>123</v>
      </c>
      <c r="G534" s="25"/>
      <c r="H534" s="25"/>
      <c r="I534" s="25"/>
      <c r="J534" s="25"/>
    </row>
    <row r="535" spans="1:10" ht="14.4">
      <c r="A535" s="44"/>
      <c r="B535" s="44"/>
      <c r="D535" s="25"/>
      <c r="E535" s="44"/>
      <c r="F535" s="25" t="s">
        <v>123</v>
      </c>
      <c r="G535" s="25"/>
      <c r="H535" s="25"/>
      <c r="I535" s="25"/>
      <c r="J535" s="25"/>
    </row>
    <row r="536" spans="1:10" ht="14.4">
      <c r="A536" s="44"/>
      <c r="B536" s="44"/>
      <c r="D536" s="25"/>
      <c r="E536" s="44"/>
      <c r="F536" s="25" t="s">
        <v>123</v>
      </c>
      <c r="G536" s="25"/>
      <c r="H536" s="25"/>
      <c r="I536" s="25"/>
      <c r="J536" s="25"/>
    </row>
    <row r="537" spans="1:10" ht="14.4">
      <c r="A537" s="44"/>
      <c r="B537" s="44"/>
      <c r="D537" s="25"/>
      <c r="E537" s="44"/>
      <c r="F537" s="25" t="s">
        <v>123</v>
      </c>
      <c r="G537" s="25"/>
      <c r="H537" s="25"/>
      <c r="I537" s="25"/>
      <c r="J537" s="25"/>
    </row>
    <row r="538" spans="1:10" ht="14.4">
      <c r="A538" s="44"/>
      <c r="B538" s="44"/>
      <c r="D538" s="25"/>
      <c r="E538" s="44"/>
      <c r="F538" s="25" t="s">
        <v>123</v>
      </c>
      <c r="G538" s="25"/>
      <c r="H538" s="25"/>
      <c r="I538" s="25"/>
      <c r="J538" s="25"/>
    </row>
    <row r="539" spans="1:10" ht="14.4">
      <c r="A539" s="44"/>
      <c r="B539" s="44"/>
      <c r="D539" s="25"/>
      <c r="E539" s="44"/>
      <c r="F539" s="25" t="s">
        <v>123</v>
      </c>
      <c r="G539" s="25"/>
      <c r="H539" s="25"/>
      <c r="I539" s="25"/>
      <c r="J539" s="25"/>
    </row>
    <row r="540" spans="1:10" ht="14.4">
      <c r="A540" s="44"/>
      <c r="B540" s="44"/>
      <c r="D540" s="25"/>
      <c r="E540" s="44"/>
      <c r="F540" s="25" t="s">
        <v>123</v>
      </c>
      <c r="G540" s="25"/>
      <c r="H540" s="25"/>
      <c r="I540" s="25"/>
      <c r="J540" s="25"/>
    </row>
    <row r="541" spans="1:10" ht="14.4">
      <c r="A541" s="44"/>
      <c r="B541" s="44"/>
      <c r="D541" s="25"/>
      <c r="E541" s="44"/>
      <c r="F541" s="25" t="s">
        <v>123</v>
      </c>
      <c r="G541" s="25"/>
      <c r="H541" s="25"/>
      <c r="I541" s="25"/>
      <c r="J541" s="25"/>
    </row>
    <row r="542" spans="1:10" ht="14.4">
      <c r="A542" s="44"/>
      <c r="B542" s="44"/>
      <c r="D542" s="25"/>
      <c r="E542" s="44"/>
      <c r="F542" s="25" t="s">
        <v>123</v>
      </c>
      <c r="G542" s="25"/>
      <c r="H542" s="25"/>
      <c r="I542" s="25"/>
      <c r="J542" s="25"/>
    </row>
    <row r="543" spans="1:10" ht="14.4">
      <c r="A543" s="44"/>
      <c r="B543" s="44"/>
      <c r="D543" s="25"/>
      <c r="E543" s="44"/>
      <c r="F543" s="25" t="s">
        <v>123</v>
      </c>
      <c r="G543" s="25"/>
      <c r="H543" s="25"/>
      <c r="I543" s="25"/>
      <c r="J543" s="25"/>
    </row>
    <row r="544" spans="1:10" ht="14.4">
      <c r="A544" s="44"/>
      <c r="B544" s="44"/>
      <c r="D544" s="25"/>
      <c r="E544" s="44"/>
      <c r="F544" s="25" t="s">
        <v>123</v>
      </c>
      <c r="G544" s="25"/>
      <c r="H544" s="25"/>
      <c r="I544" s="25"/>
      <c r="J544" s="25"/>
    </row>
    <row r="545" spans="1:10" ht="14.4">
      <c r="A545" s="44"/>
      <c r="B545" s="44"/>
      <c r="D545" s="25"/>
      <c r="E545" s="44"/>
      <c r="F545" s="25" t="s">
        <v>123</v>
      </c>
      <c r="G545" s="25"/>
      <c r="H545" s="25"/>
      <c r="I545" s="25"/>
      <c r="J545" s="25"/>
    </row>
    <row r="546" spans="1:10" ht="14.4">
      <c r="A546" s="44"/>
      <c r="B546" s="44"/>
      <c r="D546" s="25"/>
      <c r="E546" s="44"/>
      <c r="F546" s="25" t="s">
        <v>123</v>
      </c>
      <c r="G546" s="25"/>
      <c r="H546" s="25"/>
      <c r="I546" s="25"/>
      <c r="J546" s="25"/>
    </row>
    <row r="547" spans="1:10" ht="14.4">
      <c r="A547" s="44"/>
      <c r="B547" s="44"/>
      <c r="D547" s="25"/>
      <c r="E547" s="44"/>
      <c r="F547" s="25" t="s">
        <v>123</v>
      </c>
      <c r="G547" s="25"/>
      <c r="H547" s="25"/>
      <c r="I547" s="25"/>
      <c r="J547" s="25"/>
    </row>
    <row r="548" spans="1:10" ht="14.4">
      <c r="A548" s="44"/>
      <c r="B548" s="44"/>
      <c r="D548" s="25"/>
      <c r="E548" s="44"/>
      <c r="F548" s="25" t="s">
        <v>123</v>
      </c>
      <c r="G548" s="25"/>
      <c r="H548" s="25"/>
      <c r="I548" s="25"/>
      <c r="J548" s="25"/>
    </row>
    <row r="549" spans="1:10" ht="14.4">
      <c r="A549" s="44"/>
      <c r="B549" s="44"/>
      <c r="D549" s="25"/>
      <c r="E549" s="44"/>
      <c r="F549" s="25" t="s">
        <v>123</v>
      </c>
      <c r="G549" s="25"/>
      <c r="H549" s="25"/>
      <c r="I549" s="25"/>
      <c r="J549" s="25"/>
    </row>
    <row r="550" spans="1:10" ht="14.4">
      <c r="A550" s="44"/>
      <c r="B550" s="44"/>
      <c r="D550" s="25"/>
      <c r="E550" s="44"/>
      <c r="F550" s="25" t="s">
        <v>123</v>
      </c>
      <c r="G550" s="25"/>
      <c r="H550" s="25"/>
      <c r="I550" s="25"/>
      <c r="J550" s="25"/>
    </row>
    <row r="551" spans="1:10" ht="14.4">
      <c r="A551" s="44"/>
      <c r="B551" s="44"/>
      <c r="D551" s="25"/>
      <c r="E551" s="44"/>
      <c r="F551" s="25" t="s">
        <v>123</v>
      </c>
      <c r="G551" s="25"/>
      <c r="H551" s="25"/>
      <c r="I551" s="25"/>
      <c r="J551" s="25"/>
    </row>
    <row r="552" spans="1:10" ht="14.4">
      <c r="A552" s="44"/>
      <c r="B552" s="44"/>
      <c r="D552" s="25"/>
      <c r="E552" s="44"/>
      <c r="F552" s="25" t="s">
        <v>123</v>
      </c>
      <c r="G552" s="25"/>
      <c r="H552" s="25"/>
      <c r="I552" s="25"/>
      <c r="J552" s="25"/>
    </row>
    <row r="553" spans="1:10" ht="14.4">
      <c r="A553" s="44"/>
      <c r="B553" s="44"/>
      <c r="D553" s="25"/>
      <c r="E553" s="44"/>
      <c r="F553" s="25" t="s">
        <v>123</v>
      </c>
      <c r="G553" s="25"/>
      <c r="H553" s="25"/>
      <c r="I553" s="25"/>
      <c r="J553" s="25"/>
    </row>
    <row r="554" spans="1:10" ht="14.4">
      <c r="A554" s="44"/>
      <c r="B554" s="44"/>
      <c r="D554" s="25"/>
      <c r="E554" s="44"/>
      <c r="F554" s="25" t="s">
        <v>123</v>
      </c>
      <c r="G554" s="25"/>
      <c r="H554" s="25"/>
      <c r="I554" s="25"/>
      <c r="J554" s="25"/>
    </row>
    <row r="555" spans="1:10" ht="14.4">
      <c r="A555" s="44"/>
      <c r="B555" s="44"/>
      <c r="D555" s="25"/>
      <c r="E555" s="44"/>
      <c r="F555" s="25" t="s">
        <v>123</v>
      </c>
      <c r="G555" s="25"/>
      <c r="H555" s="25"/>
      <c r="I555" s="25"/>
      <c r="J555" s="25"/>
    </row>
    <row r="556" spans="1:10" ht="14.4">
      <c r="A556" s="44"/>
      <c r="B556" s="44"/>
      <c r="D556" s="25"/>
      <c r="E556" s="44"/>
      <c r="F556" s="25" t="s">
        <v>123</v>
      </c>
      <c r="G556" s="25"/>
      <c r="H556" s="25"/>
      <c r="I556" s="25"/>
      <c r="J556" s="25"/>
    </row>
    <row r="557" spans="1:10" ht="14.4">
      <c r="A557" s="44"/>
      <c r="B557" s="44"/>
      <c r="D557" s="25"/>
      <c r="E557" s="44"/>
      <c r="F557" s="25" t="s">
        <v>123</v>
      </c>
      <c r="G557" s="25"/>
      <c r="H557" s="25"/>
      <c r="I557" s="25"/>
      <c r="J557" s="25"/>
    </row>
    <row r="558" spans="1:10" ht="14.4">
      <c r="A558" s="44"/>
      <c r="B558" s="44"/>
      <c r="D558" s="25"/>
      <c r="E558" s="44"/>
      <c r="F558" s="25" t="s">
        <v>123</v>
      </c>
      <c r="G558" s="25"/>
      <c r="H558" s="25"/>
      <c r="I558" s="25"/>
      <c r="J558" s="25"/>
    </row>
    <row r="559" spans="1:10" ht="14.4">
      <c r="A559" s="44"/>
      <c r="B559" s="44"/>
      <c r="D559" s="25"/>
      <c r="E559" s="44"/>
      <c r="F559" s="25" t="s">
        <v>123</v>
      </c>
      <c r="G559" s="25"/>
      <c r="H559" s="25"/>
      <c r="I559" s="25"/>
      <c r="J559" s="25"/>
    </row>
    <row r="560" spans="1:10" ht="14.4">
      <c r="A560" s="44"/>
      <c r="B560" s="44"/>
      <c r="D560" s="25"/>
      <c r="E560" s="44"/>
      <c r="F560" s="25" t="s">
        <v>123</v>
      </c>
      <c r="G560" s="25"/>
      <c r="H560" s="25"/>
      <c r="I560" s="25"/>
      <c r="J560" s="25"/>
    </row>
    <row r="561" spans="1:10" ht="14.4">
      <c r="A561" s="44"/>
      <c r="B561" s="44"/>
      <c r="D561" s="25"/>
      <c r="E561" s="44"/>
      <c r="F561" s="25" t="s">
        <v>123</v>
      </c>
      <c r="G561" s="25"/>
      <c r="H561" s="25"/>
      <c r="I561" s="25"/>
      <c r="J561" s="25"/>
    </row>
    <row r="562" spans="1:10" ht="14.4">
      <c r="A562" s="44"/>
      <c r="B562" s="44"/>
      <c r="D562" s="25"/>
      <c r="E562" s="44"/>
      <c r="F562" s="25" t="s">
        <v>123</v>
      </c>
      <c r="G562" s="25"/>
      <c r="H562" s="25"/>
      <c r="I562" s="25"/>
      <c r="J562" s="25"/>
    </row>
    <row r="563" spans="1:10" ht="14.4">
      <c r="A563" s="44"/>
      <c r="B563" s="44"/>
      <c r="D563" s="25"/>
      <c r="E563" s="44"/>
      <c r="F563" s="25" t="s">
        <v>123</v>
      </c>
      <c r="G563" s="25"/>
      <c r="H563" s="25"/>
      <c r="I563" s="25"/>
      <c r="J563" s="25"/>
    </row>
    <row r="564" spans="1:10" ht="14.4">
      <c r="A564" s="44"/>
      <c r="B564" s="44"/>
      <c r="D564" s="25"/>
      <c r="E564" s="44"/>
      <c r="F564" s="25" t="s">
        <v>123</v>
      </c>
      <c r="G564" s="25"/>
      <c r="H564" s="25"/>
      <c r="I564" s="25"/>
      <c r="J564" s="25"/>
    </row>
    <row r="565" spans="1:10" ht="14.4">
      <c r="A565" s="44"/>
      <c r="B565" s="44"/>
      <c r="D565" s="25"/>
      <c r="E565" s="44"/>
      <c r="F565" s="25" t="s">
        <v>123</v>
      </c>
      <c r="G565" s="25"/>
      <c r="H565" s="25"/>
      <c r="I565" s="25"/>
      <c r="J565" s="25"/>
    </row>
    <row r="566" spans="1:10" ht="14.4">
      <c r="A566" s="44"/>
      <c r="B566" s="44"/>
      <c r="D566" s="25"/>
      <c r="E566" s="44"/>
      <c r="F566" s="25" t="s">
        <v>123</v>
      </c>
      <c r="G566" s="25"/>
      <c r="H566" s="25"/>
      <c r="I566" s="25"/>
      <c r="J566" s="25"/>
    </row>
    <row r="567" spans="1:10" ht="14.4">
      <c r="A567" s="44"/>
      <c r="B567" s="44"/>
      <c r="D567" s="25"/>
      <c r="E567" s="44"/>
      <c r="F567" s="25" t="s">
        <v>123</v>
      </c>
      <c r="G567" s="25"/>
      <c r="H567" s="25"/>
      <c r="I567" s="25"/>
      <c r="J567" s="25"/>
    </row>
    <row r="568" spans="1:10" ht="14.4">
      <c r="A568" s="44"/>
      <c r="B568" s="44"/>
      <c r="D568" s="25"/>
      <c r="E568" s="44"/>
      <c r="F568" s="25" t="s">
        <v>123</v>
      </c>
      <c r="G568" s="25"/>
      <c r="H568" s="25"/>
      <c r="I568" s="25"/>
      <c r="J568" s="25"/>
    </row>
    <row r="569" spans="1:10" ht="14.4">
      <c r="A569" s="44"/>
      <c r="B569" s="44"/>
      <c r="D569" s="25"/>
      <c r="E569" s="44"/>
      <c r="F569" s="25" t="s">
        <v>123</v>
      </c>
      <c r="G569" s="25"/>
      <c r="H569" s="25"/>
      <c r="I569" s="25"/>
      <c r="J569" s="25"/>
    </row>
    <row r="570" spans="1:10" ht="14.4">
      <c r="A570" s="44"/>
      <c r="B570" s="44"/>
      <c r="D570" s="25"/>
      <c r="E570" s="44"/>
      <c r="F570" s="25" t="s">
        <v>123</v>
      </c>
      <c r="G570" s="25"/>
      <c r="H570" s="25"/>
      <c r="I570" s="25"/>
      <c r="J570" s="25"/>
    </row>
    <row r="571" spans="1:10" ht="14.4">
      <c r="A571" s="44"/>
      <c r="B571" s="44"/>
      <c r="D571" s="25"/>
      <c r="E571" s="44"/>
      <c r="F571" s="25" t="s">
        <v>123</v>
      </c>
      <c r="G571" s="25"/>
      <c r="H571" s="25"/>
      <c r="I571" s="25"/>
      <c r="J571" s="25"/>
    </row>
    <row r="572" spans="1:10" ht="14.4">
      <c r="A572" s="44"/>
      <c r="B572" s="44"/>
      <c r="D572" s="25"/>
      <c r="E572" s="44"/>
      <c r="F572" s="25" t="s">
        <v>123</v>
      </c>
      <c r="G572" s="25"/>
      <c r="H572" s="25"/>
      <c r="I572" s="25"/>
      <c r="J572" s="25"/>
    </row>
    <row r="573" spans="1:10" ht="14.4">
      <c r="A573" s="44"/>
      <c r="B573" s="44"/>
      <c r="D573" s="25"/>
      <c r="E573" s="44"/>
      <c r="F573" s="25" t="s">
        <v>123</v>
      </c>
      <c r="G573" s="25"/>
      <c r="H573" s="25"/>
      <c r="I573" s="25"/>
      <c r="J573" s="25"/>
    </row>
    <row r="574" spans="1:10" ht="14.4">
      <c r="A574" s="44"/>
      <c r="B574" s="44"/>
      <c r="D574" s="25"/>
      <c r="E574" s="44"/>
      <c r="F574" s="25" t="s">
        <v>123</v>
      </c>
      <c r="G574" s="25"/>
      <c r="H574" s="25"/>
      <c r="I574" s="25"/>
      <c r="J574" s="25"/>
    </row>
    <row r="575" spans="1:10" ht="14.4">
      <c r="A575" s="44"/>
      <c r="B575" s="44"/>
      <c r="D575" s="25"/>
      <c r="E575" s="44"/>
      <c r="F575" s="25" t="s">
        <v>123</v>
      </c>
      <c r="G575" s="25"/>
      <c r="H575" s="25"/>
      <c r="I575" s="25"/>
      <c r="J575" s="25"/>
    </row>
    <row r="576" spans="1:10" ht="14.4">
      <c r="A576" s="44"/>
      <c r="B576" s="44"/>
      <c r="D576" s="25"/>
      <c r="E576" s="44"/>
      <c r="F576" s="25" t="s">
        <v>123</v>
      </c>
      <c r="G576" s="25"/>
      <c r="H576" s="25"/>
      <c r="I576" s="25"/>
      <c r="J576" s="25"/>
    </row>
    <row r="577" spans="1:10" ht="14.4">
      <c r="A577" s="44"/>
      <c r="B577" s="44"/>
      <c r="D577" s="25"/>
      <c r="E577" s="44"/>
      <c r="F577" s="25" t="s">
        <v>123</v>
      </c>
      <c r="G577" s="25"/>
      <c r="H577" s="25"/>
      <c r="I577" s="25"/>
      <c r="J577" s="25"/>
    </row>
    <row r="578" spans="1:10" ht="14.4">
      <c r="A578" s="44"/>
      <c r="B578" s="44"/>
      <c r="D578" s="25"/>
      <c r="E578" s="44"/>
      <c r="F578" s="25" t="s">
        <v>123</v>
      </c>
      <c r="G578" s="25"/>
      <c r="H578" s="25"/>
      <c r="I578" s="25"/>
      <c r="J578" s="25"/>
    </row>
    <row r="579" spans="1:10" ht="14.4">
      <c r="A579" s="44"/>
      <c r="B579" s="44"/>
      <c r="D579" s="25"/>
      <c r="E579" s="44"/>
      <c r="F579" s="25" t="s">
        <v>123</v>
      </c>
      <c r="G579" s="25"/>
      <c r="H579" s="25"/>
      <c r="I579" s="25"/>
      <c r="J579" s="25"/>
    </row>
    <row r="580" spans="1:10" ht="14.4">
      <c r="A580" s="44"/>
      <c r="B580" s="44"/>
      <c r="D580" s="25"/>
      <c r="E580" s="44"/>
      <c r="F580" s="25" t="s">
        <v>123</v>
      </c>
      <c r="G580" s="25"/>
      <c r="H580" s="25"/>
      <c r="I580" s="25"/>
      <c r="J580" s="25"/>
    </row>
    <row r="581" spans="1:10" ht="14.4">
      <c r="A581" s="44"/>
      <c r="B581" s="44"/>
      <c r="D581" s="25"/>
      <c r="E581" s="44"/>
      <c r="F581" s="25" t="s">
        <v>123</v>
      </c>
      <c r="G581" s="25"/>
      <c r="H581" s="25"/>
      <c r="I581" s="25"/>
      <c r="J581" s="25"/>
    </row>
    <row r="582" spans="1:10" ht="14.4">
      <c r="A582" s="44"/>
      <c r="B582" s="44"/>
      <c r="D582" s="25"/>
      <c r="E582" s="44"/>
      <c r="F582" s="25" t="s">
        <v>123</v>
      </c>
      <c r="G582" s="25"/>
      <c r="H582" s="25"/>
      <c r="I582" s="25"/>
      <c r="J582" s="25"/>
    </row>
    <row r="583" spans="1:10" ht="14.4">
      <c r="A583" s="44"/>
      <c r="B583" s="44"/>
      <c r="D583" s="25"/>
      <c r="E583" s="44"/>
      <c r="F583" s="25" t="s">
        <v>123</v>
      </c>
      <c r="G583" s="25"/>
      <c r="H583" s="25"/>
      <c r="I583" s="25"/>
      <c r="J583" s="25"/>
    </row>
    <row r="584" spans="1:10" ht="14.4">
      <c r="A584" s="44"/>
      <c r="B584" s="44"/>
      <c r="D584" s="25"/>
      <c r="E584" s="44"/>
      <c r="F584" s="25" t="s">
        <v>123</v>
      </c>
      <c r="G584" s="25"/>
      <c r="H584" s="25"/>
      <c r="I584" s="25"/>
      <c r="J584" s="25"/>
    </row>
    <row r="585" spans="1:10" ht="14.4">
      <c r="A585" s="44"/>
      <c r="B585" s="44"/>
      <c r="D585" s="25"/>
      <c r="E585" s="44"/>
      <c r="F585" s="25" t="s">
        <v>123</v>
      </c>
      <c r="G585" s="25"/>
      <c r="H585" s="25"/>
      <c r="I585" s="25"/>
      <c r="J585" s="25"/>
    </row>
    <row r="586" spans="1:10" ht="14.4">
      <c r="A586" s="44"/>
      <c r="B586" s="44"/>
      <c r="D586" s="25"/>
      <c r="E586" s="44"/>
      <c r="F586" s="25" t="s">
        <v>123</v>
      </c>
      <c r="G586" s="25"/>
      <c r="H586" s="25"/>
      <c r="I586" s="25"/>
      <c r="J586" s="25"/>
    </row>
    <row r="587" spans="1:10" ht="14.4">
      <c r="A587" s="44"/>
      <c r="B587" s="44"/>
      <c r="D587" s="25"/>
      <c r="E587" s="44"/>
      <c r="F587" s="25" t="s">
        <v>123</v>
      </c>
      <c r="G587" s="25"/>
      <c r="H587" s="25"/>
      <c r="I587" s="25"/>
      <c r="J587" s="25"/>
    </row>
    <row r="588" spans="1:10" ht="14.4">
      <c r="A588" s="44"/>
      <c r="B588" s="44"/>
      <c r="D588" s="25"/>
      <c r="E588" s="44"/>
      <c r="F588" s="25" t="s">
        <v>123</v>
      </c>
      <c r="G588" s="25"/>
      <c r="H588" s="25"/>
      <c r="I588" s="25"/>
      <c r="J588" s="25"/>
    </row>
    <row r="589" spans="1:10" ht="14.4">
      <c r="A589" s="44"/>
      <c r="B589" s="44"/>
      <c r="D589" s="25"/>
      <c r="E589" s="44"/>
      <c r="F589" s="25" t="s">
        <v>123</v>
      </c>
      <c r="G589" s="25"/>
      <c r="H589" s="25"/>
      <c r="I589" s="25"/>
      <c r="J589" s="25"/>
    </row>
    <row r="590" spans="1:10" ht="14.4">
      <c r="A590" s="44"/>
      <c r="B590" s="44"/>
      <c r="D590" s="25"/>
      <c r="E590" s="44"/>
      <c r="F590" s="25" t="s">
        <v>123</v>
      </c>
      <c r="G590" s="25"/>
      <c r="H590" s="25"/>
      <c r="I590" s="25"/>
      <c r="J590" s="25"/>
    </row>
    <row r="591" spans="1:10" ht="14.4">
      <c r="A591" s="44"/>
      <c r="B591" s="44"/>
      <c r="D591" s="25"/>
      <c r="E591" s="44"/>
      <c r="F591" s="25" t="s">
        <v>123</v>
      </c>
      <c r="G591" s="25"/>
      <c r="H591" s="25"/>
      <c r="I591" s="25"/>
      <c r="J591" s="25"/>
    </row>
    <row r="592" spans="1:10" ht="14.4">
      <c r="A592" s="44"/>
      <c r="B592" s="44"/>
      <c r="D592" s="25"/>
      <c r="E592" s="44"/>
      <c r="F592" s="25" t="s">
        <v>123</v>
      </c>
      <c r="G592" s="25"/>
      <c r="H592" s="25"/>
      <c r="I592" s="25"/>
      <c r="J592" s="25"/>
    </row>
    <row r="593" spans="1:10" ht="14.4">
      <c r="A593" s="44"/>
      <c r="B593" s="44"/>
      <c r="D593" s="25"/>
      <c r="E593" s="44"/>
      <c r="F593" s="25" t="s">
        <v>123</v>
      </c>
      <c r="G593" s="25"/>
      <c r="H593" s="25"/>
      <c r="I593" s="25"/>
      <c r="J593" s="25"/>
    </row>
    <row r="594" spans="1:10" ht="14.4">
      <c r="A594" s="44"/>
      <c r="B594" s="44"/>
      <c r="D594" s="25"/>
      <c r="E594" s="44"/>
      <c r="F594" s="25" t="s">
        <v>123</v>
      </c>
      <c r="G594" s="25"/>
      <c r="H594" s="25"/>
      <c r="I594" s="25"/>
      <c r="J594" s="25"/>
    </row>
    <row r="595" spans="1:10" ht="14.4">
      <c r="A595" s="44"/>
      <c r="B595" s="44"/>
      <c r="D595" s="25"/>
      <c r="E595" s="44"/>
      <c r="F595" s="25" t="s">
        <v>123</v>
      </c>
      <c r="G595" s="25"/>
      <c r="H595" s="25"/>
      <c r="I595" s="25"/>
      <c r="J595" s="25"/>
    </row>
    <row r="596" spans="1:10" ht="14.4">
      <c r="A596" s="44"/>
      <c r="B596" s="44"/>
      <c r="D596" s="25"/>
      <c r="E596" s="44"/>
      <c r="F596" s="25" t="s">
        <v>123</v>
      </c>
      <c r="G596" s="25"/>
      <c r="H596" s="25"/>
      <c r="I596" s="25"/>
      <c r="J596" s="25"/>
    </row>
    <row r="597" spans="1:10" ht="14.4">
      <c r="A597" s="44"/>
      <c r="B597" s="44"/>
      <c r="D597" s="25"/>
      <c r="E597" s="44"/>
      <c r="F597" s="25" t="s">
        <v>123</v>
      </c>
      <c r="G597" s="25"/>
      <c r="H597" s="25"/>
      <c r="I597" s="25"/>
      <c r="J597" s="25"/>
    </row>
    <row r="598" spans="1:10" ht="14.4">
      <c r="A598" s="44"/>
      <c r="B598" s="44"/>
      <c r="D598" s="25"/>
      <c r="E598" s="44"/>
      <c r="F598" s="25" t="s">
        <v>123</v>
      </c>
      <c r="G598" s="25"/>
      <c r="H598" s="25"/>
      <c r="I598" s="25"/>
      <c r="J598" s="25"/>
    </row>
    <row r="599" spans="1:10" ht="14.4">
      <c r="A599" s="44"/>
      <c r="B599" s="44"/>
      <c r="D599" s="25"/>
      <c r="E599" s="44"/>
      <c r="F599" s="25" t="s">
        <v>123</v>
      </c>
      <c r="G599" s="25"/>
      <c r="H599" s="25"/>
      <c r="I599" s="25"/>
      <c r="J599" s="25"/>
    </row>
    <row r="600" spans="1:10" ht="14.4">
      <c r="A600" s="44"/>
      <c r="B600" s="44"/>
      <c r="D600" s="25"/>
      <c r="E600" s="44"/>
      <c r="F600" s="25" t="s">
        <v>123</v>
      </c>
      <c r="G600" s="25"/>
      <c r="H600" s="25"/>
      <c r="I600" s="25"/>
      <c r="J600" s="25"/>
    </row>
    <row r="601" spans="1:10" ht="14.4">
      <c r="A601" s="44"/>
      <c r="B601" s="44"/>
      <c r="D601" s="25"/>
      <c r="E601" s="44"/>
      <c r="F601" s="25" t="s">
        <v>123</v>
      </c>
      <c r="G601" s="25"/>
      <c r="H601" s="25"/>
      <c r="I601" s="25"/>
      <c r="J601" s="25"/>
    </row>
    <row r="602" spans="1:10" ht="14.4">
      <c r="A602" s="44"/>
      <c r="B602" s="44"/>
      <c r="D602" s="25"/>
      <c r="E602" s="44"/>
      <c r="F602" s="25" t="s">
        <v>123</v>
      </c>
      <c r="G602" s="25"/>
      <c r="H602" s="25"/>
      <c r="I602" s="25"/>
      <c r="J602" s="25"/>
    </row>
    <row r="603" spans="1:10" ht="14.4">
      <c r="A603" s="44"/>
      <c r="B603" s="44"/>
      <c r="D603" s="25"/>
      <c r="E603" s="44"/>
      <c r="F603" s="25" t="s">
        <v>123</v>
      </c>
      <c r="G603" s="25"/>
      <c r="H603" s="25"/>
      <c r="I603" s="25"/>
      <c r="J603" s="25"/>
    </row>
    <row r="604" spans="1:10" ht="14.4">
      <c r="A604" s="44"/>
      <c r="B604" s="44"/>
      <c r="D604" s="25"/>
      <c r="E604" s="44"/>
      <c r="F604" s="25" t="s">
        <v>123</v>
      </c>
      <c r="G604" s="25"/>
      <c r="H604" s="25"/>
      <c r="I604" s="25"/>
      <c r="J604" s="25"/>
    </row>
    <row r="605" spans="1:10" ht="14.4">
      <c r="A605" s="44"/>
      <c r="B605" s="44"/>
      <c r="D605" s="25"/>
      <c r="E605" s="44"/>
      <c r="F605" s="25" t="s">
        <v>123</v>
      </c>
      <c r="G605" s="25"/>
      <c r="H605" s="25"/>
      <c r="I605" s="25"/>
      <c r="J605" s="25"/>
    </row>
    <row r="606" spans="1:10" ht="14.4">
      <c r="A606" s="44"/>
      <c r="B606" s="44"/>
      <c r="D606" s="25"/>
      <c r="E606" s="44"/>
      <c r="F606" s="25" t="s">
        <v>123</v>
      </c>
      <c r="G606" s="25"/>
      <c r="H606" s="25"/>
      <c r="I606" s="25"/>
      <c r="J606" s="25"/>
    </row>
    <row r="607" spans="1:10" ht="14.4">
      <c r="A607" s="44"/>
      <c r="B607" s="44"/>
      <c r="D607" s="25"/>
      <c r="E607" s="44"/>
      <c r="F607" s="25" t="s">
        <v>123</v>
      </c>
      <c r="G607" s="25"/>
      <c r="H607" s="25"/>
      <c r="I607" s="25"/>
      <c r="J607" s="25"/>
    </row>
    <row r="608" spans="1:10" ht="14.4">
      <c r="A608" s="44"/>
      <c r="B608" s="44"/>
      <c r="D608" s="25"/>
      <c r="E608" s="44"/>
      <c r="F608" s="25" t="s">
        <v>123</v>
      </c>
      <c r="G608" s="25"/>
      <c r="H608" s="25"/>
      <c r="I608" s="25"/>
      <c r="J608" s="25"/>
    </row>
    <row r="609" spans="1:10" ht="14.4">
      <c r="A609" s="44"/>
      <c r="B609" s="44"/>
      <c r="D609" s="25"/>
      <c r="E609" s="44"/>
      <c r="F609" s="25" t="s">
        <v>123</v>
      </c>
      <c r="G609" s="25"/>
      <c r="H609" s="25"/>
      <c r="I609" s="25"/>
      <c r="J609" s="25"/>
    </row>
    <row r="610" spans="1:10" ht="14.4">
      <c r="A610" s="44"/>
      <c r="B610" s="44"/>
      <c r="D610" s="25"/>
      <c r="E610" s="44"/>
      <c r="F610" s="25" t="s">
        <v>123</v>
      </c>
      <c r="G610" s="25"/>
      <c r="H610" s="25"/>
      <c r="I610" s="25"/>
      <c r="J610" s="25"/>
    </row>
    <row r="611" spans="1:10" ht="14.4">
      <c r="A611" s="44"/>
      <c r="B611" s="44"/>
      <c r="D611" s="25"/>
      <c r="E611" s="44"/>
      <c r="F611" s="25" t="s">
        <v>123</v>
      </c>
      <c r="G611" s="25"/>
      <c r="H611" s="25"/>
      <c r="I611" s="25"/>
      <c r="J611" s="25"/>
    </row>
    <row r="612" spans="1:10" ht="14.4">
      <c r="A612" s="44"/>
      <c r="B612" s="44"/>
      <c r="D612" s="25"/>
      <c r="E612" s="44"/>
      <c r="F612" s="25" t="s">
        <v>123</v>
      </c>
      <c r="G612" s="25"/>
      <c r="H612" s="25"/>
      <c r="I612" s="25"/>
      <c r="J612" s="25"/>
    </row>
    <row r="613" spans="1:10" ht="14.4">
      <c r="A613" s="44"/>
      <c r="B613" s="44"/>
      <c r="D613" s="25"/>
      <c r="E613" s="44"/>
      <c r="F613" s="25" t="s">
        <v>123</v>
      </c>
      <c r="G613" s="25"/>
      <c r="H613" s="25"/>
      <c r="I613" s="25"/>
      <c r="J613" s="25"/>
    </row>
    <row r="614" spans="1:10" ht="14.4">
      <c r="A614" s="44"/>
      <c r="B614" s="44"/>
      <c r="D614" s="25"/>
      <c r="E614" s="44"/>
      <c r="F614" s="25" t="s">
        <v>123</v>
      </c>
      <c r="G614" s="25"/>
      <c r="H614" s="25"/>
      <c r="I614" s="25"/>
      <c r="J614" s="25"/>
    </row>
    <row r="615" spans="1:10" ht="14.4">
      <c r="A615" s="44"/>
      <c r="B615" s="44"/>
      <c r="D615" s="25"/>
      <c r="E615" s="44"/>
      <c r="F615" s="25" t="s">
        <v>123</v>
      </c>
      <c r="G615" s="25"/>
      <c r="H615" s="25"/>
      <c r="I615" s="25"/>
      <c r="J615" s="25"/>
    </row>
    <row r="616" spans="1:10" ht="14.4">
      <c r="A616" s="44"/>
      <c r="B616" s="44"/>
      <c r="D616" s="25"/>
      <c r="E616" s="44"/>
      <c r="F616" s="25" t="s">
        <v>123</v>
      </c>
      <c r="G616" s="25"/>
      <c r="H616" s="25"/>
      <c r="I616" s="25"/>
      <c r="J616" s="25"/>
    </row>
    <row r="617" spans="1:10" ht="14.4">
      <c r="A617" s="44"/>
      <c r="B617" s="44"/>
      <c r="D617" s="25"/>
      <c r="E617" s="44"/>
      <c r="F617" s="25" t="s">
        <v>123</v>
      </c>
      <c r="G617" s="25"/>
      <c r="H617" s="25"/>
      <c r="I617" s="25"/>
      <c r="J617" s="25"/>
    </row>
    <row r="618" spans="1:10" ht="14.4">
      <c r="A618" s="44"/>
      <c r="B618" s="44"/>
      <c r="D618" s="25"/>
      <c r="E618" s="44"/>
      <c r="F618" s="25" t="s">
        <v>123</v>
      </c>
      <c r="G618" s="25"/>
      <c r="H618" s="25"/>
      <c r="I618" s="25"/>
      <c r="J618" s="25"/>
    </row>
    <row r="619" spans="1:10" ht="14.4">
      <c r="A619" s="44"/>
      <c r="B619" s="44"/>
      <c r="D619" s="25"/>
      <c r="E619" s="44"/>
      <c r="F619" s="25" t="s">
        <v>123</v>
      </c>
      <c r="G619" s="25"/>
      <c r="H619" s="25"/>
      <c r="I619" s="25"/>
      <c r="J619" s="25"/>
    </row>
    <row r="620" spans="1:10" ht="14.4">
      <c r="A620" s="44"/>
      <c r="B620" s="44"/>
      <c r="D620" s="25"/>
      <c r="E620" s="44"/>
      <c r="F620" s="25" t="s">
        <v>123</v>
      </c>
      <c r="G620" s="25"/>
      <c r="H620" s="25"/>
      <c r="I620" s="25"/>
      <c r="J620" s="25"/>
    </row>
    <row r="621" spans="1:10" ht="14.4">
      <c r="A621" s="44"/>
      <c r="B621" s="44"/>
      <c r="D621" s="25"/>
      <c r="E621" s="44"/>
      <c r="F621" s="25" t="s">
        <v>123</v>
      </c>
      <c r="G621" s="25"/>
      <c r="H621" s="25"/>
      <c r="I621" s="25"/>
      <c r="J621" s="25"/>
    </row>
    <row r="622" spans="1:10" ht="14.4">
      <c r="A622" s="44"/>
      <c r="B622" s="44"/>
      <c r="D622" s="25"/>
      <c r="E622" s="44"/>
      <c r="F622" s="25" t="s">
        <v>123</v>
      </c>
      <c r="G622" s="25"/>
      <c r="H622" s="25"/>
      <c r="I622" s="25"/>
      <c r="J622" s="25"/>
    </row>
    <row r="623" spans="1:10" ht="14.4">
      <c r="A623" s="44"/>
      <c r="B623" s="44"/>
      <c r="D623" s="25"/>
      <c r="E623" s="44"/>
      <c r="F623" s="25" t="s">
        <v>123</v>
      </c>
      <c r="G623" s="25"/>
      <c r="H623" s="25"/>
      <c r="I623" s="25"/>
      <c r="J623" s="25"/>
    </row>
    <row r="624" spans="1:10" ht="14.4">
      <c r="A624" s="44"/>
      <c r="B624" s="44"/>
      <c r="D624" s="25"/>
      <c r="E624" s="44"/>
      <c r="F624" s="25" t="s">
        <v>123</v>
      </c>
      <c r="G624" s="25"/>
      <c r="H624" s="25"/>
      <c r="I624" s="25"/>
      <c r="J624" s="25"/>
    </row>
    <row r="625" spans="1:10" ht="14.4">
      <c r="A625" s="44"/>
      <c r="B625" s="44"/>
      <c r="D625" s="25"/>
      <c r="E625" s="44"/>
      <c r="F625" s="25" t="s">
        <v>123</v>
      </c>
      <c r="G625" s="25"/>
      <c r="H625" s="25"/>
      <c r="I625" s="25"/>
      <c r="J625" s="25"/>
    </row>
    <row r="626" spans="1:10" ht="14.4">
      <c r="A626" s="44"/>
      <c r="B626" s="44"/>
      <c r="D626" s="25"/>
      <c r="E626" s="44"/>
      <c r="F626" s="25" t="s">
        <v>123</v>
      </c>
      <c r="G626" s="25"/>
      <c r="H626" s="25"/>
      <c r="I626" s="25"/>
      <c r="J626" s="25"/>
    </row>
    <row r="627" spans="1:10" ht="14.4">
      <c r="A627" s="44"/>
      <c r="B627" s="44"/>
      <c r="D627" s="25"/>
      <c r="E627" s="44"/>
      <c r="F627" s="25" t="s">
        <v>123</v>
      </c>
      <c r="G627" s="25"/>
      <c r="H627" s="25"/>
      <c r="I627" s="25"/>
      <c r="J627" s="25"/>
    </row>
    <row r="628" spans="1:10" ht="14.4">
      <c r="A628" s="44"/>
      <c r="B628" s="44"/>
      <c r="D628" s="25"/>
      <c r="E628" s="44"/>
      <c r="F628" s="25" t="s">
        <v>123</v>
      </c>
      <c r="G628" s="25"/>
      <c r="H628" s="25"/>
      <c r="I628" s="25"/>
      <c r="J628" s="25"/>
    </row>
    <row r="629" spans="1:10" ht="14.4">
      <c r="A629" s="44"/>
      <c r="B629" s="44"/>
      <c r="D629" s="25"/>
      <c r="E629" s="44"/>
      <c r="F629" s="25" t="s">
        <v>123</v>
      </c>
      <c r="G629" s="25"/>
      <c r="H629" s="25"/>
      <c r="I629" s="25"/>
      <c r="J629" s="25"/>
    </row>
    <row r="630" spans="1:10" ht="14.4">
      <c r="A630" s="44"/>
      <c r="B630" s="44"/>
      <c r="D630" s="25"/>
      <c r="E630" s="44"/>
      <c r="F630" s="25" t="s">
        <v>123</v>
      </c>
      <c r="G630" s="25"/>
      <c r="H630" s="25"/>
      <c r="I630" s="25"/>
      <c r="J630" s="25"/>
    </row>
    <row r="631" spans="1:10" ht="14.4">
      <c r="A631" s="44"/>
      <c r="B631" s="44"/>
      <c r="D631" s="25"/>
      <c r="E631" s="44"/>
      <c r="F631" s="25" t="s">
        <v>123</v>
      </c>
      <c r="G631" s="25"/>
      <c r="H631" s="25"/>
      <c r="I631" s="25"/>
      <c r="J631" s="25"/>
    </row>
    <row r="632" spans="1:10" ht="14.4">
      <c r="A632" s="44"/>
      <c r="B632" s="44"/>
      <c r="D632" s="25"/>
      <c r="E632" s="44"/>
      <c r="F632" s="25" t="s">
        <v>123</v>
      </c>
      <c r="G632" s="25"/>
      <c r="H632" s="25"/>
      <c r="I632" s="25"/>
      <c r="J632" s="25"/>
    </row>
    <row r="633" spans="1:10" ht="14.4">
      <c r="A633" s="44"/>
      <c r="B633" s="44"/>
      <c r="D633" s="25"/>
      <c r="E633" s="44"/>
      <c r="F633" s="25" t="s">
        <v>123</v>
      </c>
      <c r="G633" s="25"/>
      <c r="H633" s="25"/>
      <c r="I633" s="25"/>
      <c r="J633" s="25"/>
    </row>
    <row r="634" spans="1:10" ht="14.4">
      <c r="A634" s="44"/>
      <c r="B634" s="44"/>
      <c r="D634" s="25"/>
      <c r="E634" s="44"/>
      <c r="F634" s="25" t="s">
        <v>123</v>
      </c>
      <c r="G634" s="25"/>
      <c r="H634" s="25"/>
      <c r="I634" s="25"/>
      <c r="J634" s="25"/>
    </row>
    <row r="635" spans="1:10" ht="14.4">
      <c r="A635" s="44"/>
      <c r="B635" s="44"/>
      <c r="D635" s="25"/>
      <c r="E635" s="44"/>
      <c r="F635" s="25" t="s">
        <v>123</v>
      </c>
      <c r="G635" s="25"/>
      <c r="H635" s="25"/>
      <c r="I635" s="25"/>
      <c r="J635" s="25"/>
    </row>
    <row r="636" spans="1:10" ht="14.4">
      <c r="A636" s="44"/>
      <c r="B636" s="44"/>
      <c r="D636" s="25"/>
      <c r="E636" s="44"/>
      <c r="F636" s="25" t="s">
        <v>123</v>
      </c>
      <c r="G636" s="25"/>
      <c r="H636" s="25"/>
      <c r="I636" s="25"/>
      <c r="J636" s="25"/>
    </row>
    <row r="637" spans="1:10" ht="14.4">
      <c r="A637" s="44"/>
      <c r="B637" s="44"/>
      <c r="D637" s="25"/>
      <c r="E637" s="44"/>
      <c r="F637" s="25" t="s">
        <v>123</v>
      </c>
      <c r="G637" s="25"/>
      <c r="H637" s="25"/>
      <c r="I637" s="25"/>
      <c r="J637" s="25"/>
    </row>
    <row r="638" spans="1:10" ht="14.4">
      <c r="A638" s="44"/>
      <c r="B638" s="44"/>
      <c r="D638" s="25"/>
      <c r="E638" s="44"/>
      <c r="F638" s="25" t="s">
        <v>123</v>
      </c>
      <c r="G638" s="25"/>
      <c r="H638" s="25"/>
      <c r="I638" s="25"/>
      <c r="J638" s="25"/>
    </row>
    <row r="639" spans="1:10" ht="14.4">
      <c r="A639" s="44"/>
      <c r="B639" s="44"/>
      <c r="D639" s="25"/>
      <c r="E639" s="44"/>
      <c r="F639" s="25" t="s">
        <v>123</v>
      </c>
      <c r="G639" s="25"/>
      <c r="H639" s="25"/>
      <c r="I639" s="25"/>
      <c r="J639" s="25"/>
    </row>
    <row r="640" spans="1:10" ht="14.4">
      <c r="A640" s="44"/>
      <c r="B640" s="44"/>
      <c r="D640" s="25"/>
      <c r="E640" s="44"/>
      <c r="F640" s="25" t="s">
        <v>123</v>
      </c>
      <c r="G640" s="25"/>
      <c r="H640" s="25"/>
      <c r="I640" s="25"/>
      <c r="J640" s="25"/>
    </row>
    <row r="641" spans="1:10" ht="14.4">
      <c r="A641" s="44"/>
      <c r="B641" s="44"/>
      <c r="D641" s="25"/>
      <c r="E641" s="44"/>
      <c r="F641" s="25" t="s">
        <v>123</v>
      </c>
      <c r="G641" s="25"/>
      <c r="H641" s="25"/>
      <c r="I641" s="25"/>
      <c r="J641" s="25"/>
    </row>
    <row r="642" spans="1:10" ht="14.4">
      <c r="A642" s="44"/>
      <c r="B642" s="44"/>
      <c r="D642" s="25"/>
      <c r="E642" s="44"/>
      <c r="F642" s="25" t="s">
        <v>123</v>
      </c>
      <c r="G642" s="25"/>
      <c r="H642" s="25"/>
      <c r="I642" s="25"/>
      <c r="J642" s="25"/>
    </row>
    <row r="643" spans="1:10" ht="14.4">
      <c r="A643" s="44"/>
      <c r="B643" s="44"/>
      <c r="D643" s="25"/>
      <c r="E643" s="44"/>
      <c r="F643" s="25" t="s">
        <v>123</v>
      </c>
      <c r="G643" s="25"/>
      <c r="H643" s="25"/>
      <c r="I643" s="25"/>
      <c r="J643" s="25"/>
    </row>
    <row r="644" spans="1:10" ht="14.4">
      <c r="A644" s="44"/>
      <c r="B644" s="44"/>
      <c r="D644" s="25"/>
      <c r="E644" s="44"/>
      <c r="F644" s="25" t="s">
        <v>123</v>
      </c>
      <c r="G644" s="25"/>
      <c r="H644" s="25"/>
      <c r="I644" s="25"/>
      <c r="J644" s="25"/>
    </row>
    <row r="645" spans="1:10" ht="14.4">
      <c r="A645" s="44"/>
      <c r="B645" s="44"/>
      <c r="D645" s="25"/>
      <c r="E645" s="44"/>
      <c r="F645" s="25" t="s">
        <v>123</v>
      </c>
      <c r="G645" s="25"/>
      <c r="H645" s="25"/>
      <c r="I645" s="25"/>
      <c r="J645" s="25"/>
    </row>
    <row r="646" spans="1:10" ht="14.4">
      <c r="A646" s="44"/>
      <c r="B646" s="44"/>
      <c r="D646" s="25"/>
      <c r="E646" s="44"/>
      <c r="F646" s="25" t="s">
        <v>123</v>
      </c>
      <c r="G646" s="25"/>
      <c r="H646" s="25"/>
      <c r="I646" s="25"/>
      <c r="J646" s="25"/>
    </row>
    <row r="647" spans="1:10" ht="14.4">
      <c r="A647" s="44"/>
      <c r="B647" s="44"/>
      <c r="D647" s="25"/>
      <c r="E647" s="44"/>
      <c r="F647" s="25" t="s">
        <v>123</v>
      </c>
      <c r="G647" s="25"/>
      <c r="H647" s="25"/>
      <c r="I647" s="25"/>
      <c r="J647" s="25"/>
    </row>
    <row r="648" spans="1:10" ht="14.4">
      <c r="A648" s="44"/>
      <c r="B648" s="44"/>
      <c r="D648" s="25"/>
      <c r="E648" s="44"/>
      <c r="F648" s="25" t="s">
        <v>123</v>
      </c>
      <c r="G648" s="25"/>
      <c r="H648" s="25"/>
      <c r="I648" s="25"/>
      <c r="J648" s="25"/>
    </row>
    <row r="649" spans="1:10" ht="14.4">
      <c r="A649" s="44"/>
      <c r="B649" s="44"/>
      <c r="D649" s="25"/>
      <c r="E649" s="44"/>
      <c r="F649" s="25" t="s">
        <v>123</v>
      </c>
      <c r="G649" s="25"/>
      <c r="H649" s="25"/>
      <c r="I649" s="25"/>
      <c r="J649" s="25"/>
    </row>
    <row r="650" spans="1:10" ht="14.4">
      <c r="A650" s="44"/>
      <c r="B650" s="44"/>
      <c r="D650" s="25"/>
      <c r="E650" s="44"/>
      <c r="F650" s="25" t="s">
        <v>123</v>
      </c>
      <c r="G650" s="25"/>
      <c r="H650" s="25"/>
      <c r="I650" s="25"/>
      <c r="J650" s="25"/>
    </row>
    <row r="651" spans="1:10" ht="14.4">
      <c r="A651" s="44"/>
      <c r="B651" s="44"/>
      <c r="D651" s="25"/>
      <c r="E651" s="44"/>
      <c r="F651" s="25" t="s">
        <v>123</v>
      </c>
      <c r="G651" s="25"/>
      <c r="H651" s="25"/>
      <c r="I651" s="25"/>
      <c r="J651" s="25"/>
    </row>
    <row r="652" spans="1:10" ht="14.4">
      <c r="A652" s="44"/>
      <c r="B652" s="44"/>
      <c r="D652" s="25"/>
      <c r="E652" s="44"/>
      <c r="F652" s="25" t="s">
        <v>123</v>
      </c>
      <c r="G652" s="25"/>
      <c r="H652" s="25"/>
      <c r="I652" s="25"/>
      <c r="J652" s="25"/>
    </row>
    <row r="653" spans="1:10" ht="14.4">
      <c r="A653" s="44"/>
      <c r="B653" s="44"/>
      <c r="D653" s="25"/>
      <c r="E653" s="44"/>
      <c r="F653" s="25" t="s">
        <v>123</v>
      </c>
      <c r="G653" s="25"/>
      <c r="H653" s="25"/>
      <c r="I653" s="25"/>
      <c r="J653" s="25"/>
    </row>
    <row r="654" spans="1:10" ht="14.4">
      <c r="A654" s="44"/>
      <c r="B654" s="44"/>
      <c r="D654" s="25"/>
      <c r="E654" s="44"/>
      <c r="F654" s="25" t="s">
        <v>123</v>
      </c>
      <c r="G654" s="25"/>
      <c r="H654" s="25"/>
      <c r="I654" s="25"/>
      <c r="J654" s="25"/>
    </row>
    <row r="655" spans="1:10" ht="14.4">
      <c r="A655" s="44"/>
      <c r="B655" s="44"/>
      <c r="D655" s="25"/>
      <c r="E655" s="44"/>
      <c r="F655" s="25" t="s">
        <v>123</v>
      </c>
      <c r="G655" s="25"/>
      <c r="H655" s="25"/>
      <c r="I655" s="25"/>
      <c r="J655" s="25"/>
    </row>
    <row r="656" spans="1:10" ht="14.4">
      <c r="A656" s="44"/>
      <c r="B656" s="44"/>
      <c r="D656" s="25"/>
      <c r="E656" s="44"/>
      <c r="F656" s="25" t="s">
        <v>123</v>
      </c>
      <c r="G656" s="25"/>
      <c r="H656" s="25"/>
      <c r="I656" s="25"/>
      <c r="J656" s="25"/>
    </row>
    <row r="657" spans="1:10" ht="14.4">
      <c r="A657" s="44"/>
      <c r="B657" s="44"/>
      <c r="D657" s="25"/>
      <c r="E657" s="44"/>
      <c r="F657" s="25" t="s">
        <v>123</v>
      </c>
      <c r="G657" s="25"/>
      <c r="H657" s="25"/>
      <c r="I657" s="25"/>
      <c r="J657" s="25"/>
    </row>
    <row r="658" spans="1:10" ht="14.4">
      <c r="A658" s="44"/>
      <c r="B658" s="44"/>
      <c r="D658" s="25"/>
      <c r="E658" s="44"/>
      <c r="F658" s="25" t="s">
        <v>123</v>
      </c>
      <c r="G658" s="25"/>
      <c r="H658" s="25"/>
      <c r="I658" s="25"/>
      <c r="J658" s="25"/>
    </row>
    <row r="659" spans="1:10" ht="14.4">
      <c r="A659" s="44"/>
      <c r="B659" s="44"/>
      <c r="D659" s="25"/>
      <c r="E659" s="44"/>
      <c r="F659" s="25" t="s">
        <v>123</v>
      </c>
      <c r="G659" s="25"/>
      <c r="H659" s="25"/>
      <c r="I659" s="25"/>
      <c r="J659" s="25"/>
    </row>
    <row r="660" spans="1:10" ht="14.4">
      <c r="A660" s="44"/>
      <c r="B660" s="44"/>
      <c r="D660" s="25"/>
      <c r="E660" s="44"/>
      <c r="F660" s="25" t="s">
        <v>123</v>
      </c>
      <c r="G660" s="25"/>
      <c r="H660" s="25"/>
      <c r="I660" s="25"/>
      <c r="J660" s="25"/>
    </row>
    <row r="661" spans="1:10" ht="14.4">
      <c r="A661" s="44"/>
      <c r="B661" s="44"/>
      <c r="D661" s="25"/>
      <c r="E661" s="44"/>
      <c r="F661" s="25" t="s">
        <v>123</v>
      </c>
      <c r="G661" s="25"/>
      <c r="H661" s="25"/>
      <c r="I661" s="25"/>
      <c r="J661" s="25"/>
    </row>
    <row r="662" spans="1:10" ht="14.4">
      <c r="A662" s="44"/>
      <c r="B662" s="44"/>
      <c r="D662" s="25"/>
      <c r="E662" s="44"/>
      <c r="F662" s="25" t="s">
        <v>123</v>
      </c>
      <c r="G662" s="25"/>
      <c r="H662" s="25"/>
      <c r="I662" s="25"/>
      <c r="J662" s="25"/>
    </row>
    <row r="663" spans="1:10" ht="14.4">
      <c r="A663" s="44"/>
      <c r="B663" s="44"/>
      <c r="D663" s="25"/>
      <c r="E663" s="44"/>
      <c r="F663" s="25" t="s">
        <v>123</v>
      </c>
      <c r="G663" s="25"/>
      <c r="H663" s="25"/>
      <c r="I663" s="25"/>
      <c r="J663" s="25"/>
    </row>
    <row r="664" spans="1:10" ht="14.4">
      <c r="A664" s="44"/>
      <c r="B664" s="44"/>
      <c r="D664" s="25"/>
      <c r="E664" s="44"/>
      <c r="F664" s="25" t="s">
        <v>123</v>
      </c>
      <c r="G664" s="25"/>
      <c r="H664" s="25"/>
      <c r="I664" s="25"/>
      <c r="J664" s="25"/>
    </row>
    <row r="665" spans="1:10" ht="14.4">
      <c r="A665" s="44"/>
      <c r="B665" s="44"/>
      <c r="D665" s="25"/>
      <c r="E665" s="44"/>
      <c r="F665" s="25" t="s">
        <v>123</v>
      </c>
      <c r="G665" s="25"/>
      <c r="H665" s="25"/>
      <c r="I665" s="25"/>
      <c r="J665" s="25"/>
    </row>
    <row r="666" spans="1:10" ht="14.4">
      <c r="A666" s="44"/>
      <c r="B666" s="44"/>
      <c r="D666" s="25"/>
      <c r="E666" s="44"/>
      <c r="F666" s="25" t="s">
        <v>123</v>
      </c>
      <c r="G666" s="25"/>
      <c r="H666" s="25"/>
      <c r="I666" s="25"/>
      <c r="J666" s="25"/>
    </row>
    <row r="667" spans="1:10" ht="14.4">
      <c r="A667" s="44"/>
      <c r="B667" s="44"/>
      <c r="D667" s="25"/>
      <c r="E667" s="44"/>
      <c r="F667" s="25" t="s">
        <v>123</v>
      </c>
      <c r="G667" s="25"/>
      <c r="H667" s="25"/>
      <c r="I667" s="25"/>
      <c r="J667" s="25"/>
    </row>
    <row r="668" spans="1:10" ht="14.4">
      <c r="A668" s="44"/>
      <c r="B668" s="44"/>
      <c r="D668" s="25"/>
      <c r="E668" s="44"/>
      <c r="F668" s="25" t="s">
        <v>123</v>
      </c>
      <c r="G668" s="25"/>
      <c r="H668" s="25"/>
      <c r="I668" s="25"/>
      <c r="J668" s="25"/>
    </row>
    <row r="669" spans="1:10" ht="14.4">
      <c r="A669" s="44"/>
      <c r="B669" s="44"/>
      <c r="D669" s="25"/>
      <c r="E669" s="44"/>
      <c r="F669" s="25" t="s">
        <v>123</v>
      </c>
      <c r="G669" s="25"/>
      <c r="H669" s="25"/>
      <c r="I669" s="25"/>
      <c r="J669" s="25"/>
    </row>
    <row r="670" spans="1:10" ht="14.4">
      <c r="A670" s="44"/>
      <c r="B670" s="44"/>
      <c r="D670" s="25"/>
      <c r="E670" s="44"/>
      <c r="F670" s="25" t="s">
        <v>123</v>
      </c>
      <c r="G670" s="25"/>
      <c r="H670" s="25"/>
      <c r="I670" s="25"/>
      <c r="J670" s="25"/>
    </row>
    <row r="671" spans="1:10" ht="14.4">
      <c r="A671" s="44"/>
      <c r="B671" s="44"/>
      <c r="D671" s="25"/>
      <c r="E671" s="44"/>
      <c r="F671" s="25" t="s">
        <v>123</v>
      </c>
      <c r="G671" s="25"/>
      <c r="H671" s="25"/>
      <c r="I671" s="25"/>
      <c r="J671" s="25"/>
    </row>
    <row r="672" spans="1:10" ht="14.4">
      <c r="A672" s="44"/>
      <c r="B672" s="44"/>
      <c r="D672" s="25"/>
      <c r="E672" s="44"/>
      <c r="F672" s="25" t="s">
        <v>123</v>
      </c>
      <c r="G672" s="25"/>
      <c r="H672" s="25"/>
      <c r="I672" s="25"/>
      <c r="J672" s="25"/>
    </row>
    <row r="673" spans="1:10" ht="14.4">
      <c r="A673" s="44"/>
      <c r="B673" s="44"/>
      <c r="D673" s="25"/>
      <c r="E673" s="44"/>
      <c r="F673" s="25" t="s">
        <v>123</v>
      </c>
      <c r="G673" s="25"/>
      <c r="H673" s="25"/>
      <c r="I673" s="25"/>
      <c r="J673" s="25"/>
    </row>
    <row r="674" spans="1:10" ht="14.4">
      <c r="A674" s="44"/>
      <c r="B674" s="44"/>
      <c r="D674" s="25"/>
      <c r="E674" s="44"/>
      <c r="F674" s="25" t="s">
        <v>123</v>
      </c>
      <c r="G674" s="25"/>
      <c r="H674" s="25"/>
      <c r="I674" s="25"/>
      <c r="J674" s="25"/>
    </row>
    <row r="675" spans="1:10" ht="14.4">
      <c r="A675" s="44"/>
      <c r="B675" s="44"/>
      <c r="D675" s="25"/>
      <c r="E675" s="44"/>
      <c r="F675" s="25" t="s">
        <v>123</v>
      </c>
      <c r="G675" s="25"/>
      <c r="H675" s="25"/>
      <c r="I675" s="25"/>
      <c r="J675" s="25"/>
    </row>
    <row r="676" spans="1:10" ht="14.4">
      <c r="A676" s="44"/>
      <c r="B676" s="44"/>
      <c r="D676" s="25"/>
      <c r="E676" s="44"/>
      <c r="F676" s="25" t="s">
        <v>123</v>
      </c>
      <c r="G676" s="25"/>
      <c r="H676" s="25"/>
      <c r="I676" s="25"/>
      <c r="J676" s="25"/>
    </row>
    <row r="677" spans="1:10" ht="14.4">
      <c r="A677" s="44"/>
      <c r="B677" s="44"/>
      <c r="D677" s="25"/>
      <c r="E677" s="44"/>
      <c r="F677" s="25" t="s">
        <v>123</v>
      </c>
      <c r="G677" s="25"/>
      <c r="H677" s="25"/>
      <c r="I677" s="25"/>
      <c r="J677" s="25"/>
    </row>
    <row r="678" spans="1:10" ht="14.4">
      <c r="A678" s="44"/>
      <c r="B678" s="44"/>
      <c r="D678" s="25"/>
      <c r="E678" s="44"/>
      <c r="F678" s="25" t="s">
        <v>123</v>
      </c>
      <c r="G678" s="25"/>
      <c r="H678" s="25"/>
      <c r="I678" s="25"/>
      <c r="J678" s="25"/>
    </row>
    <row r="679" spans="1:10" ht="14.4">
      <c r="A679" s="44"/>
      <c r="B679" s="44"/>
      <c r="D679" s="25"/>
      <c r="E679" s="44"/>
      <c r="F679" s="25" t="s">
        <v>123</v>
      </c>
      <c r="G679" s="25"/>
      <c r="H679" s="25"/>
      <c r="I679" s="25"/>
      <c r="J679" s="25"/>
    </row>
    <row r="680" spans="1:10" ht="14.4">
      <c r="A680" s="44"/>
      <c r="B680" s="44"/>
      <c r="D680" s="25"/>
      <c r="E680" s="44"/>
      <c r="F680" s="25" t="s">
        <v>123</v>
      </c>
      <c r="G680" s="25"/>
      <c r="H680" s="25"/>
      <c r="I680" s="25"/>
      <c r="J680" s="25"/>
    </row>
    <row r="681" spans="1:10" ht="14.4">
      <c r="A681" s="44"/>
      <c r="B681" s="44"/>
      <c r="D681" s="25"/>
      <c r="E681" s="44"/>
      <c r="F681" s="25" t="s">
        <v>123</v>
      </c>
      <c r="G681" s="25"/>
      <c r="H681" s="25"/>
      <c r="I681" s="25"/>
      <c r="J681" s="25"/>
    </row>
    <row r="682" spans="1:10" ht="14.4">
      <c r="A682" s="44"/>
      <c r="B682" s="44"/>
      <c r="D682" s="25"/>
      <c r="E682" s="44"/>
      <c r="F682" s="25" t="s">
        <v>123</v>
      </c>
      <c r="G682" s="25"/>
      <c r="H682" s="25"/>
      <c r="I682" s="25"/>
      <c r="J682" s="25"/>
    </row>
    <row r="683" spans="1:10" ht="14.4">
      <c r="A683" s="44"/>
      <c r="B683" s="44"/>
      <c r="D683" s="25"/>
      <c r="E683" s="44"/>
      <c r="F683" s="25" t="s">
        <v>123</v>
      </c>
      <c r="G683" s="25"/>
      <c r="H683" s="25"/>
      <c r="I683" s="25"/>
      <c r="J683" s="25"/>
    </row>
    <row r="684" spans="1:10" ht="14.4">
      <c r="A684" s="44"/>
      <c r="B684" s="44"/>
      <c r="D684" s="25"/>
      <c r="E684" s="44"/>
      <c r="F684" s="25" t="s">
        <v>123</v>
      </c>
      <c r="G684" s="25"/>
      <c r="H684" s="25"/>
      <c r="I684" s="25"/>
      <c r="J684" s="25"/>
    </row>
    <row r="685" spans="1:10" ht="14.4">
      <c r="A685" s="44"/>
      <c r="B685" s="44"/>
      <c r="D685" s="25"/>
      <c r="E685" s="44"/>
      <c r="F685" s="25" t="s">
        <v>123</v>
      </c>
      <c r="G685" s="25"/>
      <c r="H685" s="25"/>
      <c r="I685" s="25"/>
      <c r="J685" s="25"/>
    </row>
    <row r="686" spans="1:10" ht="14.4">
      <c r="A686" s="44"/>
      <c r="B686" s="44"/>
      <c r="D686" s="25"/>
      <c r="E686" s="44"/>
      <c r="F686" s="25" t="s">
        <v>123</v>
      </c>
      <c r="G686" s="25"/>
      <c r="H686" s="25"/>
      <c r="I686" s="25"/>
      <c r="J686" s="25"/>
    </row>
    <row r="687" spans="1:10" ht="14.4">
      <c r="A687" s="44"/>
      <c r="B687" s="44"/>
      <c r="D687" s="25"/>
      <c r="E687" s="44"/>
      <c r="F687" s="25" t="s">
        <v>123</v>
      </c>
      <c r="G687" s="25"/>
      <c r="H687" s="25"/>
      <c r="I687" s="25"/>
      <c r="J687" s="25"/>
    </row>
    <row r="688" spans="1:10" ht="14.4">
      <c r="A688" s="44"/>
      <c r="B688" s="44"/>
      <c r="D688" s="25"/>
      <c r="E688" s="44"/>
      <c r="F688" s="25" t="s">
        <v>123</v>
      </c>
      <c r="G688" s="25"/>
      <c r="H688" s="25"/>
      <c r="I688" s="25"/>
      <c r="J688" s="25"/>
    </row>
    <row r="689" spans="1:10" ht="14.4">
      <c r="A689" s="44"/>
      <c r="B689" s="44"/>
      <c r="D689" s="25"/>
      <c r="E689" s="44"/>
      <c r="F689" s="25" t="s">
        <v>123</v>
      </c>
      <c r="G689" s="25"/>
      <c r="H689" s="25"/>
      <c r="I689" s="25"/>
      <c r="J689" s="25"/>
    </row>
    <row r="690" spans="1:10" ht="14.4">
      <c r="A690" s="44"/>
      <c r="B690" s="44"/>
      <c r="D690" s="25"/>
      <c r="E690" s="44"/>
      <c r="F690" s="25" t="s">
        <v>123</v>
      </c>
      <c r="G690" s="25"/>
      <c r="H690" s="25"/>
      <c r="I690" s="25"/>
      <c r="J690" s="25"/>
    </row>
    <row r="691" spans="1:10" ht="14.4">
      <c r="A691" s="44"/>
      <c r="B691" s="44"/>
      <c r="D691" s="25"/>
      <c r="E691" s="44"/>
      <c r="F691" s="25" t="s">
        <v>123</v>
      </c>
      <c r="G691" s="25"/>
      <c r="H691" s="25"/>
      <c r="I691" s="25"/>
      <c r="J691" s="25"/>
    </row>
    <row r="692" spans="1:10" ht="14.4">
      <c r="A692" s="44"/>
      <c r="B692" s="44"/>
      <c r="D692" s="25"/>
      <c r="E692" s="44"/>
      <c r="F692" s="25" t="s">
        <v>123</v>
      </c>
      <c r="G692" s="25"/>
      <c r="H692" s="25"/>
      <c r="I692" s="25"/>
      <c r="J692" s="25"/>
    </row>
    <row r="693" spans="1:10" ht="14.4">
      <c r="A693" s="44"/>
      <c r="B693" s="44"/>
      <c r="D693" s="25"/>
      <c r="E693" s="44"/>
      <c r="F693" s="25" t="s">
        <v>123</v>
      </c>
      <c r="G693" s="25"/>
      <c r="H693" s="25"/>
      <c r="I693" s="25"/>
      <c r="J693" s="25"/>
    </row>
    <row r="694" spans="1:10" ht="14.4">
      <c r="A694" s="44"/>
      <c r="B694" s="44"/>
      <c r="D694" s="25"/>
      <c r="E694" s="44"/>
      <c r="F694" s="25" t="s">
        <v>123</v>
      </c>
      <c r="G694" s="25"/>
      <c r="H694" s="25"/>
      <c r="I694" s="25"/>
      <c r="J694" s="25"/>
    </row>
    <row r="695" spans="1:10" ht="14.4">
      <c r="A695" s="44"/>
      <c r="B695" s="44"/>
      <c r="D695" s="25"/>
      <c r="E695" s="44"/>
      <c r="F695" s="25" t="s">
        <v>123</v>
      </c>
      <c r="G695" s="25"/>
      <c r="H695" s="25"/>
      <c r="I695" s="25"/>
      <c r="J695" s="25"/>
    </row>
    <row r="696" spans="1:10" ht="14.4">
      <c r="A696" s="44"/>
      <c r="B696" s="44"/>
      <c r="D696" s="25"/>
      <c r="E696" s="44"/>
      <c r="F696" s="25" t="s">
        <v>123</v>
      </c>
      <c r="G696" s="25"/>
      <c r="H696" s="25"/>
      <c r="I696" s="25"/>
      <c r="J696" s="25"/>
    </row>
    <row r="697" spans="1:10" ht="14.4">
      <c r="A697" s="44"/>
      <c r="B697" s="44"/>
      <c r="D697" s="25"/>
      <c r="E697" s="44"/>
      <c r="F697" s="25" t="s">
        <v>123</v>
      </c>
      <c r="G697" s="25"/>
      <c r="H697" s="25"/>
      <c r="I697" s="25"/>
      <c r="J697" s="25"/>
    </row>
    <row r="698" spans="1:10" ht="14.4">
      <c r="A698" s="44"/>
      <c r="B698" s="44"/>
      <c r="D698" s="25"/>
      <c r="E698" s="44"/>
      <c r="F698" s="25" t="s">
        <v>123</v>
      </c>
      <c r="G698" s="25"/>
      <c r="H698" s="25"/>
      <c r="I698" s="25"/>
      <c r="J698" s="25"/>
    </row>
    <row r="699" spans="1:10" ht="14.4">
      <c r="A699" s="44"/>
      <c r="B699" s="44"/>
      <c r="D699" s="25"/>
      <c r="E699" s="44"/>
      <c r="F699" s="25" t="s">
        <v>123</v>
      </c>
      <c r="G699" s="25"/>
      <c r="H699" s="25"/>
      <c r="I699" s="25"/>
      <c r="J699" s="25"/>
    </row>
    <row r="700" spans="1:10" ht="14.4">
      <c r="A700" s="44"/>
      <c r="B700" s="44"/>
      <c r="D700" s="25"/>
      <c r="E700" s="44"/>
      <c r="F700" s="25" t="s">
        <v>123</v>
      </c>
      <c r="G700" s="25"/>
      <c r="H700" s="25"/>
      <c r="I700" s="25"/>
      <c r="J700" s="25"/>
    </row>
    <row r="701" spans="1:10" ht="14.4">
      <c r="A701" s="44"/>
      <c r="B701" s="44"/>
      <c r="D701" s="25"/>
      <c r="E701" s="44"/>
      <c r="F701" s="25" t="s">
        <v>123</v>
      </c>
      <c r="G701" s="25"/>
      <c r="H701" s="25"/>
      <c r="I701" s="25"/>
      <c r="J701" s="25"/>
    </row>
    <row r="702" spans="1:10" ht="14.4">
      <c r="A702" s="44"/>
      <c r="B702" s="44"/>
      <c r="D702" s="25"/>
      <c r="E702" s="44"/>
      <c r="F702" s="25" t="s">
        <v>123</v>
      </c>
      <c r="G702" s="25"/>
      <c r="H702" s="25"/>
      <c r="I702" s="25"/>
      <c r="J702" s="25"/>
    </row>
    <row r="703" spans="1:10" ht="14.4">
      <c r="A703" s="44"/>
      <c r="B703" s="44"/>
      <c r="D703" s="25"/>
      <c r="E703" s="44"/>
      <c r="F703" s="25" t="s">
        <v>123</v>
      </c>
      <c r="G703" s="25"/>
      <c r="H703" s="25"/>
      <c r="I703" s="25"/>
      <c r="J703" s="25"/>
    </row>
    <row r="704" spans="1:10" ht="14.4">
      <c r="A704" s="44"/>
      <c r="B704" s="44"/>
      <c r="D704" s="25"/>
      <c r="E704" s="44"/>
      <c r="F704" s="25" t="s">
        <v>123</v>
      </c>
      <c r="G704" s="25"/>
      <c r="H704" s="25"/>
      <c r="I704" s="25"/>
      <c r="J704" s="25"/>
    </row>
    <row r="705" spans="1:10" ht="14.4">
      <c r="A705" s="44"/>
      <c r="B705" s="44"/>
      <c r="D705" s="25"/>
      <c r="E705" s="44"/>
      <c r="F705" s="25" t="s">
        <v>123</v>
      </c>
      <c r="G705" s="25"/>
      <c r="H705" s="25"/>
      <c r="I705" s="25"/>
      <c r="J705" s="25"/>
    </row>
    <row r="706" spans="1:10" ht="14.4">
      <c r="A706" s="44"/>
      <c r="B706" s="44"/>
      <c r="D706" s="25"/>
      <c r="E706" s="44"/>
      <c r="F706" s="25" t="s">
        <v>123</v>
      </c>
      <c r="G706" s="25"/>
      <c r="H706" s="25"/>
      <c r="I706" s="25"/>
      <c r="J706" s="25"/>
    </row>
    <row r="707" spans="1:10" ht="14.4">
      <c r="A707" s="44"/>
      <c r="B707" s="44"/>
      <c r="D707" s="25"/>
      <c r="E707" s="44"/>
      <c r="F707" s="25" t="s">
        <v>123</v>
      </c>
      <c r="G707" s="25"/>
      <c r="H707" s="25"/>
      <c r="I707" s="25"/>
      <c r="J707" s="25"/>
    </row>
    <row r="708" spans="1:10" ht="14.4">
      <c r="A708" s="44"/>
      <c r="B708" s="44"/>
      <c r="D708" s="25"/>
      <c r="E708" s="44"/>
      <c r="F708" s="25" t="s">
        <v>123</v>
      </c>
      <c r="G708" s="25"/>
      <c r="H708" s="25"/>
      <c r="I708" s="25"/>
      <c r="J708" s="25"/>
    </row>
    <row r="709" spans="1:10" ht="14.4">
      <c r="A709" s="44"/>
      <c r="B709" s="44"/>
      <c r="D709" s="25"/>
      <c r="E709" s="44"/>
      <c r="F709" s="25" t="s">
        <v>123</v>
      </c>
      <c r="G709" s="25"/>
      <c r="H709" s="25"/>
      <c r="I709" s="25"/>
      <c r="J709" s="25"/>
    </row>
    <row r="710" spans="1:10" ht="14.4">
      <c r="A710" s="44"/>
      <c r="B710" s="44"/>
      <c r="D710" s="25"/>
      <c r="E710" s="44"/>
      <c r="F710" s="25" t="s">
        <v>123</v>
      </c>
      <c r="G710" s="25"/>
      <c r="H710" s="25"/>
      <c r="I710" s="25"/>
      <c r="J710" s="25"/>
    </row>
    <row r="711" spans="1:10" ht="14.4">
      <c r="A711" s="44"/>
      <c r="B711" s="44"/>
      <c r="D711" s="25"/>
      <c r="E711" s="44"/>
      <c r="F711" s="25" t="s">
        <v>123</v>
      </c>
      <c r="G711" s="25"/>
      <c r="H711" s="25"/>
      <c r="I711" s="25"/>
      <c r="J711" s="25"/>
    </row>
    <row r="712" spans="1:10" ht="14.4">
      <c r="A712" s="44"/>
      <c r="B712" s="44"/>
      <c r="D712" s="25"/>
      <c r="E712" s="44"/>
      <c r="F712" s="25" t="s">
        <v>123</v>
      </c>
      <c r="G712" s="25"/>
      <c r="H712" s="25"/>
      <c r="I712" s="25"/>
      <c r="J712" s="25"/>
    </row>
    <row r="713" spans="1:10" ht="14.4">
      <c r="A713" s="44"/>
      <c r="B713" s="44"/>
      <c r="D713" s="25"/>
      <c r="E713" s="44"/>
      <c r="F713" s="25" t="s">
        <v>123</v>
      </c>
      <c r="G713" s="25"/>
      <c r="H713" s="25"/>
      <c r="I713" s="25"/>
      <c r="J713" s="25"/>
    </row>
    <row r="714" spans="1:10" ht="14.4">
      <c r="A714" s="44"/>
      <c r="B714" s="44"/>
      <c r="D714" s="25"/>
      <c r="E714" s="44"/>
      <c r="F714" s="25" t="s">
        <v>123</v>
      </c>
      <c r="G714" s="25"/>
      <c r="H714" s="25"/>
      <c r="I714" s="25"/>
      <c r="J714" s="25"/>
    </row>
    <row r="715" spans="1:10" ht="14.4">
      <c r="A715" s="44"/>
      <c r="B715" s="44"/>
      <c r="D715" s="25"/>
      <c r="E715" s="44"/>
      <c r="F715" s="25" t="s">
        <v>123</v>
      </c>
      <c r="G715" s="25"/>
      <c r="H715" s="25"/>
      <c r="I715" s="25"/>
      <c r="J715" s="25"/>
    </row>
    <row r="716" spans="1:10" ht="14.4">
      <c r="A716" s="44"/>
      <c r="B716" s="44"/>
      <c r="D716" s="25"/>
      <c r="E716" s="44"/>
      <c r="F716" s="25" t="s">
        <v>123</v>
      </c>
      <c r="G716" s="25"/>
      <c r="H716" s="25"/>
      <c r="I716" s="25"/>
      <c r="J716" s="25"/>
    </row>
    <row r="717" spans="1:10" ht="14.4">
      <c r="A717" s="44"/>
      <c r="B717" s="44"/>
      <c r="D717" s="25"/>
      <c r="E717" s="44"/>
      <c r="F717" s="25" t="s">
        <v>123</v>
      </c>
      <c r="G717" s="25"/>
      <c r="H717" s="25"/>
      <c r="I717" s="25"/>
      <c r="J717" s="25"/>
    </row>
    <row r="718" spans="1:10" ht="14.4">
      <c r="A718" s="44"/>
      <c r="B718" s="44"/>
      <c r="D718" s="25"/>
      <c r="E718" s="44"/>
      <c r="F718" s="25" t="s">
        <v>123</v>
      </c>
      <c r="G718" s="25"/>
      <c r="H718" s="25"/>
      <c r="I718" s="25"/>
      <c r="J718" s="25"/>
    </row>
    <row r="719" spans="1:10" ht="14.4">
      <c r="A719" s="44"/>
      <c r="B719" s="44"/>
      <c r="D719" s="25"/>
      <c r="E719" s="44"/>
      <c r="F719" s="25" t="s">
        <v>123</v>
      </c>
      <c r="G719" s="25"/>
      <c r="H719" s="25"/>
      <c r="I719" s="25"/>
      <c r="J719" s="25"/>
    </row>
    <row r="720" spans="1:10" ht="14.4">
      <c r="A720" s="44"/>
      <c r="B720" s="44"/>
      <c r="D720" s="25"/>
      <c r="E720" s="44"/>
      <c r="F720" s="25" t="s">
        <v>123</v>
      </c>
      <c r="G720" s="25"/>
      <c r="H720" s="25"/>
      <c r="I720" s="25"/>
      <c r="J720" s="25"/>
    </row>
    <row r="721" spans="1:10" ht="14.4">
      <c r="A721" s="44"/>
      <c r="B721" s="44"/>
      <c r="D721" s="25"/>
      <c r="E721" s="44"/>
      <c r="F721" s="25" t="s">
        <v>123</v>
      </c>
      <c r="G721" s="25"/>
      <c r="H721" s="25"/>
      <c r="I721" s="25"/>
      <c r="J721" s="25"/>
    </row>
    <row r="722" spans="1:10" ht="14.4">
      <c r="A722" s="44"/>
      <c r="B722" s="44"/>
      <c r="D722" s="25"/>
      <c r="E722" s="44"/>
      <c r="F722" s="25" t="s">
        <v>123</v>
      </c>
      <c r="G722" s="25"/>
      <c r="H722" s="25"/>
      <c r="I722" s="25"/>
      <c r="J722" s="25"/>
    </row>
    <row r="723" spans="1:10" ht="14.4">
      <c r="A723" s="44"/>
      <c r="B723" s="44"/>
      <c r="D723" s="25"/>
      <c r="E723" s="44"/>
      <c r="F723" s="25" t="s">
        <v>123</v>
      </c>
      <c r="G723" s="25"/>
      <c r="H723" s="25"/>
      <c r="I723" s="25"/>
      <c r="J723" s="25"/>
    </row>
    <row r="724" spans="1:10" ht="14.4">
      <c r="A724" s="44"/>
      <c r="B724" s="44"/>
      <c r="D724" s="25"/>
      <c r="E724" s="44"/>
      <c r="F724" s="25" t="s">
        <v>123</v>
      </c>
      <c r="G724" s="25"/>
      <c r="H724" s="25"/>
      <c r="I724" s="25"/>
      <c r="J724" s="25"/>
    </row>
    <row r="725" spans="1:10" ht="14.4">
      <c r="A725" s="44"/>
      <c r="B725" s="44"/>
      <c r="D725" s="25"/>
      <c r="E725" s="44"/>
      <c r="F725" s="25" t="s">
        <v>123</v>
      </c>
      <c r="G725" s="25"/>
      <c r="H725" s="25"/>
      <c r="I725" s="25"/>
      <c r="J725" s="25"/>
    </row>
    <row r="726" spans="1:10" ht="14.4">
      <c r="A726" s="44"/>
      <c r="B726" s="44"/>
      <c r="D726" s="25"/>
      <c r="E726" s="44"/>
      <c r="F726" s="25" t="s">
        <v>123</v>
      </c>
      <c r="G726" s="25"/>
      <c r="H726" s="25"/>
      <c r="I726" s="25"/>
      <c r="J726" s="25"/>
    </row>
    <row r="727" spans="1:10" ht="14.4">
      <c r="A727" s="44"/>
      <c r="B727" s="44"/>
      <c r="D727" s="25"/>
      <c r="E727" s="44"/>
      <c r="F727" s="25" t="s">
        <v>123</v>
      </c>
      <c r="G727" s="25"/>
      <c r="H727" s="25"/>
      <c r="I727" s="25"/>
      <c r="J727" s="25"/>
    </row>
    <row r="728" spans="1:10" ht="14.4">
      <c r="A728" s="44"/>
      <c r="B728" s="44"/>
      <c r="D728" s="25"/>
      <c r="E728" s="44"/>
      <c r="F728" s="25" t="s">
        <v>123</v>
      </c>
      <c r="G728" s="25"/>
      <c r="H728" s="25"/>
      <c r="I728" s="25"/>
      <c r="J728" s="25"/>
    </row>
    <row r="729" spans="1:10" ht="14.4">
      <c r="A729" s="44"/>
      <c r="B729" s="44"/>
      <c r="D729" s="25"/>
      <c r="E729" s="44"/>
      <c r="F729" s="25" t="s">
        <v>123</v>
      </c>
      <c r="G729" s="25"/>
      <c r="H729" s="25"/>
      <c r="I729" s="25"/>
      <c r="J729" s="25"/>
    </row>
    <row r="730" spans="1:10" ht="14.4">
      <c r="A730" s="44"/>
      <c r="B730" s="44"/>
      <c r="D730" s="25"/>
      <c r="E730" s="44"/>
      <c r="F730" s="25" t="s">
        <v>123</v>
      </c>
      <c r="G730" s="25"/>
      <c r="H730" s="25"/>
      <c r="I730" s="25"/>
      <c r="J730" s="25"/>
    </row>
    <row r="731" spans="1:10" ht="14.4">
      <c r="A731" s="44"/>
      <c r="B731" s="44"/>
      <c r="D731" s="25"/>
      <c r="E731" s="44"/>
      <c r="F731" s="25" t="s">
        <v>123</v>
      </c>
      <c r="G731" s="25"/>
      <c r="H731" s="25"/>
      <c r="I731" s="25"/>
      <c r="J731" s="25"/>
    </row>
    <row r="732" spans="1:10" ht="14.4">
      <c r="A732" s="44"/>
      <c r="B732" s="44"/>
      <c r="D732" s="25"/>
      <c r="E732" s="44"/>
      <c r="F732" s="25" t="s">
        <v>123</v>
      </c>
      <c r="G732" s="25"/>
      <c r="H732" s="25"/>
      <c r="I732" s="25"/>
      <c r="J732" s="25"/>
    </row>
    <row r="733" spans="1:10" ht="14.4">
      <c r="A733" s="44"/>
      <c r="B733" s="44"/>
      <c r="D733" s="25"/>
      <c r="E733" s="44"/>
      <c r="F733" s="25" t="s">
        <v>123</v>
      </c>
      <c r="G733" s="25"/>
      <c r="H733" s="25"/>
      <c r="I733" s="25"/>
      <c r="J733" s="25"/>
    </row>
    <row r="734" spans="1:10" ht="14.4">
      <c r="A734" s="44"/>
      <c r="B734" s="44"/>
      <c r="D734" s="25"/>
      <c r="E734" s="44"/>
      <c r="F734" s="25" t="s">
        <v>123</v>
      </c>
      <c r="G734" s="25"/>
      <c r="H734" s="25"/>
      <c r="I734" s="25"/>
      <c r="J734" s="25"/>
    </row>
    <row r="735" spans="1:10" ht="14.4">
      <c r="A735" s="44"/>
      <c r="B735" s="44"/>
      <c r="D735" s="25"/>
      <c r="E735" s="44"/>
      <c r="F735" s="25" t="s">
        <v>123</v>
      </c>
      <c r="G735" s="25"/>
      <c r="H735" s="25"/>
      <c r="I735" s="25"/>
      <c r="J735" s="25"/>
    </row>
    <row r="736" spans="1:10" ht="14.4">
      <c r="A736" s="44"/>
      <c r="B736" s="44"/>
      <c r="D736" s="25"/>
      <c r="E736" s="44"/>
      <c r="F736" s="25" t="s">
        <v>123</v>
      </c>
      <c r="G736" s="25"/>
      <c r="H736" s="25"/>
      <c r="I736" s="25"/>
      <c r="J736" s="25"/>
    </row>
    <row r="737" spans="1:10" ht="14.4">
      <c r="A737" s="44"/>
      <c r="B737" s="44"/>
      <c r="D737" s="25"/>
      <c r="E737" s="44"/>
      <c r="F737" s="25" t="s">
        <v>123</v>
      </c>
      <c r="G737" s="25"/>
      <c r="H737" s="25"/>
      <c r="I737" s="25"/>
      <c r="J737" s="25"/>
    </row>
    <row r="738" spans="1:10" ht="14.4">
      <c r="A738" s="44"/>
      <c r="B738" s="44"/>
      <c r="D738" s="25"/>
      <c r="E738" s="44"/>
      <c r="F738" s="25" t="s">
        <v>123</v>
      </c>
      <c r="G738" s="25"/>
      <c r="H738" s="25"/>
      <c r="I738" s="25"/>
      <c r="J738" s="25"/>
    </row>
    <row r="739" spans="1:10" ht="14.4">
      <c r="A739" s="44"/>
      <c r="B739" s="44"/>
      <c r="D739" s="25"/>
      <c r="E739" s="44"/>
      <c r="F739" s="25" t="s">
        <v>123</v>
      </c>
      <c r="G739" s="25"/>
      <c r="H739" s="25"/>
      <c r="I739" s="25"/>
      <c r="J739" s="25"/>
    </row>
    <row r="740" spans="1:10" ht="14.4">
      <c r="A740" s="44"/>
      <c r="B740" s="44"/>
      <c r="D740" s="25"/>
      <c r="E740" s="44"/>
      <c r="F740" s="25" t="s">
        <v>123</v>
      </c>
      <c r="G740" s="25"/>
      <c r="H740" s="25"/>
      <c r="I740" s="25"/>
      <c r="J740" s="25"/>
    </row>
    <row r="741" spans="1:10" ht="14.4">
      <c r="A741" s="44"/>
      <c r="B741" s="44"/>
      <c r="D741" s="25"/>
      <c r="E741" s="44"/>
      <c r="F741" s="25" t="s">
        <v>123</v>
      </c>
      <c r="G741" s="25"/>
      <c r="H741" s="25"/>
      <c r="I741" s="25"/>
      <c r="J741" s="25"/>
    </row>
    <row r="742" spans="1:10" ht="14.4">
      <c r="A742" s="44"/>
      <c r="B742" s="44"/>
      <c r="D742" s="25"/>
      <c r="E742" s="44"/>
      <c r="F742" s="25" t="s">
        <v>123</v>
      </c>
      <c r="G742" s="25"/>
      <c r="H742" s="25"/>
      <c r="I742" s="25"/>
      <c r="J742" s="25"/>
    </row>
    <row r="743" spans="1:10" ht="14.4">
      <c r="A743" s="44"/>
      <c r="B743" s="44"/>
      <c r="D743" s="25"/>
      <c r="E743" s="44"/>
      <c r="F743" s="25" t="s">
        <v>123</v>
      </c>
      <c r="G743" s="25"/>
      <c r="H743" s="25"/>
      <c r="I743" s="25"/>
      <c r="J743" s="25"/>
    </row>
    <row r="744" spans="1:10" ht="14.4">
      <c r="A744" s="44"/>
      <c r="B744" s="44"/>
      <c r="D744" s="25"/>
      <c r="E744" s="44"/>
      <c r="F744" s="25" t="s">
        <v>123</v>
      </c>
      <c r="G744" s="25"/>
      <c r="H744" s="25"/>
      <c r="I744" s="25"/>
      <c r="J744" s="25"/>
    </row>
    <row r="745" spans="1:10" ht="14.4">
      <c r="A745" s="44"/>
      <c r="B745" s="44"/>
      <c r="D745" s="25"/>
      <c r="E745" s="44"/>
      <c r="F745" s="25" t="s">
        <v>123</v>
      </c>
      <c r="G745" s="25"/>
      <c r="H745" s="25"/>
      <c r="I745" s="25"/>
      <c r="J745" s="25"/>
    </row>
    <row r="746" spans="1:10" ht="14.4">
      <c r="A746" s="44"/>
      <c r="B746" s="44"/>
      <c r="D746" s="25"/>
      <c r="E746" s="44"/>
      <c r="F746" s="25" t="s">
        <v>123</v>
      </c>
      <c r="G746" s="25"/>
      <c r="H746" s="25"/>
      <c r="I746" s="25"/>
      <c r="J746" s="25"/>
    </row>
    <row r="747" spans="1:10" ht="14.4">
      <c r="A747" s="44"/>
      <c r="B747" s="44"/>
      <c r="D747" s="25"/>
      <c r="E747" s="44"/>
      <c r="F747" s="25" t="s">
        <v>123</v>
      </c>
      <c r="G747" s="25"/>
      <c r="H747" s="25"/>
      <c r="I747" s="25"/>
      <c r="J747" s="25"/>
    </row>
    <row r="748" spans="1:10" ht="14.4">
      <c r="A748" s="44"/>
      <c r="B748" s="44"/>
      <c r="D748" s="25"/>
      <c r="E748" s="44"/>
      <c r="F748" s="25" t="s">
        <v>123</v>
      </c>
      <c r="G748" s="25"/>
      <c r="H748" s="25"/>
      <c r="I748" s="25"/>
      <c r="J748" s="25"/>
    </row>
    <row r="749" spans="1:10" ht="14.4">
      <c r="A749" s="44"/>
      <c r="B749" s="44"/>
      <c r="D749" s="25"/>
      <c r="E749" s="44"/>
      <c r="F749" s="25" t="s">
        <v>123</v>
      </c>
      <c r="G749" s="25"/>
      <c r="H749" s="25"/>
      <c r="I749" s="25"/>
      <c r="J749" s="25"/>
    </row>
    <row r="750" spans="1:10" ht="14.4">
      <c r="A750" s="44"/>
      <c r="B750" s="44"/>
      <c r="D750" s="25"/>
      <c r="E750" s="44"/>
      <c r="F750" s="25" t="s">
        <v>123</v>
      </c>
      <c r="G750" s="25"/>
      <c r="H750" s="25"/>
      <c r="I750" s="25"/>
      <c r="J750" s="25"/>
    </row>
    <row r="751" spans="1:10" ht="14.4">
      <c r="A751" s="44"/>
      <c r="B751" s="44"/>
      <c r="D751" s="25"/>
      <c r="E751" s="44"/>
      <c r="F751" s="25" t="s">
        <v>123</v>
      </c>
      <c r="G751" s="25"/>
      <c r="H751" s="25"/>
      <c r="I751" s="25"/>
      <c r="J751" s="25"/>
    </row>
    <row r="752" spans="1:10" ht="14.4">
      <c r="A752" s="44"/>
      <c r="B752" s="44"/>
      <c r="D752" s="25"/>
      <c r="E752" s="44"/>
      <c r="F752" s="25" t="s">
        <v>123</v>
      </c>
      <c r="G752" s="25"/>
      <c r="H752" s="25"/>
      <c r="I752" s="25"/>
      <c r="J752" s="25"/>
    </row>
    <row r="753" spans="1:10" ht="14.4">
      <c r="A753" s="44"/>
      <c r="B753" s="44"/>
      <c r="D753" s="25"/>
      <c r="E753" s="44"/>
      <c r="F753" s="25" t="s">
        <v>123</v>
      </c>
      <c r="G753" s="25"/>
      <c r="H753" s="25"/>
      <c r="I753" s="25"/>
      <c r="J753" s="25"/>
    </row>
    <row r="754" spans="1:10" ht="14.4">
      <c r="A754" s="44"/>
      <c r="B754" s="44"/>
      <c r="D754" s="25"/>
      <c r="E754" s="44"/>
      <c r="F754" s="25" t="s">
        <v>123</v>
      </c>
      <c r="G754" s="25"/>
      <c r="H754" s="25"/>
      <c r="I754" s="25"/>
      <c r="J754" s="25"/>
    </row>
    <row r="755" spans="1:10" ht="14.4">
      <c r="A755" s="44"/>
      <c r="B755" s="44"/>
      <c r="D755" s="25"/>
      <c r="E755" s="44"/>
      <c r="F755" s="25" t="s">
        <v>123</v>
      </c>
      <c r="G755" s="25"/>
      <c r="H755" s="25"/>
      <c r="I755" s="25"/>
      <c r="J755" s="25"/>
    </row>
    <row r="756" spans="1:10" ht="14.4">
      <c r="A756" s="44"/>
      <c r="B756" s="44"/>
      <c r="D756" s="25"/>
      <c r="E756" s="44"/>
      <c r="F756" s="25" t="s">
        <v>123</v>
      </c>
      <c r="G756" s="25"/>
      <c r="H756" s="25"/>
      <c r="I756" s="25"/>
      <c r="J756" s="25"/>
    </row>
    <row r="757" spans="1:10" ht="14.4">
      <c r="A757" s="44"/>
      <c r="B757" s="44"/>
      <c r="D757" s="25"/>
      <c r="E757" s="44"/>
      <c r="F757" s="25" t="s">
        <v>123</v>
      </c>
      <c r="G757" s="25"/>
      <c r="H757" s="25"/>
      <c r="I757" s="25"/>
      <c r="J757" s="25"/>
    </row>
    <row r="758" spans="1:10" ht="14.4">
      <c r="A758" s="44"/>
      <c r="B758" s="44"/>
      <c r="D758" s="25"/>
      <c r="E758" s="44"/>
      <c r="F758" s="25" t="s">
        <v>123</v>
      </c>
      <c r="G758" s="25"/>
      <c r="H758" s="25"/>
      <c r="I758" s="25"/>
      <c r="J758" s="25"/>
    </row>
    <row r="759" spans="1:10" ht="14.4">
      <c r="A759" s="44"/>
      <c r="B759" s="44"/>
      <c r="D759" s="25"/>
      <c r="E759" s="44"/>
      <c r="F759" s="25" t="s">
        <v>123</v>
      </c>
      <c r="G759" s="25"/>
      <c r="H759" s="25"/>
      <c r="I759" s="25"/>
      <c r="J759" s="25"/>
    </row>
    <row r="760" spans="1:10" ht="14.4">
      <c r="A760" s="44"/>
      <c r="B760" s="44"/>
      <c r="D760" s="25"/>
      <c r="E760" s="44"/>
      <c r="F760" s="25" t="s">
        <v>123</v>
      </c>
      <c r="G760" s="25"/>
      <c r="H760" s="25"/>
      <c r="I760" s="25"/>
      <c r="J760" s="25"/>
    </row>
    <row r="761" spans="1:10" ht="14.4">
      <c r="A761" s="44"/>
      <c r="B761" s="44"/>
      <c r="D761" s="25"/>
      <c r="E761" s="44"/>
      <c r="F761" s="25" t="s">
        <v>123</v>
      </c>
      <c r="G761" s="25"/>
      <c r="H761" s="25"/>
      <c r="I761" s="25"/>
      <c r="J761" s="25"/>
    </row>
    <row r="762" spans="1:10" ht="14.4">
      <c r="A762" s="44"/>
      <c r="B762" s="44"/>
      <c r="D762" s="25"/>
      <c r="E762" s="44"/>
      <c r="F762" s="25" t="s">
        <v>123</v>
      </c>
      <c r="G762" s="25"/>
      <c r="H762" s="25"/>
      <c r="I762" s="25"/>
      <c r="J762" s="25"/>
    </row>
    <row r="763" spans="1:10" ht="14.4">
      <c r="A763" s="44"/>
      <c r="B763" s="44"/>
      <c r="D763" s="25"/>
      <c r="E763" s="44"/>
      <c r="F763" s="25" t="s">
        <v>123</v>
      </c>
      <c r="G763" s="25"/>
      <c r="H763" s="25"/>
      <c r="I763" s="25"/>
      <c r="J763" s="25"/>
    </row>
    <row r="764" spans="1:10" ht="14.4">
      <c r="A764" s="44"/>
      <c r="B764" s="44"/>
      <c r="D764" s="25"/>
      <c r="E764" s="44"/>
      <c r="F764" s="25" t="s">
        <v>123</v>
      </c>
      <c r="G764" s="25"/>
      <c r="H764" s="25"/>
      <c r="I764" s="25"/>
      <c r="J764" s="25"/>
    </row>
    <row r="765" spans="1:10" ht="14.4">
      <c r="A765" s="44"/>
      <c r="B765" s="44"/>
      <c r="D765" s="25"/>
      <c r="E765" s="44"/>
      <c r="F765" s="25" t="s">
        <v>123</v>
      </c>
      <c r="G765" s="25"/>
      <c r="H765" s="25"/>
      <c r="I765" s="25"/>
      <c r="J765" s="25"/>
    </row>
    <row r="766" spans="1:10" ht="14.4">
      <c r="A766" s="44"/>
      <c r="B766" s="44"/>
      <c r="D766" s="25"/>
      <c r="E766" s="44"/>
      <c r="F766" s="25" t="s">
        <v>123</v>
      </c>
      <c r="G766" s="25"/>
      <c r="H766" s="25"/>
      <c r="I766" s="25"/>
      <c r="J766" s="25"/>
    </row>
    <row r="767" spans="1:10" ht="14.4">
      <c r="A767" s="44"/>
      <c r="B767" s="44"/>
      <c r="D767" s="25"/>
      <c r="E767" s="44"/>
      <c r="F767" s="25" t="s">
        <v>123</v>
      </c>
      <c r="G767" s="25"/>
      <c r="H767" s="25"/>
      <c r="I767" s="25"/>
      <c r="J767" s="25"/>
    </row>
    <row r="768" spans="1:10" ht="14.4">
      <c r="A768" s="44"/>
      <c r="B768" s="44"/>
      <c r="D768" s="25"/>
      <c r="E768" s="44"/>
      <c r="F768" s="25" t="s">
        <v>123</v>
      </c>
      <c r="G768" s="25"/>
      <c r="H768" s="25"/>
      <c r="I768" s="25"/>
      <c r="J768" s="25"/>
    </row>
    <row r="769" spans="1:10" ht="14.4">
      <c r="A769" s="44"/>
      <c r="B769" s="44"/>
      <c r="D769" s="25"/>
      <c r="E769" s="44"/>
      <c r="F769" s="25" t="s">
        <v>123</v>
      </c>
      <c r="G769" s="25"/>
      <c r="H769" s="25"/>
      <c r="I769" s="25"/>
      <c r="J769" s="25"/>
    </row>
    <row r="770" spans="1:10" ht="14.4">
      <c r="A770" s="44"/>
      <c r="B770" s="44"/>
      <c r="D770" s="25"/>
      <c r="E770" s="44"/>
      <c r="F770" s="25" t="s">
        <v>123</v>
      </c>
      <c r="G770" s="25"/>
      <c r="H770" s="25"/>
      <c r="I770" s="25"/>
      <c r="J770" s="25"/>
    </row>
    <row r="771" spans="1:10" ht="14.4">
      <c r="A771" s="44"/>
      <c r="B771" s="44"/>
      <c r="D771" s="25"/>
      <c r="E771" s="44"/>
      <c r="F771" s="25" t="s">
        <v>123</v>
      </c>
      <c r="G771" s="25"/>
      <c r="H771" s="25"/>
      <c r="I771" s="25"/>
      <c r="J771" s="25"/>
    </row>
    <row r="772" spans="1:10" ht="14.4">
      <c r="A772" s="44"/>
      <c r="B772" s="44"/>
      <c r="D772" s="25"/>
      <c r="E772" s="44"/>
      <c r="F772" s="25" t="s">
        <v>123</v>
      </c>
      <c r="G772" s="25"/>
      <c r="H772" s="25"/>
      <c r="I772" s="25"/>
      <c r="J772" s="25"/>
    </row>
    <row r="773" spans="1:10" ht="14.4">
      <c r="A773" s="44"/>
      <c r="B773" s="44"/>
      <c r="D773" s="25"/>
      <c r="E773" s="44"/>
      <c r="F773" s="25" t="s">
        <v>123</v>
      </c>
      <c r="G773" s="25"/>
      <c r="H773" s="25"/>
      <c r="I773" s="25"/>
      <c r="J773" s="25"/>
    </row>
    <row r="774" spans="1:10" ht="14.4">
      <c r="A774" s="44"/>
      <c r="B774" s="44"/>
      <c r="D774" s="25"/>
      <c r="E774" s="44"/>
      <c r="F774" s="25" t="s">
        <v>123</v>
      </c>
      <c r="G774" s="25"/>
      <c r="H774" s="25"/>
      <c r="I774" s="25"/>
      <c r="J774" s="25"/>
    </row>
    <row r="775" spans="1:10" ht="14.4">
      <c r="A775" s="44"/>
      <c r="B775" s="44"/>
      <c r="D775" s="25"/>
      <c r="E775" s="44"/>
      <c r="F775" s="25" t="s">
        <v>123</v>
      </c>
      <c r="G775" s="25"/>
      <c r="H775" s="25"/>
      <c r="I775" s="25"/>
      <c r="J775" s="25"/>
    </row>
    <row r="776" spans="1:10" ht="14.4">
      <c r="A776" s="44"/>
      <c r="B776" s="44"/>
      <c r="D776" s="25"/>
      <c r="E776" s="44"/>
      <c r="F776" s="25" t="s">
        <v>123</v>
      </c>
      <c r="G776" s="25"/>
      <c r="H776" s="25"/>
      <c r="I776" s="25"/>
      <c r="J776" s="25"/>
    </row>
    <row r="777" spans="1:10" ht="14.4">
      <c r="A777" s="44"/>
      <c r="B777" s="44"/>
      <c r="D777" s="25"/>
      <c r="E777" s="44"/>
      <c r="F777" s="25" t="s">
        <v>123</v>
      </c>
      <c r="G777" s="25"/>
      <c r="H777" s="25"/>
      <c r="I777" s="25"/>
      <c r="J777" s="25"/>
    </row>
    <row r="778" spans="1:10" ht="14.4">
      <c r="A778" s="44"/>
      <c r="B778" s="44"/>
      <c r="D778" s="25"/>
      <c r="E778" s="44"/>
      <c r="F778" s="25" t="s">
        <v>123</v>
      </c>
      <c r="G778" s="25"/>
      <c r="H778" s="25"/>
      <c r="I778" s="25"/>
      <c r="J778" s="25"/>
    </row>
    <row r="779" spans="1:10" ht="14.4">
      <c r="A779" s="44"/>
      <c r="B779" s="44"/>
      <c r="D779" s="25"/>
      <c r="E779" s="44"/>
      <c r="F779" s="25" t="s">
        <v>123</v>
      </c>
      <c r="G779" s="25"/>
      <c r="H779" s="25"/>
      <c r="I779" s="25"/>
      <c r="J779" s="25"/>
    </row>
    <row r="780" spans="1:10" ht="14.4">
      <c r="A780" s="44"/>
      <c r="B780" s="44"/>
      <c r="D780" s="25"/>
      <c r="E780" s="44"/>
      <c r="F780" s="25" t="s">
        <v>123</v>
      </c>
      <c r="G780" s="25"/>
      <c r="H780" s="25"/>
      <c r="I780" s="25"/>
      <c r="J780" s="25"/>
    </row>
    <row r="781" spans="1:10" ht="14.4">
      <c r="A781" s="44"/>
      <c r="B781" s="44"/>
      <c r="D781" s="25"/>
      <c r="E781" s="44"/>
      <c r="F781" s="25" t="s">
        <v>123</v>
      </c>
      <c r="G781" s="25"/>
      <c r="H781" s="25"/>
      <c r="I781" s="25"/>
      <c r="J781" s="25"/>
    </row>
    <row r="782" spans="1:10" ht="14.4">
      <c r="A782" s="44"/>
      <c r="B782" s="44"/>
      <c r="D782" s="25"/>
      <c r="E782" s="44"/>
      <c r="F782" s="25" t="s">
        <v>123</v>
      </c>
      <c r="G782" s="25"/>
      <c r="H782" s="25"/>
      <c r="I782" s="25"/>
      <c r="J782" s="25"/>
    </row>
    <row r="783" spans="1:10" ht="14.4">
      <c r="A783" s="44"/>
      <c r="B783" s="44"/>
      <c r="D783" s="25"/>
      <c r="E783" s="44"/>
      <c r="F783" s="25" t="s">
        <v>123</v>
      </c>
      <c r="G783" s="25"/>
      <c r="H783" s="25"/>
      <c r="I783" s="25"/>
      <c r="J783" s="25"/>
    </row>
    <row r="784" spans="1:10" ht="14.4">
      <c r="A784" s="44"/>
      <c r="B784" s="44"/>
      <c r="D784" s="25"/>
      <c r="E784" s="44"/>
      <c r="F784" s="25" t="s">
        <v>123</v>
      </c>
      <c r="G784" s="25"/>
      <c r="H784" s="25"/>
      <c r="I784" s="25"/>
      <c r="J784" s="25"/>
    </row>
    <row r="785" spans="1:10" ht="14.4">
      <c r="A785" s="44"/>
      <c r="B785" s="44"/>
      <c r="D785" s="25"/>
      <c r="E785" s="44"/>
      <c r="F785" s="25" t="s">
        <v>123</v>
      </c>
      <c r="G785" s="25"/>
      <c r="H785" s="25"/>
      <c r="I785" s="25"/>
      <c r="J785" s="25"/>
    </row>
    <row r="786" spans="1:10" ht="14.4">
      <c r="A786" s="44"/>
      <c r="B786" s="44"/>
      <c r="D786" s="25"/>
      <c r="E786" s="44"/>
      <c r="F786" s="25" t="s">
        <v>123</v>
      </c>
      <c r="G786" s="25"/>
      <c r="H786" s="25"/>
      <c r="I786" s="25"/>
      <c r="J786" s="25"/>
    </row>
    <row r="787" spans="1:10" ht="14.4">
      <c r="A787" s="44"/>
      <c r="B787" s="44"/>
      <c r="D787" s="25"/>
      <c r="E787" s="44"/>
      <c r="F787" s="25" t="s">
        <v>123</v>
      </c>
      <c r="G787" s="25"/>
      <c r="H787" s="25"/>
      <c r="I787" s="25"/>
      <c r="J787" s="25"/>
    </row>
    <row r="788" spans="1:10" ht="14.4">
      <c r="A788" s="44"/>
      <c r="B788" s="44"/>
      <c r="D788" s="25"/>
      <c r="E788" s="44"/>
      <c r="F788" s="25" t="s">
        <v>123</v>
      </c>
      <c r="G788" s="25"/>
      <c r="H788" s="25"/>
      <c r="I788" s="25"/>
      <c r="J788" s="25"/>
    </row>
    <row r="789" spans="1:10" ht="14.4">
      <c r="A789" s="44"/>
      <c r="B789" s="44"/>
      <c r="D789" s="25"/>
      <c r="E789" s="44"/>
      <c r="F789" s="25" t="s">
        <v>123</v>
      </c>
      <c r="G789" s="25"/>
      <c r="H789" s="25"/>
      <c r="I789" s="25"/>
      <c r="J789" s="25"/>
    </row>
    <row r="790" spans="1:10" ht="14.4">
      <c r="A790" s="44"/>
      <c r="B790" s="44"/>
      <c r="D790" s="25"/>
      <c r="E790" s="44"/>
      <c r="F790" s="25" t="s">
        <v>123</v>
      </c>
      <c r="G790" s="25"/>
      <c r="H790" s="25"/>
      <c r="I790" s="25"/>
      <c r="J790" s="25"/>
    </row>
    <row r="791" spans="1:10" ht="14.4">
      <c r="A791" s="44"/>
      <c r="B791" s="44"/>
      <c r="D791" s="25"/>
      <c r="E791" s="44"/>
      <c r="F791" s="25" t="s">
        <v>123</v>
      </c>
      <c r="G791" s="25"/>
      <c r="H791" s="25"/>
      <c r="I791" s="25"/>
      <c r="J791" s="25"/>
    </row>
    <row r="792" spans="1:10" ht="14.4">
      <c r="A792" s="44"/>
      <c r="B792" s="44"/>
      <c r="D792" s="25"/>
      <c r="E792" s="44"/>
      <c r="F792" s="25" t="s">
        <v>123</v>
      </c>
      <c r="G792" s="25"/>
      <c r="H792" s="25"/>
      <c r="I792" s="25"/>
      <c r="J792" s="25"/>
    </row>
    <row r="793" spans="1:10" ht="14.4">
      <c r="A793" s="44"/>
      <c r="B793" s="44"/>
      <c r="D793" s="25"/>
      <c r="E793" s="44"/>
      <c r="F793" s="25" t="s">
        <v>123</v>
      </c>
      <c r="G793" s="25"/>
      <c r="H793" s="25"/>
      <c r="I793" s="25"/>
      <c r="J793" s="25"/>
    </row>
    <row r="794" spans="1:10" ht="14.4">
      <c r="A794" s="44"/>
      <c r="B794" s="44"/>
      <c r="D794" s="25"/>
      <c r="E794" s="44"/>
      <c r="F794" s="25" t="s">
        <v>123</v>
      </c>
      <c r="G794" s="25"/>
      <c r="H794" s="25"/>
      <c r="I794" s="25"/>
      <c r="J794" s="25"/>
    </row>
    <row r="795" spans="1:10" ht="14.4">
      <c r="A795" s="44"/>
      <c r="B795" s="44"/>
      <c r="D795" s="25"/>
      <c r="E795" s="44"/>
      <c r="F795" s="25" t="s">
        <v>123</v>
      </c>
      <c r="G795" s="25"/>
      <c r="H795" s="25"/>
      <c r="I795" s="25"/>
      <c r="J795" s="25"/>
    </row>
    <row r="796" spans="1:10" ht="14.4">
      <c r="A796" s="44"/>
      <c r="B796" s="44"/>
      <c r="D796" s="25"/>
      <c r="E796" s="44"/>
      <c r="F796" s="25" t="s">
        <v>123</v>
      </c>
      <c r="G796" s="25"/>
      <c r="H796" s="25"/>
      <c r="I796" s="25"/>
      <c r="J796" s="25"/>
    </row>
    <row r="797" spans="1:10" ht="14.4">
      <c r="A797" s="44"/>
      <c r="B797" s="44"/>
      <c r="D797" s="25"/>
      <c r="E797" s="44"/>
      <c r="F797" s="25" t="s">
        <v>123</v>
      </c>
      <c r="G797" s="25"/>
      <c r="H797" s="25"/>
      <c r="I797" s="25"/>
      <c r="J797" s="25"/>
    </row>
    <row r="798" spans="1:10" ht="14.4">
      <c r="A798" s="44"/>
      <c r="B798" s="44"/>
      <c r="D798" s="25"/>
      <c r="E798" s="44"/>
      <c r="F798" s="25" t="s">
        <v>123</v>
      </c>
      <c r="G798" s="25"/>
      <c r="H798" s="25"/>
      <c r="I798" s="25"/>
      <c r="J798" s="25"/>
    </row>
    <row r="799" spans="1:10" ht="14.4">
      <c r="A799" s="44"/>
      <c r="B799" s="44"/>
      <c r="D799" s="25"/>
      <c r="E799" s="44"/>
      <c r="F799" s="25" t="s">
        <v>123</v>
      </c>
      <c r="G799" s="25"/>
      <c r="H799" s="25"/>
      <c r="I799" s="25"/>
      <c r="J799" s="25"/>
    </row>
    <row r="800" spans="1:10" ht="14.4">
      <c r="A800" s="44"/>
      <c r="B800" s="44"/>
      <c r="D800" s="25"/>
      <c r="E800" s="44"/>
      <c r="F800" s="25" t="s">
        <v>123</v>
      </c>
      <c r="G800" s="25"/>
      <c r="H800" s="25"/>
      <c r="I800" s="25"/>
      <c r="J800" s="25"/>
    </row>
    <row r="801" spans="1:10" ht="14.4">
      <c r="A801" s="44"/>
      <c r="B801" s="44"/>
      <c r="D801" s="25"/>
      <c r="E801" s="44"/>
      <c r="F801" s="25" t="s">
        <v>123</v>
      </c>
      <c r="G801" s="25"/>
      <c r="H801" s="25"/>
      <c r="I801" s="25"/>
      <c r="J801" s="25"/>
    </row>
    <row r="802" spans="1:10" ht="14.4">
      <c r="A802" s="44"/>
      <c r="B802" s="44"/>
      <c r="D802" s="25"/>
      <c r="E802" s="44"/>
      <c r="F802" s="25" t="s">
        <v>123</v>
      </c>
      <c r="G802" s="25"/>
      <c r="H802" s="25"/>
      <c r="I802" s="25"/>
      <c r="J802" s="25"/>
    </row>
    <row r="803" spans="1:10" ht="14.4">
      <c r="A803" s="44"/>
      <c r="B803" s="44"/>
      <c r="D803" s="25"/>
      <c r="E803" s="44"/>
      <c r="F803" s="25" t="s">
        <v>123</v>
      </c>
      <c r="G803" s="25"/>
      <c r="H803" s="25"/>
      <c r="I803" s="25"/>
      <c r="J803" s="25"/>
    </row>
    <row r="804" spans="1:10" ht="14.4">
      <c r="A804" s="44"/>
      <c r="B804" s="44"/>
      <c r="D804" s="25"/>
      <c r="E804" s="44"/>
      <c r="F804" s="25" t="s">
        <v>123</v>
      </c>
      <c r="G804" s="25"/>
      <c r="H804" s="25"/>
      <c r="I804" s="25"/>
      <c r="J804" s="25"/>
    </row>
    <row r="805" spans="1:10" ht="14.4">
      <c r="A805" s="44"/>
      <c r="B805" s="44"/>
      <c r="D805" s="25"/>
      <c r="E805" s="44"/>
      <c r="F805" s="25" t="s">
        <v>123</v>
      </c>
      <c r="G805" s="25"/>
      <c r="H805" s="25"/>
      <c r="I805" s="25"/>
      <c r="J805" s="25"/>
    </row>
    <row r="806" spans="1:10" ht="14.4">
      <c r="A806" s="44"/>
      <c r="B806" s="44"/>
      <c r="D806" s="25"/>
      <c r="E806" s="44"/>
      <c r="F806" s="25" t="s">
        <v>123</v>
      </c>
      <c r="G806" s="25"/>
      <c r="H806" s="25"/>
      <c r="I806" s="25"/>
      <c r="J806" s="25"/>
    </row>
    <row r="807" spans="1:10" ht="14.4">
      <c r="A807" s="44"/>
      <c r="B807" s="44"/>
      <c r="D807" s="25"/>
      <c r="E807" s="44"/>
      <c r="F807" s="25" t="s">
        <v>123</v>
      </c>
      <c r="G807" s="25"/>
      <c r="H807" s="25"/>
      <c r="I807" s="25"/>
      <c r="J807" s="25"/>
    </row>
    <row r="808" spans="1:10" ht="14.4">
      <c r="A808" s="44"/>
      <c r="B808" s="44"/>
      <c r="D808" s="25"/>
      <c r="E808" s="44"/>
      <c r="F808" s="25" t="s">
        <v>123</v>
      </c>
      <c r="G808" s="25"/>
      <c r="H808" s="25"/>
      <c r="I808" s="25"/>
      <c r="J808" s="25"/>
    </row>
    <row r="809" spans="1:10" ht="14.4">
      <c r="A809" s="44"/>
      <c r="B809" s="44"/>
      <c r="D809" s="25"/>
      <c r="E809" s="44"/>
      <c r="F809" s="25" t="s">
        <v>123</v>
      </c>
      <c r="G809" s="25"/>
      <c r="H809" s="25"/>
      <c r="I809" s="25"/>
      <c r="J809" s="25"/>
    </row>
    <row r="810" spans="1:10" ht="14.4">
      <c r="A810" s="44"/>
      <c r="B810" s="44"/>
      <c r="D810" s="25"/>
      <c r="E810" s="44"/>
      <c r="F810" s="25" t="s">
        <v>123</v>
      </c>
      <c r="G810" s="25"/>
      <c r="H810" s="25"/>
      <c r="I810" s="25"/>
      <c r="J810" s="25"/>
    </row>
    <row r="811" spans="1:10" ht="14.4">
      <c r="A811" s="44"/>
      <c r="B811" s="44"/>
      <c r="D811" s="25"/>
      <c r="E811" s="44"/>
      <c r="F811" s="25" t="s">
        <v>123</v>
      </c>
      <c r="G811" s="25"/>
      <c r="H811" s="25"/>
      <c r="I811" s="25"/>
      <c r="J811" s="25"/>
    </row>
    <row r="812" spans="1:10" ht="14.4">
      <c r="A812" s="44"/>
      <c r="B812" s="44"/>
      <c r="D812" s="25"/>
      <c r="E812" s="44"/>
      <c r="F812" s="25" t="s">
        <v>123</v>
      </c>
      <c r="G812" s="25"/>
      <c r="H812" s="25"/>
      <c r="I812" s="25"/>
      <c r="J812" s="25"/>
    </row>
    <row r="813" spans="1:10" ht="14.4">
      <c r="A813" s="44"/>
      <c r="B813" s="44"/>
      <c r="D813" s="25"/>
      <c r="E813" s="44"/>
      <c r="F813" s="25" t="s">
        <v>123</v>
      </c>
      <c r="G813" s="25"/>
      <c r="H813" s="25"/>
      <c r="I813" s="25"/>
      <c r="J813" s="25"/>
    </row>
    <row r="814" spans="1:10" ht="14.4">
      <c r="A814" s="44"/>
      <c r="B814" s="44"/>
      <c r="D814" s="25"/>
      <c r="E814" s="44"/>
      <c r="F814" s="25" t="s">
        <v>123</v>
      </c>
      <c r="G814" s="25"/>
      <c r="H814" s="25"/>
      <c r="I814" s="25"/>
      <c r="J814" s="25"/>
    </row>
    <row r="815" spans="1:10" ht="14.4">
      <c r="A815" s="44"/>
      <c r="B815" s="44"/>
      <c r="D815" s="25"/>
      <c r="E815" s="44"/>
      <c r="F815" s="25" t="s">
        <v>123</v>
      </c>
      <c r="G815" s="25"/>
      <c r="H815" s="25"/>
      <c r="I815" s="25"/>
      <c r="J815" s="25"/>
    </row>
    <row r="816" spans="1:10" ht="14.4">
      <c r="A816" s="44"/>
      <c r="B816" s="44"/>
      <c r="D816" s="25"/>
      <c r="E816" s="44"/>
      <c r="F816" s="25" t="s">
        <v>123</v>
      </c>
      <c r="G816" s="25"/>
      <c r="H816" s="25"/>
      <c r="I816" s="25"/>
      <c r="J816" s="25"/>
    </row>
    <row r="817" spans="1:10" ht="14.4">
      <c r="A817" s="44"/>
      <c r="B817" s="44"/>
      <c r="D817" s="25"/>
      <c r="E817" s="44"/>
      <c r="F817" s="25" t="s">
        <v>123</v>
      </c>
      <c r="G817" s="25"/>
      <c r="H817" s="25"/>
      <c r="I817" s="25"/>
      <c r="J817" s="25"/>
    </row>
    <row r="818" spans="1:10" ht="14.4">
      <c r="A818" s="44"/>
      <c r="B818" s="44"/>
      <c r="D818" s="25"/>
      <c r="E818" s="44"/>
      <c r="F818" s="25" t="s">
        <v>123</v>
      </c>
      <c r="G818" s="25"/>
      <c r="H818" s="25"/>
      <c r="I818" s="25"/>
      <c r="J818" s="25"/>
    </row>
    <row r="819" spans="1:10" ht="14.4">
      <c r="A819" s="44"/>
      <c r="B819" s="44"/>
      <c r="D819" s="25"/>
      <c r="E819" s="44"/>
      <c r="F819" s="25" t="s">
        <v>123</v>
      </c>
      <c r="G819" s="25"/>
      <c r="H819" s="25"/>
      <c r="I819" s="25"/>
      <c r="J819" s="25"/>
    </row>
    <row r="820" spans="1:10" ht="14.4">
      <c r="A820" s="44"/>
      <c r="B820" s="44"/>
      <c r="D820" s="25"/>
      <c r="E820" s="44"/>
      <c r="F820" s="25" t="s">
        <v>123</v>
      </c>
      <c r="G820" s="25"/>
      <c r="H820" s="25"/>
      <c r="I820" s="25"/>
      <c r="J820" s="25"/>
    </row>
    <row r="821" spans="1:10" ht="14.4">
      <c r="A821" s="44"/>
      <c r="B821" s="44"/>
      <c r="D821" s="25"/>
      <c r="E821" s="44"/>
      <c r="F821" s="25" t="s">
        <v>123</v>
      </c>
      <c r="G821" s="25"/>
      <c r="H821" s="25"/>
      <c r="I821" s="25"/>
      <c r="J821" s="25"/>
    </row>
    <row r="822" spans="1:10" ht="14.4">
      <c r="A822" s="44"/>
      <c r="B822" s="44"/>
      <c r="D822" s="25"/>
      <c r="E822" s="44"/>
      <c r="F822" s="25" t="s">
        <v>123</v>
      </c>
      <c r="G822" s="25"/>
      <c r="H822" s="25"/>
      <c r="I822" s="25"/>
      <c r="J822" s="25"/>
    </row>
    <row r="823" spans="1:10" ht="14.4">
      <c r="A823" s="44"/>
      <c r="B823" s="44"/>
      <c r="D823" s="25"/>
      <c r="E823" s="44"/>
      <c r="F823" s="25" t="s">
        <v>123</v>
      </c>
      <c r="G823" s="25"/>
      <c r="H823" s="25"/>
      <c r="I823" s="25"/>
      <c r="J823" s="25"/>
    </row>
    <row r="824" spans="1:10" ht="14.4">
      <c r="A824" s="44"/>
      <c r="B824" s="44"/>
      <c r="D824" s="25"/>
      <c r="E824" s="44"/>
      <c r="F824" s="25" t="s">
        <v>123</v>
      </c>
      <c r="G824" s="25"/>
      <c r="H824" s="25"/>
      <c r="I824" s="25"/>
      <c r="J824" s="25"/>
    </row>
    <row r="825" spans="1:10" ht="14.4">
      <c r="A825" s="44"/>
      <c r="B825" s="44"/>
      <c r="D825" s="25"/>
      <c r="E825" s="44"/>
      <c r="F825" s="25" t="s">
        <v>123</v>
      </c>
      <c r="G825" s="25"/>
      <c r="H825" s="25"/>
      <c r="I825" s="25"/>
      <c r="J825" s="25"/>
    </row>
    <row r="826" spans="1:10" ht="14.4">
      <c r="A826" s="44"/>
      <c r="B826" s="44"/>
      <c r="D826" s="25"/>
      <c r="E826" s="44"/>
      <c r="F826" s="25" t="s">
        <v>123</v>
      </c>
      <c r="G826" s="25"/>
      <c r="H826" s="25"/>
      <c r="I826" s="25"/>
      <c r="J826" s="25"/>
    </row>
    <row r="827" spans="1:10" ht="14.4">
      <c r="A827" s="44"/>
      <c r="B827" s="44"/>
      <c r="D827" s="25"/>
      <c r="E827" s="44"/>
      <c r="F827" s="25" t="s">
        <v>123</v>
      </c>
      <c r="G827" s="25"/>
      <c r="H827" s="25"/>
      <c r="I827" s="25"/>
      <c r="J827" s="25"/>
    </row>
    <row r="828" spans="1:10" ht="14.4">
      <c r="A828" s="44"/>
      <c r="B828" s="44"/>
      <c r="D828" s="25"/>
      <c r="E828" s="44"/>
      <c r="F828" s="25" t="s">
        <v>123</v>
      </c>
      <c r="G828" s="25"/>
      <c r="H828" s="25"/>
      <c r="I828" s="25"/>
      <c r="J828" s="25"/>
    </row>
    <row r="829" spans="1:10" ht="14.4">
      <c r="A829" s="44"/>
      <c r="B829" s="44"/>
      <c r="D829" s="25"/>
      <c r="E829" s="44"/>
      <c r="F829" s="25" t="s">
        <v>123</v>
      </c>
      <c r="G829" s="25"/>
      <c r="H829" s="25"/>
      <c r="I829" s="25"/>
      <c r="J829" s="25"/>
    </row>
    <row r="830" spans="1:10" ht="14.4">
      <c r="A830" s="44"/>
      <c r="B830" s="44"/>
      <c r="D830" s="25"/>
      <c r="E830" s="44"/>
      <c r="F830" s="25" t="s">
        <v>123</v>
      </c>
      <c r="G830" s="25"/>
      <c r="H830" s="25"/>
      <c r="I830" s="25"/>
      <c r="J830" s="25"/>
    </row>
    <row r="831" spans="1:10" ht="14.4">
      <c r="A831" s="44"/>
      <c r="B831" s="44"/>
      <c r="D831" s="25"/>
      <c r="E831" s="44"/>
      <c r="F831" s="25" t="s">
        <v>123</v>
      </c>
      <c r="G831" s="25"/>
      <c r="H831" s="25"/>
      <c r="I831" s="25"/>
      <c r="J831" s="25"/>
    </row>
    <row r="832" spans="1:10" ht="14.4">
      <c r="A832" s="44"/>
      <c r="B832" s="44"/>
      <c r="D832" s="25"/>
      <c r="E832" s="44"/>
      <c r="F832" s="25" t="s">
        <v>123</v>
      </c>
      <c r="G832" s="25"/>
      <c r="H832" s="25"/>
      <c r="I832" s="25"/>
      <c r="J832" s="25"/>
    </row>
    <row r="833" spans="1:10" ht="14.4">
      <c r="A833" s="44"/>
      <c r="B833" s="44"/>
      <c r="D833" s="25"/>
      <c r="E833" s="44"/>
      <c r="F833" s="25" t="s">
        <v>123</v>
      </c>
      <c r="G833" s="25"/>
      <c r="H833" s="25"/>
      <c r="I833" s="25"/>
      <c r="J833" s="25"/>
    </row>
    <row r="834" spans="1:10" ht="14.4">
      <c r="A834" s="44"/>
      <c r="B834" s="44"/>
      <c r="D834" s="25"/>
      <c r="E834" s="44"/>
      <c r="F834" s="25" t="s">
        <v>123</v>
      </c>
      <c r="G834" s="25"/>
      <c r="H834" s="25"/>
      <c r="I834" s="25"/>
      <c r="J834" s="25"/>
    </row>
    <row r="835" spans="1:10" ht="14.4">
      <c r="A835" s="44"/>
      <c r="B835" s="44"/>
      <c r="D835" s="25"/>
      <c r="E835" s="44"/>
      <c r="F835" s="25" t="s">
        <v>123</v>
      </c>
      <c r="G835" s="25"/>
      <c r="H835" s="25"/>
      <c r="I835" s="25"/>
      <c r="J835" s="25"/>
    </row>
    <row r="836" spans="1:10" ht="14.4">
      <c r="A836" s="44"/>
      <c r="B836" s="44"/>
      <c r="D836" s="25"/>
      <c r="E836" s="44"/>
      <c r="F836" s="25" t="s">
        <v>123</v>
      </c>
      <c r="G836" s="25"/>
      <c r="H836" s="25"/>
      <c r="I836" s="25"/>
      <c r="J836" s="25"/>
    </row>
    <row r="837" spans="1:10" ht="14.4">
      <c r="A837" s="44"/>
      <c r="B837" s="44"/>
      <c r="D837" s="25"/>
      <c r="E837" s="44"/>
      <c r="F837" s="25" t="s">
        <v>123</v>
      </c>
      <c r="G837" s="25"/>
      <c r="H837" s="25"/>
      <c r="I837" s="25"/>
      <c r="J837" s="25"/>
    </row>
    <row r="838" spans="1:10" ht="14.4">
      <c r="A838" s="44"/>
      <c r="B838" s="44"/>
      <c r="D838" s="25"/>
      <c r="E838" s="44"/>
      <c r="F838" s="25" t="s">
        <v>123</v>
      </c>
      <c r="G838" s="25"/>
      <c r="H838" s="25"/>
      <c r="I838" s="25"/>
      <c r="J838" s="25"/>
    </row>
    <row r="839" spans="1:10" ht="14.4">
      <c r="A839" s="44"/>
      <c r="B839" s="44"/>
      <c r="D839" s="25"/>
      <c r="E839" s="44"/>
      <c r="F839" s="25" t="s">
        <v>123</v>
      </c>
      <c r="G839" s="25"/>
      <c r="H839" s="25"/>
      <c r="I839" s="25"/>
      <c r="J839" s="25"/>
    </row>
    <row r="840" spans="1:10" ht="14.4">
      <c r="A840" s="44"/>
      <c r="B840" s="44"/>
      <c r="D840" s="25"/>
      <c r="E840" s="44"/>
      <c r="F840" s="25" t="s">
        <v>123</v>
      </c>
      <c r="G840" s="25"/>
      <c r="H840" s="25"/>
      <c r="I840" s="25"/>
      <c r="J840" s="25"/>
    </row>
    <row r="841" spans="1:10" ht="14.4">
      <c r="A841" s="44"/>
      <c r="B841" s="44"/>
      <c r="D841" s="25"/>
      <c r="E841" s="44"/>
      <c r="F841" s="25" t="s">
        <v>123</v>
      </c>
      <c r="G841" s="25"/>
      <c r="H841" s="25"/>
      <c r="I841" s="25"/>
      <c r="J841" s="25"/>
    </row>
    <row r="842" spans="1:10" ht="14.4">
      <c r="A842" s="44"/>
      <c r="B842" s="44"/>
      <c r="D842" s="25"/>
      <c r="E842" s="44"/>
      <c r="F842" s="25" t="s">
        <v>123</v>
      </c>
      <c r="G842" s="25"/>
      <c r="H842" s="25"/>
      <c r="I842" s="25"/>
      <c r="J842" s="25"/>
    </row>
    <row r="843" spans="1:10" ht="14.4">
      <c r="A843" s="44"/>
      <c r="B843" s="44"/>
      <c r="D843" s="25"/>
      <c r="E843" s="44"/>
      <c r="F843" s="25" t="s">
        <v>123</v>
      </c>
      <c r="G843" s="25"/>
      <c r="H843" s="25"/>
      <c r="I843" s="25"/>
      <c r="J843" s="25"/>
    </row>
    <row r="844" spans="1:10" ht="14.4">
      <c r="A844" s="44"/>
      <c r="B844" s="44"/>
      <c r="D844" s="25"/>
      <c r="E844" s="44"/>
      <c r="F844" s="25" t="s">
        <v>123</v>
      </c>
      <c r="G844" s="25"/>
      <c r="H844" s="25"/>
      <c r="I844" s="25"/>
      <c r="J844" s="25"/>
    </row>
    <row r="845" spans="1:10" ht="14.4">
      <c r="A845" s="44"/>
      <c r="B845" s="44"/>
      <c r="D845" s="25"/>
      <c r="E845" s="44"/>
      <c r="F845" s="25" t="s">
        <v>123</v>
      </c>
      <c r="G845" s="25"/>
      <c r="H845" s="25"/>
      <c r="I845" s="25"/>
      <c r="J845" s="25"/>
    </row>
    <row r="846" spans="1:10" ht="14.4">
      <c r="A846" s="44"/>
      <c r="B846" s="44"/>
      <c r="D846" s="25"/>
      <c r="E846" s="44"/>
      <c r="F846" s="25" t="s">
        <v>123</v>
      </c>
      <c r="G846" s="25"/>
      <c r="H846" s="25"/>
      <c r="I846" s="25"/>
      <c r="J846" s="25"/>
    </row>
    <row r="847" spans="1:10" ht="14.4">
      <c r="A847" s="44"/>
      <c r="B847" s="44"/>
      <c r="D847" s="25"/>
      <c r="E847" s="44"/>
      <c r="F847" s="25" t="s">
        <v>123</v>
      </c>
      <c r="G847" s="25"/>
      <c r="H847" s="25"/>
      <c r="I847" s="25"/>
      <c r="J847" s="25"/>
    </row>
    <row r="848" spans="1:10" ht="14.4">
      <c r="A848" s="44"/>
      <c r="B848" s="44"/>
      <c r="D848" s="25"/>
      <c r="E848" s="44"/>
      <c r="F848" s="25" t="s">
        <v>123</v>
      </c>
      <c r="G848" s="25"/>
      <c r="H848" s="25"/>
      <c r="I848" s="25"/>
      <c r="J848" s="25"/>
    </row>
    <row r="849" spans="1:10" ht="14.4">
      <c r="A849" s="44"/>
      <c r="B849" s="44"/>
      <c r="D849" s="25"/>
      <c r="E849" s="44"/>
      <c r="F849" s="25" t="s">
        <v>123</v>
      </c>
      <c r="G849" s="25"/>
      <c r="H849" s="25"/>
      <c r="I849" s="25"/>
      <c r="J849" s="25"/>
    </row>
    <row r="850" spans="1:10" ht="14.4">
      <c r="A850" s="44"/>
      <c r="B850" s="44"/>
      <c r="D850" s="25"/>
      <c r="E850" s="44"/>
      <c r="F850" s="25" t="s">
        <v>123</v>
      </c>
      <c r="G850" s="25"/>
      <c r="H850" s="25"/>
      <c r="I850" s="25"/>
      <c r="J850" s="25"/>
    </row>
    <row r="851" spans="1:10" ht="14.4">
      <c r="A851" s="44"/>
      <c r="B851" s="44"/>
      <c r="D851" s="25"/>
      <c r="E851" s="44"/>
      <c r="F851" s="25" t="s">
        <v>123</v>
      </c>
      <c r="G851" s="25"/>
      <c r="H851" s="25"/>
      <c r="I851" s="25"/>
      <c r="J851" s="25"/>
    </row>
    <row r="852" spans="1:10" ht="14.4">
      <c r="A852" s="44"/>
      <c r="B852" s="44"/>
      <c r="D852" s="25"/>
      <c r="E852" s="44"/>
      <c r="F852" s="25" t="s">
        <v>123</v>
      </c>
      <c r="G852" s="25"/>
      <c r="H852" s="25"/>
      <c r="I852" s="25"/>
      <c r="J852" s="25"/>
    </row>
    <row r="853" spans="1:10" ht="14.4">
      <c r="A853" s="44"/>
      <c r="B853" s="44"/>
      <c r="D853" s="25"/>
      <c r="E853" s="44"/>
      <c r="F853" s="25" t="s">
        <v>123</v>
      </c>
      <c r="G853" s="25"/>
      <c r="H853" s="25"/>
      <c r="I853" s="25"/>
      <c r="J853" s="25"/>
    </row>
    <row r="854" spans="1:10" ht="14.4">
      <c r="A854" s="44"/>
      <c r="B854" s="44"/>
      <c r="D854" s="25"/>
      <c r="E854" s="44"/>
      <c r="F854" s="25" t="s">
        <v>123</v>
      </c>
      <c r="G854" s="25"/>
      <c r="H854" s="25"/>
      <c r="I854" s="25"/>
      <c r="J854" s="25"/>
    </row>
    <row r="855" spans="1:10" ht="14.4">
      <c r="A855" s="44"/>
      <c r="B855" s="44"/>
      <c r="D855" s="25"/>
      <c r="E855" s="44"/>
      <c r="F855" s="25" t="s">
        <v>123</v>
      </c>
      <c r="G855" s="25"/>
      <c r="H855" s="25"/>
      <c r="I855" s="25"/>
      <c r="J855" s="25"/>
    </row>
    <row r="856" spans="1:10" ht="14.4">
      <c r="A856" s="44"/>
      <c r="B856" s="44"/>
      <c r="D856" s="25"/>
      <c r="E856" s="44"/>
      <c r="F856" s="25" t="s">
        <v>123</v>
      </c>
      <c r="G856" s="25"/>
      <c r="H856" s="25"/>
      <c r="I856" s="25"/>
      <c r="J856" s="25"/>
    </row>
    <row r="857" spans="1:10" ht="14.4">
      <c r="A857" s="44"/>
      <c r="B857" s="44"/>
      <c r="D857" s="25"/>
      <c r="E857" s="44"/>
      <c r="F857" s="25" t="s">
        <v>123</v>
      </c>
      <c r="G857" s="25"/>
      <c r="H857" s="25"/>
      <c r="I857" s="25"/>
      <c r="J857" s="25"/>
    </row>
    <row r="858" spans="1:10" ht="14.4">
      <c r="A858" s="44"/>
      <c r="B858" s="44"/>
      <c r="D858" s="25"/>
      <c r="E858" s="44"/>
      <c r="F858" s="25" t="s">
        <v>123</v>
      </c>
      <c r="G858" s="25"/>
      <c r="H858" s="25"/>
      <c r="I858" s="25"/>
      <c r="J858" s="25"/>
    </row>
    <row r="859" spans="1:10" ht="14.4">
      <c r="A859" s="44"/>
      <c r="B859" s="44"/>
      <c r="D859" s="25"/>
      <c r="E859" s="44"/>
      <c r="F859" s="25" t="s">
        <v>123</v>
      </c>
      <c r="G859" s="25"/>
      <c r="H859" s="25"/>
      <c r="I859" s="25"/>
      <c r="J859" s="25"/>
    </row>
    <row r="860" spans="1:10" ht="14.4">
      <c r="A860" s="44"/>
      <c r="B860" s="44"/>
      <c r="D860" s="25"/>
      <c r="E860" s="44"/>
      <c r="F860" s="25" t="s">
        <v>123</v>
      </c>
      <c r="G860" s="25"/>
      <c r="H860" s="25"/>
      <c r="I860" s="25"/>
      <c r="J860" s="25"/>
    </row>
    <row r="861" spans="1:10" ht="14.4">
      <c r="A861" s="44"/>
      <c r="B861" s="44"/>
      <c r="D861" s="25"/>
      <c r="E861" s="44"/>
      <c r="F861" s="25" t="s">
        <v>123</v>
      </c>
      <c r="G861" s="25"/>
      <c r="H861" s="25"/>
      <c r="I861" s="25"/>
      <c r="J861" s="25"/>
    </row>
    <row r="862" spans="1:10" ht="14.4">
      <c r="A862" s="44"/>
      <c r="B862" s="44"/>
      <c r="D862" s="25"/>
      <c r="E862" s="44"/>
      <c r="F862" s="25" t="s">
        <v>123</v>
      </c>
      <c r="G862" s="25"/>
      <c r="H862" s="25"/>
      <c r="I862" s="25"/>
      <c r="J862" s="25"/>
    </row>
    <row r="863" spans="1:10" ht="14.4">
      <c r="A863" s="44"/>
      <c r="B863" s="44"/>
      <c r="D863" s="25"/>
      <c r="E863" s="44"/>
      <c r="F863" s="25" t="s">
        <v>123</v>
      </c>
      <c r="G863" s="25"/>
      <c r="H863" s="25"/>
      <c r="I863" s="25"/>
      <c r="J863" s="25"/>
    </row>
    <row r="864" spans="1:10" ht="14.4">
      <c r="A864" s="44"/>
      <c r="B864" s="44"/>
      <c r="D864" s="25"/>
      <c r="E864" s="44"/>
      <c r="F864" s="25" t="s">
        <v>123</v>
      </c>
      <c r="G864" s="25"/>
      <c r="H864" s="25"/>
      <c r="I864" s="25"/>
      <c r="J864" s="25"/>
    </row>
    <row r="865" spans="1:10" ht="14.4">
      <c r="A865" s="44"/>
      <c r="B865" s="44"/>
      <c r="D865" s="25"/>
      <c r="E865" s="44"/>
      <c r="F865" s="25" t="s">
        <v>123</v>
      </c>
      <c r="G865" s="25"/>
      <c r="H865" s="25"/>
      <c r="I865" s="25"/>
      <c r="J865" s="25"/>
    </row>
    <row r="866" spans="1:10" ht="14.4">
      <c r="A866" s="44"/>
      <c r="B866" s="44"/>
      <c r="D866" s="25"/>
      <c r="E866" s="44"/>
      <c r="F866" s="25" t="s">
        <v>123</v>
      </c>
      <c r="G866" s="25"/>
      <c r="H866" s="25"/>
      <c r="I866" s="25"/>
      <c r="J866" s="25"/>
    </row>
    <row r="867" spans="1:10" ht="14.4">
      <c r="A867" s="44"/>
      <c r="B867" s="44"/>
      <c r="D867" s="25"/>
      <c r="E867" s="44"/>
      <c r="F867" s="25" t="s">
        <v>123</v>
      </c>
      <c r="G867" s="25"/>
      <c r="H867" s="25"/>
      <c r="I867" s="25"/>
      <c r="J867" s="25"/>
    </row>
    <row r="868" spans="1:10" ht="14.4">
      <c r="A868" s="44"/>
      <c r="B868" s="44"/>
      <c r="D868" s="25"/>
      <c r="E868" s="44"/>
      <c r="F868" s="25" t="s">
        <v>123</v>
      </c>
      <c r="G868" s="25"/>
      <c r="H868" s="25"/>
      <c r="I868" s="25"/>
      <c r="J868" s="25"/>
    </row>
    <row r="869" spans="1:10" ht="14.4">
      <c r="A869" s="44"/>
      <c r="B869" s="44"/>
      <c r="D869" s="25"/>
      <c r="E869" s="44"/>
      <c r="F869" s="25" t="s">
        <v>123</v>
      </c>
      <c r="G869" s="25"/>
      <c r="H869" s="25"/>
      <c r="I869" s="25"/>
      <c r="J869" s="25"/>
    </row>
    <row r="870" spans="1:10" ht="14.4">
      <c r="A870" s="44"/>
      <c r="B870" s="44"/>
      <c r="D870" s="25"/>
      <c r="E870" s="44"/>
      <c r="F870" s="25" t="s">
        <v>123</v>
      </c>
      <c r="G870" s="25"/>
      <c r="H870" s="25"/>
      <c r="I870" s="25"/>
      <c r="J870" s="25"/>
    </row>
    <row r="871" spans="1:10" ht="14.4">
      <c r="A871" s="44"/>
      <c r="B871" s="44"/>
      <c r="D871" s="25"/>
      <c r="E871" s="44"/>
      <c r="F871" s="25" t="s">
        <v>123</v>
      </c>
      <c r="G871" s="25"/>
      <c r="H871" s="25"/>
      <c r="I871" s="25"/>
      <c r="J871" s="25"/>
    </row>
    <row r="872" spans="1:10" ht="14.4">
      <c r="A872" s="44"/>
      <c r="B872" s="44"/>
      <c r="D872" s="25"/>
      <c r="E872" s="44"/>
      <c r="F872" s="25" t="s">
        <v>123</v>
      </c>
      <c r="G872" s="25"/>
      <c r="H872" s="25"/>
      <c r="I872" s="25"/>
      <c r="J872" s="25"/>
    </row>
    <row r="873" spans="1:10" ht="14.4">
      <c r="A873" s="44"/>
      <c r="B873" s="44"/>
      <c r="D873" s="25"/>
      <c r="E873" s="44"/>
      <c r="F873" s="25" t="s">
        <v>123</v>
      </c>
      <c r="G873" s="25"/>
      <c r="H873" s="25"/>
      <c r="I873" s="25"/>
      <c r="J873" s="25"/>
    </row>
    <row r="874" spans="1:10" ht="14.4">
      <c r="A874" s="44"/>
      <c r="B874" s="44"/>
      <c r="D874" s="25"/>
      <c r="E874" s="44"/>
      <c r="F874" s="25" t="s">
        <v>123</v>
      </c>
      <c r="G874" s="25"/>
      <c r="H874" s="25"/>
      <c r="I874" s="25"/>
      <c r="J874" s="25"/>
    </row>
    <row r="875" spans="1:10" ht="14.4">
      <c r="A875" s="44"/>
      <c r="B875" s="44"/>
      <c r="D875" s="25"/>
      <c r="E875" s="44"/>
      <c r="F875" s="25" t="s">
        <v>123</v>
      </c>
      <c r="G875" s="25"/>
      <c r="H875" s="25"/>
      <c r="I875" s="25"/>
      <c r="J875" s="25"/>
    </row>
    <row r="876" spans="1:10" ht="14.4">
      <c r="A876" s="44"/>
      <c r="B876" s="44"/>
      <c r="D876" s="25"/>
      <c r="E876" s="44"/>
      <c r="F876" s="25" t="s">
        <v>123</v>
      </c>
      <c r="G876" s="25"/>
      <c r="H876" s="25"/>
      <c r="I876" s="25"/>
      <c r="J876" s="25"/>
    </row>
    <row r="877" spans="1:10" ht="14.4">
      <c r="A877" s="44"/>
      <c r="B877" s="44"/>
      <c r="D877" s="25"/>
      <c r="E877" s="44"/>
      <c r="F877" s="25" t="s">
        <v>123</v>
      </c>
      <c r="G877" s="25"/>
      <c r="H877" s="25"/>
      <c r="I877" s="25"/>
      <c r="J877" s="25"/>
    </row>
    <row r="878" spans="1:10" ht="14.4">
      <c r="A878" s="44"/>
      <c r="B878" s="44"/>
      <c r="D878" s="25"/>
      <c r="E878" s="44"/>
      <c r="F878" s="25" t="s">
        <v>123</v>
      </c>
      <c r="G878" s="25"/>
      <c r="H878" s="25"/>
      <c r="I878" s="25"/>
      <c r="J878" s="25"/>
    </row>
    <row r="879" spans="1:10" ht="14.4">
      <c r="A879" s="44"/>
      <c r="B879" s="44"/>
      <c r="D879" s="25"/>
      <c r="E879" s="44"/>
      <c r="F879" s="25" t="s">
        <v>123</v>
      </c>
      <c r="G879" s="25"/>
      <c r="H879" s="25"/>
      <c r="I879" s="25"/>
      <c r="J879" s="25"/>
    </row>
    <row r="880" spans="1:10" ht="14.4">
      <c r="A880" s="44"/>
      <c r="B880" s="44"/>
      <c r="D880" s="25"/>
      <c r="E880" s="44"/>
      <c r="F880" s="25" t="s">
        <v>123</v>
      </c>
      <c r="G880" s="25"/>
      <c r="H880" s="25"/>
      <c r="I880" s="25"/>
      <c r="J880" s="25"/>
    </row>
    <row r="881" spans="1:10" ht="14.4">
      <c r="A881" s="44"/>
      <c r="B881" s="44"/>
      <c r="D881" s="25"/>
      <c r="E881" s="44"/>
      <c r="F881" s="25" t="s">
        <v>123</v>
      </c>
      <c r="G881" s="25"/>
      <c r="H881" s="25"/>
      <c r="I881" s="25"/>
      <c r="J881" s="25"/>
    </row>
    <row r="882" spans="1:10" ht="14.4">
      <c r="A882" s="44"/>
      <c r="B882" s="44"/>
      <c r="D882" s="25"/>
      <c r="E882" s="44"/>
      <c r="F882" s="25" t="s">
        <v>123</v>
      </c>
      <c r="G882" s="25"/>
      <c r="H882" s="25"/>
      <c r="I882" s="25"/>
      <c r="J882" s="25"/>
    </row>
    <row r="883" spans="1:10" ht="14.4">
      <c r="A883" s="44"/>
      <c r="B883" s="44"/>
      <c r="D883" s="25"/>
      <c r="E883" s="44"/>
      <c r="F883" s="25" t="s">
        <v>123</v>
      </c>
      <c r="G883" s="25"/>
      <c r="H883" s="25"/>
      <c r="I883" s="25"/>
      <c r="J883" s="25"/>
    </row>
    <row r="884" spans="1:10" ht="14.4">
      <c r="A884" s="44"/>
      <c r="B884" s="44"/>
      <c r="D884" s="25"/>
      <c r="E884" s="44"/>
      <c r="F884" s="25" t="s">
        <v>123</v>
      </c>
      <c r="G884" s="25"/>
      <c r="H884" s="25"/>
      <c r="I884" s="25"/>
      <c r="J884" s="25"/>
    </row>
    <row r="885" spans="1:10" ht="14.4">
      <c r="A885" s="44"/>
      <c r="B885" s="44"/>
      <c r="D885" s="25"/>
      <c r="E885" s="44"/>
      <c r="F885" s="25" t="s">
        <v>123</v>
      </c>
      <c r="G885" s="25"/>
      <c r="H885" s="25"/>
      <c r="I885" s="25"/>
      <c r="J885" s="25"/>
    </row>
    <row r="886" spans="1:10" ht="14.4">
      <c r="A886" s="44"/>
      <c r="B886" s="44"/>
      <c r="D886" s="25"/>
      <c r="E886" s="44"/>
      <c r="F886" s="25" t="s">
        <v>123</v>
      </c>
      <c r="G886" s="25"/>
      <c r="H886" s="25"/>
      <c r="I886" s="25"/>
      <c r="J886" s="25"/>
    </row>
    <row r="887" spans="1:10" ht="14.4">
      <c r="A887" s="44"/>
      <c r="B887" s="44"/>
      <c r="D887" s="25"/>
      <c r="E887" s="44"/>
      <c r="F887" s="25" t="s">
        <v>123</v>
      </c>
      <c r="G887" s="25"/>
      <c r="H887" s="25"/>
      <c r="I887" s="25"/>
      <c r="J887" s="25"/>
    </row>
    <row r="888" spans="1:10" ht="14.4">
      <c r="A888" s="44"/>
      <c r="B888" s="44"/>
      <c r="D888" s="25"/>
      <c r="E888" s="44"/>
      <c r="F888" s="25" t="s">
        <v>123</v>
      </c>
      <c r="G888" s="25"/>
      <c r="H888" s="25"/>
      <c r="I888" s="25"/>
      <c r="J888" s="25"/>
    </row>
    <row r="889" spans="1:10" ht="14.4">
      <c r="A889" s="44"/>
      <c r="B889" s="44"/>
      <c r="D889" s="25"/>
      <c r="E889" s="44"/>
      <c r="F889" s="25" t="s">
        <v>123</v>
      </c>
      <c r="G889" s="25"/>
      <c r="H889" s="25"/>
      <c r="I889" s="25"/>
      <c r="J889" s="25"/>
    </row>
    <row r="890" spans="1:10" ht="14.4">
      <c r="A890" s="44"/>
      <c r="B890" s="44"/>
      <c r="D890" s="25"/>
      <c r="E890" s="44"/>
      <c r="F890" s="25" t="s">
        <v>123</v>
      </c>
      <c r="G890" s="25"/>
      <c r="H890" s="25"/>
      <c r="I890" s="25"/>
      <c r="J890" s="25"/>
    </row>
    <row r="891" spans="1:10" ht="14.4">
      <c r="A891" s="44"/>
      <c r="B891" s="44"/>
      <c r="D891" s="25"/>
      <c r="E891" s="44"/>
      <c r="F891" s="25" t="s">
        <v>123</v>
      </c>
      <c r="G891" s="25"/>
      <c r="H891" s="25"/>
      <c r="I891" s="25"/>
      <c r="J891" s="25"/>
    </row>
    <row r="892" spans="1:10" ht="14.4">
      <c r="A892" s="44"/>
      <c r="B892" s="44"/>
      <c r="D892" s="25"/>
      <c r="E892" s="44"/>
      <c r="F892" s="25" t="s">
        <v>123</v>
      </c>
      <c r="G892" s="25"/>
      <c r="H892" s="25"/>
      <c r="I892" s="25"/>
      <c r="J892" s="25"/>
    </row>
    <row r="893" spans="1:10" ht="14.4">
      <c r="A893" s="44"/>
      <c r="B893" s="44"/>
      <c r="D893" s="25"/>
      <c r="E893" s="44"/>
      <c r="F893" s="25" t="s">
        <v>123</v>
      </c>
      <c r="G893" s="25"/>
      <c r="H893" s="25"/>
      <c r="I893" s="25"/>
      <c r="J893" s="25"/>
    </row>
    <row r="894" spans="1:10" ht="14.4">
      <c r="A894" s="44"/>
      <c r="B894" s="44"/>
      <c r="D894" s="25"/>
      <c r="E894" s="44"/>
      <c r="F894" s="25" t="s">
        <v>123</v>
      </c>
      <c r="G894" s="25"/>
      <c r="H894" s="25"/>
      <c r="I894" s="25"/>
      <c r="J894" s="25"/>
    </row>
    <row r="895" spans="1:10" ht="14.4">
      <c r="A895" s="44"/>
      <c r="B895" s="44"/>
      <c r="D895" s="25"/>
      <c r="E895" s="44"/>
      <c r="F895" s="25" t="s">
        <v>123</v>
      </c>
      <c r="G895" s="25"/>
      <c r="H895" s="25"/>
      <c r="I895" s="25"/>
      <c r="J895" s="25"/>
    </row>
    <row r="896" spans="1:10" ht="14.4">
      <c r="A896" s="44"/>
      <c r="B896" s="44"/>
      <c r="D896" s="25"/>
      <c r="E896" s="44"/>
      <c r="F896" s="25" t="s">
        <v>123</v>
      </c>
      <c r="G896" s="25"/>
      <c r="H896" s="25"/>
      <c r="I896" s="25"/>
      <c r="J896" s="25"/>
    </row>
    <row r="897" spans="1:10" ht="14.4">
      <c r="A897" s="44"/>
      <c r="B897" s="44"/>
      <c r="D897" s="25"/>
      <c r="E897" s="44"/>
      <c r="F897" s="25" t="s">
        <v>123</v>
      </c>
      <c r="G897" s="25"/>
      <c r="H897" s="25"/>
      <c r="I897" s="25"/>
      <c r="J897" s="25"/>
    </row>
    <row r="898" spans="1:10" ht="14.4">
      <c r="A898" s="44"/>
      <c r="B898" s="44"/>
      <c r="D898" s="25"/>
      <c r="E898" s="44"/>
      <c r="F898" s="25" t="s">
        <v>123</v>
      </c>
      <c r="G898" s="25"/>
      <c r="H898" s="25"/>
      <c r="I898" s="25"/>
      <c r="J898" s="25"/>
    </row>
    <row r="899" spans="1:10" ht="14.4">
      <c r="A899" s="44"/>
      <c r="B899" s="44"/>
      <c r="D899" s="25"/>
      <c r="E899" s="44"/>
      <c r="F899" s="25" t="s">
        <v>123</v>
      </c>
      <c r="G899" s="25"/>
      <c r="H899" s="25"/>
      <c r="I899" s="25"/>
      <c r="J899" s="25"/>
    </row>
    <row r="900" spans="1:10" ht="14.4">
      <c r="A900" s="44"/>
      <c r="B900" s="44"/>
      <c r="D900" s="25"/>
      <c r="E900" s="44"/>
      <c r="F900" s="25" t="s">
        <v>123</v>
      </c>
      <c r="G900" s="25"/>
      <c r="H900" s="25"/>
      <c r="I900" s="25"/>
      <c r="J900" s="25"/>
    </row>
    <row r="901" spans="1:10" ht="14.4">
      <c r="A901" s="44"/>
      <c r="B901" s="44"/>
      <c r="D901" s="25"/>
      <c r="E901" s="44"/>
      <c r="F901" s="25" t="s">
        <v>123</v>
      </c>
      <c r="G901" s="25"/>
      <c r="H901" s="25"/>
      <c r="I901" s="25"/>
      <c r="J901" s="25"/>
    </row>
    <row r="902" spans="1:10" ht="14.4">
      <c r="A902" s="44"/>
      <c r="B902" s="44"/>
      <c r="D902" s="25"/>
      <c r="E902" s="44"/>
      <c r="F902" s="25" t="s">
        <v>123</v>
      </c>
      <c r="G902" s="25"/>
      <c r="H902" s="25"/>
      <c r="I902" s="25"/>
      <c r="J902" s="25"/>
    </row>
    <row r="903" spans="1:10" ht="14.4">
      <c r="A903" s="44"/>
      <c r="B903" s="44"/>
      <c r="D903" s="25"/>
      <c r="E903" s="44"/>
      <c r="F903" s="25" t="s">
        <v>123</v>
      </c>
      <c r="G903" s="25"/>
      <c r="H903" s="25"/>
      <c r="I903" s="25"/>
      <c r="J903" s="25"/>
    </row>
    <row r="904" spans="1:10" ht="14.4">
      <c r="A904" s="44"/>
      <c r="B904" s="44"/>
      <c r="D904" s="25"/>
      <c r="E904" s="44"/>
      <c r="F904" s="25" t="s">
        <v>123</v>
      </c>
      <c r="G904" s="25"/>
      <c r="H904" s="25"/>
      <c r="I904" s="25"/>
      <c r="J904" s="25"/>
    </row>
    <row r="905" spans="1:10" ht="14.4">
      <c r="A905" s="44"/>
      <c r="B905" s="44"/>
      <c r="D905" s="25"/>
      <c r="E905" s="44"/>
      <c r="F905" s="25" t="s">
        <v>123</v>
      </c>
      <c r="G905" s="25"/>
      <c r="H905" s="25"/>
      <c r="I905" s="25"/>
      <c r="J905" s="25"/>
    </row>
    <row r="906" spans="1:10" ht="14.4">
      <c r="A906" s="44"/>
      <c r="B906" s="44"/>
      <c r="D906" s="25"/>
      <c r="E906" s="44"/>
      <c r="F906" s="25" t="s">
        <v>123</v>
      </c>
      <c r="G906" s="25"/>
      <c r="H906" s="25"/>
      <c r="I906" s="25"/>
      <c r="J906" s="25"/>
    </row>
    <row r="907" spans="1:10" ht="14.4">
      <c r="A907" s="44"/>
      <c r="B907" s="44"/>
      <c r="D907" s="25"/>
      <c r="E907" s="44"/>
      <c r="F907" s="25" t="s">
        <v>123</v>
      </c>
      <c r="G907" s="25"/>
      <c r="H907" s="25"/>
      <c r="I907" s="25"/>
      <c r="J907" s="25"/>
    </row>
    <row r="908" spans="1:10" ht="14.4">
      <c r="A908" s="44"/>
      <c r="B908" s="44"/>
      <c r="D908" s="25"/>
      <c r="E908" s="44"/>
      <c r="F908" s="25" t="s">
        <v>123</v>
      </c>
      <c r="G908" s="25"/>
      <c r="H908" s="25"/>
      <c r="I908" s="25"/>
      <c r="J908" s="25"/>
    </row>
    <row r="909" spans="1:10" ht="14.4">
      <c r="A909" s="44"/>
      <c r="B909" s="44"/>
      <c r="D909" s="25"/>
      <c r="E909" s="44"/>
      <c r="F909" s="25" t="s">
        <v>123</v>
      </c>
      <c r="G909" s="25"/>
      <c r="H909" s="25"/>
      <c r="I909" s="25"/>
      <c r="J909" s="25"/>
    </row>
    <row r="910" spans="1:10" ht="14.4">
      <c r="A910" s="44"/>
      <c r="B910" s="44"/>
      <c r="D910" s="25"/>
      <c r="E910" s="44"/>
      <c r="F910" s="25" t="s">
        <v>123</v>
      </c>
      <c r="G910" s="25"/>
      <c r="H910" s="25"/>
      <c r="I910" s="25"/>
      <c r="J910" s="25"/>
    </row>
    <row r="911" spans="1:10" ht="14.4">
      <c r="A911" s="44"/>
      <c r="B911" s="44"/>
      <c r="D911" s="25"/>
      <c r="E911" s="44"/>
      <c r="F911" s="25" t="s">
        <v>123</v>
      </c>
      <c r="G911" s="25"/>
      <c r="H911" s="25"/>
      <c r="I911" s="25"/>
      <c r="J911" s="25"/>
    </row>
    <row r="912" spans="1:10" ht="14.4">
      <c r="A912" s="44"/>
      <c r="B912" s="44"/>
      <c r="D912" s="25"/>
      <c r="E912" s="44"/>
      <c r="F912" s="25" t="s">
        <v>123</v>
      </c>
      <c r="G912" s="25"/>
      <c r="H912" s="25"/>
      <c r="I912" s="25"/>
      <c r="J912" s="25"/>
    </row>
    <row r="913" spans="1:10" ht="14.4">
      <c r="A913" s="44"/>
      <c r="B913" s="44"/>
      <c r="D913" s="25"/>
      <c r="E913" s="44"/>
      <c r="F913" s="25" t="s">
        <v>123</v>
      </c>
      <c r="G913" s="25"/>
      <c r="H913" s="25"/>
      <c r="I913" s="25"/>
      <c r="J913" s="25"/>
    </row>
    <row r="914" spans="1:10" ht="14.4">
      <c r="A914" s="44"/>
      <c r="B914" s="44"/>
      <c r="D914" s="25"/>
      <c r="E914" s="44"/>
      <c r="F914" s="25" t="s">
        <v>123</v>
      </c>
      <c r="G914" s="25"/>
      <c r="H914" s="25"/>
      <c r="I914" s="25"/>
      <c r="J914" s="25"/>
    </row>
    <row r="915" spans="1:10" ht="14.4">
      <c r="A915" s="44"/>
      <c r="B915" s="44"/>
      <c r="D915" s="25"/>
      <c r="E915" s="44"/>
      <c r="F915" s="25" t="s">
        <v>123</v>
      </c>
      <c r="G915" s="25"/>
      <c r="H915" s="25"/>
      <c r="I915" s="25"/>
      <c r="J915" s="25"/>
    </row>
    <row r="916" spans="1:10" ht="14.4">
      <c r="A916" s="44"/>
      <c r="B916" s="44"/>
      <c r="D916" s="25"/>
      <c r="E916" s="44"/>
      <c r="F916" s="25" t="s">
        <v>123</v>
      </c>
      <c r="G916" s="25"/>
      <c r="H916" s="25"/>
      <c r="I916" s="25"/>
      <c r="J916" s="25"/>
    </row>
    <row r="917" spans="1:10" ht="14.4">
      <c r="A917" s="44"/>
      <c r="B917" s="44"/>
      <c r="D917" s="25"/>
      <c r="E917" s="44"/>
      <c r="F917" s="25" t="s">
        <v>123</v>
      </c>
      <c r="G917" s="25"/>
      <c r="H917" s="25"/>
      <c r="I917" s="25"/>
      <c r="J917" s="25"/>
    </row>
    <row r="918" spans="1:10" ht="14.4">
      <c r="A918" s="44"/>
      <c r="B918" s="44"/>
      <c r="D918" s="25"/>
      <c r="E918" s="44"/>
      <c r="F918" s="25" t="s">
        <v>123</v>
      </c>
      <c r="G918" s="25"/>
      <c r="H918" s="25"/>
      <c r="I918" s="25"/>
      <c r="J918" s="25"/>
    </row>
    <row r="919" spans="1:10" ht="14.4">
      <c r="A919" s="44"/>
      <c r="B919" s="44"/>
      <c r="D919" s="25"/>
      <c r="E919" s="44"/>
      <c r="F919" s="25" t="s">
        <v>123</v>
      </c>
      <c r="G919" s="25"/>
      <c r="H919" s="25"/>
      <c r="I919" s="25"/>
      <c r="J919" s="25"/>
    </row>
    <row r="920" spans="1:10" ht="14.4">
      <c r="A920" s="44"/>
      <c r="B920" s="44"/>
      <c r="D920" s="25"/>
      <c r="E920" s="44"/>
      <c r="F920" s="25" t="s">
        <v>123</v>
      </c>
      <c r="G920" s="25"/>
      <c r="H920" s="25"/>
      <c r="I920" s="25"/>
      <c r="J920" s="25"/>
    </row>
    <row r="921" spans="1:10" ht="14.4">
      <c r="A921" s="44"/>
      <c r="B921" s="44"/>
      <c r="D921" s="25"/>
      <c r="E921" s="44"/>
      <c r="F921" s="25" t="s">
        <v>123</v>
      </c>
      <c r="G921" s="25"/>
      <c r="H921" s="25"/>
      <c r="I921" s="25"/>
      <c r="J921" s="25"/>
    </row>
    <row r="922" spans="1:10" ht="14.4">
      <c r="A922" s="44"/>
      <c r="B922" s="44"/>
      <c r="D922" s="25"/>
      <c r="E922" s="44"/>
      <c r="F922" s="25" t="s">
        <v>123</v>
      </c>
      <c r="G922" s="25"/>
      <c r="H922" s="25"/>
      <c r="I922" s="25"/>
      <c r="J922" s="25"/>
    </row>
    <row r="923" spans="1:10" ht="14.4">
      <c r="A923" s="44"/>
      <c r="B923" s="44"/>
      <c r="D923" s="25"/>
      <c r="E923" s="44"/>
      <c r="F923" s="25" t="s">
        <v>123</v>
      </c>
      <c r="G923" s="25"/>
      <c r="H923" s="25"/>
      <c r="I923" s="25"/>
      <c r="J923" s="25"/>
    </row>
    <row r="924" spans="1:10" ht="14.4">
      <c r="A924" s="44"/>
      <c r="B924" s="44"/>
      <c r="D924" s="25"/>
      <c r="E924" s="44"/>
      <c r="F924" s="25" t="s">
        <v>123</v>
      </c>
      <c r="G924" s="25"/>
      <c r="H924" s="25"/>
      <c r="I924" s="25"/>
      <c r="J924" s="25"/>
    </row>
    <row r="925" spans="1:10" ht="14.4">
      <c r="A925" s="44"/>
      <c r="B925" s="44"/>
      <c r="D925" s="25"/>
      <c r="E925" s="44"/>
      <c r="F925" s="25" t="s">
        <v>123</v>
      </c>
      <c r="G925" s="25"/>
      <c r="H925" s="25"/>
      <c r="I925" s="25"/>
      <c r="J925" s="25"/>
    </row>
    <row r="926" spans="1:10" ht="14.4">
      <c r="A926" s="44"/>
      <c r="B926" s="44"/>
      <c r="D926" s="25"/>
      <c r="E926" s="44"/>
      <c r="F926" s="25" t="s">
        <v>123</v>
      </c>
      <c r="G926" s="25"/>
      <c r="H926" s="25"/>
      <c r="I926" s="25"/>
      <c r="J926" s="25"/>
    </row>
    <row r="927" spans="1:10" ht="14.4">
      <c r="A927" s="44"/>
      <c r="B927" s="44"/>
      <c r="D927" s="25"/>
      <c r="E927" s="44"/>
      <c r="F927" s="25" t="s">
        <v>123</v>
      </c>
      <c r="G927" s="25"/>
      <c r="H927" s="25"/>
      <c r="I927" s="25"/>
      <c r="J927" s="25"/>
    </row>
    <row r="928" spans="1:10" ht="14.4">
      <c r="A928" s="44"/>
      <c r="B928" s="44"/>
      <c r="D928" s="25"/>
      <c r="E928" s="44"/>
      <c r="F928" s="25" t="s">
        <v>123</v>
      </c>
      <c r="G928" s="25"/>
      <c r="H928" s="25"/>
      <c r="I928" s="25"/>
      <c r="J928" s="25"/>
    </row>
    <row r="929" spans="1:10" ht="14.4">
      <c r="A929" s="44"/>
      <c r="B929" s="44"/>
      <c r="D929" s="25"/>
      <c r="E929" s="44"/>
      <c r="F929" s="25" t="s">
        <v>123</v>
      </c>
      <c r="G929" s="25"/>
      <c r="H929" s="25"/>
      <c r="I929" s="25"/>
      <c r="J929" s="25"/>
    </row>
    <row r="930" spans="1:10" ht="14.4">
      <c r="A930" s="44"/>
      <c r="B930" s="44"/>
      <c r="D930" s="25"/>
      <c r="E930" s="44"/>
      <c r="F930" s="25" t="s">
        <v>123</v>
      </c>
      <c r="G930" s="25"/>
      <c r="H930" s="25"/>
      <c r="I930" s="25"/>
      <c r="J930" s="25"/>
    </row>
    <row r="931" spans="1:10" ht="14.4">
      <c r="A931" s="44"/>
      <c r="B931" s="44"/>
      <c r="D931" s="25"/>
      <c r="E931" s="44"/>
      <c r="F931" s="25" t="s">
        <v>123</v>
      </c>
      <c r="G931" s="25"/>
      <c r="H931" s="25"/>
      <c r="I931" s="25"/>
      <c r="J931" s="25"/>
    </row>
    <row r="932" spans="1:10" ht="14.4">
      <c r="A932" s="44"/>
      <c r="B932" s="44"/>
      <c r="D932" s="25"/>
      <c r="E932" s="44"/>
      <c r="F932" s="25" t="s">
        <v>123</v>
      </c>
      <c r="G932" s="25"/>
      <c r="H932" s="25"/>
      <c r="I932" s="25"/>
      <c r="J932" s="25"/>
    </row>
    <row r="933" spans="1:10" ht="14.4">
      <c r="A933" s="44"/>
      <c r="B933" s="44"/>
      <c r="D933" s="25"/>
      <c r="E933" s="44"/>
      <c r="F933" s="25" t="s">
        <v>123</v>
      </c>
      <c r="G933" s="25"/>
      <c r="H933" s="25"/>
      <c r="I933" s="25"/>
      <c r="J933" s="25"/>
    </row>
    <row r="934" spans="1:10" ht="14.4">
      <c r="A934" s="44"/>
      <c r="B934" s="44"/>
      <c r="D934" s="25"/>
      <c r="E934" s="44"/>
      <c r="F934" s="25" t="s">
        <v>123</v>
      </c>
      <c r="G934" s="25"/>
      <c r="H934" s="25"/>
      <c r="I934" s="25"/>
      <c r="J934" s="25"/>
    </row>
    <row r="935" spans="1:10" ht="14.4">
      <c r="A935" s="44"/>
      <c r="B935" s="44"/>
      <c r="D935" s="25"/>
      <c r="E935" s="44"/>
      <c r="F935" s="25" t="s">
        <v>123</v>
      </c>
      <c r="G935" s="25"/>
      <c r="H935" s="25"/>
      <c r="I935" s="25"/>
      <c r="J935" s="25"/>
    </row>
    <row r="936" spans="1:10" ht="14.4">
      <c r="A936" s="44"/>
      <c r="B936" s="44"/>
      <c r="D936" s="25"/>
      <c r="E936" s="44"/>
      <c r="F936" s="25" t="s">
        <v>123</v>
      </c>
      <c r="G936" s="25"/>
      <c r="H936" s="25"/>
      <c r="I936" s="25"/>
      <c r="J936" s="25"/>
    </row>
    <row r="937" spans="1:10" ht="14.4">
      <c r="A937" s="44"/>
      <c r="B937" s="44"/>
      <c r="D937" s="25"/>
      <c r="E937" s="44"/>
      <c r="F937" s="25" t="s">
        <v>123</v>
      </c>
      <c r="G937" s="25"/>
      <c r="H937" s="25"/>
      <c r="I937" s="25"/>
      <c r="J937" s="25"/>
    </row>
    <row r="938" spans="1:10" ht="14.4">
      <c r="A938" s="44"/>
      <c r="B938" s="44"/>
      <c r="D938" s="25"/>
      <c r="E938" s="44"/>
      <c r="F938" s="25" t="s">
        <v>123</v>
      </c>
      <c r="G938" s="25"/>
      <c r="H938" s="25"/>
      <c r="I938" s="25"/>
      <c r="J938" s="25"/>
    </row>
    <row r="939" spans="1:10" ht="14.4">
      <c r="A939" s="44"/>
      <c r="B939" s="44"/>
      <c r="D939" s="25"/>
      <c r="E939" s="44"/>
      <c r="F939" s="25" t="s">
        <v>123</v>
      </c>
      <c r="G939" s="25"/>
      <c r="H939" s="25"/>
      <c r="I939" s="25"/>
      <c r="J939" s="25"/>
    </row>
    <row r="940" spans="1:10" ht="14.4">
      <c r="A940" s="44"/>
      <c r="B940" s="44"/>
      <c r="D940" s="25"/>
      <c r="E940" s="44"/>
      <c r="F940" s="25" t="s">
        <v>123</v>
      </c>
      <c r="G940" s="25"/>
      <c r="H940" s="25"/>
      <c r="I940" s="25"/>
      <c r="J940" s="25"/>
    </row>
    <row r="941" spans="1:10" ht="14.4">
      <c r="A941" s="44"/>
      <c r="B941" s="44"/>
      <c r="D941" s="25"/>
      <c r="E941" s="44"/>
      <c r="F941" s="25" t="s">
        <v>123</v>
      </c>
      <c r="G941" s="25"/>
      <c r="H941" s="25"/>
      <c r="I941" s="25"/>
      <c r="J941" s="25"/>
    </row>
    <row r="942" spans="1:10" ht="14.4">
      <c r="A942" s="44"/>
      <c r="B942" s="44"/>
      <c r="D942" s="25"/>
      <c r="E942" s="44"/>
      <c r="F942" s="25" t="s">
        <v>123</v>
      </c>
      <c r="G942" s="25"/>
      <c r="H942" s="25"/>
      <c r="I942" s="25"/>
      <c r="J942" s="25"/>
    </row>
    <row r="943" spans="1:10" ht="14.4">
      <c r="A943" s="44"/>
      <c r="B943" s="44"/>
      <c r="D943" s="25"/>
      <c r="E943" s="44"/>
      <c r="F943" s="25" t="s">
        <v>123</v>
      </c>
      <c r="G943" s="25"/>
      <c r="H943" s="25"/>
      <c r="I943" s="25"/>
      <c r="J943" s="25"/>
    </row>
    <row r="944" spans="1:10" ht="14.4">
      <c r="A944" s="44"/>
      <c r="B944" s="44"/>
      <c r="D944" s="25"/>
      <c r="E944" s="44"/>
      <c r="F944" s="25" t="s">
        <v>123</v>
      </c>
      <c r="G944" s="25"/>
      <c r="H944" s="25"/>
      <c r="I944" s="25"/>
      <c r="J944" s="25"/>
    </row>
    <row r="945" spans="1:10" ht="14.4">
      <c r="A945" s="44"/>
      <c r="B945" s="44"/>
      <c r="D945" s="25"/>
      <c r="E945" s="44"/>
      <c r="F945" s="25" t="s">
        <v>123</v>
      </c>
      <c r="G945" s="25"/>
      <c r="H945" s="25"/>
      <c r="I945" s="25"/>
      <c r="J945" s="25"/>
    </row>
    <row r="946" spans="1:10" ht="14.4">
      <c r="A946" s="44"/>
      <c r="B946" s="44"/>
      <c r="D946" s="25"/>
      <c r="E946" s="44"/>
      <c r="F946" s="25" t="s">
        <v>123</v>
      </c>
      <c r="G946" s="25"/>
      <c r="H946" s="25"/>
      <c r="I946" s="25"/>
      <c r="J946" s="25"/>
    </row>
    <row r="947" spans="1:10" ht="14.4">
      <c r="A947" s="44"/>
      <c r="B947" s="44"/>
      <c r="D947" s="25"/>
      <c r="E947" s="44"/>
      <c r="F947" s="25" t="s">
        <v>123</v>
      </c>
      <c r="G947" s="25"/>
      <c r="H947" s="25"/>
      <c r="I947" s="25"/>
      <c r="J947" s="25"/>
    </row>
    <row r="948" spans="1:10" ht="14.4">
      <c r="A948" s="44"/>
      <c r="B948" s="44"/>
      <c r="D948" s="25"/>
      <c r="E948" s="44"/>
      <c r="F948" s="25" t="s">
        <v>123</v>
      </c>
      <c r="G948" s="25"/>
      <c r="H948" s="25"/>
      <c r="I948" s="25"/>
      <c r="J948" s="25"/>
    </row>
    <row r="949" spans="1:10" ht="14.4">
      <c r="A949" s="44"/>
      <c r="B949" s="44"/>
      <c r="D949" s="25"/>
      <c r="E949" s="44"/>
      <c r="F949" s="25" t="s">
        <v>123</v>
      </c>
      <c r="G949" s="25"/>
      <c r="H949" s="25"/>
      <c r="I949" s="25"/>
      <c r="J949" s="25"/>
    </row>
    <row r="950" spans="1:10" ht="14.4">
      <c r="A950" s="44"/>
      <c r="B950" s="44"/>
      <c r="D950" s="25"/>
      <c r="E950" s="44"/>
      <c r="F950" s="25" t="s">
        <v>123</v>
      </c>
      <c r="G950" s="25"/>
      <c r="H950" s="25"/>
      <c r="I950" s="25"/>
      <c r="J950" s="25"/>
    </row>
    <row r="951" spans="1:10" ht="14.4">
      <c r="A951" s="44"/>
      <c r="B951" s="44"/>
      <c r="D951" s="25"/>
      <c r="E951" s="44"/>
      <c r="F951" s="25" t="s">
        <v>123</v>
      </c>
      <c r="G951" s="25"/>
      <c r="H951" s="25"/>
      <c r="I951" s="25"/>
      <c r="J951" s="25"/>
    </row>
    <row r="952" spans="1:10" ht="14.4">
      <c r="A952" s="44"/>
      <c r="B952" s="44"/>
      <c r="D952" s="25"/>
      <c r="E952" s="44"/>
      <c r="F952" s="25" t="s">
        <v>123</v>
      </c>
      <c r="G952" s="25"/>
      <c r="H952" s="25"/>
      <c r="I952" s="25"/>
      <c r="J952" s="25"/>
    </row>
    <row r="953" spans="1:10" ht="14.4">
      <c r="A953" s="44"/>
      <c r="B953" s="44"/>
      <c r="D953" s="25"/>
      <c r="E953" s="44"/>
      <c r="F953" s="25" t="s">
        <v>123</v>
      </c>
      <c r="G953" s="25"/>
      <c r="H953" s="25"/>
      <c r="I953" s="25"/>
      <c r="J953" s="25"/>
    </row>
    <row r="954" spans="1:10" ht="14.4">
      <c r="A954" s="44"/>
      <c r="B954" s="44"/>
      <c r="D954" s="25"/>
      <c r="E954" s="44"/>
      <c r="F954" s="25" t="s">
        <v>123</v>
      </c>
      <c r="G954" s="25"/>
      <c r="H954" s="25"/>
      <c r="I954" s="25"/>
      <c r="J954" s="25"/>
    </row>
    <row r="955" spans="1:10" ht="14.4">
      <c r="A955" s="44"/>
      <c r="B955" s="44"/>
      <c r="D955" s="25"/>
      <c r="E955" s="44"/>
      <c r="F955" s="25" t="s">
        <v>123</v>
      </c>
      <c r="G955" s="25"/>
      <c r="H955" s="25"/>
      <c r="I955" s="25"/>
      <c r="J955" s="25"/>
    </row>
    <row r="956" spans="1:10" ht="14.4">
      <c r="A956" s="44"/>
      <c r="B956" s="44"/>
      <c r="D956" s="25"/>
      <c r="E956" s="44"/>
      <c r="F956" s="25" t="s">
        <v>123</v>
      </c>
      <c r="G956" s="25"/>
      <c r="H956" s="25"/>
      <c r="I956" s="25"/>
      <c r="J956" s="25"/>
    </row>
    <row r="957" spans="1:10" ht="14.4">
      <c r="A957" s="44"/>
      <c r="B957" s="44"/>
      <c r="D957" s="25"/>
      <c r="E957" s="44"/>
      <c r="F957" s="25" t="s">
        <v>123</v>
      </c>
      <c r="G957" s="25"/>
      <c r="H957" s="25"/>
      <c r="I957" s="25"/>
      <c r="J957" s="25"/>
    </row>
    <row r="958" spans="1:10" ht="14.4">
      <c r="A958" s="44"/>
      <c r="B958" s="44"/>
      <c r="D958" s="25"/>
      <c r="E958" s="44"/>
      <c r="F958" s="25" t="s">
        <v>123</v>
      </c>
      <c r="G958" s="25"/>
      <c r="H958" s="25"/>
      <c r="I958" s="25"/>
      <c r="J958" s="25"/>
    </row>
    <row r="959" spans="1:10" ht="14.4">
      <c r="A959" s="44"/>
      <c r="B959" s="44"/>
      <c r="D959" s="25"/>
      <c r="E959" s="44"/>
      <c r="F959" s="25" t="s">
        <v>123</v>
      </c>
      <c r="G959" s="25"/>
      <c r="H959" s="25"/>
      <c r="I959" s="25"/>
      <c r="J959" s="25"/>
    </row>
    <row r="960" spans="1:10" ht="14.4">
      <c r="A960" s="44"/>
      <c r="B960" s="44"/>
      <c r="D960" s="25"/>
      <c r="E960" s="44"/>
      <c r="F960" s="25" t="s">
        <v>123</v>
      </c>
      <c r="G960" s="25"/>
      <c r="H960" s="25"/>
      <c r="I960" s="25"/>
      <c r="J960" s="25"/>
    </row>
    <row r="961" spans="1:10" ht="14.4">
      <c r="A961" s="44"/>
      <c r="B961" s="44"/>
      <c r="D961" s="25"/>
      <c r="E961" s="44"/>
      <c r="F961" s="25" t="s">
        <v>123</v>
      </c>
      <c r="G961" s="25"/>
      <c r="H961" s="25"/>
      <c r="I961" s="25"/>
      <c r="J961" s="25"/>
    </row>
    <row r="962" spans="1:10" ht="14.4">
      <c r="A962" s="44"/>
      <c r="B962" s="44"/>
      <c r="D962" s="25"/>
      <c r="E962" s="44"/>
      <c r="F962" s="25" t="s">
        <v>123</v>
      </c>
      <c r="G962" s="25"/>
      <c r="H962" s="25"/>
      <c r="I962" s="25"/>
      <c r="J962" s="25"/>
    </row>
    <row r="963" spans="1:10" ht="14.4">
      <c r="A963" s="44"/>
      <c r="B963" s="44"/>
      <c r="D963" s="25"/>
      <c r="E963" s="44"/>
      <c r="F963" s="25" t="s">
        <v>123</v>
      </c>
      <c r="G963" s="25"/>
      <c r="H963" s="25"/>
      <c r="I963" s="25"/>
      <c r="J963" s="25"/>
    </row>
    <row r="964" spans="1:10" ht="14.4">
      <c r="A964" s="44"/>
      <c r="B964" s="44"/>
      <c r="D964" s="25"/>
      <c r="E964" s="44"/>
      <c r="F964" s="25" t="s">
        <v>123</v>
      </c>
      <c r="G964" s="25"/>
      <c r="H964" s="25"/>
      <c r="I964" s="25"/>
      <c r="J964" s="25"/>
    </row>
    <row r="965" spans="1:10" ht="14.4">
      <c r="A965" s="44"/>
      <c r="B965" s="44"/>
      <c r="D965" s="25"/>
      <c r="E965" s="44"/>
      <c r="F965" s="25" t="s">
        <v>123</v>
      </c>
      <c r="G965" s="25"/>
      <c r="H965" s="25"/>
      <c r="I965" s="25"/>
      <c r="J965" s="25"/>
    </row>
    <row r="966" spans="1:10" ht="14.4">
      <c r="A966" s="44"/>
      <c r="B966" s="44"/>
      <c r="D966" s="25"/>
      <c r="E966" s="44"/>
      <c r="F966" s="25" t="s">
        <v>123</v>
      </c>
      <c r="G966" s="25"/>
      <c r="H966" s="25"/>
      <c r="I966" s="25"/>
      <c r="J966" s="25"/>
    </row>
    <row r="967" spans="1:10" ht="14.4">
      <c r="A967" s="44"/>
      <c r="B967" s="44"/>
      <c r="D967" s="25"/>
      <c r="E967" s="44"/>
      <c r="F967" s="25" t="s">
        <v>123</v>
      </c>
      <c r="G967" s="25"/>
      <c r="H967" s="25"/>
      <c r="I967" s="25"/>
      <c r="J967" s="25"/>
    </row>
    <row r="968" spans="1:10" ht="14.4">
      <c r="A968" s="44"/>
      <c r="B968" s="44"/>
      <c r="D968" s="25"/>
      <c r="E968" s="44"/>
      <c r="F968" s="25" t="s">
        <v>123</v>
      </c>
      <c r="G968" s="25"/>
      <c r="H968" s="25"/>
      <c r="I968" s="25"/>
      <c r="J968" s="25"/>
    </row>
    <row r="969" spans="1:10" ht="14.4">
      <c r="A969" s="44"/>
      <c r="B969" s="44"/>
      <c r="D969" s="25"/>
      <c r="E969" s="44"/>
      <c r="F969" s="25" t="s">
        <v>123</v>
      </c>
      <c r="G969" s="25"/>
      <c r="H969" s="25"/>
      <c r="I969" s="25"/>
      <c r="J969" s="25"/>
    </row>
    <row r="970" spans="1:10" ht="14.4">
      <c r="A970" s="44"/>
      <c r="B970" s="44"/>
      <c r="D970" s="25"/>
      <c r="E970" s="44"/>
      <c r="F970" s="25" t="s">
        <v>123</v>
      </c>
      <c r="G970" s="25"/>
      <c r="H970" s="25"/>
      <c r="I970" s="25"/>
      <c r="J970" s="25"/>
    </row>
    <row r="971" spans="1:10" ht="14.4">
      <c r="A971" s="44"/>
      <c r="B971" s="44"/>
      <c r="D971" s="25"/>
      <c r="E971" s="44"/>
      <c r="F971" s="25" t="s">
        <v>123</v>
      </c>
      <c r="G971" s="25"/>
      <c r="H971" s="25"/>
      <c r="I971" s="25"/>
      <c r="J971" s="25"/>
    </row>
    <row r="972" spans="1:10" ht="14.4">
      <c r="A972" s="44"/>
      <c r="B972" s="44"/>
      <c r="D972" s="25"/>
      <c r="E972" s="44"/>
      <c r="F972" s="25" t="s">
        <v>123</v>
      </c>
      <c r="G972" s="25"/>
      <c r="H972" s="25"/>
      <c r="I972" s="25"/>
      <c r="J972" s="25"/>
    </row>
    <row r="973" spans="1:10" ht="14.4">
      <c r="A973" s="44"/>
      <c r="B973" s="44"/>
      <c r="D973" s="25"/>
      <c r="E973" s="44"/>
      <c r="F973" s="25" t="s">
        <v>123</v>
      </c>
      <c r="G973" s="25"/>
      <c r="H973" s="25"/>
      <c r="I973" s="25"/>
      <c r="J973" s="25"/>
    </row>
    <row r="974" spans="1:10" ht="14.4">
      <c r="A974" s="44"/>
      <c r="B974" s="44"/>
      <c r="D974" s="25"/>
      <c r="E974" s="44"/>
      <c r="F974" s="25" t="s">
        <v>123</v>
      </c>
      <c r="G974" s="25"/>
      <c r="H974" s="25"/>
      <c r="I974" s="25"/>
      <c r="J974" s="25"/>
    </row>
    <row r="975" spans="1:10" ht="14.4">
      <c r="A975" s="44"/>
      <c r="B975" s="44"/>
      <c r="D975" s="25"/>
      <c r="E975" s="44"/>
      <c r="F975" s="25" t="s">
        <v>123</v>
      </c>
      <c r="G975" s="25"/>
      <c r="H975" s="25"/>
      <c r="I975" s="25"/>
      <c r="J975" s="25"/>
    </row>
    <row r="976" spans="1:10" ht="14.4">
      <c r="A976" s="44"/>
      <c r="B976" s="44"/>
      <c r="D976" s="25"/>
      <c r="E976" s="44"/>
      <c r="F976" s="25" t="s">
        <v>123</v>
      </c>
      <c r="G976" s="25"/>
      <c r="H976" s="25"/>
      <c r="I976" s="25"/>
      <c r="J976" s="25"/>
    </row>
    <row r="977" spans="1:10" ht="14.4">
      <c r="A977" s="44"/>
      <c r="B977" s="44"/>
      <c r="D977" s="25"/>
      <c r="E977" s="44"/>
      <c r="F977" s="25" t="s">
        <v>123</v>
      </c>
      <c r="G977" s="25"/>
      <c r="H977" s="25"/>
      <c r="I977" s="25"/>
      <c r="J977" s="25"/>
    </row>
    <row r="978" spans="1:10" ht="14.4">
      <c r="A978" s="44"/>
      <c r="B978" s="44"/>
      <c r="D978" s="25"/>
      <c r="E978" s="44"/>
      <c r="F978" s="25" t="s">
        <v>123</v>
      </c>
      <c r="G978" s="25"/>
      <c r="H978" s="25"/>
      <c r="I978" s="25"/>
      <c r="J978" s="25"/>
    </row>
    <row r="979" spans="1:10" ht="14.4">
      <c r="A979" s="44"/>
      <c r="B979" s="44"/>
      <c r="D979" s="25"/>
      <c r="E979" s="44"/>
      <c r="F979" s="25" t="s">
        <v>123</v>
      </c>
      <c r="G979" s="25"/>
      <c r="H979" s="25"/>
      <c r="I979" s="25"/>
      <c r="J979" s="25"/>
    </row>
    <row r="980" spans="1:10" ht="14.4">
      <c r="A980" s="44"/>
      <c r="B980" s="44"/>
      <c r="D980" s="25"/>
      <c r="E980" s="44"/>
      <c r="F980" s="25" t="s">
        <v>123</v>
      </c>
      <c r="G980" s="25"/>
      <c r="H980" s="25"/>
      <c r="I980" s="25"/>
      <c r="J980" s="25"/>
    </row>
    <row r="981" spans="1:10" ht="14.4">
      <c r="A981" s="44"/>
      <c r="B981" s="44"/>
      <c r="D981" s="25"/>
      <c r="E981" s="44"/>
      <c r="F981" s="25" t="s">
        <v>123</v>
      </c>
      <c r="G981" s="25"/>
      <c r="H981" s="25"/>
      <c r="I981" s="25"/>
      <c r="J981" s="25"/>
    </row>
    <row r="982" spans="1:10" ht="14.4">
      <c r="A982" s="44"/>
      <c r="B982" s="44"/>
      <c r="D982" s="25"/>
      <c r="E982" s="44"/>
      <c r="F982" s="25" t="s">
        <v>123</v>
      </c>
      <c r="G982" s="25"/>
      <c r="H982" s="25"/>
      <c r="I982" s="25"/>
      <c r="J982" s="25"/>
    </row>
    <row r="983" spans="1:10" ht="14.4">
      <c r="A983" s="44"/>
      <c r="B983" s="44"/>
      <c r="D983" s="25"/>
      <c r="E983" s="44"/>
      <c r="F983" s="25" t="s">
        <v>123</v>
      </c>
      <c r="G983" s="25"/>
      <c r="H983" s="25"/>
      <c r="I983" s="25"/>
      <c r="J983" s="25"/>
    </row>
    <row r="984" spans="1:10" ht="14.4">
      <c r="A984" s="44"/>
      <c r="B984" s="44"/>
      <c r="D984" s="25"/>
      <c r="E984" s="44"/>
      <c r="F984" s="25" t="s">
        <v>123</v>
      </c>
      <c r="G984" s="25"/>
      <c r="H984" s="25"/>
      <c r="I984" s="25"/>
      <c r="J984" s="25"/>
    </row>
    <row r="985" spans="1:10" ht="14.4">
      <c r="A985" s="44"/>
      <c r="B985" s="44"/>
      <c r="D985" s="25"/>
      <c r="E985" s="44"/>
      <c r="F985" s="25" t="s">
        <v>123</v>
      </c>
      <c r="G985" s="25"/>
      <c r="H985" s="25"/>
      <c r="I985" s="25"/>
      <c r="J985" s="25"/>
    </row>
    <row r="986" spans="1:10" ht="14.4">
      <c r="A986" s="44"/>
      <c r="B986" s="44"/>
      <c r="D986" s="25"/>
      <c r="E986" s="44"/>
      <c r="F986" s="25" t="s">
        <v>123</v>
      </c>
      <c r="G986" s="25"/>
      <c r="H986" s="25"/>
      <c r="I986" s="25"/>
      <c r="J986" s="25"/>
    </row>
    <row r="987" spans="1:10" ht="14.4">
      <c r="A987" s="44"/>
      <c r="B987" s="44"/>
      <c r="D987" s="25"/>
      <c r="E987" s="44"/>
      <c r="F987" s="25" t="s">
        <v>123</v>
      </c>
      <c r="G987" s="25"/>
      <c r="H987" s="25"/>
      <c r="I987" s="25"/>
      <c r="J987" s="25"/>
    </row>
    <row r="988" spans="1:10" ht="14.4">
      <c r="A988" s="44"/>
      <c r="B988" s="44"/>
      <c r="D988" s="25"/>
      <c r="E988" s="44"/>
      <c r="F988" s="25" t="s">
        <v>123</v>
      </c>
      <c r="G988" s="25"/>
      <c r="H988" s="25"/>
      <c r="I988" s="25"/>
      <c r="J988" s="25"/>
    </row>
    <row r="989" spans="1:10" ht="14.4">
      <c r="A989" s="44"/>
      <c r="B989" s="44"/>
      <c r="D989" s="25"/>
      <c r="E989" s="44"/>
      <c r="F989" s="25" t="s">
        <v>123</v>
      </c>
      <c r="G989" s="25"/>
      <c r="H989" s="25"/>
      <c r="I989" s="25"/>
      <c r="J989" s="25"/>
    </row>
    <row r="990" spans="1:10" ht="14.4">
      <c r="A990" s="44"/>
      <c r="B990" s="44"/>
      <c r="D990" s="25"/>
      <c r="E990" s="44"/>
      <c r="F990" s="25" t="s">
        <v>123</v>
      </c>
      <c r="G990" s="25"/>
      <c r="H990" s="25"/>
      <c r="I990" s="25"/>
      <c r="J990" s="25"/>
    </row>
    <row r="991" spans="1:10" ht="14.4">
      <c r="A991" s="44"/>
      <c r="B991" s="44"/>
      <c r="D991" s="25"/>
      <c r="E991" s="44"/>
      <c r="F991" s="25" t="s">
        <v>123</v>
      </c>
      <c r="G991" s="25"/>
      <c r="H991" s="25"/>
      <c r="I991" s="25"/>
      <c r="J991" s="25"/>
    </row>
    <row r="992" spans="1:10" ht="14.4">
      <c r="A992" s="44"/>
      <c r="B992" s="44"/>
      <c r="D992" s="25"/>
      <c r="E992" s="44"/>
      <c r="F992" s="25" t="s">
        <v>123</v>
      </c>
      <c r="G992" s="25"/>
      <c r="H992" s="25"/>
      <c r="I992" s="25"/>
      <c r="J992" s="25"/>
    </row>
    <row r="993" spans="1:10" ht="14.4">
      <c r="A993" s="44"/>
      <c r="B993" s="44"/>
      <c r="D993" s="25"/>
      <c r="E993" s="44"/>
      <c r="F993" s="25" t="s">
        <v>123</v>
      </c>
      <c r="G993" s="25"/>
      <c r="H993" s="25"/>
      <c r="I993" s="25"/>
      <c r="J993" s="25"/>
    </row>
    <row r="994" spans="1:10" ht="14.4">
      <c r="A994" s="44"/>
      <c r="B994" s="44"/>
      <c r="D994" s="25"/>
      <c r="E994" s="44"/>
      <c r="F994" s="25" t="s">
        <v>123</v>
      </c>
      <c r="G994" s="25"/>
      <c r="H994" s="25"/>
      <c r="I994" s="25"/>
      <c r="J994" s="25"/>
    </row>
    <row r="995" spans="1:10" ht="14.4">
      <c r="A995" s="44"/>
      <c r="B995" s="44"/>
      <c r="D995" s="25"/>
      <c r="E995" s="44"/>
      <c r="F995" s="25" t="s">
        <v>123</v>
      </c>
      <c r="G995" s="25"/>
      <c r="H995" s="25"/>
      <c r="I995" s="25"/>
      <c r="J995" s="25"/>
    </row>
    <row r="996" spans="1:10" ht="14.4">
      <c r="A996" s="44"/>
      <c r="B996" s="44"/>
      <c r="D996" s="25"/>
      <c r="E996" s="44"/>
      <c r="F996" s="25" t="s">
        <v>123</v>
      </c>
      <c r="G996" s="25"/>
      <c r="H996" s="25"/>
      <c r="I996" s="25"/>
      <c r="J996" s="25"/>
    </row>
    <row r="997" spans="1:10" ht="14.4">
      <c r="A997" s="44"/>
      <c r="B997" s="44"/>
      <c r="D997" s="25"/>
      <c r="E997" s="44"/>
      <c r="F997" s="25" t="s">
        <v>123</v>
      </c>
      <c r="G997" s="25"/>
      <c r="H997" s="25"/>
      <c r="I997" s="25"/>
      <c r="J997" s="25"/>
    </row>
    <row r="998" spans="1:10" ht="14.4">
      <c r="A998" s="44"/>
      <c r="B998" s="44"/>
      <c r="D998" s="25"/>
      <c r="E998" s="44"/>
      <c r="F998" s="25" t="s">
        <v>123</v>
      </c>
      <c r="G998" s="25"/>
      <c r="H998" s="25"/>
      <c r="I998" s="25"/>
      <c r="J998" s="25"/>
    </row>
    <row r="999" spans="1:10" ht="14.4">
      <c r="A999" s="44"/>
      <c r="B999" s="44"/>
      <c r="D999" s="25"/>
      <c r="E999" s="44"/>
      <c r="F999" s="25" t="s">
        <v>123</v>
      </c>
      <c r="G999" s="25"/>
      <c r="H999" s="25"/>
      <c r="I999" s="25"/>
      <c r="J999" s="25"/>
    </row>
    <row r="1000" spans="1:10" ht="14.4">
      <c r="A1000" s="44"/>
      <c r="B1000" s="44"/>
      <c r="D1000" s="25"/>
      <c r="E1000" s="44"/>
      <c r="F1000" s="25" t="s">
        <v>123</v>
      </c>
      <c r="G1000" s="25"/>
      <c r="H1000" s="25"/>
      <c r="I1000" s="25"/>
      <c r="J1000" s="25"/>
    </row>
    <row r="1001" spans="1:10" ht="14.4">
      <c r="A1001" s="44"/>
      <c r="B1001" s="44"/>
      <c r="D1001" s="25"/>
      <c r="E1001" s="44"/>
      <c r="F1001" s="25" t="s">
        <v>123</v>
      </c>
      <c r="G1001" s="25"/>
      <c r="H1001" s="25"/>
      <c r="I1001" s="25"/>
      <c r="J1001" s="25"/>
    </row>
    <row r="1002" spans="1:10" ht="14.4">
      <c r="A1002" s="44"/>
      <c r="B1002" s="44"/>
      <c r="D1002" s="25"/>
      <c r="E1002" s="44"/>
      <c r="F1002" s="25" t="s">
        <v>123</v>
      </c>
      <c r="G1002" s="25"/>
      <c r="H1002" s="25"/>
      <c r="I1002" s="25"/>
      <c r="J1002" s="25"/>
    </row>
    <row r="1003" spans="1:10" ht="14.4">
      <c r="A1003" s="44"/>
      <c r="B1003" s="44"/>
      <c r="D1003" s="25"/>
      <c r="E1003" s="44"/>
      <c r="F1003" s="25" t="s">
        <v>123</v>
      </c>
      <c r="G1003" s="25"/>
      <c r="H1003" s="25"/>
      <c r="I1003" s="25"/>
      <c r="J1003" s="25"/>
    </row>
    <row r="1004" spans="1:10" ht="14.4">
      <c r="A1004" s="44"/>
      <c r="B1004" s="44"/>
      <c r="D1004" s="25"/>
      <c r="E1004" s="44"/>
      <c r="F1004" s="25" t="s">
        <v>123</v>
      </c>
      <c r="G1004" s="25"/>
      <c r="H1004" s="25"/>
      <c r="I1004" s="25"/>
      <c r="J1004" s="25"/>
    </row>
    <row r="1005" spans="1:10" ht="14.4">
      <c r="A1005" s="44"/>
      <c r="B1005" s="44"/>
      <c r="D1005" s="25"/>
      <c r="E1005" s="44"/>
      <c r="F1005" s="25" t="s">
        <v>123</v>
      </c>
      <c r="G1005" s="25"/>
      <c r="H1005" s="25"/>
      <c r="I1005" s="25"/>
      <c r="J1005" s="25"/>
    </row>
    <row r="1006" spans="1:10" ht="14.4">
      <c r="A1006" s="44"/>
      <c r="B1006" s="44"/>
      <c r="D1006" s="25"/>
      <c r="E1006" s="44"/>
      <c r="F1006" s="25" t="s">
        <v>123</v>
      </c>
      <c r="G1006" s="25"/>
      <c r="H1006" s="25"/>
      <c r="I1006" s="25"/>
      <c r="J1006" s="25"/>
    </row>
    <row r="1007" spans="1:10" ht="14.4">
      <c r="A1007" s="44"/>
      <c r="B1007" s="44"/>
      <c r="D1007" s="25"/>
      <c r="E1007" s="44"/>
      <c r="F1007" s="25" t="s">
        <v>123</v>
      </c>
      <c r="G1007" s="25"/>
      <c r="H1007" s="25"/>
      <c r="I1007" s="25"/>
      <c r="J1007" s="25"/>
    </row>
    <row r="1008" spans="1:10" ht="14.4">
      <c r="A1008" s="44"/>
      <c r="B1008" s="44"/>
      <c r="D1008" s="25"/>
      <c r="E1008" s="44"/>
      <c r="F1008" s="25" t="s">
        <v>123</v>
      </c>
      <c r="G1008" s="25"/>
      <c r="H1008" s="25"/>
      <c r="I1008" s="25"/>
      <c r="J1008" s="25"/>
    </row>
    <row r="1009" spans="1:10" ht="14.4">
      <c r="A1009" s="44"/>
      <c r="B1009" s="44"/>
      <c r="D1009" s="25"/>
      <c r="E1009" s="44"/>
      <c r="F1009" s="25" t="s">
        <v>123</v>
      </c>
      <c r="G1009" s="25"/>
      <c r="H1009" s="25"/>
      <c r="I1009" s="25"/>
      <c r="J1009" s="25"/>
    </row>
    <row r="1010" spans="1:10" ht="14.4">
      <c r="A1010" s="44"/>
      <c r="B1010" s="44"/>
      <c r="D1010" s="25"/>
      <c r="E1010" s="44"/>
      <c r="F1010" s="25" t="s">
        <v>123</v>
      </c>
      <c r="G1010" s="25"/>
      <c r="H1010" s="25"/>
      <c r="I1010" s="25"/>
      <c r="J1010" s="25"/>
    </row>
    <row r="1011" spans="1:10" ht="14.4">
      <c r="A1011" s="44"/>
      <c r="B1011" s="44"/>
      <c r="D1011" s="25"/>
      <c r="E1011" s="44"/>
      <c r="F1011" s="25" t="s">
        <v>123</v>
      </c>
      <c r="G1011" s="25"/>
      <c r="H1011" s="25"/>
      <c r="I1011" s="25"/>
      <c r="J1011" s="25"/>
    </row>
    <row r="1012" spans="1:10" ht="14.4">
      <c r="A1012" s="44"/>
      <c r="B1012" s="44"/>
      <c r="D1012" s="25"/>
      <c r="E1012" s="44"/>
      <c r="F1012" s="25" t="s">
        <v>123</v>
      </c>
      <c r="G1012" s="25"/>
      <c r="H1012" s="25"/>
      <c r="I1012" s="25"/>
      <c r="J1012" s="25"/>
    </row>
    <row r="1013" spans="1:10" ht="14.4">
      <c r="A1013" s="44"/>
      <c r="B1013" s="44"/>
      <c r="D1013" s="25"/>
      <c r="E1013" s="44"/>
      <c r="F1013" s="25" t="s">
        <v>123</v>
      </c>
      <c r="G1013" s="25"/>
      <c r="H1013" s="25"/>
      <c r="I1013" s="25"/>
      <c r="J1013" s="25"/>
    </row>
    <row r="1014" spans="1:10" ht="14.4">
      <c r="A1014" s="44"/>
      <c r="B1014" s="44"/>
      <c r="D1014" s="25"/>
      <c r="E1014" s="44"/>
      <c r="F1014" s="25" t="s">
        <v>123</v>
      </c>
      <c r="G1014" s="25"/>
      <c r="H1014" s="25"/>
      <c r="I1014" s="25"/>
      <c r="J1014" s="25"/>
    </row>
    <row r="1015" spans="1:10" ht="14.4">
      <c r="A1015" s="44"/>
      <c r="B1015" s="44"/>
      <c r="D1015" s="25"/>
      <c r="E1015" s="44"/>
      <c r="F1015" s="25" t="s">
        <v>123</v>
      </c>
      <c r="G1015" s="25"/>
      <c r="H1015" s="25"/>
      <c r="I1015" s="25"/>
      <c r="J1015" s="25"/>
    </row>
    <row r="1016" spans="1:10" ht="14.4">
      <c r="A1016" s="44"/>
      <c r="B1016" s="44"/>
      <c r="D1016" s="25"/>
      <c r="E1016" s="44"/>
      <c r="F1016" s="25" t="s">
        <v>123</v>
      </c>
      <c r="G1016" s="25"/>
      <c r="H1016" s="25"/>
      <c r="I1016" s="25"/>
      <c r="J1016" s="25"/>
    </row>
    <row r="1017" spans="1:10" ht="14.4">
      <c r="A1017" s="44"/>
      <c r="B1017" s="44"/>
      <c r="D1017" s="25"/>
      <c r="E1017" s="44"/>
      <c r="F1017" s="25" t="s">
        <v>123</v>
      </c>
      <c r="G1017" s="25"/>
      <c r="H1017" s="25"/>
      <c r="I1017" s="25"/>
      <c r="J1017" s="25"/>
    </row>
    <row r="1018" spans="1:10" ht="14.4">
      <c r="A1018" s="44"/>
      <c r="B1018" s="44"/>
      <c r="D1018" s="25"/>
      <c r="E1018" s="44"/>
      <c r="F1018" s="25" t="s">
        <v>123</v>
      </c>
      <c r="G1018" s="25"/>
      <c r="H1018" s="25"/>
      <c r="I1018" s="25"/>
      <c r="J1018" s="25"/>
    </row>
    <row r="1019" spans="1:10" ht="14.4">
      <c r="A1019" s="44"/>
      <c r="B1019" s="44"/>
      <c r="D1019" s="25"/>
      <c r="E1019" s="44"/>
      <c r="F1019" s="25" t="s">
        <v>123</v>
      </c>
      <c r="G1019" s="25"/>
      <c r="H1019" s="25"/>
      <c r="I1019" s="25"/>
      <c r="J1019" s="25"/>
    </row>
    <row r="1020" spans="1:10" ht="14.4">
      <c r="A1020" s="44"/>
      <c r="B1020" s="44"/>
      <c r="D1020" s="25"/>
      <c r="E1020" s="44"/>
      <c r="F1020" s="25" t="s">
        <v>123</v>
      </c>
      <c r="G1020" s="25"/>
      <c r="H1020" s="25"/>
      <c r="I1020" s="25"/>
      <c r="J1020" s="25"/>
    </row>
    <row r="1021" spans="1:10" ht="14.4">
      <c r="A1021" s="44"/>
      <c r="B1021" s="44"/>
      <c r="D1021" s="25"/>
      <c r="E1021" s="44"/>
      <c r="F1021" s="25" t="s">
        <v>123</v>
      </c>
      <c r="G1021" s="25"/>
      <c r="H1021" s="25"/>
      <c r="I1021" s="25"/>
      <c r="J1021" s="25"/>
    </row>
    <row r="1022" spans="1:10" ht="14.4">
      <c r="A1022" s="44"/>
      <c r="B1022" s="44"/>
      <c r="D1022" s="25"/>
      <c r="E1022" s="44"/>
      <c r="F1022" s="25" t="s">
        <v>123</v>
      </c>
      <c r="G1022" s="25"/>
      <c r="H1022" s="25"/>
      <c r="I1022" s="25"/>
      <c r="J1022" s="25"/>
    </row>
    <row r="1023" spans="1:10" ht="14.4">
      <c r="A1023" s="44"/>
      <c r="B1023" s="44"/>
      <c r="D1023" s="25"/>
      <c r="E1023" s="44"/>
      <c r="F1023" s="25" t="s">
        <v>123</v>
      </c>
      <c r="G1023" s="25"/>
      <c r="H1023" s="25"/>
      <c r="I1023" s="25"/>
      <c r="J1023" s="25"/>
    </row>
    <row r="1024" spans="1:10" ht="14.4">
      <c r="A1024" s="44"/>
      <c r="B1024" s="44"/>
      <c r="D1024" s="25"/>
      <c r="E1024" s="44"/>
      <c r="F1024" s="25" t="s">
        <v>123</v>
      </c>
      <c r="G1024" s="25"/>
      <c r="H1024" s="25"/>
      <c r="I1024" s="25"/>
      <c r="J1024" s="25"/>
    </row>
    <row r="1025" spans="1:10" ht="14.4">
      <c r="A1025" s="44"/>
      <c r="B1025" s="44"/>
      <c r="D1025" s="25"/>
      <c r="E1025" s="44"/>
      <c r="F1025" s="25" t="s">
        <v>123</v>
      </c>
      <c r="G1025" s="25"/>
      <c r="H1025" s="25"/>
      <c r="I1025" s="25"/>
      <c r="J1025" s="25"/>
    </row>
    <row r="1026" spans="1:10" ht="14.4">
      <c r="A1026" s="44"/>
      <c r="B1026" s="44"/>
      <c r="D1026" s="25"/>
      <c r="E1026" s="44"/>
      <c r="F1026" s="25" t="s">
        <v>123</v>
      </c>
      <c r="G1026" s="25"/>
      <c r="H1026" s="25"/>
      <c r="I1026" s="25"/>
      <c r="J1026" s="25"/>
    </row>
    <row r="1027" spans="1:10" ht="14.4">
      <c r="A1027" s="44"/>
      <c r="B1027" s="44"/>
      <c r="D1027" s="25"/>
      <c r="E1027" s="44"/>
      <c r="F1027" s="25" t="s">
        <v>123</v>
      </c>
      <c r="G1027" s="25"/>
      <c r="H1027" s="25"/>
      <c r="I1027" s="25"/>
      <c r="J1027" s="25"/>
    </row>
    <row r="1028" spans="1:10" ht="14.4">
      <c r="A1028" s="44"/>
      <c r="B1028" s="44"/>
      <c r="D1028" s="25"/>
      <c r="E1028" s="44"/>
      <c r="F1028" s="25" t="s">
        <v>123</v>
      </c>
      <c r="G1028" s="25"/>
      <c r="H1028" s="25"/>
      <c r="I1028" s="25"/>
      <c r="J1028" s="25"/>
    </row>
    <row r="1029" spans="1:10" ht="14.4">
      <c r="A1029" s="44"/>
      <c r="B1029" s="44"/>
      <c r="D1029" s="25"/>
      <c r="E1029" s="44"/>
      <c r="F1029" s="25" t="s">
        <v>123</v>
      </c>
      <c r="G1029" s="25"/>
      <c r="H1029" s="25"/>
      <c r="I1029" s="25"/>
      <c r="J1029" s="25"/>
    </row>
    <row r="1030" spans="1:10" ht="14.4">
      <c r="A1030" s="44"/>
      <c r="B1030" s="44"/>
      <c r="D1030" s="25"/>
      <c r="E1030" s="44"/>
      <c r="F1030" s="25" t="s">
        <v>123</v>
      </c>
      <c r="G1030" s="25"/>
      <c r="H1030" s="25"/>
      <c r="I1030" s="25"/>
      <c r="J1030" s="25"/>
    </row>
    <row r="1031" spans="1:10" ht="14.4">
      <c r="A1031" s="44"/>
      <c r="B1031" s="44"/>
      <c r="D1031" s="25"/>
      <c r="E1031" s="44"/>
      <c r="F1031" s="25" t="s">
        <v>123</v>
      </c>
      <c r="G1031" s="25"/>
      <c r="H1031" s="25"/>
      <c r="I1031" s="25"/>
      <c r="J1031" s="25"/>
    </row>
    <row r="1032" spans="1:10" ht="14.4">
      <c r="A1032" s="44"/>
      <c r="B1032" s="44"/>
      <c r="D1032" s="25"/>
      <c r="E1032" s="44"/>
      <c r="F1032" s="25" t="s">
        <v>123</v>
      </c>
      <c r="G1032" s="25"/>
      <c r="H1032" s="25"/>
      <c r="I1032" s="25"/>
      <c r="J1032" s="25"/>
    </row>
    <row r="1033" spans="1:10" ht="14.4">
      <c r="A1033" s="44"/>
      <c r="B1033" s="44"/>
      <c r="D1033" s="25"/>
      <c r="E1033" s="44"/>
      <c r="F1033" s="25" t="s">
        <v>123</v>
      </c>
      <c r="G1033" s="25"/>
      <c r="H1033" s="25"/>
      <c r="I1033" s="25"/>
      <c r="J1033" s="25"/>
    </row>
    <row r="1034" spans="1:10" ht="14.4">
      <c r="A1034" s="44"/>
      <c r="B1034" s="44"/>
      <c r="D1034" s="25"/>
      <c r="E1034" s="44"/>
      <c r="F1034" s="25" t="s">
        <v>123</v>
      </c>
      <c r="G1034" s="25"/>
      <c r="H1034" s="25"/>
      <c r="I1034" s="25"/>
      <c r="J1034" s="25"/>
    </row>
    <row r="1035" spans="1:10" ht="14.4">
      <c r="A1035" s="44"/>
      <c r="B1035" s="44"/>
      <c r="D1035" s="25"/>
      <c r="E1035" s="44"/>
      <c r="F1035" s="25" t="s">
        <v>123</v>
      </c>
      <c r="G1035" s="25"/>
      <c r="H1035" s="25"/>
      <c r="I1035" s="25"/>
      <c r="J1035" s="25"/>
    </row>
    <row r="1036" spans="1:10" ht="14.4">
      <c r="A1036" s="44"/>
      <c r="B1036" s="44"/>
      <c r="D1036" s="25"/>
      <c r="E1036" s="44"/>
      <c r="F1036" s="25" t="s">
        <v>123</v>
      </c>
      <c r="G1036" s="25"/>
      <c r="H1036" s="25"/>
      <c r="I1036" s="25"/>
      <c r="J1036" s="25"/>
    </row>
    <row r="1037" spans="1:10" ht="14.4">
      <c r="A1037" s="44"/>
      <c r="B1037" s="44"/>
      <c r="D1037" s="25"/>
      <c r="E1037" s="44"/>
      <c r="F1037" s="25" t="s">
        <v>123</v>
      </c>
      <c r="G1037" s="25"/>
      <c r="H1037" s="25"/>
      <c r="I1037" s="25"/>
      <c r="J1037" s="25"/>
    </row>
    <row r="1038" spans="1:10" ht="14.4">
      <c r="A1038" s="44"/>
      <c r="B1038" s="44"/>
      <c r="D1038" s="25"/>
      <c r="E1038" s="44"/>
      <c r="F1038" s="25" t="s">
        <v>123</v>
      </c>
      <c r="G1038" s="25"/>
      <c r="H1038" s="25"/>
      <c r="I1038" s="25"/>
      <c r="J1038" s="25"/>
    </row>
    <row r="1039" spans="1:10" ht="14.4">
      <c r="A1039" s="44"/>
      <c r="B1039" s="44"/>
      <c r="D1039" s="25"/>
      <c r="E1039" s="44"/>
      <c r="F1039" s="25" t="s">
        <v>123</v>
      </c>
      <c r="G1039" s="25"/>
      <c r="H1039" s="25"/>
      <c r="I1039" s="25"/>
      <c r="J1039" s="25"/>
    </row>
    <row r="1040" spans="1:10" ht="14.4">
      <c r="A1040" s="44"/>
      <c r="B1040" s="44"/>
      <c r="D1040" s="25"/>
      <c r="E1040" s="44"/>
      <c r="F1040" s="25" t="s">
        <v>123</v>
      </c>
      <c r="G1040" s="25"/>
      <c r="H1040" s="25"/>
      <c r="I1040" s="25"/>
      <c r="J1040" s="25"/>
    </row>
    <row r="1041" spans="1:10" ht="14.4">
      <c r="A1041" s="44"/>
      <c r="B1041" s="44"/>
      <c r="D1041" s="25"/>
      <c r="E1041" s="44"/>
      <c r="F1041" s="25" t="s">
        <v>123</v>
      </c>
      <c r="G1041" s="25"/>
      <c r="H1041" s="25"/>
      <c r="I1041" s="25"/>
      <c r="J1041" s="25"/>
    </row>
    <row r="1042" spans="1:10" ht="14.4">
      <c r="A1042" s="44"/>
      <c r="B1042" s="44"/>
      <c r="D1042" s="25"/>
      <c r="E1042" s="44"/>
      <c r="F1042" s="25" t="s">
        <v>123</v>
      </c>
      <c r="G1042" s="25"/>
      <c r="H1042" s="25"/>
      <c r="I1042" s="25"/>
      <c r="J1042" s="25"/>
    </row>
    <row r="1043" spans="1:10" ht="14.4">
      <c r="A1043" s="44"/>
      <c r="B1043" s="44"/>
      <c r="D1043" s="25"/>
      <c r="E1043" s="44"/>
      <c r="F1043" s="25" t="s">
        <v>123</v>
      </c>
      <c r="G1043" s="25"/>
      <c r="H1043" s="25"/>
      <c r="I1043" s="25"/>
      <c r="J1043" s="25"/>
    </row>
    <row r="1044" spans="1:10" ht="14.4">
      <c r="A1044" s="44"/>
      <c r="B1044" s="44"/>
      <c r="D1044" s="25"/>
      <c r="E1044" s="44"/>
      <c r="F1044" s="25" t="s">
        <v>123</v>
      </c>
      <c r="G1044" s="25"/>
      <c r="H1044" s="25"/>
      <c r="I1044" s="25"/>
      <c r="J1044" s="25"/>
    </row>
    <row r="1045" spans="1:10" ht="14.4">
      <c r="A1045" s="44"/>
      <c r="B1045" s="44"/>
      <c r="D1045" s="25"/>
      <c r="E1045" s="44"/>
      <c r="F1045" s="25" t="s">
        <v>123</v>
      </c>
      <c r="G1045" s="25"/>
      <c r="H1045" s="25"/>
      <c r="I1045" s="25"/>
      <c r="J1045" s="25"/>
    </row>
    <row r="1046" spans="1:10" ht="14.4">
      <c r="A1046" s="44"/>
      <c r="B1046" s="44"/>
      <c r="D1046" s="25"/>
      <c r="E1046" s="44"/>
      <c r="F1046" s="25" t="s">
        <v>123</v>
      </c>
      <c r="G1046" s="25"/>
      <c r="H1046" s="25"/>
      <c r="I1046" s="25"/>
      <c r="J1046" s="25"/>
    </row>
    <row r="1047" spans="1:10" ht="14.4">
      <c r="A1047" s="44"/>
      <c r="B1047" s="44"/>
      <c r="D1047" s="25"/>
      <c r="E1047" s="44"/>
      <c r="F1047" s="25" t="s">
        <v>123</v>
      </c>
      <c r="G1047" s="25"/>
      <c r="H1047" s="25"/>
      <c r="I1047" s="25"/>
      <c r="J1047" s="25"/>
    </row>
    <row r="1048" spans="1:10" ht="14.4">
      <c r="A1048" s="44"/>
      <c r="B1048" s="44"/>
      <c r="D1048" s="25"/>
      <c r="E1048" s="44"/>
      <c r="F1048" s="25" t="s">
        <v>123</v>
      </c>
      <c r="G1048" s="25"/>
      <c r="H1048" s="25"/>
      <c r="I1048" s="25"/>
      <c r="J1048" s="25"/>
    </row>
    <row r="1049" spans="1:10" ht="14.4">
      <c r="A1049" s="44"/>
      <c r="B1049" s="44"/>
      <c r="D1049" s="25"/>
      <c r="E1049" s="44"/>
      <c r="F1049" s="25" t="s">
        <v>123</v>
      </c>
      <c r="G1049" s="25"/>
      <c r="H1049" s="25"/>
      <c r="I1049" s="25"/>
      <c r="J1049" s="25"/>
    </row>
    <row r="1050" spans="1:10" ht="14.4">
      <c r="A1050" s="44"/>
      <c r="B1050" s="44"/>
      <c r="D1050" s="25"/>
      <c r="E1050" s="44"/>
      <c r="F1050" s="25" t="s">
        <v>123</v>
      </c>
      <c r="G1050" s="25"/>
      <c r="H1050" s="25"/>
      <c r="I1050" s="25"/>
      <c r="J1050" s="25"/>
    </row>
    <row r="1051" spans="1:10" ht="14.4">
      <c r="A1051" s="44"/>
      <c r="B1051" s="44"/>
      <c r="D1051" s="25"/>
      <c r="E1051" s="44"/>
      <c r="F1051" s="25" t="s">
        <v>123</v>
      </c>
      <c r="G1051" s="25"/>
      <c r="H1051" s="25"/>
      <c r="I1051" s="25"/>
      <c r="J1051" s="25"/>
    </row>
    <row r="1052" spans="1:10" ht="14.4">
      <c r="A1052" s="44"/>
      <c r="B1052" s="44"/>
      <c r="D1052" s="25"/>
      <c r="E1052" s="44"/>
      <c r="F1052" s="25" t="s">
        <v>123</v>
      </c>
      <c r="G1052" s="25"/>
      <c r="H1052" s="25"/>
      <c r="I1052" s="25"/>
      <c r="J1052" s="25"/>
    </row>
    <row r="1053" spans="1:10" ht="14.4">
      <c r="A1053" s="44"/>
      <c r="B1053" s="44"/>
      <c r="D1053" s="25"/>
      <c r="E1053" s="44"/>
      <c r="F1053" s="25" t="s">
        <v>123</v>
      </c>
      <c r="G1053" s="25"/>
      <c r="H1053" s="25"/>
      <c r="I1053" s="25"/>
      <c r="J1053" s="25"/>
    </row>
    <row r="1054" spans="1:10" ht="14.4">
      <c r="A1054" s="44"/>
      <c r="B1054" s="44"/>
      <c r="D1054" s="25"/>
      <c r="E1054" s="44"/>
      <c r="F1054" s="25" t="s">
        <v>123</v>
      </c>
      <c r="G1054" s="25"/>
      <c r="H1054" s="25"/>
      <c r="I1054" s="25"/>
      <c r="J1054" s="25"/>
    </row>
    <row r="1055" spans="1:10" ht="14.4">
      <c r="A1055" s="44"/>
      <c r="B1055" s="44"/>
      <c r="D1055" s="25"/>
      <c r="E1055" s="44"/>
      <c r="F1055" s="25" t="s">
        <v>123</v>
      </c>
      <c r="G1055" s="25"/>
      <c r="H1055" s="25"/>
      <c r="I1055" s="25"/>
      <c r="J1055" s="25"/>
    </row>
    <row r="1056" spans="1:10" ht="14.4">
      <c r="A1056" s="44"/>
      <c r="B1056" s="44"/>
      <c r="D1056" s="25"/>
      <c r="E1056" s="44"/>
      <c r="F1056" s="25" t="s">
        <v>123</v>
      </c>
      <c r="G1056" s="25"/>
      <c r="H1056" s="25"/>
      <c r="I1056" s="25"/>
      <c r="J1056" s="25"/>
    </row>
    <row r="1057" spans="1:10" ht="14.4">
      <c r="A1057" s="44"/>
      <c r="B1057" s="44"/>
      <c r="D1057" s="25"/>
      <c r="E1057" s="44"/>
      <c r="F1057" s="25" t="s">
        <v>123</v>
      </c>
      <c r="G1057" s="25"/>
      <c r="H1057" s="25"/>
      <c r="I1057" s="25"/>
      <c r="J1057" s="25"/>
    </row>
    <row r="1058" spans="1:10" ht="14.4">
      <c r="A1058" s="44"/>
      <c r="B1058" s="44"/>
      <c r="D1058" s="25"/>
      <c r="E1058" s="44"/>
      <c r="F1058" s="25" t="s">
        <v>123</v>
      </c>
      <c r="G1058" s="25"/>
      <c r="H1058" s="25"/>
      <c r="I1058" s="25"/>
      <c r="J1058" s="25"/>
    </row>
    <row r="1059" spans="1:10" ht="14.4">
      <c r="A1059" s="44"/>
      <c r="B1059" s="44"/>
      <c r="D1059" s="25"/>
      <c r="E1059" s="44"/>
      <c r="F1059" s="25" t="s">
        <v>123</v>
      </c>
      <c r="G1059" s="25"/>
      <c r="H1059" s="25"/>
      <c r="I1059" s="25"/>
      <c r="J1059" s="25"/>
    </row>
    <row r="1060" spans="1:10" ht="14.4">
      <c r="A1060" s="44"/>
      <c r="B1060" s="44"/>
      <c r="D1060" s="25"/>
      <c r="E1060" s="44"/>
      <c r="F1060" s="25" t="s">
        <v>123</v>
      </c>
      <c r="G1060" s="25"/>
      <c r="H1060" s="25"/>
      <c r="I1060" s="25"/>
      <c r="J1060" s="25"/>
    </row>
    <row r="1061" spans="1:10" ht="14.4">
      <c r="A1061" s="44"/>
      <c r="B1061" s="44"/>
      <c r="D1061" s="25"/>
      <c r="E1061" s="44"/>
      <c r="F1061" s="25" t="s">
        <v>123</v>
      </c>
      <c r="G1061" s="25"/>
      <c r="H1061" s="25"/>
      <c r="I1061" s="25"/>
      <c r="J1061" s="25"/>
    </row>
    <row r="1062" spans="1:10" ht="14.4">
      <c r="A1062" s="44"/>
      <c r="B1062" s="44"/>
      <c r="D1062" s="25"/>
      <c r="E1062" s="44"/>
      <c r="F1062" s="25" t="s">
        <v>123</v>
      </c>
      <c r="G1062" s="25"/>
      <c r="H1062" s="25"/>
      <c r="I1062" s="25"/>
      <c r="J1062" s="25"/>
    </row>
    <row r="1063" spans="1:10" ht="14.4">
      <c r="A1063" s="44"/>
      <c r="B1063" s="44"/>
      <c r="D1063" s="25"/>
      <c r="E1063" s="44"/>
      <c r="F1063" s="25" t="s">
        <v>123</v>
      </c>
      <c r="G1063" s="25"/>
      <c r="H1063" s="25"/>
      <c r="I1063" s="25"/>
      <c r="J1063" s="25"/>
    </row>
    <row r="1064" spans="1:10" ht="14.4">
      <c r="A1064" s="44"/>
      <c r="B1064" s="44"/>
      <c r="D1064" s="25"/>
      <c r="E1064" s="44"/>
      <c r="F1064" s="25" t="s">
        <v>123</v>
      </c>
      <c r="G1064" s="25"/>
      <c r="H1064" s="25"/>
      <c r="I1064" s="25"/>
      <c r="J1064" s="25"/>
    </row>
    <row r="1065" spans="1:10" ht="14.4">
      <c r="A1065" s="44"/>
      <c r="B1065" s="44"/>
      <c r="D1065" s="25"/>
      <c r="E1065" s="44"/>
      <c r="F1065" s="25" t="s">
        <v>123</v>
      </c>
      <c r="G1065" s="25"/>
      <c r="H1065" s="25"/>
      <c r="I1065" s="25"/>
      <c r="J1065" s="25"/>
    </row>
    <row r="1066" spans="1:10" ht="14.4">
      <c r="A1066" s="44"/>
      <c r="B1066" s="44"/>
      <c r="D1066" s="25"/>
      <c r="E1066" s="44"/>
      <c r="F1066" s="25" t="s">
        <v>123</v>
      </c>
      <c r="G1066" s="25"/>
      <c r="H1066" s="25"/>
      <c r="I1066" s="25"/>
      <c r="J1066" s="25"/>
    </row>
    <row r="1067" spans="1:10" ht="14.4">
      <c r="A1067" s="44"/>
      <c r="B1067" s="44"/>
      <c r="D1067" s="25"/>
      <c r="E1067" s="44"/>
      <c r="F1067" s="25" t="s">
        <v>123</v>
      </c>
      <c r="G1067" s="25"/>
      <c r="H1067" s="25"/>
      <c r="I1067" s="25"/>
      <c r="J1067" s="25"/>
    </row>
    <row r="1068" spans="1:10" ht="14.4">
      <c r="A1068" s="44"/>
      <c r="B1068" s="44"/>
      <c r="D1068" s="25"/>
      <c r="E1068" s="44"/>
      <c r="F1068" s="25" t="s">
        <v>123</v>
      </c>
      <c r="G1068" s="25"/>
      <c r="H1068" s="25"/>
      <c r="I1068" s="25"/>
      <c r="J1068" s="25"/>
    </row>
    <row r="1069" spans="1:10" ht="14.4">
      <c r="A1069" s="44"/>
      <c r="B1069" s="44"/>
      <c r="D1069" s="25"/>
      <c r="E1069" s="44"/>
      <c r="F1069" s="25" t="s">
        <v>123</v>
      </c>
      <c r="G1069" s="25"/>
      <c r="H1069" s="25"/>
      <c r="I1069" s="25"/>
      <c r="J1069" s="25"/>
    </row>
    <row r="1070" spans="1:10" ht="14.4">
      <c r="A1070" s="44"/>
      <c r="B1070" s="44"/>
      <c r="D1070" s="25"/>
      <c r="E1070" s="44"/>
      <c r="F1070" s="25" t="s">
        <v>123</v>
      </c>
      <c r="G1070" s="25"/>
      <c r="H1070" s="25"/>
      <c r="I1070" s="25"/>
      <c r="J1070" s="25"/>
    </row>
    <row r="1071" spans="1:10" ht="14.4">
      <c r="A1071" s="44"/>
      <c r="B1071" s="44"/>
      <c r="D1071" s="25"/>
      <c r="E1071" s="44"/>
      <c r="F1071" s="25" t="s">
        <v>123</v>
      </c>
      <c r="G1071" s="25"/>
      <c r="H1071" s="25"/>
      <c r="I1071" s="25"/>
      <c r="J1071" s="25"/>
    </row>
    <row r="1072" spans="1:10" ht="14.4">
      <c r="A1072" s="44"/>
      <c r="B1072" s="44"/>
      <c r="D1072" s="25"/>
      <c r="E1072" s="44"/>
      <c r="F1072" s="25" t="s">
        <v>123</v>
      </c>
      <c r="G1072" s="25"/>
      <c r="H1072" s="25"/>
      <c r="I1072" s="25"/>
      <c r="J1072" s="25"/>
    </row>
    <row r="1073" spans="1:10" ht="14.4">
      <c r="A1073" s="44"/>
      <c r="B1073" s="44"/>
      <c r="D1073" s="25"/>
      <c r="E1073" s="44"/>
      <c r="F1073" s="25" t="s">
        <v>123</v>
      </c>
      <c r="G1073" s="25"/>
      <c r="H1073" s="25"/>
      <c r="I1073" s="25"/>
      <c r="J1073" s="25"/>
    </row>
    <row r="1074" spans="1:10" ht="14.4">
      <c r="A1074" s="44"/>
      <c r="B1074" s="44"/>
      <c r="D1074" s="25"/>
      <c r="E1074" s="44"/>
      <c r="F1074" s="25" t="s">
        <v>123</v>
      </c>
      <c r="G1074" s="25"/>
      <c r="H1074" s="25"/>
      <c r="I1074" s="25"/>
      <c r="J1074" s="25"/>
    </row>
    <row r="1075" spans="1:10" ht="14.4">
      <c r="A1075" s="44"/>
      <c r="B1075" s="44"/>
      <c r="D1075" s="25"/>
      <c r="E1075" s="44"/>
      <c r="F1075" s="25" t="s">
        <v>123</v>
      </c>
      <c r="G1075" s="25"/>
      <c r="H1075" s="25"/>
      <c r="I1075" s="25"/>
      <c r="J1075" s="25"/>
    </row>
    <row r="1076" spans="1:10" ht="14.4">
      <c r="A1076" s="44"/>
      <c r="B1076" s="44"/>
      <c r="D1076" s="25"/>
      <c r="E1076" s="44"/>
      <c r="F1076" s="25" t="s">
        <v>123</v>
      </c>
      <c r="G1076" s="25"/>
      <c r="H1076" s="25"/>
      <c r="I1076" s="25"/>
      <c r="J1076" s="25"/>
    </row>
    <row r="1077" spans="1:10" ht="14.4">
      <c r="A1077" s="44"/>
      <c r="B1077" s="44"/>
      <c r="D1077" s="25"/>
      <c r="E1077" s="44"/>
      <c r="F1077" s="25" t="s">
        <v>123</v>
      </c>
      <c r="G1077" s="25"/>
      <c r="H1077" s="25"/>
      <c r="I1077" s="25"/>
      <c r="J1077" s="25"/>
    </row>
    <row r="1078" spans="1:10" ht="14.4">
      <c r="A1078" s="44"/>
      <c r="B1078" s="44"/>
      <c r="D1078" s="25"/>
      <c r="E1078" s="44"/>
      <c r="F1078" s="25" t="s">
        <v>123</v>
      </c>
      <c r="G1078" s="25"/>
      <c r="H1078" s="25"/>
      <c r="I1078" s="25"/>
      <c r="J1078" s="25"/>
    </row>
    <row r="1079" spans="1:10" ht="14.4">
      <c r="A1079" s="44"/>
      <c r="B1079" s="44"/>
      <c r="D1079" s="25"/>
      <c r="E1079" s="44"/>
      <c r="F1079" s="25" t="s">
        <v>123</v>
      </c>
      <c r="G1079" s="25"/>
      <c r="H1079" s="25"/>
      <c r="I1079" s="25"/>
      <c r="J1079" s="25"/>
    </row>
    <row r="1080" spans="1:10" ht="14.4">
      <c r="A1080" s="44"/>
      <c r="B1080" s="44"/>
      <c r="D1080" s="25"/>
      <c r="E1080" s="44"/>
      <c r="F1080" s="25" t="s">
        <v>123</v>
      </c>
      <c r="G1080" s="25"/>
      <c r="H1080" s="25"/>
      <c r="I1080" s="25"/>
      <c r="J1080" s="25"/>
    </row>
    <row r="1081" spans="1:10" ht="14.4">
      <c r="A1081" s="44"/>
      <c r="B1081" s="44"/>
      <c r="D1081" s="25"/>
      <c r="E1081" s="44"/>
      <c r="F1081" s="25" t="s">
        <v>123</v>
      </c>
      <c r="G1081" s="25"/>
      <c r="H1081" s="25"/>
      <c r="I1081" s="25"/>
      <c r="J1081" s="25"/>
    </row>
    <row r="1082" spans="1:10" ht="14.4">
      <c r="A1082" s="44"/>
      <c r="B1082" s="44"/>
      <c r="D1082" s="25"/>
      <c r="E1082" s="44"/>
      <c r="F1082" s="25" t="s">
        <v>123</v>
      </c>
      <c r="G1082" s="25"/>
      <c r="H1082" s="25"/>
      <c r="I1082" s="25"/>
      <c r="J1082" s="25"/>
    </row>
    <row r="1083" spans="1:10" ht="14.4">
      <c r="A1083" s="44"/>
      <c r="B1083" s="44"/>
      <c r="D1083" s="25"/>
      <c r="E1083" s="44"/>
      <c r="F1083" s="25" t="s">
        <v>123</v>
      </c>
      <c r="G1083" s="25"/>
      <c r="H1083" s="25"/>
      <c r="I1083" s="25"/>
      <c r="J1083" s="25"/>
    </row>
    <row r="1084" spans="1:10" ht="14.4">
      <c r="A1084" s="44"/>
      <c r="B1084" s="44"/>
      <c r="D1084" s="25"/>
      <c r="E1084" s="44"/>
      <c r="F1084" s="25" t="s">
        <v>123</v>
      </c>
      <c r="G1084" s="25"/>
      <c r="H1084" s="25"/>
      <c r="I1084" s="25"/>
      <c r="J1084" s="25"/>
    </row>
    <row r="1085" spans="1:10" ht="14.4">
      <c r="A1085" s="44"/>
      <c r="B1085" s="44"/>
      <c r="D1085" s="25"/>
      <c r="E1085" s="44"/>
      <c r="F1085" s="25" t="s">
        <v>123</v>
      </c>
      <c r="G1085" s="25"/>
      <c r="H1085" s="25"/>
      <c r="I1085" s="25"/>
      <c r="J1085" s="25"/>
    </row>
    <row r="1086" spans="1:10" ht="14.4">
      <c r="A1086" s="44"/>
      <c r="B1086" s="44"/>
      <c r="D1086" s="25"/>
      <c r="E1086" s="44"/>
      <c r="F1086" s="25" t="s">
        <v>123</v>
      </c>
      <c r="G1086" s="25"/>
      <c r="H1086" s="25"/>
      <c r="I1086" s="25"/>
      <c r="J1086" s="25"/>
    </row>
    <row r="1087" spans="1:10" ht="14.4">
      <c r="A1087" s="44"/>
      <c r="B1087" s="44"/>
      <c r="D1087" s="25"/>
      <c r="E1087" s="44"/>
      <c r="F1087" s="25" t="s">
        <v>123</v>
      </c>
      <c r="G1087" s="25"/>
      <c r="H1087" s="25"/>
      <c r="I1087" s="25"/>
      <c r="J1087" s="25"/>
    </row>
    <row r="1088" spans="1:10" ht="14.4">
      <c r="A1088" s="44"/>
      <c r="B1088" s="44"/>
      <c r="D1088" s="25"/>
      <c r="E1088" s="44"/>
      <c r="F1088" s="25" t="s">
        <v>123</v>
      </c>
      <c r="G1088" s="25"/>
      <c r="H1088" s="25"/>
      <c r="I1088" s="25"/>
      <c r="J1088" s="25"/>
    </row>
    <row r="1089" spans="1:10" ht="14.4">
      <c r="A1089" s="44"/>
      <c r="B1089" s="44"/>
      <c r="D1089" s="25"/>
      <c r="E1089" s="44"/>
      <c r="F1089" s="25" t="s">
        <v>123</v>
      </c>
      <c r="G1089" s="25"/>
      <c r="H1089" s="25"/>
      <c r="I1089" s="25"/>
      <c r="J1089" s="25"/>
    </row>
    <row r="1090" spans="1:10" ht="14.4">
      <c r="A1090" s="44"/>
      <c r="B1090" s="44"/>
      <c r="D1090" s="25"/>
      <c r="E1090" s="44"/>
      <c r="F1090" s="25" t="s">
        <v>123</v>
      </c>
      <c r="G1090" s="25"/>
      <c r="H1090" s="25"/>
      <c r="I1090" s="25"/>
      <c r="J1090" s="25"/>
    </row>
    <row r="1091" spans="1:10" ht="14.4">
      <c r="A1091" s="44"/>
      <c r="B1091" s="44"/>
      <c r="D1091" s="25"/>
      <c r="E1091" s="44"/>
      <c r="F1091" s="25" t="s">
        <v>123</v>
      </c>
      <c r="G1091" s="25"/>
      <c r="H1091" s="25"/>
      <c r="I1091" s="25"/>
      <c r="J1091" s="25"/>
    </row>
    <row r="1092" spans="1:10" ht="14.4">
      <c r="A1092" s="44"/>
      <c r="B1092" s="44"/>
      <c r="D1092" s="25"/>
      <c r="E1092" s="44"/>
      <c r="F1092" s="25" t="s">
        <v>123</v>
      </c>
      <c r="G1092" s="25"/>
      <c r="H1092" s="25"/>
      <c r="I1092" s="25"/>
      <c r="J1092" s="25"/>
    </row>
    <row r="1093" spans="1:10" ht="14.4">
      <c r="A1093" s="44"/>
      <c r="B1093" s="44"/>
      <c r="D1093" s="25"/>
      <c r="E1093" s="44"/>
      <c r="F1093" s="25" t="s">
        <v>123</v>
      </c>
      <c r="G1093" s="25"/>
      <c r="H1093" s="25"/>
      <c r="I1093" s="25"/>
      <c r="J1093" s="25"/>
    </row>
    <row r="1094" spans="1:10" ht="14.4">
      <c r="A1094" s="44"/>
      <c r="B1094" s="44"/>
      <c r="D1094" s="25"/>
      <c r="E1094" s="44"/>
      <c r="F1094" s="25" t="s">
        <v>123</v>
      </c>
      <c r="G1094" s="25"/>
      <c r="H1094" s="25"/>
      <c r="I1094" s="25"/>
      <c r="J1094" s="25"/>
    </row>
    <row r="1095" spans="1:10" ht="14.4">
      <c r="A1095" s="44"/>
      <c r="B1095" s="44"/>
      <c r="D1095" s="25"/>
      <c r="E1095" s="44"/>
      <c r="F1095" s="25" t="s">
        <v>123</v>
      </c>
      <c r="G1095" s="25"/>
      <c r="H1095" s="25"/>
      <c r="I1095" s="25"/>
      <c r="J1095" s="25"/>
    </row>
    <row r="1096" spans="1:10" ht="14.4">
      <c r="A1096" s="44"/>
      <c r="B1096" s="44"/>
      <c r="D1096" s="25"/>
      <c r="E1096" s="44"/>
      <c r="F1096" s="25" t="s">
        <v>123</v>
      </c>
      <c r="G1096" s="25"/>
      <c r="H1096" s="25"/>
      <c r="I1096" s="25"/>
      <c r="J1096" s="25"/>
    </row>
    <row r="1097" spans="1:10" ht="14.4">
      <c r="A1097" s="44"/>
      <c r="B1097" s="44"/>
      <c r="D1097" s="25"/>
      <c r="E1097" s="44"/>
      <c r="F1097" s="25" t="s">
        <v>123</v>
      </c>
      <c r="G1097" s="25"/>
      <c r="H1097" s="25"/>
      <c r="I1097" s="25"/>
      <c r="J1097" s="25"/>
    </row>
    <row r="1098" spans="1:10" ht="14.4">
      <c r="A1098" s="44"/>
      <c r="B1098" s="44"/>
      <c r="D1098" s="25"/>
      <c r="E1098" s="44"/>
      <c r="F1098" s="25" t="s">
        <v>123</v>
      </c>
      <c r="G1098" s="25"/>
      <c r="H1098" s="25"/>
      <c r="I1098" s="25"/>
      <c r="J1098" s="25"/>
    </row>
    <row r="1099" spans="1:10" ht="14.4">
      <c r="A1099" s="44"/>
      <c r="B1099" s="44"/>
      <c r="D1099" s="25"/>
      <c r="E1099" s="44"/>
      <c r="F1099" s="25" t="s">
        <v>123</v>
      </c>
      <c r="G1099" s="25"/>
      <c r="H1099" s="25"/>
      <c r="I1099" s="25"/>
      <c r="J1099" s="25"/>
    </row>
    <row r="1100" spans="1:10" ht="14.4">
      <c r="A1100" s="44"/>
      <c r="B1100" s="44"/>
      <c r="D1100" s="25"/>
      <c r="E1100" s="44"/>
      <c r="F1100" s="25" t="s">
        <v>123</v>
      </c>
      <c r="G1100" s="25"/>
      <c r="H1100" s="25"/>
      <c r="I1100" s="25"/>
      <c r="J1100" s="25"/>
    </row>
    <row r="1101" spans="1:10" ht="14.4">
      <c r="A1101" s="44"/>
      <c r="B1101" s="44"/>
      <c r="D1101" s="25"/>
      <c r="E1101" s="44"/>
      <c r="F1101" s="25" t="s">
        <v>123</v>
      </c>
      <c r="G1101" s="25"/>
      <c r="H1101" s="25"/>
      <c r="I1101" s="25"/>
      <c r="J1101" s="25"/>
    </row>
    <row r="1102" spans="1:10" ht="14.4">
      <c r="A1102" s="44"/>
      <c r="B1102" s="44"/>
      <c r="D1102" s="25"/>
      <c r="E1102" s="44"/>
      <c r="F1102" s="25" t="s">
        <v>123</v>
      </c>
      <c r="G1102" s="25"/>
      <c r="H1102" s="25"/>
      <c r="I1102" s="25"/>
      <c r="J1102" s="25"/>
    </row>
    <row r="1103" spans="1:10" ht="14.4">
      <c r="A1103" s="44"/>
      <c r="B1103" s="44"/>
      <c r="D1103" s="25"/>
      <c r="E1103" s="44"/>
      <c r="F1103" s="25" t="s">
        <v>123</v>
      </c>
      <c r="G1103" s="25"/>
      <c r="H1103" s="25"/>
      <c r="I1103" s="25"/>
      <c r="J1103" s="25"/>
    </row>
    <row r="1104" spans="1:10" ht="14.4">
      <c r="A1104" s="44"/>
      <c r="B1104" s="44"/>
      <c r="D1104" s="25"/>
      <c r="E1104" s="44"/>
      <c r="F1104" s="25" t="s">
        <v>123</v>
      </c>
      <c r="G1104" s="25"/>
      <c r="H1104" s="25"/>
      <c r="I1104" s="25"/>
      <c r="J1104" s="25"/>
    </row>
    <row r="1105" spans="1:10" ht="14.4">
      <c r="A1105" s="44"/>
      <c r="B1105" s="44"/>
      <c r="D1105" s="25"/>
      <c r="E1105" s="44"/>
      <c r="F1105" s="25" t="s">
        <v>123</v>
      </c>
      <c r="G1105" s="25"/>
      <c r="H1105" s="25"/>
      <c r="I1105" s="25"/>
      <c r="J1105" s="25"/>
    </row>
    <row r="1106" spans="1:10" ht="14.4">
      <c r="A1106" s="44"/>
      <c r="B1106" s="44"/>
      <c r="D1106" s="25"/>
      <c r="E1106" s="44"/>
      <c r="F1106" s="25" t="s">
        <v>123</v>
      </c>
      <c r="G1106" s="25"/>
      <c r="H1106" s="25"/>
      <c r="I1106" s="25"/>
      <c r="J1106" s="25"/>
    </row>
    <row r="1107" spans="1:10" ht="14.4">
      <c r="A1107" s="44"/>
      <c r="B1107" s="44"/>
      <c r="D1107" s="25"/>
      <c r="E1107" s="44"/>
      <c r="F1107" s="25" t="s">
        <v>123</v>
      </c>
      <c r="G1107" s="25"/>
      <c r="H1107" s="25"/>
      <c r="I1107" s="25"/>
      <c r="J1107" s="25"/>
    </row>
    <row r="1108" spans="1:10" ht="14.4">
      <c r="A1108" s="44"/>
      <c r="B1108" s="44"/>
      <c r="D1108" s="25"/>
      <c r="E1108" s="44"/>
      <c r="F1108" s="25" t="s">
        <v>123</v>
      </c>
      <c r="G1108" s="25"/>
      <c r="H1108" s="25"/>
      <c r="I1108" s="25"/>
      <c r="J1108" s="25"/>
    </row>
    <row r="1109" spans="1:10" ht="14.4">
      <c r="A1109" s="44"/>
      <c r="B1109" s="44"/>
      <c r="D1109" s="25"/>
      <c r="E1109" s="44"/>
      <c r="F1109" s="25" t="s">
        <v>123</v>
      </c>
      <c r="G1109" s="25"/>
      <c r="H1109" s="25"/>
      <c r="I1109" s="25"/>
      <c r="J1109" s="25"/>
    </row>
    <row r="1110" spans="1:10" ht="14.4">
      <c r="A1110" s="44"/>
      <c r="B1110" s="44"/>
      <c r="D1110" s="25"/>
      <c r="E1110" s="44"/>
      <c r="F1110" s="25" t="s">
        <v>123</v>
      </c>
      <c r="G1110" s="25"/>
      <c r="H1110" s="25"/>
      <c r="I1110" s="25"/>
      <c r="J1110" s="25"/>
    </row>
    <row r="1111" spans="1:10" ht="14.4">
      <c r="A1111" s="44"/>
      <c r="B1111" s="44"/>
      <c r="D1111" s="25"/>
      <c r="E1111" s="44"/>
      <c r="F1111" s="25" t="s">
        <v>123</v>
      </c>
      <c r="G1111" s="25"/>
      <c r="H1111" s="25"/>
      <c r="I1111" s="25"/>
      <c r="J1111" s="25"/>
    </row>
    <row r="1112" spans="1:10" ht="14.4">
      <c r="A1112" s="44"/>
      <c r="B1112" s="44"/>
      <c r="D1112" s="25"/>
      <c r="E1112" s="44"/>
      <c r="F1112" s="25" t="s">
        <v>123</v>
      </c>
      <c r="G1112" s="25"/>
      <c r="H1112" s="25"/>
      <c r="I1112" s="25"/>
      <c r="J1112" s="25"/>
    </row>
    <row r="1113" spans="1:10" ht="14.4">
      <c r="A1113" s="44"/>
      <c r="B1113" s="44"/>
      <c r="D1113" s="25"/>
      <c r="E1113" s="44"/>
      <c r="F1113" s="25" t="s">
        <v>123</v>
      </c>
      <c r="G1113" s="25"/>
      <c r="H1113" s="25"/>
      <c r="I1113" s="25"/>
      <c r="J1113" s="25"/>
    </row>
    <row r="1114" spans="1:10" ht="14.4">
      <c r="A1114" s="44"/>
      <c r="B1114" s="44"/>
      <c r="D1114" s="25"/>
      <c r="E1114" s="44"/>
      <c r="F1114" s="25" t="s">
        <v>123</v>
      </c>
      <c r="G1114" s="25"/>
      <c r="H1114" s="25"/>
      <c r="I1114" s="25"/>
      <c r="J1114" s="25"/>
    </row>
    <row r="1115" spans="1:10" ht="14.4">
      <c r="A1115" s="44"/>
      <c r="B1115" s="44"/>
      <c r="D1115" s="25"/>
      <c r="E1115" s="44"/>
      <c r="F1115" s="25" t="s">
        <v>123</v>
      </c>
      <c r="G1115" s="25"/>
      <c r="H1115" s="25"/>
      <c r="I1115" s="25"/>
      <c r="J1115" s="25"/>
    </row>
    <row r="1116" spans="1:10" ht="14.4">
      <c r="A1116" s="44"/>
      <c r="B1116" s="44"/>
      <c r="D1116" s="25"/>
      <c r="E1116" s="44"/>
      <c r="F1116" s="25" t="s">
        <v>123</v>
      </c>
      <c r="G1116" s="25"/>
      <c r="H1116" s="25"/>
      <c r="I1116" s="25"/>
      <c r="J1116" s="25"/>
    </row>
    <row r="1117" spans="1:10" ht="14.4">
      <c r="A1117" s="44"/>
      <c r="B1117" s="44"/>
      <c r="D1117" s="25"/>
      <c r="E1117" s="44"/>
      <c r="F1117" s="25" t="s">
        <v>123</v>
      </c>
      <c r="G1117" s="25"/>
      <c r="H1117" s="25"/>
      <c r="I1117" s="25"/>
      <c r="J1117" s="25"/>
    </row>
    <row r="1118" spans="1:10" ht="14.4">
      <c r="A1118" s="44"/>
      <c r="B1118" s="44"/>
      <c r="D1118" s="25"/>
      <c r="E1118" s="44"/>
      <c r="F1118" s="25" t="s">
        <v>123</v>
      </c>
      <c r="G1118" s="25"/>
      <c r="H1118" s="25"/>
      <c r="I1118" s="25"/>
      <c r="J1118" s="25"/>
    </row>
    <row r="1119" spans="1:10" ht="14.4">
      <c r="A1119" s="44"/>
      <c r="B1119" s="44"/>
      <c r="D1119" s="25"/>
      <c r="E1119" s="44"/>
      <c r="F1119" s="25" t="s">
        <v>123</v>
      </c>
      <c r="G1119" s="25"/>
      <c r="H1119" s="25"/>
      <c r="I1119" s="25"/>
      <c r="J1119" s="25"/>
    </row>
    <row r="1120" spans="1:10" ht="14.4">
      <c r="A1120" s="44"/>
      <c r="B1120" s="44"/>
      <c r="D1120" s="25"/>
      <c r="E1120" s="44"/>
      <c r="F1120" s="25" t="s">
        <v>123</v>
      </c>
      <c r="G1120" s="25"/>
      <c r="H1120" s="25"/>
      <c r="I1120" s="25"/>
      <c r="J1120" s="25"/>
    </row>
    <row r="1121" spans="1:10" ht="14.4">
      <c r="A1121" s="44"/>
      <c r="B1121" s="44"/>
      <c r="D1121" s="25"/>
      <c r="E1121" s="44"/>
      <c r="F1121" s="25" t="s">
        <v>123</v>
      </c>
      <c r="G1121" s="25"/>
      <c r="H1121" s="25"/>
      <c r="I1121" s="25"/>
      <c r="J1121" s="25"/>
    </row>
    <row r="1122" spans="1:10" ht="14.4">
      <c r="A1122" s="44"/>
      <c r="B1122" s="44"/>
      <c r="D1122" s="25"/>
      <c r="E1122" s="44"/>
      <c r="F1122" s="25" t="s">
        <v>123</v>
      </c>
      <c r="G1122" s="25"/>
      <c r="H1122" s="25"/>
      <c r="I1122" s="25"/>
      <c r="J1122" s="25"/>
    </row>
    <row r="1123" spans="1:10" ht="14.4">
      <c r="A1123" s="44"/>
      <c r="B1123" s="44"/>
      <c r="D1123" s="25"/>
      <c r="E1123" s="44"/>
      <c r="F1123" s="25" t="s">
        <v>123</v>
      </c>
      <c r="G1123" s="25"/>
      <c r="H1123" s="25"/>
      <c r="I1123" s="25"/>
      <c r="J1123" s="25"/>
    </row>
    <row r="1124" spans="1:10" ht="14.4">
      <c r="A1124" s="44"/>
      <c r="B1124" s="44"/>
      <c r="D1124" s="25"/>
      <c r="E1124" s="44"/>
      <c r="F1124" s="25" t="s">
        <v>123</v>
      </c>
      <c r="G1124" s="25"/>
      <c r="H1124" s="25"/>
      <c r="I1124" s="25"/>
      <c r="J1124" s="25"/>
    </row>
    <row r="1125" spans="1:10" ht="14.4">
      <c r="A1125" s="44"/>
      <c r="B1125" s="44"/>
      <c r="D1125" s="25"/>
      <c r="E1125" s="44"/>
      <c r="F1125" s="25" t="s">
        <v>123</v>
      </c>
      <c r="G1125" s="25"/>
      <c r="H1125" s="25"/>
      <c r="I1125" s="25"/>
      <c r="J1125" s="25"/>
    </row>
    <row r="1126" spans="1:10" ht="14.4">
      <c r="A1126" s="44"/>
      <c r="B1126" s="44"/>
      <c r="D1126" s="25"/>
      <c r="E1126" s="44"/>
      <c r="F1126" s="25" t="s">
        <v>123</v>
      </c>
      <c r="G1126" s="25"/>
      <c r="H1126" s="25"/>
      <c r="I1126" s="25"/>
      <c r="J1126" s="25"/>
    </row>
    <row r="1127" spans="1:10" ht="14.4">
      <c r="A1127" s="44"/>
      <c r="B1127" s="44"/>
      <c r="D1127" s="25"/>
      <c r="E1127" s="44"/>
      <c r="F1127" s="25" t="s">
        <v>123</v>
      </c>
      <c r="G1127" s="25"/>
      <c r="H1127" s="25"/>
      <c r="I1127" s="25"/>
      <c r="J1127" s="25"/>
    </row>
    <row r="1128" spans="1:10" ht="14.4">
      <c r="A1128" s="44"/>
      <c r="B1128" s="44"/>
      <c r="D1128" s="25"/>
      <c r="E1128" s="44"/>
      <c r="F1128" s="25" t="s">
        <v>123</v>
      </c>
      <c r="G1128" s="25"/>
      <c r="H1128" s="25"/>
      <c r="I1128" s="25"/>
      <c r="J1128" s="25"/>
    </row>
    <row r="1129" spans="1:10" ht="14.4">
      <c r="A1129" s="44"/>
      <c r="B1129" s="44"/>
      <c r="D1129" s="25"/>
      <c r="E1129" s="44"/>
      <c r="F1129" s="25" t="s">
        <v>123</v>
      </c>
      <c r="G1129" s="25"/>
      <c r="H1129" s="25"/>
      <c r="I1129" s="25"/>
      <c r="J1129" s="25"/>
    </row>
    <row r="1130" spans="1:10" ht="14.4">
      <c r="A1130" s="44"/>
      <c r="B1130" s="44"/>
      <c r="D1130" s="25"/>
      <c r="E1130" s="44"/>
      <c r="F1130" s="25" t="s">
        <v>123</v>
      </c>
      <c r="G1130" s="25"/>
      <c r="H1130" s="25"/>
      <c r="I1130" s="25"/>
      <c r="J1130" s="25"/>
    </row>
    <row r="1131" spans="1:10" ht="14.4">
      <c r="A1131" s="44"/>
      <c r="B1131" s="44"/>
      <c r="D1131" s="25"/>
      <c r="E1131" s="44"/>
      <c r="F1131" s="25" t="s">
        <v>123</v>
      </c>
      <c r="G1131" s="25"/>
      <c r="H1131" s="25"/>
      <c r="I1131" s="25"/>
      <c r="J1131" s="25"/>
    </row>
    <row r="1132" spans="1:10" ht="14.4">
      <c r="A1132" s="44"/>
      <c r="B1132" s="44"/>
      <c r="D1132" s="25"/>
      <c r="E1132" s="44"/>
      <c r="F1132" s="25" t="s">
        <v>123</v>
      </c>
      <c r="G1132" s="25"/>
      <c r="H1132" s="25"/>
      <c r="I1132" s="25"/>
      <c r="J1132" s="25"/>
    </row>
    <row r="1133" spans="1:10" ht="14.4">
      <c r="A1133" s="44"/>
      <c r="B1133" s="44"/>
      <c r="D1133" s="25"/>
      <c r="E1133" s="44"/>
      <c r="F1133" s="25" t="s">
        <v>123</v>
      </c>
      <c r="G1133" s="25"/>
      <c r="H1133" s="25"/>
      <c r="I1133" s="25"/>
      <c r="J1133" s="25"/>
    </row>
    <row r="1134" spans="1:10" ht="14.4">
      <c r="A1134" s="44"/>
      <c r="B1134" s="44"/>
      <c r="D1134" s="25"/>
      <c r="E1134" s="44"/>
      <c r="F1134" s="25" t="s">
        <v>123</v>
      </c>
      <c r="G1134" s="25"/>
      <c r="H1134" s="25"/>
      <c r="I1134" s="25"/>
      <c r="J1134" s="25"/>
    </row>
    <row r="1135" spans="1:10" ht="14.4">
      <c r="A1135" s="44"/>
      <c r="B1135" s="44"/>
      <c r="D1135" s="25"/>
      <c r="E1135" s="44"/>
      <c r="F1135" s="25" t="s">
        <v>123</v>
      </c>
      <c r="G1135" s="25"/>
      <c r="H1135" s="25"/>
      <c r="I1135" s="25"/>
      <c r="J1135" s="25"/>
    </row>
    <row r="1136" spans="1:10" ht="14.4">
      <c r="A1136" s="44"/>
      <c r="B1136" s="44"/>
      <c r="D1136" s="25"/>
      <c r="E1136" s="44"/>
      <c r="F1136" s="25" t="s">
        <v>123</v>
      </c>
      <c r="G1136" s="25"/>
      <c r="H1136" s="25"/>
      <c r="I1136" s="25"/>
      <c r="J1136" s="25"/>
    </row>
    <row r="1137" spans="1:10" ht="14.4">
      <c r="A1137" s="44"/>
      <c r="B1137" s="44"/>
      <c r="D1137" s="25"/>
      <c r="E1137" s="44"/>
      <c r="F1137" s="25" t="s">
        <v>123</v>
      </c>
      <c r="G1137" s="25"/>
      <c r="H1137" s="25"/>
      <c r="I1137" s="25"/>
      <c r="J1137" s="25"/>
    </row>
    <row r="1138" spans="1:10" ht="14.4">
      <c r="A1138" s="44"/>
      <c r="B1138" s="44"/>
      <c r="D1138" s="25"/>
      <c r="E1138" s="44"/>
      <c r="F1138" s="25" t="s">
        <v>123</v>
      </c>
      <c r="G1138" s="25"/>
      <c r="H1138" s="25"/>
      <c r="I1138" s="25"/>
      <c r="J1138" s="25"/>
    </row>
    <row r="1139" spans="1:10" ht="14.4">
      <c r="A1139" s="44"/>
      <c r="B1139" s="44"/>
      <c r="D1139" s="25"/>
      <c r="E1139" s="44"/>
      <c r="F1139" s="25" t="s">
        <v>123</v>
      </c>
      <c r="G1139" s="25"/>
      <c r="H1139" s="25"/>
      <c r="I1139" s="25"/>
      <c r="J1139" s="25"/>
    </row>
    <row r="1140" spans="1:10" ht="14.4">
      <c r="A1140" s="44"/>
      <c r="B1140" s="44"/>
      <c r="D1140" s="25"/>
      <c r="E1140" s="44"/>
      <c r="F1140" s="25" t="s">
        <v>123</v>
      </c>
      <c r="G1140" s="25"/>
      <c r="H1140" s="25"/>
      <c r="I1140" s="25"/>
      <c r="J1140" s="25"/>
    </row>
    <row r="1141" spans="1:10" ht="14.4">
      <c r="A1141" s="44"/>
      <c r="B1141" s="44"/>
      <c r="D1141" s="25"/>
      <c r="E1141" s="44"/>
      <c r="F1141" s="25" t="s">
        <v>123</v>
      </c>
      <c r="G1141" s="25"/>
      <c r="H1141" s="25"/>
      <c r="I1141" s="25"/>
      <c r="J1141" s="25"/>
    </row>
    <row r="1142" spans="1:10" ht="14.4">
      <c r="A1142" s="44"/>
      <c r="B1142" s="44"/>
      <c r="D1142" s="25"/>
      <c r="E1142" s="44"/>
      <c r="F1142" s="25" t="s">
        <v>123</v>
      </c>
      <c r="G1142" s="25"/>
      <c r="H1142" s="25"/>
      <c r="I1142" s="25"/>
      <c r="J1142" s="25"/>
    </row>
    <row r="1143" spans="1:10" ht="14.4">
      <c r="A1143" s="44"/>
      <c r="B1143" s="44"/>
      <c r="D1143" s="25"/>
      <c r="E1143" s="44"/>
      <c r="F1143" s="25" t="s">
        <v>123</v>
      </c>
      <c r="G1143" s="25"/>
      <c r="H1143" s="25"/>
      <c r="I1143" s="25"/>
      <c r="J1143" s="25"/>
    </row>
    <row r="1144" spans="1:10" ht="14.4">
      <c r="A1144" s="44"/>
      <c r="B1144" s="44"/>
      <c r="D1144" s="25"/>
      <c r="E1144" s="44"/>
      <c r="F1144" s="25" t="s">
        <v>123</v>
      </c>
      <c r="G1144" s="25"/>
      <c r="H1144" s="25"/>
      <c r="I1144" s="25"/>
      <c r="J1144" s="25"/>
    </row>
    <row r="1145" spans="1:10" ht="14.4">
      <c r="A1145" s="44"/>
      <c r="B1145" s="44"/>
      <c r="D1145" s="25"/>
      <c r="E1145" s="44"/>
      <c r="F1145" s="25" t="s">
        <v>123</v>
      </c>
      <c r="G1145" s="25"/>
      <c r="H1145" s="25"/>
      <c r="I1145" s="25"/>
      <c r="J1145" s="25"/>
    </row>
    <row r="1146" spans="1:10" ht="14.4">
      <c r="A1146" s="44"/>
      <c r="B1146" s="44"/>
      <c r="D1146" s="25"/>
      <c r="E1146" s="44"/>
      <c r="F1146" s="25" t="s">
        <v>123</v>
      </c>
      <c r="G1146" s="25"/>
      <c r="H1146" s="25"/>
      <c r="I1146" s="25"/>
      <c r="J1146" s="25"/>
    </row>
    <row r="1147" spans="1:10" ht="14.4">
      <c r="A1147" s="44"/>
      <c r="B1147" s="44"/>
      <c r="D1147" s="25"/>
      <c r="E1147" s="44"/>
      <c r="F1147" s="25" t="s">
        <v>123</v>
      </c>
      <c r="G1147" s="25"/>
      <c r="H1147" s="25"/>
      <c r="I1147" s="25"/>
      <c r="J1147" s="25"/>
    </row>
    <row r="1148" spans="1:10" ht="14.4">
      <c r="A1148" s="44"/>
      <c r="B1148" s="44"/>
      <c r="D1148" s="25"/>
      <c r="E1148" s="44"/>
      <c r="F1148" s="25" t="s">
        <v>123</v>
      </c>
      <c r="G1148" s="25"/>
      <c r="H1148" s="25"/>
      <c r="I1148" s="25"/>
      <c r="J1148" s="25"/>
    </row>
    <row r="1149" spans="1:10" ht="14.4">
      <c r="A1149" s="44"/>
      <c r="B1149" s="44"/>
      <c r="D1149" s="25"/>
      <c r="E1149" s="44"/>
      <c r="F1149" s="25" t="s">
        <v>123</v>
      </c>
      <c r="G1149" s="25"/>
      <c r="H1149" s="25"/>
      <c r="I1149" s="25"/>
      <c r="J1149" s="25"/>
    </row>
    <row r="1150" spans="1:10" ht="14.4">
      <c r="A1150" s="44"/>
      <c r="B1150" s="44"/>
      <c r="D1150" s="25"/>
      <c r="E1150" s="44"/>
      <c r="F1150" s="25" t="s">
        <v>123</v>
      </c>
      <c r="G1150" s="25"/>
      <c r="H1150" s="25"/>
      <c r="I1150" s="25"/>
      <c r="J1150" s="25"/>
    </row>
    <row r="1151" spans="1:10" ht="14.4">
      <c r="A1151" s="44"/>
      <c r="B1151" s="44"/>
      <c r="D1151" s="25"/>
      <c r="E1151" s="44"/>
      <c r="F1151" s="25" t="s">
        <v>123</v>
      </c>
      <c r="G1151" s="25"/>
      <c r="H1151" s="25"/>
      <c r="I1151" s="25"/>
      <c r="J1151" s="25"/>
    </row>
    <row r="1152" spans="1:10" ht="14.4">
      <c r="A1152" s="44"/>
      <c r="B1152" s="44"/>
      <c r="D1152" s="25"/>
      <c r="E1152" s="44"/>
      <c r="F1152" s="25" t="s">
        <v>123</v>
      </c>
      <c r="G1152" s="25"/>
      <c r="H1152" s="25"/>
      <c r="I1152" s="25"/>
      <c r="J1152" s="25"/>
    </row>
    <row r="1153" spans="1:10" ht="14.4">
      <c r="A1153" s="44"/>
      <c r="B1153" s="44"/>
      <c r="D1153" s="25"/>
      <c r="E1153" s="44"/>
      <c r="F1153" s="25" t="s">
        <v>123</v>
      </c>
      <c r="G1153" s="25"/>
      <c r="H1153" s="25"/>
      <c r="I1153" s="25"/>
      <c r="J1153" s="25"/>
    </row>
    <row r="1154" spans="1:10" ht="14.4">
      <c r="A1154" s="44"/>
      <c r="B1154" s="44"/>
      <c r="D1154" s="25"/>
      <c r="E1154" s="44"/>
      <c r="F1154" s="25" t="s">
        <v>123</v>
      </c>
      <c r="G1154" s="25"/>
      <c r="H1154" s="25"/>
      <c r="I1154" s="25"/>
      <c r="J1154" s="25"/>
    </row>
    <row r="1155" spans="1:10" ht="14.4">
      <c r="A1155" s="44"/>
      <c r="B1155" s="44"/>
      <c r="D1155" s="25"/>
      <c r="E1155" s="44"/>
      <c r="F1155" s="25" t="s">
        <v>123</v>
      </c>
      <c r="G1155" s="25"/>
      <c r="H1155" s="25"/>
      <c r="I1155" s="25"/>
      <c r="J1155" s="25"/>
    </row>
    <row r="1156" spans="1:10" ht="14.4">
      <c r="A1156" s="44"/>
      <c r="B1156" s="44"/>
      <c r="D1156" s="25"/>
      <c r="E1156" s="44"/>
      <c r="F1156" s="25" t="s">
        <v>123</v>
      </c>
      <c r="G1156" s="25"/>
      <c r="H1156" s="25"/>
      <c r="I1156" s="25"/>
      <c r="J1156" s="25"/>
    </row>
    <row r="1157" spans="1:10" ht="14.4">
      <c r="A1157" s="44"/>
      <c r="B1157" s="44"/>
      <c r="D1157" s="25"/>
      <c r="E1157" s="44"/>
      <c r="F1157" s="25" t="s">
        <v>123</v>
      </c>
      <c r="G1157" s="25"/>
      <c r="H1157" s="25"/>
      <c r="I1157" s="25"/>
      <c r="J1157" s="25"/>
    </row>
    <row r="1158" spans="1:10" ht="14.4">
      <c r="A1158" s="44"/>
      <c r="B1158" s="44"/>
      <c r="D1158" s="25"/>
      <c r="E1158" s="44"/>
      <c r="F1158" s="25" t="s">
        <v>123</v>
      </c>
      <c r="G1158" s="25"/>
      <c r="H1158" s="25"/>
      <c r="I1158" s="25"/>
      <c r="J1158" s="25"/>
    </row>
    <row r="1159" spans="1:10" ht="14.4">
      <c r="A1159" s="44"/>
      <c r="B1159" s="44"/>
      <c r="D1159" s="25"/>
      <c r="E1159" s="44"/>
      <c r="F1159" s="25" t="s">
        <v>123</v>
      </c>
      <c r="G1159" s="25"/>
      <c r="H1159" s="25"/>
      <c r="I1159" s="25"/>
      <c r="J1159" s="25"/>
    </row>
    <row r="1160" spans="1:10" ht="14.4">
      <c r="A1160" s="44"/>
      <c r="B1160" s="44"/>
      <c r="D1160" s="25"/>
      <c r="E1160" s="44"/>
      <c r="F1160" s="25" t="s">
        <v>123</v>
      </c>
      <c r="G1160" s="25"/>
      <c r="H1160" s="25"/>
      <c r="I1160" s="25"/>
      <c r="J1160" s="25"/>
    </row>
    <row r="1161" spans="1:10" ht="14.4">
      <c r="A1161" s="44"/>
      <c r="B1161" s="44"/>
      <c r="D1161" s="25"/>
      <c r="E1161" s="44"/>
      <c r="F1161" s="25" t="s">
        <v>123</v>
      </c>
      <c r="G1161" s="25"/>
      <c r="H1161" s="25"/>
      <c r="I1161" s="25"/>
      <c r="J1161" s="25"/>
    </row>
    <row r="1162" spans="1:10" ht="14.4">
      <c r="A1162" s="44"/>
      <c r="B1162" s="44"/>
      <c r="D1162" s="25"/>
      <c r="E1162" s="44"/>
      <c r="F1162" s="25" t="s">
        <v>123</v>
      </c>
      <c r="G1162" s="25"/>
      <c r="H1162" s="25"/>
      <c r="I1162" s="25"/>
      <c r="J1162" s="25"/>
    </row>
    <row r="1163" spans="1:10" ht="14.4">
      <c r="A1163" s="44"/>
      <c r="B1163" s="44"/>
      <c r="D1163" s="25"/>
      <c r="E1163" s="44"/>
      <c r="F1163" s="25" t="s">
        <v>123</v>
      </c>
      <c r="G1163" s="25"/>
      <c r="H1163" s="25"/>
      <c r="I1163" s="25"/>
      <c r="J1163" s="25"/>
    </row>
    <row r="1164" spans="1:10" ht="14.4">
      <c r="A1164" s="44"/>
      <c r="B1164" s="44"/>
      <c r="D1164" s="25"/>
      <c r="E1164" s="44"/>
      <c r="F1164" s="25" t="s">
        <v>123</v>
      </c>
      <c r="G1164" s="25"/>
      <c r="H1164" s="25"/>
      <c r="I1164" s="25"/>
      <c r="J1164" s="25"/>
    </row>
    <row r="1165" spans="1:10" ht="14.4">
      <c r="A1165" s="44"/>
      <c r="B1165" s="44"/>
      <c r="D1165" s="25"/>
      <c r="E1165" s="44"/>
      <c r="F1165" s="25" t="s">
        <v>123</v>
      </c>
      <c r="G1165" s="25"/>
      <c r="H1165" s="25"/>
      <c r="I1165" s="25"/>
      <c r="J1165" s="25"/>
    </row>
    <row r="1166" spans="1:10" ht="14.4">
      <c r="A1166" s="44"/>
      <c r="B1166" s="44"/>
      <c r="D1166" s="25"/>
      <c r="E1166" s="44"/>
      <c r="F1166" s="25" t="s">
        <v>123</v>
      </c>
      <c r="G1166" s="25"/>
      <c r="H1166" s="25"/>
      <c r="I1166" s="25"/>
      <c r="J1166" s="25"/>
    </row>
    <row r="1167" spans="1:10" ht="14.4">
      <c r="A1167" s="44"/>
      <c r="B1167" s="44"/>
      <c r="D1167" s="25"/>
      <c r="E1167" s="44"/>
      <c r="F1167" s="25" t="s">
        <v>123</v>
      </c>
      <c r="G1167" s="25"/>
      <c r="H1167" s="25"/>
      <c r="I1167" s="25"/>
      <c r="J1167" s="25"/>
    </row>
    <row r="1168" spans="1:10" ht="14.4">
      <c r="A1168" s="44"/>
      <c r="B1168" s="44"/>
      <c r="D1168" s="25"/>
      <c r="E1168" s="44"/>
      <c r="F1168" s="25" t="s">
        <v>123</v>
      </c>
      <c r="G1168" s="25"/>
      <c r="H1168" s="25"/>
      <c r="I1168" s="25"/>
      <c r="J1168" s="25"/>
    </row>
    <row r="1169" spans="1:10" ht="14.4">
      <c r="A1169" s="44"/>
      <c r="B1169" s="44"/>
      <c r="D1169" s="25"/>
      <c r="E1169" s="44"/>
      <c r="F1169" s="25" t="s">
        <v>123</v>
      </c>
      <c r="G1169" s="25"/>
      <c r="H1169" s="25"/>
      <c r="I1169" s="25"/>
      <c r="J1169" s="25"/>
    </row>
    <row r="1170" spans="1:10" ht="14.4">
      <c r="A1170" s="44"/>
      <c r="B1170" s="44"/>
      <c r="D1170" s="25"/>
      <c r="E1170" s="44"/>
      <c r="F1170" s="25" t="s">
        <v>123</v>
      </c>
      <c r="G1170" s="25"/>
      <c r="H1170" s="25"/>
      <c r="I1170" s="25"/>
      <c r="J1170" s="25"/>
    </row>
    <row r="1171" spans="1:10" ht="14.4">
      <c r="A1171" s="44"/>
      <c r="B1171" s="44"/>
      <c r="D1171" s="25"/>
      <c r="E1171" s="44"/>
      <c r="F1171" s="25" t="s">
        <v>123</v>
      </c>
      <c r="G1171" s="25"/>
      <c r="H1171" s="25"/>
      <c r="I1171" s="25"/>
      <c r="J1171" s="25"/>
    </row>
    <row r="1172" spans="1:10" ht="14.4">
      <c r="A1172" s="44"/>
      <c r="B1172" s="44"/>
      <c r="D1172" s="25"/>
      <c r="E1172" s="44"/>
      <c r="F1172" s="25" t="s">
        <v>123</v>
      </c>
      <c r="G1172" s="25"/>
      <c r="H1172" s="25"/>
      <c r="I1172" s="25"/>
      <c r="J1172" s="25"/>
    </row>
    <row r="1173" spans="1:10" ht="14.4">
      <c r="A1173" s="44"/>
      <c r="B1173" s="44"/>
      <c r="D1173" s="25"/>
      <c r="E1173" s="44"/>
      <c r="F1173" s="25" t="s">
        <v>123</v>
      </c>
      <c r="G1173" s="25"/>
      <c r="H1173" s="25"/>
      <c r="I1173" s="25"/>
      <c r="J1173" s="25"/>
    </row>
    <row r="1174" spans="1:10" ht="14.4">
      <c r="A1174" s="44"/>
      <c r="B1174" s="44"/>
      <c r="D1174" s="25"/>
      <c r="E1174" s="44"/>
      <c r="F1174" s="25" t="s">
        <v>123</v>
      </c>
      <c r="G1174" s="25"/>
      <c r="H1174" s="25"/>
      <c r="I1174" s="25"/>
      <c r="J1174" s="25"/>
    </row>
    <row r="1175" spans="1:10" ht="14.4">
      <c r="A1175" s="44"/>
      <c r="B1175" s="44"/>
      <c r="D1175" s="25"/>
      <c r="E1175" s="44"/>
      <c r="F1175" s="25" t="s">
        <v>123</v>
      </c>
      <c r="G1175" s="25"/>
      <c r="H1175" s="25"/>
      <c r="I1175" s="25"/>
      <c r="J1175" s="25"/>
    </row>
    <row r="1176" spans="1:10" ht="14.4">
      <c r="A1176" s="44"/>
      <c r="B1176" s="44"/>
      <c r="D1176" s="25"/>
      <c r="E1176" s="44"/>
      <c r="F1176" s="25" t="s">
        <v>123</v>
      </c>
      <c r="G1176" s="25"/>
      <c r="H1176" s="25"/>
      <c r="I1176" s="25"/>
      <c r="J1176" s="25"/>
    </row>
    <row r="1177" spans="1:10" ht="14.4">
      <c r="A1177" s="44"/>
      <c r="B1177" s="44"/>
      <c r="D1177" s="25"/>
      <c r="E1177" s="44"/>
      <c r="F1177" s="25" t="s">
        <v>123</v>
      </c>
      <c r="G1177" s="25"/>
      <c r="H1177" s="25"/>
      <c r="I1177" s="25"/>
      <c r="J1177" s="25"/>
    </row>
    <row r="1178" spans="1:10" ht="14.4">
      <c r="A1178" s="44"/>
      <c r="B1178" s="44"/>
      <c r="D1178" s="25"/>
      <c r="E1178" s="44"/>
      <c r="F1178" s="25" t="s">
        <v>123</v>
      </c>
      <c r="G1178" s="25"/>
      <c r="H1178" s="25"/>
      <c r="I1178" s="25"/>
      <c r="J1178" s="25"/>
    </row>
    <row r="1179" spans="1:10" ht="14.4">
      <c r="A1179" s="44"/>
      <c r="B1179" s="44"/>
      <c r="D1179" s="25"/>
      <c r="E1179" s="44"/>
      <c r="F1179" s="25" t="s">
        <v>123</v>
      </c>
      <c r="G1179" s="25"/>
      <c r="H1179" s="25"/>
      <c r="I1179" s="25"/>
      <c r="J1179" s="25"/>
    </row>
    <row r="1180" spans="1:10" ht="14.4">
      <c r="A1180" s="44"/>
      <c r="B1180" s="44"/>
      <c r="D1180" s="25"/>
      <c r="E1180" s="44"/>
      <c r="F1180" s="25" t="s">
        <v>123</v>
      </c>
      <c r="G1180" s="25"/>
      <c r="H1180" s="25"/>
      <c r="I1180" s="25"/>
      <c r="J1180" s="25"/>
    </row>
    <row r="1181" spans="1:10" ht="14.4">
      <c r="A1181" s="44"/>
      <c r="B1181" s="44"/>
      <c r="D1181" s="25"/>
      <c r="E1181" s="44"/>
      <c r="F1181" s="25" t="s">
        <v>123</v>
      </c>
      <c r="G1181" s="25"/>
      <c r="H1181" s="25"/>
      <c r="I1181" s="25"/>
      <c r="J1181" s="25"/>
    </row>
    <row r="1182" spans="1:10" ht="14.4">
      <c r="A1182" s="44"/>
      <c r="B1182" s="44"/>
      <c r="D1182" s="25"/>
      <c r="E1182" s="44"/>
      <c r="F1182" s="25" t="s">
        <v>123</v>
      </c>
      <c r="G1182" s="25"/>
      <c r="H1182" s="25"/>
      <c r="I1182" s="25"/>
      <c r="J1182" s="25"/>
    </row>
    <row r="1183" spans="1:10" ht="14.4">
      <c r="A1183" s="44"/>
      <c r="B1183" s="44"/>
      <c r="D1183" s="25"/>
      <c r="E1183" s="44"/>
      <c r="F1183" s="25" t="s">
        <v>123</v>
      </c>
      <c r="G1183" s="25"/>
      <c r="H1183" s="25"/>
      <c r="I1183" s="25"/>
      <c r="J1183" s="25"/>
    </row>
    <row r="1184" spans="1:10" ht="14.4">
      <c r="A1184" s="44"/>
      <c r="B1184" s="44"/>
      <c r="D1184" s="25"/>
      <c r="E1184" s="44"/>
      <c r="F1184" s="25" t="s">
        <v>123</v>
      </c>
      <c r="G1184" s="25"/>
      <c r="H1184" s="25"/>
      <c r="I1184" s="25"/>
      <c r="J1184" s="25"/>
    </row>
    <row r="1185" spans="1:10" ht="14.4">
      <c r="A1185" s="44"/>
      <c r="B1185" s="44"/>
      <c r="D1185" s="25"/>
      <c r="E1185" s="44"/>
      <c r="F1185" s="25" t="s">
        <v>123</v>
      </c>
      <c r="G1185" s="25"/>
      <c r="H1185" s="25"/>
      <c r="I1185" s="25"/>
      <c r="J1185" s="25"/>
    </row>
    <row r="1186" spans="1:10" ht="14.4">
      <c r="A1186" s="44"/>
      <c r="B1186" s="44"/>
      <c r="D1186" s="25"/>
      <c r="E1186" s="44"/>
      <c r="F1186" s="25" t="s">
        <v>123</v>
      </c>
      <c r="G1186" s="25"/>
      <c r="H1186" s="25"/>
      <c r="I1186" s="25"/>
      <c r="J1186" s="25"/>
    </row>
    <row r="1187" spans="1:10" ht="14.4">
      <c r="A1187" s="44"/>
      <c r="B1187" s="44"/>
      <c r="D1187" s="25"/>
      <c r="E1187" s="44"/>
      <c r="F1187" s="25" t="s">
        <v>123</v>
      </c>
      <c r="G1187" s="25"/>
      <c r="H1187" s="25"/>
      <c r="I1187" s="25"/>
      <c r="J1187" s="25"/>
    </row>
    <row r="1188" spans="1:10" ht="14.4">
      <c r="A1188" s="44"/>
      <c r="B1188" s="44"/>
      <c r="D1188" s="25"/>
      <c r="E1188" s="44"/>
      <c r="F1188" s="25" t="s">
        <v>123</v>
      </c>
      <c r="G1188" s="25"/>
      <c r="H1188" s="25"/>
      <c r="I1188" s="25"/>
      <c r="J1188" s="25"/>
    </row>
    <row r="1189" spans="1:10" ht="14.4">
      <c r="A1189" s="44"/>
      <c r="B1189" s="44"/>
      <c r="D1189" s="25"/>
      <c r="E1189" s="44"/>
      <c r="F1189" s="25" t="s">
        <v>123</v>
      </c>
      <c r="G1189" s="25"/>
      <c r="H1189" s="25"/>
      <c r="I1189" s="25"/>
      <c r="J1189" s="25"/>
    </row>
    <row r="1190" spans="1:10" ht="14.4">
      <c r="A1190" s="44"/>
      <c r="B1190" s="44"/>
      <c r="D1190" s="25"/>
      <c r="E1190" s="44"/>
      <c r="F1190" s="25" t="s">
        <v>123</v>
      </c>
      <c r="G1190" s="25"/>
      <c r="H1190" s="25"/>
      <c r="I1190" s="25"/>
      <c r="J1190" s="25"/>
    </row>
    <row r="1191" spans="1:10" ht="14.4">
      <c r="A1191" s="44"/>
      <c r="B1191" s="44"/>
      <c r="D1191" s="25"/>
      <c r="E1191" s="44"/>
      <c r="F1191" s="25" t="s">
        <v>123</v>
      </c>
      <c r="G1191" s="25"/>
      <c r="H1191" s="25"/>
      <c r="I1191" s="25"/>
      <c r="J1191" s="25"/>
    </row>
    <row r="1192" spans="1:10" ht="14.4">
      <c r="A1192" s="44"/>
      <c r="B1192" s="44"/>
      <c r="D1192" s="25"/>
      <c r="E1192" s="44"/>
      <c r="F1192" s="25" t="s">
        <v>123</v>
      </c>
      <c r="G1192" s="25"/>
      <c r="H1192" s="25"/>
      <c r="I1192" s="25"/>
      <c r="J1192" s="25"/>
    </row>
    <row r="1193" spans="1:10" ht="14.4">
      <c r="A1193" s="44"/>
      <c r="B1193" s="44"/>
      <c r="D1193" s="25"/>
      <c r="E1193" s="44"/>
      <c r="F1193" s="25" t="s">
        <v>123</v>
      </c>
      <c r="G1193" s="25"/>
      <c r="H1193" s="25"/>
      <c r="I1193" s="25"/>
      <c r="J1193" s="25"/>
    </row>
    <row r="1194" spans="1:10" ht="14.4">
      <c r="A1194" s="44"/>
      <c r="B1194" s="44"/>
      <c r="D1194" s="25"/>
      <c r="E1194" s="44"/>
      <c r="F1194" s="25" t="s">
        <v>123</v>
      </c>
      <c r="G1194" s="25"/>
      <c r="H1194" s="25"/>
      <c r="I1194" s="25"/>
      <c r="J1194" s="25"/>
    </row>
    <row r="1195" spans="1:10" ht="14.4">
      <c r="A1195" s="44"/>
      <c r="B1195" s="44"/>
      <c r="D1195" s="25"/>
      <c r="E1195" s="44"/>
      <c r="F1195" s="25" t="s">
        <v>123</v>
      </c>
      <c r="G1195" s="25"/>
      <c r="H1195" s="25"/>
      <c r="I1195" s="25"/>
      <c r="J1195" s="25"/>
    </row>
    <row r="1196" spans="1:10" ht="14.4">
      <c r="A1196" s="44"/>
      <c r="B1196" s="44"/>
      <c r="D1196" s="25"/>
      <c r="E1196" s="44"/>
      <c r="F1196" s="25" t="s">
        <v>123</v>
      </c>
      <c r="G1196" s="25"/>
      <c r="H1196" s="25"/>
      <c r="I1196" s="25"/>
      <c r="J1196" s="25"/>
    </row>
    <row r="1197" spans="1:10" ht="14.4">
      <c r="A1197" s="44"/>
      <c r="B1197" s="44"/>
      <c r="D1197" s="25"/>
      <c r="E1197" s="44"/>
      <c r="F1197" s="25" t="s">
        <v>123</v>
      </c>
      <c r="G1197" s="25"/>
      <c r="H1197" s="25"/>
      <c r="I1197" s="25"/>
      <c r="J1197" s="25"/>
    </row>
    <row r="1198" spans="1:10" ht="14.4">
      <c r="A1198" s="44"/>
      <c r="B1198" s="44"/>
      <c r="D1198" s="25"/>
      <c r="E1198" s="44"/>
      <c r="F1198" s="25" t="s">
        <v>123</v>
      </c>
      <c r="G1198" s="25"/>
      <c r="H1198" s="25"/>
      <c r="I1198" s="25"/>
      <c r="J1198" s="25"/>
    </row>
    <row r="1199" spans="1:10" ht="14.4">
      <c r="A1199" s="44"/>
      <c r="B1199" s="44"/>
      <c r="D1199" s="25"/>
      <c r="E1199" s="44"/>
      <c r="F1199" s="25" t="s">
        <v>123</v>
      </c>
      <c r="G1199" s="25"/>
      <c r="H1199" s="25"/>
      <c r="I1199" s="25"/>
      <c r="J1199" s="25"/>
    </row>
    <row r="1200" spans="1:10" ht="14.4">
      <c r="A1200" s="44"/>
      <c r="B1200" s="44"/>
      <c r="D1200" s="25"/>
      <c r="E1200" s="44"/>
      <c r="F1200" s="25" t="s">
        <v>123</v>
      </c>
      <c r="G1200" s="25"/>
      <c r="H1200" s="25"/>
      <c r="I1200" s="25"/>
      <c r="J1200" s="25"/>
    </row>
    <row r="1201" spans="1:10" ht="14.4">
      <c r="A1201" s="44"/>
      <c r="B1201" s="44"/>
      <c r="D1201" s="25"/>
      <c r="E1201" s="44"/>
      <c r="F1201" s="25" t="s">
        <v>123</v>
      </c>
      <c r="G1201" s="25"/>
      <c r="H1201" s="25"/>
      <c r="I1201" s="25"/>
      <c r="J1201" s="25"/>
    </row>
    <row r="1202" spans="1:10" ht="14.4">
      <c r="A1202" s="44"/>
      <c r="B1202" s="44"/>
      <c r="D1202" s="25"/>
      <c r="E1202" s="44"/>
      <c r="F1202" s="25" t="s">
        <v>123</v>
      </c>
      <c r="G1202" s="25"/>
      <c r="H1202" s="25"/>
      <c r="I1202" s="25"/>
      <c r="J1202" s="25"/>
    </row>
    <row r="1203" spans="1:10" ht="14.4">
      <c r="A1203" s="44"/>
      <c r="B1203" s="44"/>
      <c r="D1203" s="25"/>
      <c r="E1203" s="44"/>
      <c r="F1203" s="25" t="s">
        <v>123</v>
      </c>
      <c r="G1203" s="25"/>
      <c r="H1203" s="25"/>
      <c r="I1203" s="25"/>
      <c r="J1203" s="25"/>
    </row>
    <row r="1204" spans="1:10" ht="14.4">
      <c r="A1204" s="44"/>
      <c r="B1204" s="44"/>
      <c r="D1204" s="25"/>
      <c r="E1204" s="44"/>
      <c r="F1204" s="25" t="s">
        <v>123</v>
      </c>
      <c r="G1204" s="25"/>
      <c r="H1204" s="25"/>
      <c r="I1204" s="25"/>
      <c r="J1204" s="25"/>
    </row>
    <row r="1205" spans="1:10" ht="14.4">
      <c r="A1205" s="44"/>
      <c r="B1205" s="44"/>
      <c r="D1205" s="25"/>
      <c r="E1205" s="44"/>
      <c r="F1205" s="25" t="s">
        <v>123</v>
      </c>
      <c r="G1205" s="25"/>
      <c r="H1205" s="25"/>
      <c r="I1205" s="25"/>
      <c r="J1205" s="25"/>
    </row>
    <row r="1206" spans="1:10" ht="14.4">
      <c r="A1206" s="44"/>
      <c r="B1206" s="44"/>
      <c r="D1206" s="25"/>
      <c r="E1206" s="44"/>
      <c r="F1206" s="25" t="s">
        <v>123</v>
      </c>
      <c r="G1206" s="25"/>
      <c r="H1206" s="25"/>
      <c r="I1206" s="25"/>
      <c r="J1206" s="25"/>
    </row>
    <row r="1207" spans="1:10" ht="14.4">
      <c r="A1207" s="44"/>
      <c r="B1207" s="44"/>
      <c r="D1207" s="25"/>
      <c r="E1207" s="44"/>
      <c r="F1207" s="25" t="s">
        <v>123</v>
      </c>
      <c r="G1207" s="25"/>
      <c r="H1207" s="25"/>
      <c r="I1207" s="25"/>
      <c r="J1207" s="25"/>
    </row>
    <row r="1208" spans="1:10" ht="14.4">
      <c r="A1208" s="44"/>
      <c r="B1208" s="44"/>
      <c r="D1208" s="25"/>
      <c r="E1208" s="44"/>
      <c r="F1208" s="25" t="s">
        <v>123</v>
      </c>
      <c r="G1208" s="25"/>
      <c r="H1208" s="25"/>
      <c r="I1208" s="25"/>
      <c r="J1208" s="25"/>
    </row>
    <row r="1209" spans="1:10" ht="14.4">
      <c r="A1209" s="44"/>
      <c r="B1209" s="44"/>
      <c r="D1209" s="25"/>
      <c r="E1209" s="44"/>
      <c r="F1209" s="25" t="s">
        <v>123</v>
      </c>
      <c r="G1209" s="25"/>
      <c r="H1209" s="25"/>
      <c r="I1209" s="25"/>
      <c r="J1209" s="25"/>
    </row>
    <row r="1210" spans="1:10" ht="14.4">
      <c r="A1210" s="44"/>
      <c r="B1210" s="44"/>
      <c r="D1210" s="25"/>
      <c r="E1210" s="44"/>
      <c r="F1210" s="25" t="s">
        <v>123</v>
      </c>
      <c r="G1210" s="25"/>
      <c r="H1210" s="25"/>
      <c r="I1210" s="25"/>
      <c r="J1210" s="25"/>
    </row>
    <row r="1211" spans="1:10" ht="14.4">
      <c r="A1211" s="44"/>
      <c r="B1211" s="44"/>
      <c r="D1211" s="25"/>
      <c r="E1211" s="44"/>
      <c r="F1211" s="25" t="s">
        <v>123</v>
      </c>
      <c r="G1211" s="25"/>
      <c r="H1211" s="25"/>
      <c r="I1211" s="25"/>
      <c r="J1211" s="25"/>
    </row>
    <row r="1212" spans="1:10" ht="14.4">
      <c r="A1212" s="44"/>
      <c r="B1212" s="44"/>
      <c r="D1212" s="25"/>
      <c r="E1212" s="44"/>
      <c r="F1212" s="25" t="s">
        <v>123</v>
      </c>
      <c r="G1212" s="25"/>
      <c r="H1212" s="25"/>
      <c r="I1212" s="25"/>
      <c r="J1212" s="25"/>
    </row>
    <row r="1213" spans="1:10" ht="14.4">
      <c r="A1213" s="44"/>
      <c r="B1213" s="44"/>
      <c r="D1213" s="25"/>
      <c r="E1213" s="44"/>
      <c r="F1213" s="25" t="s">
        <v>123</v>
      </c>
      <c r="G1213" s="25"/>
      <c r="H1213" s="25"/>
      <c r="I1213" s="25"/>
      <c r="J1213" s="25"/>
    </row>
    <row r="1214" spans="1:10" ht="14.4">
      <c r="A1214" s="44"/>
      <c r="B1214" s="44"/>
      <c r="D1214" s="25"/>
      <c r="E1214" s="44"/>
      <c r="F1214" s="25" t="s">
        <v>123</v>
      </c>
      <c r="G1214" s="25"/>
      <c r="H1214" s="25"/>
      <c r="I1214" s="25"/>
      <c r="J1214" s="25"/>
    </row>
    <row r="1215" spans="1:10" ht="14.4">
      <c r="A1215" s="44"/>
      <c r="B1215" s="44"/>
      <c r="D1215" s="25"/>
      <c r="E1215" s="44"/>
      <c r="F1215" s="25" t="s">
        <v>123</v>
      </c>
      <c r="G1215" s="25"/>
      <c r="H1215" s="25"/>
      <c r="I1215" s="25"/>
      <c r="J1215" s="25"/>
    </row>
    <row r="1216" spans="1:10" ht="14.4">
      <c r="A1216" s="44"/>
      <c r="B1216" s="44"/>
      <c r="D1216" s="25"/>
      <c r="E1216" s="44"/>
      <c r="F1216" s="25" t="s">
        <v>123</v>
      </c>
      <c r="G1216" s="25"/>
      <c r="H1216" s="25"/>
      <c r="I1216" s="25"/>
      <c r="J1216" s="25"/>
    </row>
    <row r="1217" spans="1:10" ht="14.4">
      <c r="A1217" s="44"/>
      <c r="B1217" s="44"/>
      <c r="D1217" s="25"/>
      <c r="E1217" s="44"/>
      <c r="F1217" s="25" t="s">
        <v>123</v>
      </c>
      <c r="G1217" s="25"/>
      <c r="H1217" s="25"/>
      <c r="I1217" s="25"/>
      <c r="J1217" s="25"/>
    </row>
    <row r="1218" spans="1:10" ht="14.4">
      <c r="A1218" s="44"/>
      <c r="B1218" s="44"/>
      <c r="D1218" s="25"/>
      <c r="E1218" s="44"/>
      <c r="F1218" s="25" t="s">
        <v>123</v>
      </c>
      <c r="G1218" s="25"/>
      <c r="H1218" s="25"/>
      <c r="I1218" s="25"/>
      <c r="J1218" s="25"/>
    </row>
    <row r="1219" spans="1:10" ht="14.4">
      <c r="A1219" s="44"/>
      <c r="B1219" s="44"/>
      <c r="D1219" s="25"/>
      <c r="E1219" s="44"/>
      <c r="F1219" s="25" t="s">
        <v>123</v>
      </c>
      <c r="G1219" s="25"/>
      <c r="H1219" s="25"/>
      <c r="I1219" s="25"/>
      <c r="J1219" s="25"/>
    </row>
    <row r="1220" spans="1:10" ht="14.4">
      <c r="A1220" s="44"/>
      <c r="B1220" s="44"/>
      <c r="D1220" s="25"/>
      <c r="E1220" s="44"/>
      <c r="F1220" s="25" t="s">
        <v>123</v>
      </c>
      <c r="G1220" s="25"/>
      <c r="H1220" s="25"/>
      <c r="I1220" s="25"/>
      <c r="J1220" s="25"/>
    </row>
    <row r="1221" spans="1:10" ht="14.4">
      <c r="A1221" s="44"/>
      <c r="B1221" s="44"/>
      <c r="D1221" s="25"/>
      <c r="E1221" s="44"/>
      <c r="F1221" s="25" t="s">
        <v>123</v>
      </c>
      <c r="G1221" s="25"/>
      <c r="H1221" s="25"/>
      <c r="I1221" s="25"/>
      <c r="J1221" s="25"/>
    </row>
    <row r="1222" spans="1:10" ht="14.4">
      <c r="A1222" s="44"/>
      <c r="B1222" s="44"/>
      <c r="D1222" s="25"/>
      <c r="E1222" s="44"/>
      <c r="F1222" s="25" t="s">
        <v>123</v>
      </c>
      <c r="G1222" s="25"/>
      <c r="H1222" s="25"/>
      <c r="I1222" s="25"/>
      <c r="J1222" s="25"/>
    </row>
    <row r="1223" spans="1:10" ht="14.4">
      <c r="A1223" s="44"/>
      <c r="B1223" s="44"/>
      <c r="D1223" s="25"/>
      <c r="E1223" s="44"/>
      <c r="F1223" s="25" t="s">
        <v>123</v>
      </c>
      <c r="G1223" s="25"/>
      <c r="H1223" s="25"/>
      <c r="I1223" s="25"/>
      <c r="J1223" s="25"/>
    </row>
    <row r="1224" spans="1:10" ht="14.4">
      <c r="A1224" s="44"/>
      <c r="B1224" s="44"/>
      <c r="D1224" s="25"/>
      <c r="E1224" s="44"/>
      <c r="F1224" s="25" t="s">
        <v>123</v>
      </c>
      <c r="G1224" s="25"/>
      <c r="H1224" s="25"/>
      <c r="I1224" s="25"/>
      <c r="J1224" s="25"/>
    </row>
    <row r="1225" spans="1:10" ht="14.4">
      <c r="A1225" s="44"/>
      <c r="B1225" s="44"/>
      <c r="D1225" s="25"/>
      <c r="E1225" s="44"/>
      <c r="F1225" s="25" t="s">
        <v>123</v>
      </c>
      <c r="G1225" s="25"/>
      <c r="H1225" s="25"/>
      <c r="I1225" s="25"/>
      <c r="J1225" s="25"/>
    </row>
    <row r="1226" spans="1:10" ht="14.4">
      <c r="A1226" s="44"/>
      <c r="B1226" s="44"/>
      <c r="D1226" s="25"/>
      <c r="E1226" s="44"/>
      <c r="F1226" s="25" t="s">
        <v>123</v>
      </c>
      <c r="G1226" s="25"/>
      <c r="H1226" s="25"/>
      <c r="I1226" s="25"/>
      <c r="J1226" s="25"/>
    </row>
    <row r="1227" spans="1:10" ht="14.4">
      <c r="A1227" s="44"/>
      <c r="B1227" s="44"/>
      <c r="D1227" s="25"/>
      <c r="E1227" s="44"/>
      <c r="F1227" s="25" t="s">
        <v>123</v>
      </c>
      <c r="G1227" s="25"/>
      <c r="H1227" s="25"/>
      <c r="I1227" s="25"/>
      <c r="J1227" s="25"/>
    </row>
    <row r="1228" spans="1:10" ht="14.4">
      <c r="A1228" s="44"/>
      <c r="B1228" s="44"/>
      <c r="D1228" s="25"/>
      <c r="E1228" s="44"/>
      <c r="F1228" s="25" t="s">
        <v>123</v>
      </c>
      <c r="G1228" s="25"/>
      <c r="H1228" s="25"/>
      <c r="I1228" s="25"/>
      <c r="J1228" s="25"/>
    </row>
    <row r="1229" spans="1:10" ht="14.4">
      <c r="A1229" s="44"/>
      <c r="B1229" s="44"/>
      <c r="D1229" s="25"/>
      <c r="E1229" s="44"/>
      <c r="F1229" s="25" t="s">
        <v>123</v>
      </c>
      <c r="G1229" s="25"/>
      <c r="H1229" s="25"/>
      <c r="I1229" s="25"/>
      <c r="J1229" s="25"/>
    </row>
    <row r="1230" spans="1:10" ht="14.4">
      <c r="A1230" s="44"/>
      <c r="B1230" s="44"/>
      <c r="D1230" s="25"/>
      <c r="E1230" s="44"/>
      <c r="F1230" s="25" t="s">
        <v>123</v>
      </c>
      <c r="G1230" s="25"/>
      <c r="H1230" s="25"/>
      <c r="I1230" s="25"/>
      <c r="J1230" s="25"/>
    </row>
    <row r="1231" spans="1:10" ht="14.4">
      <c r="A1231" s="44"/>
      <c r="B1231" s="44"/>
      <c r="D1231" s="25"/>
      <c r="E1231" s="44"/>
      <c r="F1231" s="25" t="s">
        <v>123</v>
      </c>
      <c r="G1231" s="25"/>
      <c r="H1231" s="25"/>
      <c r="I1231" s="25"/>
      <c r="J1231" s="25"/>
    </row>
    <row r="1232" spans="1:10" ht="14.4">
      <c r="A1232" s="44"/>
      <c r="B1232" s="44"/>
      <c r="D1232" s="25"/>
      <c r="E1232" s="44"/>
      <c r="F1232" s="25" t="s">
        <v>123</v>
      </c>
      <c r="G1232" s="25"/>
      <c r="H1232" s="25"/>
      <c r="I1232" s="25"/>
      <c r="J1232" s="25"/>
    </row>
    <row r="1233" spans="1:10" ht="14.4">
      <c r="A1233" s="44"/>
      <c r="B1233" s="44"/>
      <c r="D1233" s="25"/>
      <c r="E1233" s="44"/>
      <c r="F1233" s="25" t="s">
        <v>123</v>
      </c>
      <c r="G1233" s="25"/>
      <c r="H1233" s="25"/>
      <c r="I1233" s="25"/>
      <c r="J1233" s="25"/>
    </row>
    <row r="1234" spans="1:10" ht="14.4">
      <c r="A1234" s="44"/>
      <c r="B1234" s="44"/>
      <c r="D1234" s="25"/>
      <c r="E1234" s="44"/>
      <c r="F1234" s="25" t="s">
        <v>123</v>
      </c>
      <c r="G1234" s="25"/>
      <c r="H1234" s="25"/>
      <c r="I1234" s="25"/>
      <c r="J1234" s="25"/>
    </row>
    <row r="1235" spans="1:10" ht="14.4">
      <c r="A1235" s="44"/>
      <c r="B1235" s="44"/>
      <c r="D1235" s="25"/>
      <c r="E1235" s="44"/>
      <c r="F1235" s="25" t="s">
        <v>123</v>
      </c>
      <c r="G1235" s="25"/>
      <c r="H1235" s="25"/>
      <c r="I1235" s="25"/>
      <c r="J1235" s="25"/>
    </row>
    <row r="1236" spans="1:10" ht="14.4">
      <c r="A1236" s="44"/>
      <c r="B1236" s="44"/>
      <c r="D1236" s="25"/>
      <c r="E1236" s="44"/>
      <c r="F1236" s="25" t="s">
        <v>123</v>
      </c>
      <c r="G1236" s="25"/>
      <c r="H1236" s="25"/>
      <c r="I1236" s="25"/>
      <c r="J1236" s="25"/>
    </row>
    <row r="1237" spans="1:10" ht="14.4">
      <c r="A1237" s="44"/>
      <c r="B1237" s="44"/>
      <c r="D1237" s="25"/>
      <c r="E1237" s="44"/>
      <c r="F1237" s="25" t="s">
        <v>123</v>
      </c>
      <c r="G1237" s="25"/>
      <c r="H1237" s="25"/>
      <c r="I1237" s="25"/>
      <c r="J1237" s="25"/>
    </row>
    <row r="1238" spans="1:10" ht="14.4">
      <c r="A1238" s="44"/>
      <c r="B1238" s="44"/>
      <c r="D1238" s="25"/>
      <c r="E1238" s="44"/>
      <c r="F1238" s="25" t="s">
        <v>123</v>
      </c>
      <c r="G1238" s="25"/>
      <c r="H1238" s="25"/>
      <c r="I1238" s="25"/>
      <c r="J1238" s="25"/>
    </row>
    <row r="1239" spans="1:10" ht="14.4">
      <c r="A1239" s="44"/>
      <c r="B1239" s="44"/>
      <c r="D1239" s="25"/>
      <c r="E1239" s="44"/>
      <c r="F1239" s="25" t="s">
        <v>123</v>
      </c>
      <c r="G1239" s="25"/>
      <c r="H1239" s="25"/>
      <c r="I1239" s="25"/>
      <c r="J1239" s="25"/>
    </row>
    <row r="1240" spans="1:10" ht="14.4">
      <c r="A1240" s="44"/>
      <c r="B1240" s="44"/>
      <c r="D1240" s="25"/>
      <c r="E1240" s="44"/>
      <c r="F1240" s="25" t="s">
        <v>123</v>
      </c>
      <c r="G1240" s="25"/>
      <c r="H1240" s="25"/>
      <c r="I1240" s="25"/>
      <c r="J1240" s="25"/>
    </row>
    <row r="1241" spans="1:10" ht="14.4">
      <c r="A1241" s="44"/>
      <c r="B1241" s="44"/>
      <c r="D1241" s="25"/>
      <c r="E1241" s="44"/>
      <c r="F1241" s="25" t="s">
        <v>123</v>
      </c>
      <c r="G1241" s="25"/>
      <c r="H1241" s="25"/>
      <c r="I1241" s="25"/>
      <c r="J1241" s="25"/>
    </row>
    <row r="1242" spans="1:10" ht="14.4">
      <c r="A1242" s="44"/>
      <c r="B1242" s="44"/>
      <c r="D1242" s="25"/>
      <c r="E1242" s="44"/>
      <c r="F1242" s="25" t="s">
        <v>123</v>
      </c>
      <c r="G1242" s="25"/>
      <c r="H1242" s="25"/>
      <c r="I1242" s="25"/>
      <c r="J1242" s="25"/>
    </row>
    <row r="1243" spans="1:10" ht="14.4">
      <c r="A1243" s="44"/>
      <c r="B1243" s="44"/>
      <c r="D1243" s="25"/>
      <c r="E1243" s="44"/>
      <c r="F1243" s="25" t="s">
        <v>123</v>
      </c>
      <c r="G1243" s="25"/>
      <c r="H1243" s="25"/>
      <c r="I1243" s="25"/>
      <c r="J1243" s="25"/>
    </row>
    <row r="1244" spans="1:10" ht="14.4">
      <c r="A1244" s="44"/>
      <c r="B1244" s="44"/>
      <c r="D1244" s="25"/>
      <c r="E1244" s="44"/>
      <c r="F1244" s="25" t="s">
        <v>123</v>
      </c>
      <c r="G1244" s="25"/>
      <c r="H1244" s="25"/>
      <c r="I1244" s="25"/>
      <c r="J1244" s="25"/>
    </row>
    <row r="1245" spans="1:10" ht="14.4">
      <c r="A1245" s="44"/>
      <c r="B1245" s="44"/>
      <c r="D1245" s="25"/>
      <c r="E1245" s="44"/>
      <c r="F1245" s="25" t="s">
        <v>123</v>
      </c>
      <c r="G1245" s="25"/>
      <c r="H1245" s="25"/>
      <c r="I1245" s="25"/>
      <c r="J1245" s="25"/>
    </row>
    <row r="1246" spans="1:10" ht="14.4">
      <c r="A1246" s="44"/>
      <c r="B1246" s="44"/>
      <c r="D1246" s="25"/>
      <c r="E1246" s="44"/>
      <c r="F1246" s="25" t="s">
        <v>123</v>
      </c>
      <c r="G1246" s="25"/>
      <c r="H1246" s="25"/>
      <c r="I1246" s="25"/>
      <c r="J1246" s="25"/>
    </row>
    <row r="1247" spans="1:10" ht="14.4">
      <c r="A1247" s="44"/>
      <c r="B1247" s="44"/>
      <c r="D1247" s="25"/>
      <c r="E1247" s="44"/>
      <c r="F1247" s="25" t="s">
        <v>123</v>
      </c>
      <c r="G1247" s="25"/>
      <c r="H1247" s="25"/>
      <c r="I1247" s="25"/>
      <c r="J1247" s="25"/>
    </row>
    <row r="1248" spans="1:10" ht="14.4">
      <c r="A1248" s="44"/>
      <c r="B1248" s="44"/>
      <c r="D1248" s="25"/>
      <c r="E1248" s="44"/>
      <c r="F1248" s="25" t="s">
        <v>123</v>
      </c>
      <c r="G1248" s="25"/>
      <c r="H1248" s="25"/>
      <c r="I1248" s="25"/>
      <c r="J1248" s="25"/>
    </row>
    <row r="1249" spans="1:10" ht="14.4">
      <c r="A1249" s="44"/>
      <c r="B1249" s="44"/>
      <c r="D1249" s="25"/>
      <c r="E1249" s="44"/>
      <c r="F1249" s="25" t="s">
        <v>123</v>
      </c>
      <c r="G1249" s="25"/>
      <c r="H1249" s="25"/>
      <c r="I1249" s="25"/>
      <c r="J1249" s="25"/>
    </row>
    <row r="1250" spans="1:10" ht="14.4">
      <c r="A1250" s="44"/>
      <c r="B1250" s="44"/>
      <c r="D1250" s="25"/>
      <c r="E1250" s="44"/>
      <c r="F1250" s="25" t="s">
        <v>123</v>
      </c>
      <c r="G1250" s="25"/>
      <c r="H1250" s="25"/>
      <c r="I1250" s="25"/>
      <c r="J1250" s="25"/>
    </row>
    <row r="1251" spans="1:10" ht="14.4">
      <c r="A1251" s="44"/>
      <c r="B1251" s="44"/>
      <c r="D1251" s="25"/>
      <c r="E1251" s="44"/>
      <c r="F1251" s="25" t="s">
        <v>123</v>
      </c>
      <c r="G1251" s="25"/>
      <c r="H1251" s="25"/>
      <c r="I1251" s="25"/>
      <c r="J1251" s="25"/>
    </row>
    <row r="1252" spans="1:10" ht="14.4">
      <c r="A1252" s="44"/>
      <c r="B1252" s="44"/>
      <c r="D1252" s="25"/>
      <c r="E1252" s="44"/>
      <c r="F1252" s="25" t="s">
        <v>123</v>
      </c>
      <c r="G1252" s="25"/>
      <c r="H1252" s="25"/>
      <c r="I1252" s="25"/>
      <c r="J1252" s="25"/>
    </row>
    <row r="1253" spans="1:10" ht="14.4">
      <c r="A1253" s="44"/>
      <c r="B1253" s="44"/>
      <c r="D1253" s="25"/>
      <c r="E1253" s="44"/>
      <c r="F1253" s="25" t="s">
        <v>123</v>
      </c>
      <c r="G1253" s="25"/>
      <c r="H1253" s="25"/>
      <c r="I1253" s="25"/>
      <c r="J1253" s="25"/>
    </row>
    <row r="1254" spans="1:10" ht="14.4">
      <c r="A1254" s="44"/>
      <c r="B1254" s="44"/>
      <c r="D1254" s="25"/>
      <c r="E1254" s="44"/>
      <c r="F1254" s="25" t="s">
        <v>123</v>
      </c>
      <c r="G1254" s="25"/>
      <c r="H1254" s="25"/>
      <c r="I1254" s="25"/>
      <c r="J1254" s="25"/>
    </row>
    <row r="1255" spans="1:10" ht="14.4">
      <c r="A1255" s="44"/>
      <c r="B1255" s="44"/>
      <c r="D1255" s="25"/>
      <c r="E1255" s="44"/>
      <c r="F1255" s="25" t="s">
        <v>123</v>
      </c>
      <c r="G1255" s="25"/>
      <c r="H1255" s="25"/>
      <c r="I1255" s="25"/>
      <c r="J1255" s="25"/>
    </row>
    <row r="1256" spans="1:10" ht="14.4">
      <c r="A1256" s="44"/>
      <c r="B1256" s="44"/>
      <c r="D1256" s="25"/>
      <c r="E1256" s="44"/>
      <c r="F1256" s="25" t="s">
        <v>123</v>
      </c>
      <c r="G1256" s="25"/>
      <c r="H1256" s="25"/>
      <c r="I1256" s="25"/>
      <c r="J1256" s="25"/>
    </row>
    <row r="1257" spans="1:10" ht="14.4">
      <c r="A1257" s="44"/>
      <c r="B1257" s="44"/>
      <c r="D1257" s="25"/>
      <c r="E1257" s="44"/>
      <c r="F1257" s="25" t="s">
        <v>123</v>
      </c>
      <c r="G1257" s="25"/>
      <c r="H1257" s="25"/>
      <c r="I1257" s="25"/>
      <c r="J1257" s="25"/>
    </row>
    <row r="1258" spans="1:10" ht="14.4">
      <c r="A1258" s="44"/>
      <c r="B1258" s="44"/>
      <c r="D1258" s="25"/>
      <c r="E1258" s="44"/>
      <c r="F1258" s="25" t="s">
        <v>123</v>
      </c>
      <c r="G1258" s="25"/>
      <c r="H1258" s="25"/>
      <c r="I1258" s="25"/>
      <c r="J1258" s="25"/>
    </row>
    <row r="1259" spans="1:10" ht="14.4">
      <c r="A1259" s="44"/>
      <c r="B1259" s="44"/>
      <c r="D1259" s="25"/>
      <c r="E1259" s="44"/>
      <c r="F1259" s="25" t="s">
        <v>123</v>
      </c>
      <c r="G1259" s="25"/>
      <c r="H1259" s="25"/>
      <c r="I1259" s="25"/>
      <c r="J1259" s="25"/>
    </row>
    <row r="1260" spans="1:10" ht="14.4">
      <c r="A1260" s="44"/>
      <c r="B1260" s="44"/>
      <c r="D1260" s="25"/>
      <c r="E1260" s="44"/>
      <c r="F1260" s="25" t="s">
        <v>123</v>
      </c>
      <c r="G1260" s="25"/>
      <c r="H1260" s="25"/>
      <c r="I1260" s="25"/>
      <c r="J1260" s="25"/>
    </row>
    <row r="1261" spans="1:10" ht="14.4">
      <c r="A1261" s="44"/>
      <c r="B1261" s="44"/>
      <c r="D1261" s="25"/>
      <c r="E1261" s="44"/>
      <c r="F1261" s="25" t="s">
        <v>123</v>
      </c>
      <c r="G1261" s="25"/>
      <c r="H1261" s="25"/>
      <c r="I1261" s="25"/>
      <c r="J1261" s="25"/>
    </row>
    <row r="1262" spans="1:10" ht="14.4">
      <c r="A1262" s="44"/>
      <c r="B1262" s="44"/>
      <c r="D1262" s="25"/>
      <c r="E1262" s="44"/>
      <c r="F1262" s="25" t="s">
        <v>123</v>
      </c>
      <c r="G1262" s="25"/>
      <c r="H1262" s="25"/>
      <c r="I1262" s="25"/>
      <c r="J1262" s="25"/>
    </row>
    <row r="1263" spans="1:10" ht="14.4">
      <c r="A1263" s="44"/>
      <c r="B1263" s="44"/>
      <c r="D1263" s="25"/>
      <c r="E1263" s="44"/>
      <c r="F1263" s="25" t="s">
        <v>123</v>
      </c>
      <c r="G1263" s="25"/>
      <c r="H1263" s="25"/>
      <c r="I1263" s="25"/>
      <c r="J1263" s="25"/>
    </row>
    <row r="1264" spans="1:10" ht="14.4">
      <c r="A1264" s="44"/>
      <c r="B1264" s="44"/>
      <c r="D1264" s="25"/>
      <c r="E1264" s="44"/>
      <c r="F1264" s="25" t="s">
        <v>123</v>
      </c>
      <c r="G1264" s="25"/>
      <c r="H1264" s="25"/>
      <c r="I1264" s="25"/>
      <c r="J1264" s="25"/>
    </row>
    <row r="1265" spans="1:10" ht="14.4">
      <c r="A1265" s="44"/>
      <c r="B1265" s="44"/>
      <c r="D1265" s="25"/>
      <c r="E1265" s="44"/>
      <c r="F1265" s="25" t="s">
        <v>123</v>
      </c>
      <c r="G1265" s="25"/>
      <c r="H1265" s="25"/>
      <c r="I1265" s="25"/>
      <c r="J1265" s="25"/>
    </row>
    <row r="1266" spans="1:10" ht="14.4">
      <c r="A1266" s="44"/>
      <c r="B1266" s="44"/>
      <c r="D1266" s="25"/>
      <c r="E1266" s="44"/>
      <c r="F1266" s="25" t="s">
        <v>123</v>
      </c>
      <c r="G1266" s="25"/>
      <c r="H1266" s="25"/>
      <c r="I1266" s="25"/>
      <c r="J1266" s="25"/>
    </row>
    <row r="1267" spans="1:10" ht="14.4">
      <c r="A1267" s="44"/>
      <c r="B1267" s="44"/>
      <c r="D1267" s="25"/>
      <c r="E1267" s="44"/>
      <c r="F1267" s="25" t="s">
        <v>123</v>
      </c>
      <c r="G1267" s="25"/>
      <c r="H1267" s="25"/>
      <c r="I1267" s="25"/>
      <c r="J1267" s="25"/>
    </row>
    <row r="1268" spans="1:10" ht="14.4">
      <c r="A1268" s="44"/>
      <c r="B1268" s="44"/>
      <c r="D1268" s="25"/>
      <c r="E1268" s="44"/>
      <c r="F1268" s="25" t="s">
        <v>123</v>
      </c>
      <c r="G1268" s="25"/>
      <c r="H1268" s="25"/>
      <c r="I1268" s="25"/>
      <c r="J1268" s="25"/>
    </row>
    <row r="1269" spans="1:10" ht="14.4">
      <c r="A1269" s="44"/>
      <c r="B1269" s="44"/>
      <c r="D1269" s="25"/>
      <c r="E1269" s="44"/>
      <c r="F1269" s="25" t="s">
        <v>123</v>
      </c>
      <c r="G1269" s="25"/>
      <c r="H1269" s="25"/>
      <c r="I1269" s="25"/>
      <c r="J1269" s="25"/>
    </row>
    <row r="1270" spans="1:10" ht="14.4">
      <c r="A1270" s="44"/>
      <c r="B1270" s="44"/>
      <c r="D1270" s="25"/>
      <c r="E1270" s="44"/>
      <c r="F1270" s="25" t="s">
        <v>123</v>
      </c>
      <c r="G1270" s="25"/>
      <c r="H1270" s="25"/>
      <c r="I1270" s="25"/>
      <c r="J1270" s="25"/>
    </row>
    <row r="1271" spans="1:10" ht="14.4">
      <c r="A1271" s="44"/>
      <c r="B1271" s="44"/>
      <c r="D1271" s="25"/>
      <c r="E1271" s="44"/>
      <c r="F1271" s="25" t="s">
        <v>123</v>
      </c>
      <c r="G1271" s="25"/>
      <c r="H1271" s="25"/>
      <c r="I1271" s="25"/>
      <c r="J1271" s="25"/>
    </row>
    <row r="1272" spans="1:10" ht="14.4">
      <c r="A1272" s="44"/>
      <c r="B1272" s="44"/>
      <c r="D1272" s="25"/>
      <c r="E1272" s="44"/>
      <c r="F1272" s="25" t="s">
        <v>123</v>
      </c>
      <c r="G1272" s="25"/>
      <c r="H1272" s="25"/>
      <c r="I1272" s="25"/>
      <c r="J1272" s="25"/>
    </row>
    <row r="1273" spans="1:10" ht="14.4">
      <c r="A1273" s="44"/>
      <c r="B1273" s="44"/>
      <c r="D1273" s="25"/>
      <c r="E1273" s="44"/>
      <c r="F1273" s="25" t="s">
        <v>123</v>
      </c>
      <c r="G1273" s="25"/>
      <c r="H1273" s="25"/>
      <c r="I1273" s="25"/>
      <c r="J1273" s="25"/>
    </row>
    <row r="1274" spans="1:10" ht="14.4">
      <c r="A1274" s="44"/>
      <c r="B1274" s="44"/>
      <c r="D1274" s="25"/>
      <c r="E1274" s="44"/>
      <c r="F1274" s="25" t="s">
        <v>123</v>
      </c>
      <c r="G1274" s="25"/>
      <c r="H1274" s="25"/>
      <c r="I1274" s="25"/>
      <c r="J1274" s="25"/>
    </row>
    <row r="1275" spans="1:10" ht="14.4">
      <c r="A1275" s="44"/>
      <c r="B1275" s="44"/>
      <c r="D1275" s="25"/>
      <c r="E1275" s="44"/>
      <c r="F1275" s="25" t="s">
        <v>123</v>
      </c>
      <c r="G1275" s="25"/>
      <c r="H1275" s="25"/>
      <c r="I1275" s="25"/>
      <c r="J1275" s="25"/>
    </row>
    <row r="1276" spans="1:10" ht="14.4">
      <c r="A1276" s="44"/>
      <c r="B1276" s="44"/>
      <c r="D1276" s="25"/>
      <c r="E1276" s="44"/>
      <c r="F1276" s="25" t="s">
        <v>123</v>
      </c>
      <c r="G1276" s="25"/>
      <c r="H1276" s="25"/>
      <c r="I1276" s="25"/>
      <c r="J1276" s="25"/>
    </row>
    <row r="1277" spans="1:10" ht="14.4">
      <c r="A1277" s="44"/>
      <c r="B1277" s="44"/>
      <c r="D1277" s="25"/>
      <c r="E1277" s="44"/>
      <c r="F1277" s="25" t="s">
        <v>123</v>
      </c>
      <c r="G1277" s="25"/>
      <c r="H1277" s="25"/>
      <c r="I1277" s="25"/>
      <c r="J1277" s="25"/>
    </row>
    <row r="1278" spans="1:10" ht="14.4">
      <c r="A1278" s="44"/>
      <c r="B1278" s="44"/>
      <c r="D1278" s="25"/>
      <c r="E1278" s="44"/>
      <c r="F1278" s="25" t="s">
        <v>123</v>
      </c>
      <c r="G1278" s="25"/>
      <c r="H1278" s="25"/>
      <c r="I1278" s="25"/>
      <c r="J1278" s="25"/>
    </row>
    <row r="1279" spans="1:10" ht="14.4">
      <c r="A1279" s="44"/>
      <c r="B1279" s="44"/>
      <c r="D1279" s="25"/>
      <c r="E1279" s="44"/>
      <c r="F1279" s="25" t="s">
        <v>123</v>
      </c>
      <c r="G1279" s="25"/>
      <c r="H1279" s="25"/>
      <c r="I1279" s="25"/>
      <c r="J1279" s="25"/>
    </row>
    <row r="1280" spans="1:10" ht="14.4">
      <c r="A1280" s="44"/>
      <c r="B1280" s="44"/>
      <c r="D1280" s="25"/>
      <c r="E1280" s="44"/>
      <c r="F1280" s="25" t="s">
        <v>123</v>
      </c>
      <c r="G1280" s="25"/>
      <c r="H1280" s="25"/>
      <c r="I1280" s="25"/>
      <c r="J1280" s="25"/>
    </row>
    <row r="1281" spans="1:10" ht="14.4">
      <c r="A1281" s="44"/>
      <c r="B1281" s="44"/>
      <c r="D1281" s="25"/>
      <c r="E1281" s="44"/>
      <c r="F1281" s="25" t="s">
        <v>123</v>
      </c>
      <c r="G1281" s="25"/>
      <c r="H1281" s="25"/>
      <c r="I1281" s="25"/>
      <c r="J1281" s="25"/>
    </row>
    <row r="1282" spans="1:10" ht="14.4">
      <c r="A1282" s="44"/>
      <c r="B1282" s="44"/>
      <c r="D1282" s="25"/>
      <c r="E1282" s="44"/>
      <c r="F1282" s="25" t="s">
        <v>123</v>
      </c>
      <c r="G1282" s="25"/>
      <c r="H1282" s="25"/>
      <c r="I1282" s="25"/>
      <c r="J1282" s="25"/>
    </row>
    <row r="1283" spans="1:10" ht="14.4">
      <c r="A1283" s="44"/>
      <c r="B1283" s="44"/>
      <c r="D1283" s="25"/>
      <c r="E1283" s="44"/>
      <c r="F1283" s="25" t="s">
        <v>123</v>
      </c>
      <c r="G1283" s="25"/>
      <c r="H1283" s="25"/>
      <c r="I1283" s="25"/>
      <c r="J1283" s="25"/>
    </row>
    <row r="1284" spans="1:10" ht="14.4">
      <c r="A1284" s="44"/>
      <c r="B1284" s="44"/>
      <c r="D1284" s="25"/>
      <c r="E1284" s="44"/>
      <c r="F1284" s="25" t="s">
        <v>123</v>
      </c>
      <c r="G1284" s="25"/>
      <c r="H1284" s="25"/>
      <c r="I1284" s="25"/>
      <c r="J1284" s="25"/>
    </row>
    <row r="1285" spans="1:10" ht="14.4">
      <c r="A1285" s="44"/>
      <c r="B1285" s="44"/>
      <c r="D1285" s="25"/>
      <c r="E1285" s="44"/>
      <c r="F1285" s="25" t="s">
        <v>123</v>
      </c>
      <c r="G1285" s="25"/>
      <c r="H1285" s="25"/>
      <c r="I1285" s="25"/>
      <c r="J1285" s="25"/>
    </row>
    <row r="1286" spans="1:10" ht="14.4">
      <c r="A1286" s="44"/>
      <c r="B1286" s="44"/>
      <c r="D1286" s="25"/>
      <c r="E1286" s="44"/>
      <c r="F1286" s="25" t="s">
        <v>123</v>
      </c>
      <c r="G1286" s="25"/>
      <c r="H1286" s="25"/>
      <c r="I1286" s="25"/>
      <c r="J1286" s="25"/>
    </row>
    <row r="1287" spans="1:10" ht="14.4">
      <c r="A1287" s="44"/>
      <c r="B1287" s="44"/>
      <c r="D1287" s="25"/>
      <c r="E1287" s="44"/>
      <c r="F1287" s="25" t="s">
        <v>123</v>
      </c>
      <c r="G1287" s="25"/>
      <c r="H1287" s="25"/>
      <c r="I1287" s="25"/>
      <c r="J1287" s="25"/>
    </row>
    <row r="1288" spans="1:10" ht="14.4">
      <c r="A1288" s="44"/>
      <c r="B1288" s="44"/>
      <c r="D1288" s="25"/>
      <c r="E1288" s="44"/>
      <c r="F1288" s="25" t="s">
        <v>123</v>
      </c>
      <c r="G1288" s="25"/>
      <c r="H1288" s="25"/>
      <c r="I1288" s="25"/>
      <c r="J1288" s="25"/>
    </row>
    <row r="1289" spans="1:10" ht="14.4">
      <c r="A1289" s="44"/>
      <c r="B1289" s="44"/>
      <c r="D1289" s="25"/>
      <c r="E1289" s="44"/>
      <c r="F1289" s="25" t="s">
        <v>123</v>
      </c>
      <c r="G1289" s="25"/>
      <c r="H1289" s="25"/>
      <c r="I1289" s="25"/>
      <c r="J1289" s="25"/>
    </row>
    <row r="1290" spans="1:10" ht="14.4">
      <c r="A1290" s="44"/>
      <c r="B1290" s="44"/>
      <c r="D1290" s="25"/>
      <c r="E1290" s="44"/>
      <c r="F1290" s="25" t="s">
        <v>123</v>
      </c>
      <c r="G1290" s="25"/>
      <c r="H1290" s="25"/>
      <c r="I1290" s="25"/>
      <c r="J1290" s="25"/>
    </row>
    <row r="1291" spans="1:10" ht="14.4">
      <c r="A1291" s="44"/>
      <c r="B1291" s="44"/>
      <c r="D1291" s="25"/>
      <c r="E1291" s="44"/>
      <c r="F1291" s="25" t="s">
        <v>123</v>
      </c>
      <c r="G1291" s="25"/>
      <c r="H1291" s="25"/>
      <c r="I1291" s="25"/>
      <c r="J1291" s="25"/>
    </row>
    <row r="1292" spans="1:10" ht="14.4">
      <c r="A1292" s="44"/>
      <c r="B1292" s="44"/>
      <c r="D1292" s="25"/>
      <c r="E1292" s="44"/>
      <c r="F1292" s="25" t="s">
        <v>123</v>
      </c>
      <c r="G1292" s="25"/>
      <c r="H1292" s="25"/>
      <c r="I1292" s="25"/>
      <c r="J1292" s="25"/>
    </row>
    <row r="1293" spans="1:10" ht="14.4">
      <c r="A1293" s="44"/>
      <c r="B1293" s="44"/>
      <c r="D1293" s="25"/>
      <c r="E1293" s="44"/>
      <c r="F1293" s="25" t="s">
        <v>123</v>
      </c>
      <c r="G1293" s="25"/>
      <c r="H1293" s="25"/>
      <c r="I1293" s="25"/>
      <c r="J1293" s="25"/>
    </row>
    <row r="1294" spans="1:10" ht="14.4">
      <c r="A1294" s="44"/>
      <c r="B1294" s="44"/>
      <c r="D1294" s="25"/>
      <c r="E1294" s="44"/>
      <c r="F1294" s="25" t="s">
        <v>123</v>
      </c>
      <c r="G1294" s="25"/>
      <c r="H1294" s="25"/>
      <c r="I1294" s="25"/>
      <c r="J1294" s="25"/>
    </row>
    <row r="1295" spans="1:10" ht="14.4">
      <c r="A1295" s="44"/>
      <c r="B1295" s="44"/>
      <c r="D1295" s="25"/>
      <c r="E1295" s="44"/>
      <c r="F1295" s="25" t="s">
        <v>123</v>
      </c>
      <c r="G1295" s="25"/>
      <c r="H1295" s="25"/>
      <c r="I1295" s="25"/>
      <c r="J1295" s="25"/>
    </row>
    <row r="1296" spans="1:10" ht="14.4">
      <c r="A1296" s="44"/>
      <c r="B1296" s="44"/>
      <c r="D1296" s="25"/>
      <c r="E1296" s="44"/>
      <c r="F1296" s="25" t="s">
        <v>123</v>
      </c>
      <c r="G1296" s="25"/>
      <c r="H1296" s="25"/>
      <c r="I1296" s="25"/>
      <c r="J1296" s="25"/>
    </row>
    <row r="1297" spans="1:10" ht="14.4">
      <c r="A1297" s="44"/>
      <c r="B1297" s="44"/>
      <c r="D1297" s="25"/>
      <c r="E1297" s="44"/>
      <c r="F1297" s="25" t="s">
        <v>123</v>
      </c>
      <c r="G1297" s="25"/>
      <c r="H1297" s="25"/>
      <c r="I1297" s="25"/>
      <c r="J1297" s="25"/>
    </row>
    <row r="1298" spans="1:10" ht="14.4">
      <c r="A1298" s="44"/>
      <c r="B1298" s="44"/>
      <c r="D1298" s="25"/>
      <c r="E1298" s="44"/>
      <c r="F1298" s="25" t="s">
        <v>123</v>
      </c>
      <c r="G1298" s="25"/>
      <c r="H1298" s="25"/>
      <c r="I1298" s="25"/>
      <c r="J1298" s="25"/>
    </row>
    <row r="1299" spans="1:10" ht="14.4">
      <c r="A1299" s="44"/>
      <c r="B1299" s="44"/>
      <c r="D1299" s="25"/>
      <c r="E1299" s="44"/>
      <c r="F1299" s="25" t="s">
        <v>123</v>
      </c>
      <c r="G1299" s="25"/>
      <c r="H1299" s="25"/>
      <c r="I1299" s="25"/>
      <c r="J1299" s="25"/>
    </row>
    <row r="1300" spans="1:10" ht="14.4">
      <c r="A1300" s="44"/>
      <c r="B1300" s="44"/>
      <c r="D1300" s="25"/>
      <c r="E1300" s="44"/>
      <c r="F1300" s="25" t="s">
        <v>123</v>
      </c>
      <c r="G1300" s="25"/>
      <c r="H1300" s="25"/>
      <c r="I1300" s="25"/>
      <c r="J1300" s="25"/>
    </row>
    <row r="1301" spans="1:10" ht="14.4">
      <c r="A1301" s="44"/>
      <c r="B1301" s="44"/>
      <c r="D1301" s="25"/>
      <c r="E1301" s="44"/>
      <c r="F1301" s="25" t="s">
        <v>123</v>
      </c>
      <c r="G1301" s="25"/>
      <c r="H1301" s="25"/>
      <c r="I1301" s="25"/>
      <c r="J1301" s="25"/>
    </row>
    <row r="1302" spans="1:10" ht="14.4">
      <c r="A1302" s="44"/>
      <c r="B1302" s="44"/>
      <c r="D1302" s="25"/>
      <c r="E1302" s="44"/>
      <c r="F1302" s="25" t="s">
        <v>123</v>
      </c>
      <c r="G1302" s="25"/>
      <c r="H1302" s="25"/>
      <c r="I1302" s="25"/>
      <c r="J1302" s="25"/>
    </row>
    <row r="1303" spans="1:10" ht="14.4">
      <c r="A1303" s="44"/>
      <c r="B1303" s="44"/>
      <c r="D1303" s="25"/>
      <c r="E1303" s="44"/>
      <c r="F1303" s="25" t="s">
        <v>123</v>
      </c>
      <c r="G1303" s="25"/>
      <c r="H1303" s="25"/>
      <c r="I1303" s="25"/>
      <c r="J1303" s="25"/>
    </row>
    <row r="1304" spans="1:10" ht="14.4">
      <c r="A1304" s="44"/>
      <c r="B1304" s="44"/>
      <c r="D1304" s="25"/>
      <c r="E1304" s="44"/>
      <c r="F1304" s="25" t="s">
        <v>123</v>
      </c>
      <c r="G1304" s="25"/>
      <c r="H1304" s="25"/>
      <c r="I1304" s="25"/>
      <c r="J1304" s="25"/>
    </row>
    <row r="1305" spans="1:10" ht="14.4">
      <c r="A1305" s="44"/>
      <c r="B1305" s="44"/>
      <c r="D1305" s="25"/>
      <c r="E1305" s="44"/>
      <c r="F1305" s="25" t="s">
        <v>123</v>
      </c>
      <c r="G1305" s="25"/>
      <c r="H1305" s="25"/>
      <c r="I1305" s="25"/>
      <c r="J1305" s="25"/>
    </row>
    <row r="1306" spans="1:10" ht="14.4">
      <c r="A1306" s="44"/>
      <c r="B1306" s="44"/>
      <c r="D1306" s="25"/>
      <c r="E1306" s="44"/>
      <c r="F1306" s="25" t="s">
        <v>123</v>
      </c>
      <c r="G1306" s="25"/>
      <c r="H1306" s="25"/>
      <c r="I1306" s="25"/>
      <c r="J1306" s="25"/>
    </row>
    <row r="1307" spans="1:10" ht="14.4">
      <c r="A1307" s="44"/>
      <c r="B1307" s="44"/>
      <c r="D1307" s="25"/>
      <c r="E1307" s="44"/>
      <c r="F1307" s="25" t="s">
        <v>123</v>
      </c>
      <c r="G1307" s="25"/>
      <c r="H1307" s="25"/>
      <c r="I1307" s="25"/>
      <c r="J1307" s="25"/>
    </row>
    <row r="1308" spans="1:10" ht="14.4">
      <c r="A1308" s="44"/>
      <c r="B1308" s="44"/>
      <c r="D1308" s="25"/>
      <c r="E1308" s="44"/>
      <c r="F1308" s="25" t="s">
        <v>123</v>
      </c>
      <c r="G1308" s="25"/>
      <c r="H1308" s="25"/>
      <c r="I1308" s="25"/>
      <c r="J1308" s="25"/>
    </row>
    <row r="1309" spans="1:10" ht="14.4">
      <c r="A1309" s="44"/>
      <c r="B1309" s="44"/>
      <c r="D1309" s="25"/>
      <c r="E1309" s="44"/>
      <c r="F1309" s="25" t="s">
        <v>123</v>
      </c>
      <c r="G1309" s="25"/>
      <c r="H1309" s="25"/>
      <c r="I1309" s="25"/>
      <c r="J1309" s="25"/>
    </row>
    <row r="1310" spans="1:10" ht="14.4">
      <c r="A1310" s="44"/>
      <c r="B1310" s="44"/>
      <c r="D1310" s="25"/>
      <c r="E1310" s="44"/>
      <c r="F1310" s="25" t="s">
        <v>123</v>
      </c>
      <c r="G1310" s="25"/>
      <c r="H1310" s="25"/>
      <c r="I1310" s="25"/>
      <c r="J1310" s="25"/>
    </row>
    <row r="1311" spans="1:10" ht="14.4">
      <c r="A1311" s="44"/>
      <c r="B1311" s="44"/>
      <c r="D1311" s="25"/>
      <c r="E1311" s="44"/>
      <c r="F1311" s="25" t="s">
        <v>123</v>
      </c>
      <c r="G1311" s="25"/>
      <c r="H1311" s="25"/>
      <c r="I1311" s="25"/>
      <c r="J1311" s="25"/>
    </row>
    <row r="1312" spans="1:10" ht="14.4">
      <c r="A1312" s="44"/>
      <c r="B1312" s="44"/>
      <c r="D1312" s="25"/>
      <c r="E1312" s="44"/>
      <c r="F1312" s="25" t="s">
        <v>123</v>
      </c>
      <c r="G1312" s="25"/>
      <c r="H1312" s="25"/>
      <c r="I1312" s="25"/>
      <c r="J1312" s="25"/>
    </row>
    <row r="1313" spans="1:10" ht="14.4">
      <c r="A1313" s="44"/>
      <c r="B1313" s="44"/>
      <c r="D1313" s="25"/>
      <c r="E1313" s="44"/>
      <c r="F1313" s="25" t="s">
        <v>123</v>
      </c>
      <c r="G1313" s="25"/>
      <c r="H1313" s="25"/>
      <c r="I1313" s="25"/>
      <c r="J1313" s="25"/>
    </row>
    <row r="1314" spans="1:10" ht="14.4">
      <c r="A1314" s="44"/>
      <c r="B1314" s="44"/>
      <c r="D1314" s="25"/>
      <c r="E1314" s="44"/>
      <c r="F1314" s="25" t="s">
        <v>123</v>
      </c>
      <c r="G1314" s="25"/>
      <c r="H1314" s="25"/>
      <c r="I1314" s="25"/>
      <c r="J1314" s="25"/>
    </row>
    <row r="1315" spans="1:10" ht="14.4">
      <c r="A1315" s="44"/>
      <c r="B1315" s="44"/>
      <c r="D1315" s="25"/>
      <c r="E1315" s="44"/>
      <c r="F1315" s="25" t="s">
        <v>123</v>
      </c>
      <c r="G1315" s="25"/>
      <c r="H1315" s="25"/>
      <c r="I1315" s="25"/>
      <c r="J1315" s="25"/>
    </row>
    <row r="1316" spans="1:10" ht="14.4">
      <c r="A1316" s="44"/>
      <c r="B1316" s="44"/>
      <c r="D1316" s="25"/>
      <c r="E1316" s="44"/>
      <c r="F1316" s="25" t="s">
        <v>123</v>
      </c>
      <c r="G1316" s="25"/>
      <c r="H1316" s="25"/>
      <c r="I1316" s="25"/>
      <c r="J1316" s="25"/>
    </row>
    <row r="1317" spans="1:10" ht="14.4">
      <c r="A1317" s="44"/>
      <c r="B1317" s="44"/>
      <c r="D1317" s="25"/>
      <c r="E1317" s="44"/>
      <c r="F1317" s="25" t="s">
        <v>123</v>
      </c>
      <c r="G1317" s="25"/>
      <c r="H1317" s="25"/>
      <c r="I1317" s="25"/>
      <c r="J1317" s="25"/>
    </row>
    <row r="1318" spans="1:10" ht="14.4">
      <c r="A1318" s="44"/>
      <c r="B1318" s="44"/>
      <c r="D1318" s="25"/>
      <c r="E1318" s="44"/>
      <c r="F1318" s="25" t="s">
        <v>123</v>
      </c>
      <c r="G1318" s="25"/>
      <c r="H1318" s="25"/>
      <c r="I1318" s="25"/>
      <c r="J1318" s="25"/>
    </row>
    <row r="1319" spans="1:10" ht="14.4">
      <c r="A1319" s="44"/>
      <c r="B1319" s="44"/>
      <c r="D1319" s="25"/>
      <c r="E1319" s="44"/>
      <c r="F1319" s="25" t="s">
        <v>123</v>
      </c>
      <c r="G1319" s="25"/>
      <c r="H1319" s="25"/>
      <c r="I1319" s="25"/>
      <c r="J1319" s="25"/>
    </row>
    <row r="1320" spans="1:10" ht="14.4">
      <c r="A1320" s="44"/>
      <c r="B1320" s="44"/>
      <c r="D1320" s="25"/>
      <c r="E1320" s="44"/>
      <c r="F1320" s="25" t="s">
        <v>123</v>
      </c>
      <c r="G1320" s="25"/>
      <c r="H1320" s="25"/>
      <c r="I1320" s="25"/>
      <c r="J1320" s="25"/>
    </row>
    <row r="1321" spans="1:10" ht="14.4">
      <c r="A1321" s="44"/>
      <c r="B1321" s="44"/>
      <c r="D1321" s="25"/>
      <c r="E1321" s="44"/>
      <c r="F1321" s="25" t="s">
        <v>123</v>
      </c>
      <c r="G1321" s="25"/>
      <c r="H1321" s="25"/>
      <c r="I1321" s="25"/>
      <c r="J1321" s="25"/>
    </row>
    <row r="1322" spans="1:10" ht="14.4">
      <c r="A1322" s="44"/>
      <c r="B1322" s="44"/>
      <c r="D1322" s="25"/>
      <c r="E1322" s="44"/>
      <c r="F1322" s="25" t="s">
        <v>123</v>
      </c>
      <c r="G1322" s="25"/>
      <c r="H1322" s="25"/>
      <c r="I1322" s="25"/>
      <c r="J1322" s="25"/>
    </row>
    <row r="1323" spans="1:10" ht="14.4">
      <c r="A1323" s="44"/>
      <c r="B1323" s="44"/>
      <c r="D1323" s="25"/>
      <c r="E1323" s="44"/>
      <c r="F1323" s="25" t="s">
        <v>123</v>
      </c>
      <c r="G1323" s="25"/>
      <c r="H1323" s="25"/>
      <c r="I1323" s="25"/>
      <c r="J1323" s="25"/>
    </row>
    <row r="1324" spans="1:10" ht="14.4">
      <c r="A1324" s="44"/>
      <c r="B1324" s="44"/>
      <c r="D1324" s="25"/>
      <c r="E1324" s="44"/>
      <c r="F1324" s="25" t="s">
        <v>123</v>
      </c>
      <c r="G1324" s="25"/>
      <c r="H1324" s="25"/>
      <c r="I1324" s="25"/>
      <c r="J1324" s="25"/>
    </row>
    <row r="1325" spans="1:10" ht="14.4">
      <c r="A1325" s="44"/>
      <c r="B1325" s="44"/>
      <c r="D1325" s="25"/>
      <c r="E1325" s="44"/>
      <c r="F1325" s="25" t="s">
        <v>123</v>
      </c>
      <c r="G1325" s="25"/>
      <c r="H1325" s="25"/>
      <c r="I1325" s="25"/>
      <c r="J1325" s="25"/>
    </row>
    <row r="1326" spans="1:10" ht="14.4">
      <c r="A1326" s="44"/>
      <c r="B1326" s="44"/>
      <c r="D1326" s="25"/>
      <c r="E1326" s="44"/>
      <c r="F1326" s="25" t="s">
        <v>123</v>
      </c>
      <c r="G1326" s="25"/>
      <c r="H1326" s="25"/>
      <c r="I1326" s="25"/>
      <c r="J1326" s="25"/>
    </row>
    <row r="1327" spans="1:10" ht="14.4">
      <c r="A1327" s="44"/>
      <c r="B1327" s="44"/>
      <c r="D1327" s="25"/>
      <c r="E1327" s="44"/>
      <c r="F1327" s="25" t="s">
        <v>123</v>
      </c>
      <c r="G1327" s="25"/>
      <c r="H1327" s="25"/>
      <c r="I1327" s="25"/>
      <c r="J1327" s="25"/>
    </row>
    <row r="1328" spans="1:10" ht="14.4">
      <c r="A1328" s="44"/>
      <c r="B1328" s="44"/>
      <c r="D1328" s="25"/>
      <c r="E1328" s="44"/>
      <c r="F1328" s="25" t="s">
        <v>123</v>
      </c>
      <c r="G1328" s="25"/>
      <c r="H1328" s="25"/>
      <c r="I1328" s="25"/>
      <c r="J1328" s="25"/>
    </row>
    <row r="1329" spans="1:10" ht="14.4">
      <c r="A1329" s="44"/>
      <c r="B1329" s="44"/>
      <c r="D1329" s="25"/>
      <c r="E1329" s="44"/>
      <c r="F1329" s="25" t="s">
        <v>123</v>
      </c>
      <c r="G1329" s="25"/>
      <c r="H1329" s="25"/>
      <c r="I1329" s="25"/>
      <c r="J1329" s="25"/>
    </row>
    <row r="1330" spans="1:10" ht="14.4">
      <c r="A1330" s="44"/>
      <c r="B1330" s="44"/>
      <c r="D1330" s="25"/>
      <c r="E1330" s="44"/>
      <c r="F1330" s="25" t="s">
        <v>123</v>
      </c>
      <c r="G1330" s="25"/>
      <c r="H1330" s="25"/>
      <c r="I1330" s="25"/>
      <c r="J1330" s="25"/>
    </row>
    <row r="1331" spans="1:10" ht="14.4">
      <c r="A1331" s="44"/>
      <c r="B1331" s="44"/>
      <c r="D1331" s="25"/>
      <c r="E1331" s="44"/>
      <c r="F1331" s="25" t="s">
        <v>123</v>
      </c>
      <c r="G1331" s="25"/>
      <c r="H1331" s="25"/>
      <c r="I1331" s="25"/>
      <c r="J1331" s="25"/>
    </row>
    <row r="1332" spans="1:10" ht="14.4">
      <c r="A1332" s="44"/>
      <c r="B1332" s="44"/>
      <c r="D1332" s="25"/>
      <c r="E1332" s="44"/>
      <c r="F1332" s="25" t="s">
        <v>123</v>
      </c>
      <c r="G1332" s="25"/>
      <c r="H1332" s="25"/>
      <c r="I1332" s="25"/>
      <c r="J1332" s="25"/>
    </row>
    <row r="1333" spans="1:10" ht="14.4">
      <c r="A1333" s="44"/>
      <c r="B1333" s="44"/>
      <c r="D1333" s="25"/>
      <c r="E1333" s="44"/>
      <c r="F1333" s="25" t="s">
        <v>123</v>
      </c>
      <c r="G1333" s="25"/>
      <c r="H1333" s="25"/>
      <c r="I1333" s="25"/>
      <c r="J1333" s="25"/>
    </row>
    <row r="1334" spans="1:10" ht="14.4">
      <c r="A1334" s="44"/>
      <c r="B1334" s="44"/>
      <c r="D1334" s="25"/>
      <c r="E1334" s="44"/>
      <c r="F1334" s="25" t="s">
        <v>123</v>
      </c>
      <c r="G1334" s="25"/>
      <c r="H1334" s="25"/>
      <c r="I1334" s="25"/>
      <c r="J1334" s="25"/>
    </row>
    <row r="1335" spans="1:10" ht="14.4">
      <c r="A1335" s="44"/>
      <c r="B1335" s="44"/>
      <c r="D1335" s="25"/>
      <c r="E1335" s="44"/>
      <c r="F1335" s="25" t="s">
        <v>123</v>
      </c>
      <c r="G1335" s="25"/>
      <c r="H1335" s="25"/>
      <c r="I1335" s="25"/>
      <c r="J1335" s="25"/>
    </row>
    <row r="1336" spans="1:10" ht="14.4">
      <c r="A1336" s="44"/>
      <c r="B1336" s="44"/>
      <c r="D1336" s="25"/>
      <c r="E1336" s="44"/>
      <c r="F1336" s="25" t="s">
        <v>123</v>
      </c>
      <c r="G1336" s="25"/>
      <c r="H1336" s="25"/>
      <c r="I1336" s="25"/>
      <c r="J1336" s="25"/>
    </row>
    <row r="1337" spans="1:10" ht="14.4">
      <c r="A1337" s="44"/>
      <c r="B1337" s="44"/>
      <c r="D1337" s="25"/>
      <c r="E1337" s="44"/>
      <c r="F1337" s="25" t="s">
        <v>123</v>
      </c>
      <c r="G1337" s="25"/>
      <c r="H1337" s="25"/>
      <c r="I1337" s="25"/>
      <c r="J1337" s="25"/>
    </row>
    <row r="1338" spans="1:10" ht="14.4">
      <c r="A1338" s="44"/>
      <c r="B1338" s="44"/>
      <c r="D1338" s="25"/>
      <c r="E1338" s="44"/>
      <c r="F1338" s="25" t="s">
        <v>123</v>
      </c>
      <c r="G1338" s="25"/>
      <c r="H1338" s="25"/>
      <c r="I1338" s="25"/>
      <c r="J1338" s="25"/>
    </row>
    <row r="1339" spans="1:10" ht="14.4">
      <c r="A1339" s="44"/>
      <c r="B1339" s="44"/>
      <c r="D1339" s="25"/>
      <c r="E1339" s="44"/>
      <c r="F1339" s="25" t="s">
        <v>123</v>
      </c>
      <c r="G1339" s="25"/>
      <c r="H1339" s="25"/>
      <c r="I1339" s="25"/>
      <c r="J1339" s="25"/>
    </row>
    <row r="1340" spans="1:10" ht="14.4">
      <c r="A1340" s="44"/>
      <c r="B1340" s="44"/>
      <c r="D1340" s="25"/>
      <c r="E1340" s="44"/>
      <c r="F1340" s="25" t="s">
        <v>123</v>
      </c>
      <c r="G1340" s="25"/>
      <c r="H1340" s="25"/>
      <c r="I1340" s="25"/>
      <c r="J1340" s="25"/>
    </row>
    <row r="1341" spans="1:10" ht="14.4">
      <c r="A1341" s="44"/>
      <c r="B1341" s="44"/>
      <c r="D1341" s="25"/>
      <c r="E1341" s="44"/>
      <c r="F1341" s="25" t="s">
        <v>123</v>
      </c>
      <c r="G1341" s="25"/>
      <c r="H1341" s="25"/>
      <c r="I1341" s="25"/>
      <c r="J1341" s="25"/>
    </row>
    <row r="1342" spans="1:10" ht="14.4">
      <c r="A1342" s="44"/>
      <c r="B1342" s="44"/>
      <c r="D1342" s="25"/>
      <c r="E1342" s="44"/>
      <c r="F1342" s="25" t="s">
        <v>123</v>
      </c>
      <c r="G1342" s="25"/>
      <c r="H1342" s="25"/>
      <c r="I1342" s="25"/>
      <c r="J1342" s="25"/>
    </row>
    <row r="1343" spans="1:10" ht="14.4">
      <c r="A1343" s="44"/>
      <c r="B1343" s="44"/>
      <c r="D1343" s="25"/>
      <c r="E1343" s="44"/>
      <c r="F1343" s="25" t="s">
        <v>123</v>
      </c>
      <c r="G1343" s="25"/>
      <c r="H1343" s="25"/>
      <c r="I1343" s="25"/>
      <c r="J1343" s="25"/>
    </row>
    <row r="1344" spans="1:10" ht="14.4">
      <c r="A1344" s="44"/>
      <c r="B1344" s="44"/>
      <c r="D1344" s="25"/>
      <c r="E1344" s="44"/>
      <c r="F1344" s="25" t="s">
        <v>123</v>
      </c>
      <c r="G1344" s="25"/>
      <c r="H1344" s="25"/>
      <c r="I1344" s="25"/>
      <c r="J1344" s="25"/>
    </row>
    <row r="1345" spans="1:10" ht="14.4">
      <c r="A1345" s="44"/>
      <c r="B1345" s="44"/>
      <c r="D1345" s="25"/>
      <c r="E1345" s="44"/>
      <c r="F1345" s="25" t="s">
        <v>123</v>
      </c>
      <c r="G1345" s="25"/>
      <c r="H1345" s="25"/>
      <c r="I1345" s="25"/>
      <c r="J1345" s="25"/>
    </row>
    <row r="1346" spans="1:10" ht="14.4">
      <c r="A1346" s="44"/>
      <c r="B1346" s="44"/>
      <c r="D1346" s="25"/>
      <c r="E1346" s="44"/>
      <c r="F1346" s="25" t="s">
        <v>123</v>
      </c>
      <c r="G1346" s="25"/>
      <c r="H1346" s="25"/>
      <c r="I1346" s="25"/>
      <c r="J1346" s="25"/>
    </row>
    <row r="1347" spans="1:10" ht="14.4">
      <c r="A1347" s="44"/>
      <c r="B1347" s="44"/>
      <c r="D1347" s="25"/>
      <c r="E1347" s="44"/>
      <c r="F1347" s="25" t="s">
        <v>123</v>
      </c>
      <c r="G1347" s="25"/>
      <c r="H1347" s="25"/>
      <c r="I1347" s="25"/>
      <c r="J1347" s="25"/>
    </row>
    <row r="1348" spans="1:10" ht="14.4">
      <c r="A1348" s="44"/>
      <c r="B1348" s="44"/>
      <c r="D1348" s="25"/>
      <c r="E1348" s="44"/>
      <c r="F1348" s="25" t="s">
        <v>123</v>
      </c>
      <c r="G1348" s="25"/>
      <c r="H1348" s="25"/>
      <c r="I1348" s="25"/>
      <c r="J1348" s="25"/>
    </row>
    <row r="1349" spans="1:10" ht="14.4">
      <c r="A1349" s="44"/>
      <c r="B1349" s="44"/>
      <c r="D1349" s="25"/>
      <c r="E1349" s="44"/>
      <c r="F1349" s="25" t="s">
        <v>123</v>
      </c>
      <c r="G1349" s="25"/>
      <c r="H1349" s="25"/>
      <c r="I1349" s="25"/>
      <c r="J1349" s="25"/>
    </row>
    <row r="1350" spans="1:10" ht="14.4">
      <c r="A1350" s="44"/>
      <c r="B1350" s="44"/>
      <c r="D1350" s="25"/>
      <c r="E1350" s="44"/>
      <c r="F1350" s="25" t="s">
        <v>123</v>
      </c>
      <c r="G1350" s="25"/>
      <c r="H1350" s="25"/>
      <c r="I1350" s="25"/>
      <c r="J1350" s="25"/>
    </row>
    <row r="1351" spans="1:10" ht="14.4">
      <c r="A1351" s="44"/>
      <c r="B1351" s="44"/>
      <c r="D1351" s="25"/>
      <c r="E1351" s="44"/>
      <c r="F1351" s="25" t="s">
        <v>123</v>
      </c>
      <c r="G1351" s="25"/>
      <c r="H1351" s="25"/>
      <c r="I1351" s="25"/>
      <c r="J1351" s="25"/>
    </row>
    <row r="1352" spans="1:10" ht="14.4">
      <c r="A1352" s="44"/>
      <c r="B1352" s="44"/>
      <c r="D1352" s="25"/>
      <c r="E1352" s="44"/>
      <c r="F1352" s="25" t="s">
        <v>123</v>
      </c>
      <c r="G1352" s="25"/>
      <c r="H1352" s="25"/>
      <c r="I1352" s="25"/>
      <c r="J1352" s="25"/>
    </row>
    <row r="1353" spans="1:10" ht="14.4">
      <c r="A1353" s="44"/>
      <c r="B1353" s="44"/>
      <c r="D1353" s="25"/>
      <c r="E1353" s="44"/>
      <c r="F1353" s="25" t="s">
        <v>123</v>
      </c>
      <c r="G1353" s="25"/>
      <c r="H1353" s="25"/>
      <c r="I1353" s="25"/>
      <c r="J1353" s="25"/>
    </row>
    <row r="1354" spans="1:10" ht="14.4">
      <c r="A1354" s="44"/>
      <c r="B1354" s="44"/>
      <c r="D1354" s="25"/>
      <c r="E1354" s="44"/>
      <c r="F1354" s="25" t="s">
        <v>123</v>
      </c>
      <c r="G1354" s="25"/>
      <c r="H1354" s="25"/>
      <c r="I1354" s="25"/>
      <c r="J1354" s="25"/>
    </row>
    <row r="1355" spans="1:10" ht="14.4">
      <c r="A1355" s="44"/>
      <c r="B1355" s="44"/>
      <c r="D1355" s="25"/>
      <c r="E1355" s="44"/>
      <c r="F1355" s="25" t="s">
        <v>123</v>
      </c>
      <c r="G1355" s="25"/>
      <c r="H1355" s="25"/>
      <c r="I1355" s="25"/>
      <c r="J1355" s="25"/>
    </row>
    <row r="1356" spans="1:10" ht="14.4">
      <c r="A1356" s="44"/>
      <c r="B1356" s="44"/>
      <c r="D1356" s="25"/>
      <c r="E1356" s="44"/>
      <c r="F1356" s="25" t="s">
        <v>123</v>
      </c>
      <c r="G1356" s="25"/>
      <c r="H1356" s="25"/>
      <c r="I1356" s="25"/>
      <c r="J1356" s="25"/>
    </row>
    <row r="1357" spans="1:10" ht="14.4">
      <c r="A1357" s="44"/>
      <c r="B1357" s="44"/>
      <c r="D1357" s="25"/>
      <c r="E1357" s="44"/>
      <c r="F1357" s="25" t="s">
        <v>123</v>
      </c>
      <c r="G1357" s="25"/>
      <c r="H1357" s="25"/>
      <c r="I1357" s="25"/>
      <c r="J1357" s="25"/>
    </row>
    <row r="1358" spans="1:10" ht="14.4">
      <c r="A1358" s="44"/>
      <c r="B1358" s="44"/>
      <c r="D1358" s="25"/>
      <c r="E1358" s="44"/>
      <c r="F1358" s="25" t="s">
        <v>123</v>
      </c>
      <c r="G1358" s="25"/>
      <c r="H1358" s="25"/>
      <c r="I1358" s="25"/>
      <c r="J1358" s="25"/>
    </row>
    <row r="1359" spans="1:10" ht="14.4">
      <c r="A1359" s="44"/>
      <c r="B1359" s="44"/>
      <c r="D1359" s="25"/>
      <c r="E1359" s="44"/>
      <c r="F1359" s="25" t="s">
        <v>123</v>
      </c>
      <c r="G1359" s="25"/>
      <c r="H1359" s="25"/>
      <c r="I1359" s="25"/>
      <c r="J1359" s="25"/>
    </row>
    <row r="1360" spans="1:10" ht="14.4">
      <c r="A1360" s="44"/>
      <c r="B1360" s="44"/>
      <c r="D1360" s="25"/>
      <c r="E1360" s="44"/>
      <c r="F1360" s="25" t="s">
        <v>123</v>
      </c>
      <c r="G1360" s="25"/>
      <c r="H1360" s="25"/>
      <c r="I1360" s="25"/>
      <c r="J1360" s="25"/>
    </row>
    <row r="1361" spans="1:10" ht="14.4">
      <c r="A1361" s="44"/>
      <c r="B1361" s="44"/>
      <c r="D1361" s="25"/>
      <c r="E1361" s="44"/>
      <c r="F1361" s="25" t="s">
        <v>123</v>
      </c>
      <c r="G1361" s="25"/>
      <c r="H1361" s="25"/>
      <c r="I1361" s="25"/>
      <c r="J1361" s="25"/>
    </row>
    <row r="1362" spans="1:10" ht="14.4">
      <c r="A1362" s="44"/>
      <c r="B1362" s="44"/>
      <c r="D1362" s="25"/>
      <c r="E1362" s="44"/>
      <c r="F1362" s="25" t="s">
        <v>123</v>
      </c>
      <c r="G1362" s="25"/>
      <c r="H1362" s="25"/>
      <c r="I1362" s="25"/>
      <c r="J1362" s="25"/>
    </row>
    <row r="1363" spans="1:10" ht="14.4">
      <c r="A1363" s="44"/>
      <c r="B1363" s="44"/>
      <c r="D1363" s="25"/>
      <c r="E1363" s="44"/>
      <c r="F1363" s="25" t="s">
        <v>123</v>
      </c>
      <c r="G1363" s="25"/>
      <c r="H1363" s="25"/>
      <c r="I1363" s="25"/>
      <c r="J1363" s="25"/>
    </row>
    <row r="1364" spans="1:10" ht="14.4">
      <c r="A1364" s="44"/>
      <c r="B1364" s="44"/>
      <c r="D1364" s="25"/>
      <c r="E1364" s="44"/>
      <c r="F1364" s="25" t="s">
        <v>123</v>
      </c>
      <c r="G1364" s="25"/>
      <c r="H1364" s="25"/>
      <c r="I1364" s="25"/>
      <c r="J1364" s="25"/>
    </row>
    <row r="1365" spans="1:10" ht="14.4">
      <c r="A1365" s="44"/>
      <c r="B1365" s="44"/>
      <c r="D1365" s="25"/>
      <c r="E1365" s="44"/>
      <c r="F1365" s="25" t="s">
        <v>123</v>
      </c>
      <c r="G1365" s="25"/>
      <c r="H1365" s="25"/>
      <c r="I1365" s="25"/>
      <c r="J1365" s="25"/>
    </row>
    <row r="1366" spans="1:10" ht="14.4">
      <c r="A1366" s="44"/>
      <c r="B1366" s="44"/>
      <c r="D1366" s="25"/>
      <c r="E1366" s="44"/>
      <c r="F1366" s="25" t="s">
        <v>123</v>
      </c>
      <c r="G1366" s="25"/>
      <c r="H1366" s="25"/>
      <c r="I1366" s="25"/>
      <c r="J1366" s="25"/>
    </row>
    <row r="1367" spans="1:10" ht="14.4">
      <c r="A1367" s="44"/>
      <c r="B1367" s="44"/>
      <c r="D1367" s="25"/>
      <c r="E1367" s="44"/>
      <c r="F1367" s="25" t="s">
        <v>123</v>
      </c>
      <c r="G1367" s="25"/>
      <c r="H1367" s="25"/>
      <c r="I1367" s="25"/>
      <c r="J1367" s="25"/>
    </row>
    <row r="1368" spans="1:10" ht="14.4">
      <c r="A1368" s="44"/>
      <c r="B1368" s="44"/>
      <c r="D1368" s="25"/>
      <c r="E1368" s="44"/>
      <c r="F1368" s="25" t="s">
        <v>123</v>
      </c>
      <c r="G1368" s="25"/>
      <c r="H1368" s="25"/>
      <c r="I1368" s="25"/>
      <c r="J1368" s="25"/>
    </row>
    <row r="1369" spans="1:10" ht="14.4">
      <c r="A1369" s="44"/>
      <c r="B1369" s="44"/>
      <c r="D1369" s="25"/>
      <c r="E1369" s="44"/>
      <c r="F1369" s="25" t="s">
        <v>123</v>
      </c>
      <c r="G1369" s="25"/>
      <c r="H1369" s="25"/>
      <c r="I1369" s="25"/>
      <c r="J1369" s="25"/>
    </row>
    <row r="1370" spans="1:10" ht="14.4">
      <c r="A1370" s="44"/>
      <c r="B1370" s="44"/>
      <c r="D1370" s="25"/>
      <c r="E1370" s="44"/>
      <c r="F1370" s="25" t="s">
        <v>123</v>
      </c>
      <c r="G1370" s="25"/>
      <c r="H1370" s="25"/>
      <c r="I1370" s="25"/>
      <c r="J1370" s="25"/>
    </row>
    <row r="1371" spans="1:10" ht="14.4">
      <c r="A1371" s="44"/>
      <c r="B1371" s="44"/>
      <c r="D1371" s="25"/>
      <c r="E1371" s="44"/>
      <c r="F1371" s="25" t="s">
        <v>123</v>
      </c>
      <c r="G1371" s="25"/>
      <c r="H1371" s="25"/>
      <c r="I1371" s="25"/>
      <c r="J1371" s="25"/>
    </row>
    <row r="1372" spans="1:10" ht="14.4">
      <c r="A1372" s="44"/>
      <c r="B1372" s="44"/>
      <c r="D1372" s="25"/>
      <c r="E1372" s="44"/>
      <c r="F1372" s="25" t="s">
        <v>123</v>
      </c>
      <c r="G1372" s="25"/>
      <c r="H1372" s="25"/>
      <c r="I1372" s="25"/>
      <c r="J1372" s="25"/>
    </row>
    <row r="1373" spans="1:10" ht="14.4">
      <c r="A1373" s="44"/>
      <c r="B1373" s="44"/>
      <c r="D1373" s="25"/>
      <c r="E1373" s="44"/>
      <c r="F1373" s="25" t="s">
        <v>123</v>
      </c>
      <c r="G1373" s="25"/>
      <c r="H1373" s="25"/>
      <c r="I1373" s="25"/>
      <c r="J1373" s="25"/>
    </row>
    <row r="1374" spans="1:10" ht="14.4">
      <c r="A1374" s="44"/>
      <c r="B1374" s="44"/>
      <c r="D1374" s="25"/>
      <c r="E1374" s="44"/>
      <c r="F1374" s="25" t="s">
        <v>123</v>
      </c>
      <c r="G1374" s="25"/>
      <c r="H1374" s="25"/>
      <c r="I1374" s="25"/>
      <c r="J1374" s="25"/>
    </row>
    <row r="1375" spans="1:10" ht="14.4">
      <c r="A1375" s="44"/>
      <c r="B1375" s="44"/>
      <c r="D1375" s="25"/>
      <c r="E1375" s="44"/>
      <c r="F1375" s="25" t="s">
        <v>123</v>
      </c>
      <c r="G1375" s="25"/>
      <c r="H1375" s="25"/>
      <c r="I1375" s="25"/>
      <c r="J1375" s="25"/>
    </row>
    <row r="1376" spans="1:10" ht="14.4">
      <c r="A1376" s="44"/>
      <c r="B1376" s="44"/>
      <c r="D1376" s="25"/>
      <c r="E1376" s="44"/>
      <c r="F1376" s="25" t="s">
        <v>123</v>
      </c>
      <c r="G1376" s="25"/>
      <c r="H1376" s="25"/>
      <c r="I1376" s="25"/>
      <c r="J1376" s="25"/>
    </row>
    <row r="1377" spans="1:10" ht="14.4">
      <c r="A1377" s="44"/>
      <c r="B1377" s="44"/>
      <c r="D1377" s="25"/>
      <c r="E1377" s="44"/>
      <c r="F1377" s="25" t="s">
        <v>123</v>
      </c>
      <c r="G1377" s="25"/>
      <c r="H1377" s="25"/>
      <c r="I1377" s="25"/>
      <c r="J1377" s="25"/>
    </row>
    <row r="1378" spans="1:10" ht="14.4">
      <c r="A1378" s="44"/>
      <c r="B1378" s="44"/>
      <c r="D1378" s="25"/>
      <c r="E1378" s="44"/>
      <c r="F1378" s="25" t="s">
        <v>123</v>
      </c>
      <c r="G1378" s="25"/>
      <c r="H1378" s="25"/>
      <c r="I1378" s="25"/>
      <c r="J1378" s="25"/>
    </row>
    <row r="1379" spans="1:10" ht="14.4">
      <c r="A1379" s="44"/>
      <c r="B1379" s="44"/>
      <c r="D1379" s="25"/>
      <c r="E1379" s="44"/>
      <c r="F1379" s="25" t="s">
        <v>123</v>
      </c>
      <c r="G1379" s="25"/>
      <c r="H1379" s="25"/>
      <c r="I1379" s="25"/>
      <c r="J1379" s="25"/>
    </row>
    <row r="1380" spans="1:10" ht="14.4">
      <c r="A1380" s="44"/>
      <c r="B1380" s="44"/>
      <c r="D1380" s="25"/>
      <c r="E1380" s="44"/>
      <c r="F1380" s="25" t="s">
        <v>123</v>
      </c>
      <c r="G1380" s="25"/>
      <c r="H1380" s="25"/>
      <c r="I1380" s="25"/>
      <c r="J1380" s="25"/>
    </row>
    <row r="1381" spans="1:10" ht="14.4">
      <c r="A1381" s="44"/>
      <c r="B1381" s="44"/>
      <c r="D1381" s="25"/>
      <c r="E1381" s="44"/>
      <c r="F1381" s="25" t="s">
        <v>123</v>
      </c>
      <c r="G1381" s="25"/>
      <c r="H1381" s="25"/>
      <c r="I1381" s="25"/>
      <c r="J1381" s="25"/>
    </row>
    <row r="1382" spans="1:10" ht="14.4">
      <c r="A1382" s="44"/>
      <c r="B1382" s="44"/>
      <c r="D1382" s="25"/>
      <c r="E1382" s="44"/>
      <c r="F1382" s="25" t="s">
        <v>123</v>
      </c>
      <c r="G1382" s="25"/>
      <c r="H1382" s="25"/>
      <c r="I1382" s="25"/>
      <c r="J1382" s="25"/>
    </row>
    <row r="1383" spans="1:10" ht="14.4">
      <c r="A1383" s="44"/>
      <c r="B1383" s="44"/>
      <c r="D1383" s="25"/>
      <c r="E1383" s="44"/>
      <c r="F1383" s="25" t="s">
        <v>123</v>
      </c>
      <c r="G1383" s="25"/>
      <c r="H1383" s="25"/>
      <c r="I1383" s="25"/>
      <c r="J1383" s="25"/>
    </row>
    <row r="1384" spans="1:10" ht="14.4">
      <c r="A1384" s="44"/>
      <c r="B1384" s="44"/>
      <c r="D1384" s="25"/>
      <c r="E1384" s="44"/>
      <c r="F1384" s="25" t="s">
        <v>123</v>
      </c>
      <c r="G1384" s="25"/>
      <c r="H1384" s="25"/>
      <c r="I1384" s="25"/>
      <c r="J1384" s="25"/>
    </row>
    <row r="1385" spans="1:10" ht="14.4">
      <c r="A1385" s="44"/>
      <c r="B1385" s="44"/>
      <c r="D1385" s="25"/>
      <c r="E1385" s="44"/>
      <c r="F1385" s="25" t="s">
        <v>123</v>
      </c>
      <c r="G1385" s="25"/>
      <c r="H1385" s="25"/>
      <c r="I1385" s="25"/>
      <c r="J1385" s="25"/>
    </row>
    <row r="1386" spans="1:10" ht="14.4">
      <c r="A1386" s="44"/>
      <c r="B1386" s="44"/>
      <c r="D1386" s="25"/>
      <c r="E1386" s="44"/>
      <c r="F1386" s="25" t="s">
        <v>123</v>
      </c>
      <c r="G1386" s="25"/>
      <c r="H1386" s="25"/>
      <c r="I1386" s="25"/>
      <c r="J1386" s="25"/>
    </row>
    <row r="1387" spans="1:10" ht="14.4">
      <c r="A1387" s="44"/>
      <c r="B1387" s="44"/>
      <c r="D1387" s="25"/>
      <c r="E1387" s="44"/>
      <c r="F1387" s="25" t="s">
        <v>123</v>
      </c>
      <c r="G1387" s="25"/>
      <c r="H1387" s="25"/>
      <c r="I1387" s="25"/>
      <c r="J1387" s="25"/>
    </row>
    <row r="1388" spans="1:10" ht="14.4">
      <c r="A1388" s="44"/>
      <c r="B1388" s="44"/>
      <c r="D1388" s="25"/>
      <c r="E1388" s="44"/>
      <c r="F1388" s="25" t="s">
        <v>123</v>
      </c>
      <c r="G1388" s="25"/>
      <c r="H1388" s="25"/>
      <c r="I1388" s="25"/>
      <c r="J1388" s="25"/>
    </row>
    <row r="1389" spans="1:10" ht="14.4">
      <c r="A1389" s="44"/>
      <c r="B1389" s="44"/>
      <c r="D1389" s="25"/>
      <c r="E1389" s="44"/>
      <c r="F1389" s="25" t="s">
        <v>123</v>
      </c>
      <c r="G1389" s="25"/>
      <c r="H1389" s="25"/>
      <c r="I1389" s="25"/>
      <c r="J1389" s="25"/>
    </row>
    <row r="1390" spans="1:10" ht="14.4">
      <c r="A1390" s="44"/>
      <c r="B1390" s="44"/>
      <c r="D1390" s="25"/>
      <c r="E1390" s="44"/>
      <c r="F1390" s="25" t="s">
        <v>123</v>
      </c>
      <c r="G1390" s="25"/>
      <c r="H1390" s="25"/>
      <c r="I1390" s="25"/>
      <c r="J1390" s="25"/>
    </row>
    <row r="1391" spans="1:10" ht="14.4">
      <c r="A1391" s="44"/>
      <c r="B1391" s="44"/>
      <c r="D1391" s="25"/>
      <c r="E1391" s="44"/>
      <c r="F1391" s="25" t="s">
        <v>123</v>
      </c>
      <c r="G1391" s="25"/>
      <c r="H1391" s="25"/>
      <c r="I1391" s="25"/>
      <c r="J1391" s="25"/>
    </row>
    <row r="1392" spans="1:10" ht="14.4">
      <c r="A1392" s="44"/>
      <c r="B1392" s="44"/>
      <c r="D1392" s="25"/>
      <c r="E1392" s="44"/>
      <c r="F1392" s="25" t="s">
        <v>123</v>
      </c>
      <c r="G1392" s="25"/>
      <c r="H1392" s="25"/>
      <c r="I1392" s="25"/>
      <c r="J1392" s="25"/>
    </row>
    <row r="1393" spans="1:10" ht="14.4">
      <c r="A1393" s="44"/>
      <c r="B1393" s="44"/>
      <c r="D1393" s="25"/>
      <c r="E1393" s="44"/>
      <c r="F1393" s="25" t="s">
        <v>123</v>
      </c>
      <c r="G1393" s="25"/>
      <c r="H1393" s="25"/>
      <c r="I1393" s="25"/>
      <c r="J1393" s="25"/>
    </row>
    <row r="1394" spans="1:10" ht="14.4">
      <c r="A1394" s="44"/>
      <c r="B1394" s="44"/>
      <c r="D1394" s="25"/>
      <c r="E1394" s="44"/>
      <c r="F1394" s="25" t="s">
        <v>123</v>
      </c>
      <c r="G1394" s="25"/>
      <c r="H1394" s="25"/>
      <c r="I1394" s="25"/>
      <c r="J1394" s="25"/>
    </row>
    <row r="1395" spans="1:10" ht="14.4">
      <c r="A1395" s="44"/>
      <c r="B1395" s="44"/>
      <c r="D1395" s="25"/>
      <c r="E1395" s="44"/>
      <c r="F1395" s="25" t="s">
        <v>123</v>
      </c>
      <c r="G1395" s="25"/>
      <c r="H1395" s="25"/>
      <c r="I1395" s="25"/>
      <c r="J1395" s="25"/>
    </row>
    <row r="1396" spans="1:10" ht="14.4">
      <c r="A1396" s="44"/>
      <c r="B1396" s="44"/>
      <c r="D1396" s="25"/>
      <c r="E1396" s="44"/>
      <c r="F1396" s="25" t="s">
        <v>123</v>
      </c>
      <c r="G1396" s="25"/>
      <c r="H1396" s="25"/>
      <c r="I1396" s="25"/>
      <c r="J1396" s="25"/>
    </row>
    <row r="1397" spans="1:10" ht="14.4">
      <c r="A1397" s="44"/>
      <c r="B1397" s="44"/>
      <c r="D1397" s="25"/>
      <c r="E1397" s="44"/>
      <c r="F1397" s="25" t="s">
        <v>123</v>
      </c>
      <c r="G1397" s="25"/>
      <c r="H1397" s="25"/>
      <c r="I1397" s="25"/>
      <c r="J1397" s="25"/>
    </row>
    <row r="1398" spans="1:10" ht="14.4">
      <c r="A1398" s="44"/>
      <c r="B1398" s="44"/>
      <c r="D1398" s="25"/>
      <c r="E1398" s="44"/>
      <c r="F1398" s="25" t="s">
        <v>123</v>
      </c>
      <c r="G1398" s="25"/>
      <c r="H1398" s="25"/>
      <c r="I1398" s="25"/>
      <c r="J1398" s="25"/>
    </row>
    <row r="1399" spans="1:10" ht="14.4">
      <c r="A1399" s="44"/>
      <c r="B1399" s="44"/>
      <c r="D1399" s="25"/>
      <c r="E1399" s="44"/>
      <c r="F1399" s="25" t="s">
        <v>123</v>
      </c>
      <c r="G1399" s="25"/>
      <c r="H1399" s="25"/>
      <c r="I1399" s="25"/>
      <c r="J1399" s="25"/>
    </row>
    <row r="1400" spans="1:10" ht="14.4">
      <c r="A1400" s="44"/>
      <c r="B1400" s="44"/>
      <c r="D1400" s="25"/>
      <c r="E1400" s="44"/>
      <c r="F1400" s="25" t="s">
        <v>123</v>
      </c>
      <c r="G1400" s="25"/>
      <c r="H1400" s="25"/>
      <c r="I1400" s="25"/>
      <c r="J1400" s="25"/>
    </row>
    <row r="1401" spans="1:10" ht="14.4">
      <c r="A1401" s="44"/>
      <c r="B1401" s="44"/>
      <c r="D1401" s="25"/>
      <c r="E1401" s="44"/>
      <c r="F1401" s="25" t="s">
        <v>123</v>
      </c>
      <c r="G1401" s="25"/>
      <c r="H1401" s="25"/>
      <c r="I1401" s="25"/>
      <c r="J1401" s="25"/>
    </row>
    <row r="1402" spans="1:10" ht="14.4">
      <c r="A1402" s="44"/>
      <c r="B1402" s="44"/>
      <c r="D1402" s="25"/>
      <c r="E1402" s="44"/>
      <c r="F1402" s="25" t="s">
        <v>123</v>
      </c>
      <c r="G1402" s="25"/>
      <c r="H1402" s="25"/>
      <c r="I1402" s="25"/>
      <c r="J1402" s="25"/>
    </row>
    <row r="1403" spans="1:10" ht="14.4">
      <c r="A1403" s="44"/>
      <c r="B1403" s="44"/>
      <c r="D1403" s="25"/>
      <c r="E1403" s="44"/>
      <c r="F1403" s="25" t="s">
        <v>123</v>
      </c>
      <c r="G1403" s="25"/>
      <c r="H1403" s="25"/>
      <c r="I1403" s="25"/>
      <c r="J1403" s="25"/>
    </row>
    <row r="1404" spans="1:10" ht="14.4">
      <c r="A1404" s="44"/>
      <c r="B1404" s="44"/>
      <c r="D1404" s="25"/>
      <c r="E1404" s="44"/>
      <c r="F1404" s="25" t="s">
        <v>123</v>
      </c>
      <c r="G1404" s="25"/>
      <c r="H1404" s="25"/>
      <c r="I1404" s="25"/>
      <c r="J1404" s="25"/>
    </row>
    <row r="1405" spans="1:10" ht="14.4">
      <c r="A1405" s="44"/>
      <c r="B1405" s="44"/>
      <c r="D1405" s="25"/>
      <c r="E1405" s="44"/>
      <c r="F1405" s="25" t="s">
        <v>123</v>
      </c>
      <c r="G1405" s="25"/>
      <c r="H1405" s="25"/>
      <c r="I1405" s="25"/>
      <c r="J1405" s="25"/>
    </row>
    <row r="1406" spans="1:10" ht="14.4">
      <c r="A1406" s="44"/>
      <c r="B1406" s="44"/>
      <c r="D1406" s="25"/>
      <c r="E1406" s="44"/>
      <c r="F1406" s="25" t="s">
        <v>123</v>
      </c>
      <c r="G1406" s="25"/>
      <c r="H1406" s="25"/>
      <c r="I1406" s="25"/>
      <c r="J1406" s="25"/>
    </row>
    <row r="1407" spans="1:10" ht="14.4">
      <c r="A1407" s="44"/>
      <c r="B1407" s="44"/>
      <c r="D1407" s="25"/>
      <c r="E1407" s="44"/>
      <c r="F1407" s="25" t="s">
        <v>123</v>
      </c>
      <c r="G1407" s="25"/>
      <c r="H1407" s="25"/>
      <c r="I1407" s="25"/>
      <c r="J1407" s="25"/>
    </row>
    <row r="1408" spans="1:10" ht="14.4">
      <c r="A1408" s="44"/>
      <c r="B1408" s="44"/>
      <c r="D1408" s="25"/>
      <c r="E1408" s="44"/>
      <c r="F1408" s="25" t="s">
        <v>123</v>
      </c>
      <c r="G1408" s="25"/>
      <c r="H1408" s="25"/>
      <c r="I1408" s="25"/>
      <c r="J1408" s="25"/>
    </row>
    <row r="1409" spans="1:10" ht="14.4">
      <c r="A1409" s="44"/>
      <c r="B1409" s="44"/>
      <c r="D1409" s="25"/>
      <c r="E1409" s="44"/>
      <c r="F1409" s="25" t="s">
        <v>123</v>
      </c>
      <c r="G1409" s="25"/>
      <c r="H1409" s="25"/>
      <c r="I1409" s="25"/>
      <c r="J1409" s="25"/>
    </row>
    <row r="1410" spans="1:10" ht="14.4">
      <c r="A1410" s="44"/>
      <c r="B1410" s="44"/>
      <c r="D1410" s="25"/>
      <c r="E1410" s="44"/>
      <c r="F1410" s="25" t="s">
        <v>123</v>
      </c>
      <c r="G1410" s="25"/>
      <c r="H1410" s="25"/>
      <c r="I1410" s="25"/>
      <c r="J1410" s="25"/>
    </row>
    <row r="1411" spans="1:10" ht="14.4">
      <c r="A1411" s="44"/>
      <c r="B1411" s="44"/>
      <c r="D1411" s="25"/>
      <c r="E1411" s="44"/>
      <c r="F1411" s="25" t="s">
        <v>123</v>
      </c>
      <c r="G1411" s="25"/>
      <c r="H1411" s="25"/>
      <c r="I1411" s="25"/>
      <c r="J1411" s="25"/>
    </row>
    <row r="1412" spans="1:10" ht="14.4">
      <c r="A1412" s="44"/>
      <c r="B1412" s="44"/>
      <c r="D1412" s="25"/>
      <c r="E1412" s="44"/>
      <c r="F1412" s="25" t="s">
        <v>123</v>
      </c>
      <c r="G1412" s="25"/>
      <c r="H1412" s="25"/>
      <c r="I1412" s="25"/>
      <c r="J1412" s="25"/>
    </row>
    <row r="1413" spans="1:10" ht="14.4">
      <c r="A1413" s="44"/>
      <c r="B1413" s="44"/>
      <c r="D1413" s="25"/>
      <c r="E1413" s="44"/>
      <c r="F1413" s="25" t="s">
        <v>123</v>
      </c>
      <c r="G1413" s="25"/>
      <c r="H1413" s="25"/>
      <c r="I1413" s="25"/>
      <c r="J1413" s="25"/>
    </row>
    <row r="1414" spans="1:10" ht="14.4">
      <c r="A1414" s="44"/>
      <c r="B1414" s="44"/>
      <c r="D1414" s="25"/>
      <c r="E1414" s="44"/>
      <c r="F1414" s="25" t="s">
        <v>123</v>
      </c>
      <c r="G1414" s="25"/>
      <c r="H1414" s="25"/>
      <c r="I1414" s="25"/>
      <c r="J1414" s="25"/>
    </row>
    <row r="1415" spans="1:10" ht="14.4">
      <c r="A1415" s="44"/>
      <c r="B1415" s="44"/>
      <c r="D1415" s="25"/>
      <c r="E1415" s="44"/>
      <c r="F1415" s="25" t="s">
        <v>123</v>
      </c>
      <c r="G1415" s="25"/>
      <c r="H1415" s="25"/>
      <c r="I1415" s="25"/>
      <c r="J1415" s="25"/>
    </row>
    <row r="1416" spans="1:10" ht="14.4">
      <c r="A1416" s="44"/>
      <c r="B1416" s="44"/>
      <c r="D1416" s="25"/>
      <c r="E1416" s="44"/>
      <c r="F1416" s="25" t="s">
        <v>123</v>
      </c>
      <c r="G1416" s="25"/>
      <c r="H1416" s="25"/>
      <c r="I1416" s="25"/>
      <c r="J1416" s="25"/>
    </row>
    <row r="1417" spans="1:10" ht="14.4">
      <c r="A1417" s="44"/>
      <c r="B1417" s="44"/>
      <c r="D1417" s="25"/>
      <c r="E1417" s="44"/>
      <c r="F1417" s="25" t="s">
        <v>123</v>
      </c>
      <c r="G1417" s="25"/>
      <c r="H1417" s="25"/>
      <c r="I1417" s="25"/>
      <c r="J1417" s="25"/>
    </row>
    <row r="1418" spans="1:10" ht="14.4">
      <c r="A1418" s="44"/>
      <c r="B1418" s="44"/>
      <c r="D1418" s="25"/>
      <c r="E1418" s="44"/>
      <c r="F1418" s="25" t="s">
        <v>123</v>
      </c>
      <c r="G1418" s="25"/>
      <c r="H1418" s="25"/>
      <c r="I1418" s="25"/>
      <c r="J1418" s="25"/>
    </row>
    <row r="1419" spans="1:10" ht="14.4">
      <c r="A1419" s="44"/>
      <c r="B1419" s="44"/>
      <c r="D1419" s="25"/>
      <c r="E1419" s="44"/>
      <c r="F1419" s="25" t="s">
        <v>123</v>
      </c>
      <c r="G1419" s="25"/>
      <c r="H1419" s="25"/>
      <c r="I1419" s="25"/>
      <c r="J1419" s="25"/>
    </row>
    <row r="1420" spans="1:10" ht="14.4">
      <c r="A1420" s="44"/>
      <c r="B1420" s="44"/>
      <c r="D1420" s="25"/>
      <c r="E1420" s="44"/>
      <c r="F1420" s="25" t="s">
        <v>123</v>
      </c>
      <c r="G1420" s="25"/>
      <c r="H1420" s="25"/>
      <c r="I1420" s="25"/>
      <c r="J1420" s="25"/>
    </row>
    <row r="1421" spans="1:10" ht="14.4">
      <c r="A1421" s="44"/>
      <c r="B1421" s="44"/>
      <c r="D1421" s="25"/>
      <c r="E1421" s="44"/>
      <c r="F1421" s="25" t="s">
        <v>123</v>
      </c>
      <c r="G1421" s="25"/>
      <c r="H1421" s="25"/>
      <c r="I1421" s="25"/>
      <c r="J1421" s="25"/>
    </row>
    <row r="1422" spans="1:10" ht="14.4">
      <c r="A1422" s="44"/>
      <c r="B1422" s="44"/>
      <c r="D1422" s="25"/>
      <c r="E1422" s="44"/>
      <c r="F1422" s="25" t="s">
        <v>123</v>
      </c>
      <c r="G1422" s="25"/>
      <c r="H1422" s="25"/>
      <c r="I1422" s="25"/>
      <c r="J1422" s="25"/>
    </row>
    <row r="1423" spans="1:10" ht="14.4">
      <c r="A1423" s="44"/>
      <c r="B1423" s="44"/>
      <c r="D1423" s="25"/>
      <c r="E1423" s="44"/>
      <c r="F1423" s="25" t="s">
        <v>123</v>
      </c>
      <c r="G1423" s="25"/>
      <c r="H1423" s="25"/>
      <c r="I1423" s="25"/>
      <c r="J1423" s="25"/>
    </row>
    <row r="1424" spans="1:10" ht="14.4">
      <c r="A1424" s="44"/>
      <c r="B1424" s="44"/>
      <c r="D1424" s="25"/>
      <c r="E1424" s="44"/>
      <c r="F1424" s="25" t="s">
        <v>123</v>
      </c>
      <c r="G1424" s="25"/>
      <c r="H1424" s="25"/>
      <c r="I1424" s="25"/>
      <c r="J1424" s="25"/>
    </row>
    <row r="1425" spans="1:10" ht="14.4">
      <c r="A1425" s="44"/>
      <c r="B1425" s="44"/>
      <c r="D1425" s="25"/>
      <c r="E1425" s="44"/>
      <c r="F1425" s="25" t="s">
        <v>123</v>
      </c>
      <c r="G1425" s="25"/>
      <c r="H1425" s="25"/>
      <c r="I1425" s="25"/>
      <c r="J1425" s="25"/>
    </row>
    <row r="1426" spans="1:10" ht="14.4">
      <c r="A1426" s="44"/>
      <c r="B1426" s="44"/>
      <c r="D1426" s="25"/>
      <c r="E1426" s="44"/>
      <c r="F1426" s="25" t="s">
        <v>123</v>
      </c>
      <c r="G1426" s="25"/>
      <c r="H1426" s="25"/>
      <c r="I1426" s="25"/>
      <c r="J1426" s="25"/>
    </row>
    <row r="1427" spans="1:10" ht="14.4">
      <c r="A1427" s="44"/>
      <c r="B1427" s="44"/>
      <c r="D1427" s="25"/>
      <c r="E1427" s="44"/>
      <c r="F1427" s="25" t="s">
        <v>123</v>
      </c>
      <c r="G1427" s="25"/>
      <c r="H1427" s="25"/>
      <c r="I1427" s="25"/>
      <c r="J1427" s="25"/>
    </row>
    <row r="1428" spans="1:10" ht="14.4">
      <c r="A1428" s="44"/>
      <c r="B1428" s="44"/>
      <c r="D1428" s="25"/>
      <c r="E1428" s="44"/>
      <c r="F1428" s="25" t="s">
        <v>123</v>
      </c>
      <c r="G1428" s="25"/>
      <c r="H1428" s="25"/>
      <c r="I1428" s="25"/>
      <c r="J1428" s="25"/>
    </row>
    <row r="1429" spans="1:10" ht="14.4">
      <c r="A1429" s="44"/>
      <c r="B1429" s="44"/>
      <c r="D1429" s="25"/>
      <c r="E1429" s="44"/>
      <c r="F1429" s="25" t="s">
        <v>123</v>
      </c>
      <c r="G1429" s="25"/>
      <c r="H1429" s="25"/>
      <c r="I1429" s="25"/>
      <c r="J1429" s="25"/>
    </row>
    <row r="1430" spans="1:10" ht="14.4">
      <c r="A1430" s="44"/>
      <c r="B1430" s="44"/>
      <c r="D1430" s="25"/>
      <c r="E1430" s="44"/>
      <c r="F1430" s="25" t="s">
        <v>123</v>
      </c>
      <c r="G1430" s="25"/>
      <c r="H1430" s="25"/>
      <c r="I1430" s="25"/>
      <c r="J1430" s="25"/>
    </row>
    <row r="1431" spans="1:10" ht="14.4">
      <c r="A1431" s="44"/>
      <c r="B1431" s="44"/>
      <c r="D1431" s="25"/>
      <c r="E1431" s="44"/>
      <c r="F1431" s="25" t="s">
        <v>123</v>
      </c>
      <c r="G1431" s="25"/>
      <c r="H1431" s="25"/>
      <c r="I1431" s="25"/>
      <c r="J1431" s="25"/>
    </row>
    <row r="1432" spans="1:10" ht="14.4">
      <c r="A1432" s="44"/>
      <c r="B1432" s="44"/>
      <c r="D1432" s="25"/>
      <c r="E1432" s="44"/>
      <c r="F1432" s="25" t="s">
        <v>123</v>
      </c>
      <c r="G1432" s="25"/>
      <c r="H1432" s="25"/>
      <c r="I1432" s="25"/>
      <c r="J1432" s="25"/>
    </row>
    <row r="1433" spans="1:10" ht="14.4">
      <c r="A1433" s="44"/>
      <c r="B1433" s="44"/>
      <c r="D1433" s="25"/>
      <c r="E1433" s="44"/>
      <c r="F1433" s="25" t="s">
        <v>123</v>
      </c>
      <c r="G1433" s="25"/>
      <c r="H1433" s="25"/>
      <c r="I1433" s="25"/>
      <c r="J1433" s="25"/>
    </row>
    <row r="1434" spans="1:10" ht="14.4">
      <c r="A1434" s="44"/>
      <c r="B1434" s="44"/>
      <c r="D1434" s="25"/>
      <c r="E1434" s="44"/>
      <c r="F1434" s="25" t="s">
        <v>123</v>
      </c>
      <c r="G1434" s="25"/>
      <c r="H1434" s="25"/>
      <c r="I1434" s="25"/>
      <c r="J1434" s="25"/>
    </row>
    <row r="1435" spans="1:10" ht="14.4">
      <c r="A1435" s="44"/>
      <c r="B1435" s="44"/>
      <c r="D1435" s="25"/>
      <c r="E1435" s="44"/>
      <c r="F1435" s="25" t="s">
        <v>123</v>
      </c>
      <c r="G1435" s="25"/>
      <c r="H1435" s="25"/>
      <c r="I1435" s="25"/>
      <c r="J1435" s="25"/>
    </row>
    <row r="1436" spans="1:10" ht="14.4">
      <c r="A1436" s="44"/>
      <c r="B1436" s="44"/>
      <c r="D1436" s="25"/>
      <c r="E1436" s="44"/>
      <c r="F1436" s="25" t="s">
        <v>123</v>
      </c>
      <c r="G1436" s="25"/>
      <c r="H1436" s="25"/>
      <c r="I1436" s="25"/>
      <c r="J1436" s="25"/>
    </row>
    <row r="1437" spans="1:10" ht="14.4">
      <c r="A1437" s="44"/>
      <c r="B1437" s="44"/>
      <c r="D1437" s="25"/>
      <c r="E1437" s="44"/>
      <c r="F1437" s="25" t="s">
        <v>123</v>
      </c>
      <c r="G1437" s="25"/>
      <c r="H1437" s="25"/>
      <c r="I1437" s="25"/>
      <c r="J1437" s="25"/>
    </row>
    <row r="1438" spans="1:10" ht="14.4">
      <c r="A1438" s="44"/>
      <c r="B1438" s="44"/>
      <c r="D1438" s="25"/>
      <c r="E1438" s="44"/>
      <c r="F1438" s="25" t="s">
        <v>123</v>
      </c>
      <c r="G1438" s="25"/>
      <c r="H1438" s="25"/>
      <c r="I1438" s="25"/>
      <c r="J1438" s="25"/>
    </row>
    <row r="1439" spans="1:10" ht="14.4">
      <c r="A1439" s="44"/>
      <c r="B1439" s="44"/>
      <c r="D1439" s="25"/>
      <c r="E1439" s="44"/>
      <c r="F1439" s="25" t="s">
        <v>123</v>
      </c>
      <c r="G1439" s="25"/>
      <c r="H1439" s="25"/>
      <c r="I1439" s="25"/>
      <c r="J1439" s="25"/>
    </row>
    <row r="1440" spans="1:10" ht="14.4">
      <c r="A1440" s="44"/>
      <c r="B1440" s="44"/>
      <c r="D1440" s="25"/>
      <c r="E1440" s="44"/>
      <c r="F1440" s="25" t="s">
        <v>123</v>
      </c>
      <c r="G1440" s="25"/>
      <c r="H1440" s="25"/>
      <c r="I1440" s="25"/>
      <c r="J1440" s="25"/>
    </row>
    <row r="1441" spans="1:10" ht="14.4">
      <c r="A1441" s="44"/>
      <c r="B1441" s="44"/>
      <c r="D1441" s="25"/>
      <c r="E1441" s="44"/>
      <c r="F1441" s="25" t="s">
        <v>123</v>
      </c>
      <c r="G1441" s="25"/>
      <c r="H1441" s="25"/>
      <c r="I1441" s="25"/>
      <c r="J1441" s="25"/>
    </row>
    <row r="1442" spans="1:10" ht="14.4">
      <c r="A1442" s="44"/>
      <c r="B1442" s="44"/>
      <c r="D1442" s="25"/>
      <c r="E1442" s="44"/>
      <c r="F1442" s="25" t="s">
        <v>123</v>
      </c>
      <c r="G1442" s="25"/>
      <c r="H1442" s="25"/>
      <c r="I1442" s="25"/>
      <c r="J1442" s="25"/>
    </row>
    <row r="1443" spans="1:10" ht="14.4">
      <c r="A1443" s="44"/>
      <c r="B1443" s="44"/>
      <c r="D1443" s="25"/>
      <c r="E1443" s="44"/>
      <c r="F1443" s="25" t="s">
        <v>123</v>
      </c>
      <c r="G1443" s="25"/>
      <c r="H1443" s="25"/>
      <c r="I1443" s="25"/>
      <c r="J1443" s="25"/>
    </row>
    <row r="1444" spans="1:10" ht="14.4">
      <c r="A1444" s="44"/>
      <c r="B1444" s="44"/>
      <c r="D1444" s="25"/>
      <c r="E1444" s="44"/>
      <c r="F1444" s="25" t="s">
        <v>123</v>
      </c>
      <c r="G1444" s="25"/>
      <c r="H1444" s="25"/>
      <c r="I1444" s="25"/>
      <c r="J1444" s="25"/>
    </row>
    <row r="1445" spans="1:10" ht="14.4">
      <c r="A1445" s="44"/>
      <c r="B1445" s="44"/>
      <c r="D1445" s="25"/>
      <c r="E1445" s="44"/>
      <c r="F1445" s="25" t="s">
        <v>123</v>
      </c>
      <c r="G1445" s="25"/>
      <c r="H1445" s="25"/>
      <c r="I1445" s="25"/>
      <c r="J1445" s="25"/>
    </row>
    <row r="1446" spans="1:10" ht="14.4">
      <c r="A1446" s="44"/>
      <c r="B1446" s="44"/>
      <c r="D1446" s="25"/>
      <c r="E1446" s="44"/>
      <c r="F1446" s="25" t="s">
        <v>123</v>
      </c>
      <c r="G1446" s="25"/>
      <c r="H1446" s="25"/>
      <c r="I1446" s="25"/>
      <c r="J1446" s="25"/>
    </row>
    <row r="1447" spans="1:10" ht="14.4">
      <c r="A1447" s="44"/>
      <c r="B1447" s="44"/>
      <c r="D1447" s="25"/>
      <c r="E1447" s="44"/>
      <c r="F1447" s="25" t="s">
        <v>123</v>
      </c>
      <c r="G1447" s="25"/>
      <c r="H1447" s="25"/>
      <c r="I1447" s="25"/>
      <c r="J1447" s="25"/>
    </row>
    <row r="1448" spans="1:10" ht="14.4">
      <c r="A1448" s="44"/>
      <c r="B1448" s="44"/>
      <c r="D1448" s="25"/>
      <c r="E1448" s="44"/>
      <c r="F1448" s="25" t="s">
        <v>123</v>
      </c>
      <c r="G1448" s="25"/>
      <c r="H1448" s="25"/>
      <c r="I1448" s="25"/>
      <c r="J1448" s="25"/>
    </row>
    <row r="1449" spans="1:10" ht="14.4">
      <c r="A1449" s="44"/>
      <c r="B1449" s="44"/>
      <c r="D1449" s="25"/>
      <c r="E1449" s="44"/>
      <c r="F1449" s="25" t="s">
        <v>123</v>
      </c>
      <c r="G1449" s="25"/>
      <c r="H1449" s="25"/>
      <c r="I1449" s="25"/>
      <c r="J1449" s="25"/>
    </row>
    <row r="1450" spans="1:10" ht="14.4">
      <c r="A1450" s="44"/>
      <c r="B1450" s="44"/>
      <c r="D1450" s="25"/>
      <c r="E1450" s="44"/>
      <c r="F1450" s="25" t="s">
        <v>123</v>
      </c>
      <c r="G1450" s="25"/>
      <c r="H1450" s="25"/>
      <c r="I1450" s="25"/>
      <c r="J1450" s="25"/>
    </row>
    <row r="1451" spans="1:10" ht="14.4">
      <c r="A1451" s="44"/>
      <c r="B1451" s="44"/>
      <c r="D1451" s="25"/>
      <c r="E1451" s="44"/>
      <c r="F1451" s="25" t="s">
        <v>123</v>
      </c>
      <c r="G1451" s="25"/>
      <c r="H1451" s="25"/>
      <c r="I1451" s="25"/>
      <c r="J1451" s="25"/>
    </row>
    <row r="1452" spans="1:10" ht="14.4">
      <c r="A1452" s="44"/>
      <c r="B1452" s="44"/>
      <c r="D1452" s="25"/>
      <c r="E1452" s="44"/>
      <c r="F1452" s="25" t="s">
        <v>123</v>
      </c>
      <c r="G1452" s="25"/>
      <c r="H1452" s="25"/>
      <c r="I1452" s="25"/>
      <c r="J1452" s="25"/>
    </row>
    <row r="1453" spans="1:10" ht="14.4">
      <c r="A1453" s="44"/>
      <c r="B1453" s="44"/>
      <c r="D1453" s="25"/>
      <c r="E1453" s="44"/>
      <c r="F1453" s="25" t="s">
        <v>123</v>
      </c>
      <c r="G1453" s="25"/>
      <c r="H1453" s="25"/>
      <c r="I1453" s="25"/>
      <c r="J1453" s="25"/>
    </row>
    <row r="1454" spans="1:10" ht="14.4">
      <c r="A1454" s="44"/>
      <c r="B1454" s="44"/>
      <c r="D1454" s="25"/>
      <c r="E1454" s="44"/>
      <c r="F1454" s="25" t="s">
        <v>123</v>
      </c>
      <c r="G1454" s="25"/>
      <c r="H1454" s="25"/>
      <c r="I1454" s="25"/>
      <c r="J1454" s="25"/>
    </row>
    <row r="1455" spans="1:10" ht="14.4">
      <c r="A1455" s="44"/>
      <c r="B1455" s="44"/>
      <c r="D1455" s="25"/>
      <c r="E1455" s="44"/>
      <c r="F1455" s="25" t="s">
        <v>123</v>
      </c>
      <c r="G1455" s="25"/>
      <c r="H1455" s="25"/>
      <c r="I1455" s="25"/>
      <c r="J1455" s="25"/>
    </row>
    <row r="1456" spans="1:10" ht="14.4">
      <c r="A1456" s="44"/>
      <c r="B1456" s="44"/>
      <c r="D1456" s="25"/>
      <c r="E1456" s="44"/>
      <c r="F1456" s="25" t="s">
        <v>123</v>
      </c>
      <c r="G1456" s="25"/>
      <c r="H1456" s="25"/>
      <c r="I1456" s="25"/>
      <c r="J1456" s="25"/>
    </row>
    <row r="1457" spans="1:10" ht="14.4">
      <c r="A1457" s="44"/>
      <c r="B1457" s="44"/>
      <c r="D1457" s="25"/>
      <c r="E1457" s="44"/>
      <c r="F1457" s="25" t="s">
        <v>123</v>
      </c>
      <c r="G1457" s="25"/>
      <c r="H1457" s="25"/>
      <c r="I1457" s="25"/>
      <c r="J1457" s="25"/>
    </row>
    <row r="1458" spans="1:10" ht="14.4">
      <c r="A1458" s="44"/>
      <c r="B1458" s="44"/>
      <c r="D1458" s="25"/>
      <c r="E1458" s="44"/>
      <c r="F1458" s="25" t="s">
        <v>123</v>
      </c>
      <c r="G1458" s="25"/>
      <c r="H1458" s="25"/>
      <c r="I1458" s="25"/>
      <c r="J1458" s="25"/>
    </row>
    <row r="1459" spans="1:10" ht="14.4">
      <c r="A1459" s="44"/>
      <c r="B1459" s="44"/>
      <c r="D1459" s="25"/>
      <c r="E1459" s="44"/>
      <c r="F1459" s="25" t="s">
        <v>123</v>
      </c>
      <c r="G1459" s="25"/>
      <c r="H1459" s="25"/>
      <c r="I1459" s="25"/>
      <c r="J1459" s="25"/>
    </row>
    <row r="1460" spans="1:10" ht="14.4">
      <c r="A1460" s="44"/>
      <c r="B1460" s="44"/>
      <c r="D1460" s="25"/>
      <c r="E1460" s="44"/>
      <c r="F1460" s="25" t="s">
        <v>123</v>
      </c>
      <c r="G1460" s="25"/>
      <c r="H1460" s="25"/>
      <c r="I1460" s="25"/>
      <c r="J1460" s="25"/>
    </row>
    <row r="1461" spans="1:10" ht="14.4">
      <c r="A1461" s="44"/>
      <c r="B1461" s="44"/>
      <c r="D1461" s="25"/>
      <c r="E1461" s="44"/>
      <c r="F1461" s="25" t="s">
        <v>123</v>
      </c>
      <c r="G1461" s="25"/>
      <c r="H1461" s="25"/>
      <c r="I1461" s="25"/>
      <c r="J1461" s="25"/>
    </row>
    <row r="1462" spans="1:10" ht="14.4">
      <c r="A1462" s="44"/>
      <c r="B1462" s="44"/>
      <c r="D1462" s="25"/>
      <c r="E1462" s="44"/>
      <c r="F1462" s="25" t="s">
        <v>123</v>
      </c>
      <c r="G1462" s="25"/>
      <c r="H1462" s="25"/>
      <c r="I1462" s="25"/>
      <c r="J1462" s="25"/>
    </row>
    <row r="1463" spans="1:10" ht="14.4">
      <c r="A1463" s="44"/>
      <c r="B1463" s="44"/>
      <c r="D1463" s="25"/>
      <c r="E1463" s="44"/>
      <c r="F1463" s="25" t="s">
        <v>123</v>
      </c>
      <c r="G1463" s="25"/>
      <c r="H1463" s="25"/>
      <c r="I1463" s="25"/>
      <c r="J1463" s="25"/>
    </row>
    <row r="1464" spans="1:10" ht="14.4">
      <c r="A1464" s="44"/>
      <c r="B1464" s="44"/>
      <c r="D1464" s="25"/>
      <c r="E1464" s="44"/>
      <c r="F1464" s="25" t="s">
        <v>123</v>
      </c>
      <c r="G1464" s="25"/>
      <c r="H1464" s="25"/>
      <c r="I1464" s="25"/>
      <c r="J1464" s="25"/>
    </row>
    <row r="1465" spans="1:10" ht="14.4">
      <c r="A1465" s="44"/>
      <c r="B1465" s="44"/>
      <c r="D1465" s="25"/>
      <c r="E1465" s="44"/>
      <c r="F1465" s="25" t="s">
        <v>123</v>
      </c>
      <c r="G1465" s="25"/>
      <c r="H1465" s="25"/>
      <c r="I1465" s="25"/>
      <c r="J1465" s="25"/>
    </row>
    <row r="1466" spans="1:10" ht="14.4">
      <c r="A1466" s="44"/>
      <c r="B1466" s="44"/>
      <c r="D1466" s="25"/>
      <c r="E1466" s="44"/>
      <c r="F1466" s="25" t="s">
        <v>123</v>
      </c>
      <c r="G1466" s="25"/>
      <c r="H1466" s="25"/>
      <c r="I1466" s="25"/>
      <c r="J1466" s="25"/>
    </row>
    <row r="1467" spans="1:10" ht="14.4">
      <c r="A1467" s="44"/>
      <c r="B1467" s="44"/>
      <c r="D1467" s="25"/>
      <c r="E1467" s="44"/>
      <c r="F1467" s="25" t="s">
        <v>123</v>
      </c>
      <c r="G1467" s="25"/>
      <c r="H1467" s="25"/>
      <c r="I1467" s="25"/>
      <c r="J1467" s="25"/>
    </row>
    <row r="1468" spans="1:10" ht="14.4">
      <c r="A1468" s="44"/>
      <c r="B1468" s="44"/>
      <c r="D1468" s="25"/>
      <c r="E1468" s="44"/>
      <c r="F1468" s="25" t="s">
        <v>123</v>
      </c>
      <c r="G1468" s="25"/>
      <c r="H1468" s="25"/>
      <c r="I1468" s="25"/>
      <c r="J1468" s="25"/>
    </row>
    <row r="1469" spans="1:10" ht="14.4">
      <c r="A1469" s="44"/>
      <c r="B1469" s="44"/>
      <c r="D1469" s="25"/>
      <c r="E1469" s="44"/>
      <c r="F1469" s="25" t="s">
        <v>123</v>
      </c>
      <c r="G1469" s="25"/>
      <c r="H1469" s="25"/>
      <c r="I1469" s="25"/>
      <c r="J1469" s="25"/>
    </row>
    <row r="1470" spans="1:10" ht="14.4">
      <c r="A1470" s="44"/>
      <c r="B1470" s="44"/>
      <c r="D1470" s="25"/>
      <c r="E1470" s="44"/>
      <c r="F1470" s="25" t="s">
        <v>123</v>
      </c>
      <c r="G1470" s="25"/>
      <c r="H1470" s="25"/>
      <c r="I1470" s="25"/>
      <c r="J1470" s="25"/>
    </row>
    <row r="1471" spans="1:10" ht="14.4">
      <c r="A1471" s="44"/>
      <c r="B1471" s="44"/>
      <c r="D1471" s="25"/>
      <c r="E1471" s="44"/>
      <c r="F1471" s="25" t="s">
        <v>123</v>
      </c>
      <c r="G1471" s="25"/>
      <c r="H1471" s="25"/>
      <c r="I1471" s="25"/>
      <c r="J1471" s="25"/>
    </row>
    <row r="1472" spans="1:10" ht="14.4">
      <c r="A1472" s="44"/>
      <c r="B1472" s="44"/>
      <c r="D1472" s="25"/>
      <c r="E1472" s="44"/>
      <c r="F1472" s="25" t="s">
        <v>123</v>
      </c>
      <c r="G1472" s="25"/>
      <c r="H1472" s="25"/>
      <c r="I1472" s="25"/>
      <c r="J1472" s="25"/>
    </row>
    <row r="1473" spans="1:10" ht="14.4">
      <c r="A1473" s="44"/>
      <c r="B1473" s="44"/>
      <c r="D1473" s="25"/>
      <c r="E1473" s="44"/>
      <c r="F1473" s="25" t="s">
        <v>123</v>
      </c>
      <c r="G1473" s="25"/>
      <c r="H1473" s="25"/>
      <c r="I1473" s="25"/>
      <c r="J1473" s="25"/>
    </row>
    <row r="1474" spans="1:10" ht="14.4">
      <c r="A1474" s="44"/>
      <c r="B1474" s="44"/>
      <c r="D1474" s="25"/>
      <c r="E1474" s="44"/>
      <c r="F1474" s="25" t="s">
        <v>123</v>
      </c>
      <c r="G1474" s="25"/>
      <c r="H1474" s="25"/>
      <c r="I1474" s="25"/>
      <c r="J1474" s="25"/>
    </row>
    <row r="1475" spans="1:10" ht="14.4">
      <c r="A1475" s="44"/>
      <c r="B1475" s="44"/>
      <c r="D1475" s="25"/>
      <c r="E1475" s="44"/>
      <c r="F1475" s="25" t="s">
        <v>123</v>
      </c>
      <c r="G1475" s="25"/>
      <c r="H1475" s="25"/>
      <c r="I1475" s="25"/>
      <c r="J1475" s="25"/>
    </row>
    <row r="1476" spans="1:10" ht="14.4">
      <c r="A1476" s="44"/>
      <c r="B1476" s="44"/>
      <c r="D1476" s="25"/>
      <c r="E1476" s="44"/>
      <c r="F1476" s="25" t="s">
        <v>123</v>
      </c>
      <c r="G1476" s="25"/>
      <c r="H1476" s="25"/>
      <c r="I1476" s="25"/>
      <c r="J1476" s="25"/>
    </row>
    <row r="1477" spans="1:10" ht="14.4">
      <c r="A1477" s="44"/>
      <c r="B1477" s="44"/>
      <c r="D1477" s="25"/>
      <c r="E1477" s="44"/>
      <c r="F1477" s="25" t="s">
        <v>123</v>
      </c>
      <c r="G1477" s="25"/>
      <c r="H1477" s="25"/>
      <c r="I1477" s="25"/>
      <c r="J1477" s="25"/>
    </row>
    <row r="1478" spans="1:10" ht="14.4">
      <c r="A1478" s="44"/>
      <c r="B1478" s="44"/>
      <c r="D1478" s="25"/>
      <c r="E1478" s="44"/>
      <c r="F1478" s="25" t="s">
        <v>123</v>
      </c>
      <c r="G1478" s="25"/>
      <c r="H1478" s="25"/>
      <c r="I1478" s="25"/>
      <c r="J1478" s="25"/>
    </row>
    <row r="1479" spans="1:10" ht="14.4">
      <c r="A1479" s="44"/>
      <c r="B1479" s="44"/>
      <c r="D1479" s="25"/>
      <c r="E1479" s="44"/>
      <c r="F1479" s="25" t="s">
        <v>123</v>
      </c>
      <c r="G1479" s="25"/>
      <c r="H1479" s="25"/>
      <c r="I1479" s="25"/>
      <c r="J1479" s="25"/>
    </row>
    <row r="1480" spans="1:10" ht="14.4">
      <c r="A1480" s="44"/>
      <c r="B1480" s="44"/>
      <c r="D1480" s="25"/>
      <c r="E1480" s="44"/>
      <c r="F1480" s="25" t="s">
        <v>123</v>
      </c>
      <c r="G1480" s="25"/>
      <c r="H1480" s="25"/>
      <c r="I1480" s="25"/>
      <c r="J1480" s="25"/>
    </row>
    <row r="1481" spans="1:10" ht="14.4">
      <c r="A1481" s="44"/>
      <c r="B1481" s="44"/>
      <c r="D1481" s="25"/>
      <c r="E1481" s="44"/>
      <c r="F1481" s="25" t="s">
        <v>123</v>
      </c>
      <c r="G1481" s="25"/>
      <c r="H1481" s="25"/>
      <c r="I1481" s="25"/>
      <c r="J1481" s="25"/>
    </row>
    <row r="1482" spans="1:10" ht="14.4">
      <c r="A1482" s="44"/>
      <c r="B1482" s="44"/>
      <c r="D1482" s="25"/>
      <c r="E1482" s="44"/>
      <c r="F1482" s="25" t="s">
        <v>123</v>
      </c>
      <c r="G1482" s="25"/>
      <c r="H1482" s="25"/>
      <c r="I1482" s="25"/>
      <c r="J1482" s="25"/>
    </row>
    <row r="1483" spans="1:10" ht="14.4">
      <c r="A1483" s="44"/>
      <c r="B1483" s="44"/>
      <c r="D1483" s="25"/>
      <c r="E1483" s="44"/>
      <c r="F1483" s="25" t="s">
        <v>123</v>
      </c>
      <c r="G1483" s="25"/>
      <c r="H1483" s="25"/>
      <c r="I1483" s="25"/>
      <c r="J1483" s="25"/>
    </row>
    <row r="1484" spans="1:10" ht="14.4">
      <c r="A1484" s="44"/>
      <c r="B1484" s="44"/>
      <c r="D1484" s="25"/>
      <c r="E1484" s="44"/>
      <c r="F1484" s="25" t="s">
        <v>123</v>
      </c>
      <c r="G1484" s="25"/>
      <c r="H1484" s="25"/>
      <c r="I1484" s="25"/>
      <c r="J1484" s="25"/>
    </row>
    <row r="1485" spans="1:10" ht="14.4">
      <c r="A1485" s="44"/>
      <c r="B1485" s="44"/>
      <c r="D1485" s="25"/>
      <c r="E1485" s="44"/>
      <c r="F1485" s="25" t="s">
        <v>123</v>
      </c>
      <c r="G1485" s="25"/>
      <c r="H1485" s="25"/>
      <c r="I1485" s="25"/>
      <c r="J1485" s="25"/>
    </row>
    <row r="1486" spans="1:10" ht="14.4">
      <c r="A1486" s="44"/>
      <c r="B1486" s="44"/>
      <c r="D1486" s="25"/>
      <c r="E1486" s="44"/>
      <c r="F1486" s="25" t="s">
        <v>123</v>
      </c>
      <c r="G1486" s="25"/>
      <c r="H1486" s="25"/>
      <c r="I1486" s="25"/>
      <c r="J1486" s="25"/>
    </row>
    <row r="1487" spans="1:10" ht="14.4">
      <c r="A1487" s="44"/>
      <c r="B1487" s="44"/>
      <c r="D1487" s="25"/>
      <c r="E1487" s="44"/>
      <c r="F1487" s="25" t="s">
        <v>123</v>
      </c>
      <c r="G1487" s="25"/>
      <c r="H1487" s="25"/>
      <c r="I1487" s="25"/>
      <c r="J1487" s="25"/>
    </row>
    <row r="1488" spans="1:10" ht="14.4">
      <c r="A1488" s="44"/>
      <c r="B1488" s="44"/>
      <c r="D1488" s="25"/>
      <c r="E1488" s="44"/>
      <c r="F1488" s="25" t="s">
        <v>123</v>
      </c>
      <c r="G1488" s="25"/>
      <c r="H1488" s="25"/>
      <c r="I1488" s="25"/>
      <c r="J1488" s="25"/>
    </row>
    <row r="1489" spans="1:10" ht="14.4">
      <c r="A1489" s="44"/>
      <c r="B1489" s="44"/>
      <c r="D1489" s="25"/>
      <c r="E1489" s="44"/>
      <c r="F1489" s="25" t="s">
        <v>123</v>
      </c>
      <c r="G1489" s="25"/>
      <c r="H1489" s="25"/>
      <c r="I1489" s="25"/>
      <c r="J1489" s="25"/>
    </row>
    <row r="1490" spans="1:10" ht="14.4">
      <c r="A1490" s="44"/>
      <c r="B1490" s="44"/>
      <c r="D1490" s="25"/>
      <c r="E1490" s="44"/>
      <c r="F1490" s="25" t="s">
        <v>123</v>
      </c>
      <c r="G1490" s="25"/>
      <c r="H1490" s="25"/>
      <c r="I1490" s="25"/>
      <c r="J1490" s="25"/>
    </row>
    <row r="1491" spans="1:10" ht="14.4">
      <c r="A1491" s="44"/>
      <c r="B1491" s="44"/>
      <c r="D1491" s="25"/>
      <c r="E1491" s="44"/>
      <c r="F1491" s="25" t="s">
        <v>123</v>
      </c>
      <c r="G1491" s="25"/>
      <c r="H1491" s="25"/>
      <c r="I1491" s="25"/>
      <c r="J1491" s="25"/>
    </row>
    <row r="1492" spans="1:10" ht="14.4">
      <c r="A1492" s="44"/>
      <c r="B1492" s="44"/>
      <c r="D1492" s="25"/>
      <c r="E1492" s="44"/>
      <c r="F1492" s="25" t="s">
        <v>123</v>
      </c>
      <c r="G1492" s="25"/>
      <c r="H1492" s="25"/>
      <c r="I1492" s="25"/>
      <c r="J1492" s="25"/>
    </row>
    <row r="1493" spans="1:10" ht="14.4">
      <c r="A1493" s="44"/>
      <c r="B1493" s="44"/>
      <c r="D1493" s="25"/>
      <c r="E1493" s="44"/>
      <c r="F1493" s="25" t="s">
        <v>123</v>
      </c>
      <c r="G1493" s="25"/>
      <c r="H1493" s="25"/>
      <c r="I1493" s="25"/>
      <c r="J1493" s="25"/>
    </row>
    <row r="1494" spans="1:10" ht="14.4">
      <c r="A1494" s="44"/>
      <c r="B1494" s="44"/>
      <c r="D1494" s="25"/>
      <c r="E1494" s="44"/>
      <c r="F1494" s="25" t="s">
        <v>123</v>
      </c>
      <c r="G1494" s="25"/>
      <c r="H1494" s="25"/>
      <c r="I1494" s="25"/>
      <c r="J1494" s="25"/>
    </row>
    <row r="1495" spans="1:10" ht="14.4">
      <c r="A1495" s="44"/>
      <c r="B1495" s="44"/>
      <c r="D1495" s="25"/>
      <c r="E1495" s="44"/>
      <c r="F1495" s="25" t="s">
        <v>123</v>
      </c>
      <c r="G1495" s="25"/>
      <c r="H1495" s="25"/>
      <c r="I1495" s="25"/>
      <c r="J1495" s="25"/>
    </row>
    <row r="1496" spans="1:10" ht="14.4">
      <c r="A1496" s="44"/>
      <c r="B1496" s="44"/>
      <c r="D1496" s="25"/>
      <c r="E1496" s="44"/>
      <c r="F1496" s="25" t="s">
        <v>123</v>
      </c>
      <c r="G1496" s="25"/>
      <c r="H1496" s="25"/>
      <c r="I1496" s="25"/>
      <c r="J1496" s="25"/>
    </row>
    <row r="1497" spans="1:10" ht="14.4">
      <c r="A1497" s="44"/>
      <c r="B1497" s="44"/>
      <c r="D1497" s="25"/>
      <c r="E1497" s="44"/>
      <c r="F1497" s="25" t="s">
        <v>123</v>
      </c>
      <c r="G1497" s="25"/>
      <c r="H1497" s="25"/>
      <c r="I1497" s="25"/>
      <c r="J1497" s="25"/>
    </row>
    <row r="1498" spans="1:10" ht="14.4">
      <c r="A1498" s="44"/>
      <c r="B1498" s="44"/>
      <c r="D1498" s="25"/>
      <c r="E1498" s="44"/>
      <c r="F1498" s="25" t="s">
        <v>123</v>
      </c>
      <c r="G1498" s="25"/>
      <c r="H1498" s="25"/>
      <c r="I1498" s="25"/>
      <c r="J1498" s="25"/>
    </row>
    <row r="1499" spans="1:10" ht="14.4">
      <c r="A1499" s="44"/>
      <c r="B1499" s="44"/>
      <c r="D1499" s="25"/>
      <c r="E1499" s="44"/>
      <c r="F1499" s="25" t="s">
        <v>123</v>
      </c>
      <c r="G1499" s="25"/>
      <c r="H1499" s="25"/>
      <c r="I1499" s="25"/>
      <c r="J1499" s="25"/>
    </row>
    <row r="1500" spans="1:10" ht="14.4">
      <c r="A1500" s="44"/>
      <c r="B1500" s="44"/>
      <c r="D1500" s="25"/>
      <c r="E1500" s="44"/>
      <c r="F1500" s="25" t="s">
        <v>123</v>
      </c>
      <c r="G1500" s="25"/>
      <c r="H1500" s="25"/>
      <c r="I1500" s="25"/>
      <c r="J1500" s="25"/>
    </row>
    <row r="1501" spans="1:10" ht="14.4">
      <c r="A1501" s="44"/>
      <c r="B1501" s="44"/>
      <c r="D1501" s="25"/>
      <c r="E1501" s="44"/>
      <c r="F1501" s="25" t="s">
        <v>123</v>
      </c>
      <c r="G1501" s="25"/>
      <c r="H1501" s="25"/>
      <c r="I1501" s="25"/>
      <c r="J1501" s="25"/>
    </row>
    <row r="1502" spans="1:10" ht="14.4">
      <c r="A1502" s="44"/>
      <c r="B1502" s="44"/>
      <c r="D1502" s="25"/>
      <c r="E1502" s="44"/>
      <c r="F1502" s="25" t="s">
        <v>123</v>
      </c>
      <c r="G1502" s="25"/>
      <c r="H1502" s="25"/>
      <c r="I1502" s="25"/>
      <c r="J1502" s="25"/>
    </row>
    <row r="1503" spans="1:10" ht="14.4">
      <c r="A1503" s="44"/>
      <c r="B1503" s="44"/>
      <c r="D1503" s="25"/>
      <c r="E1503" s="44"/>
      <c r="F1503" s="25" t="s">
        <v>123</v>
      </c>
      <c r="G1503" s="25"/>
      <c r="H1503" s="25"/>
      <c r="I1503" s="25"/>
      <c r="J1503" s="25"/>
    </row>
    <row r="1504" spans="1:10" ht="14.4">
      <c r="A1504" s="44"/>
      <c r="B1504" s="44"/>
      <c r="D1504" s="25"/>
      <c r="E1504" s="44"/>
      <c r="F1504" s="25" t="s">
        <v>123</v>
      </c>
      <c r="G1504" s="25"/>
      <c r="H1504" s="25"/>
      <c r="I1504" s="25"/>
      <c r="J1504" s="25"/>
    </row>
    <row r="1505" spans="1:10" ht="14.4">
      <c r="A1505" s="44"/>
      <c r="B1505" s="44"/>
      <c r="D1505" s="25"/>
      <c r="E1505" s="44"/>
      <c r="F1505" s="25" t="s">
        <v>123</v>
      </c>
      <c r="G1505" s="25"/>
      <c r="H1505" s="25"/>
      <c r="I1505" s="25"/>
      <c r="J1505" s="25"/>
    </row>
    <row r="1506" spans="1:10" ht="14.4">
      <c r="A1506" s="44"/>
      <c r="B1506" s="44"/>
      <c r="D1506" s="25"/>
      <c r="E1506" s="44"/>
      <c r="F1506" s="25" t="s">
        <v>123</v>
      </c>
      <c r="G1506" s="25"/>
      <c r="H1506" s="25"/>
      <c r="I1506" s="25"/>
      <c r="J1506" s="25"/>
    </row>
    <row r="1507" spans="1:10" ht="14.4">
      <c r="A1507" s="44"/>
      <c r="B1507" s="44"/>
      <c r="D1507" s="25"/>
      <c r="E1507" s="44"/>
      <c r="F1507" s="25" t="s">
        <v>123</v>
      </c>
      <c r="G1507" s="25"/>
      <c r="H1507" s="25"/>
      <c r="I1507" s="25"/>
      <c r="J1507" s="25"/>
    </row>
    <row r="1508" spans="1:10" ht="14.4">
      <c r="A1508" s="44"/>
      <c r="B1508" s="44"/>
      <c r="D1508" s="25"/>
      <c r="E1508" s="44"/>
      <c r="F1508" s="25" t="s">
        <v>123</v>
      </c>
      <c r="G1508" s="25"/>
      <c r="H1508" s="25"/>
      <c r="I1508" s="25"/>
      <c r="J1508" s="25"/>
    </row>
    <row r="1509" spans="1:10" ht="14.4">
      <c r="A1509" s="44"/>
      <c r="B1509" s="44"/>
      <c r="D1509" s="25"/>
      <c r="E1509" s="44"/>
      <c r="F1509" s="25" t="s">
        <v>123</v>
      </c>
      <c r="G1509" s="25"/>
      <c r="H1509" s="25"/>
      <c r="I1509" s="25"/>
      <c r="J1509" s="25"/>
    </row>
    <row r="1510" spans="1:10" ht="14.4">
      <c r="A1510" s="44"/>
      <c r="B1510" s="44"/>
      <c r="D1510" s="25"/>
      <c r="E1510" s="44"/>
      <c r="F1510" s="25" t="s">
        <v>123</v>
      </c>
      <c r="G1510" s="25"/>
      <c r="H1510" s="25"/>
      <c r="I1510" s="25"/>
      <c r="J1510" s="25"/>
    </row>
    <row r="1511" spans="1:10" ht="14.4">
      <c r="A1511" s="44"/>
      <c r="B1511" s="44"/>
      <c r="D1511" s="25"/>
      <c r="E1511" s="44"/>
      <c r="F1511" s="25" t="s">
        <v>123</v>
      </c>
      <c r="G1511" s="25"/>
      <c r="H1511" s="25"/>
      <c r="I1511" s="25"/>
      <c r="J1511" s="25"/>
    </row>
    <row r="1512" spans="1:10" ht="14.4">
      <c r="A1512" s="44"/>
      <c r="B1512" s="44"/>
      <c r="D1512" s="25"/>
      <c r="E1512" s="44"/>
      <c r="F1512" s="25" t="s">
        <v>123</v>
      </c>
      <c r="G1512" s="25"/>
      <c r="H1512" s="25"/>
      <c r="I1512" s="25"/>
      <c r="J1512" s="25"/>
    </row>
    <row r="1513" spans="1:10" ht="14.4">
      <c r="A1513" s="44"/>
      <c r="B1513" s="44"/>
      <c r="D1513" s="25"/>
      <c r="E1513" s="44"/>
      <c r="F1513" s="25" t="s">
        <v>123</v>
      </c>
      <c r="G1513" s="25"/>
      <c r="H1513" s="25"/>
      <c r="I1513" s="25"/>
      <c r="J1513" s="25"/>
    </row>
    <row r="1514" spans="1:10" ht="14.4">
      <c r="A1514" s="44"/>
      <c r="B1514" s="44"/>
      <c r="D1514" s="25"/>
      <c r="E1514" s="44"/>
      <c r="F1514" s="25" t="s">
        <v>123</v>
      </c>
      <c r="G1514" s="25"/>
      <c r="H1514" s="25"/>
      <c r="I1514" s="25"/>
      <c r="J1514" s="25"/>
    </row>
    <row r="1515" spans="1:10" ht="14.4">
      <c r="A1515" s="44"/>
      <c r="B1515" s="44"/>
      <c r="D1515" s="25"/>
      <c r="E1515" s="44"/>
      <c r="F1515" s="25" t="s">
        <v>123</v>
      </c>
      <c r="G1515" s="25"/>
      <c r="H1515" s="25"/>
      <c r="I1515" s="25"/>
      <c r="J1515" s="25"/>
    </row>
    <row r="1516" spans="1:10" ht="14.4">
      <c r="A1516" s="44"/>
      <c r="B1516" s="44"/>
      <c r="D1516" s="25"/>
      <c r="E1516" s="44"/>
      <c r="F1516" s="25" t="s">
        <v>123</v>
      </c>
      <c r="G1516" s="25"/>
      <c r="H1516" s="25"/>
      <c r="I1516" s="25"/>
      <c r="J1516" s="25"/>
    </row>
    <row r="1517" spans="1:10" ht="14.4">
      <c r="A1517" s="44"/>
      <c r="B1517" s="44"/>
      <c r="D1517" s="25"/>
      <c r="E1517" s="44"/>
      <c r="F1517" s="25" t="s">
        <v>123</v>
      </c>
      <c r="G1517" s="25"/>
      <c r="H1517" s="25"/>
      <c r="I1517" s="25"/>
      <c r="J1517" s="25"/>
    </row>
    <row r="1518" spans="1:10" ht="14.4">
      <c r="A1518" s="44"/>
      <c r="B1518" s="44"/>
      <c r="D1518" s="25"/>
      <c r="E1518" s="44"/>
      <c r="F1518" s="25" t="s">
        <v>123</v>
      </c>
      <c r="G1518" s="25"/>
      <c r="H1518" s="25"/>
      <c r="I1518" s="25"/>
      <c r="J1518" s="25"/>
    </row>
    <row r="1519" spans="1:10" ht="14.4">
      <c r="A1519" s="44"/>
      <c r="B1519" s="44"/>
      <c r="D1519" s="25"/>
      <c r="E1519" s="44"/>
      <c r="F1519" s="25" t="s">
        <v>123</v>
      </c>
      <c r="G1519" s="25"/>
      <c r="H1519" s="25"/>
      <c r="I1519" s="25"/>
      <c r="J1519" s="25"/>
    </row>
    <row r="1520" spans="1:10" ht="14.4">
      <c r="A1520" s="44"/>
      <c r="B1520" s="44"/>
      <c r="D1520" s="25"/>
      <c r="E1520" s="44"/>
      <c r="F1520" s="25" t="s">
        <v>123</v>
      </c>
      <c r="G1520" s="25"/>
      <c r="H1520" s="25"/>
      <c r="I1520" s="25"/>
      <c r="J1520" s="25"/>
    </row>
    <row r="1521" spans="1:10" ht="14.4">
      <c r="A1521" s="44"/>
      <c r="B1521" s="44"/>
      <c r="D1521" s="25"/>
      <c r="E1521" s="44"/>
      <c r="F1521" s="25" t="s">
        <v>123</v>
      </c>
      <c r="G1521" s="25"/>
      <c r="H1521" s="25"/>
      <c r="I1521" s="25"/>
      <c r="J1521" s="25"/>
    </row>
    <row r="1522" spans="1:10" ht="14.4">
      <c r="A1522" s="44"/>
      <c r="B1522" s="44"/>
      <c r="D1522" s="25"/>
      <c r="E1522" s="44"/>
      <c r="F1522" s="25" t="s">
        <v>123</v>
      </c>
      <c r="G1522" s="25"/>
      <c r="H1522" s="25"/>
      <c r="I1522" s="25"/>
      <c r="J1522" s="25"/>
    </row>
    <row r="1523" spans="1:10" ht="14.4">
      <c r="A1523" s="44"/>
      <c r="B1523" s="44"/>
      <c r="D1523" s="25"/>
      <c r="E1523" s="44"/>
      <c r="F1523" s="25" t="s">
        <v>123</v>
      </c>
      <c r="G1523" s="25"/>
      <c r="H1523" s="25"/>
      <c r="I1523" s="25"/>
      <c r="J1523" s="25"/>
    </row>
    <row r="1524" spans="1:10" ht="14.4">
      <c r="A1524" s="44"/>
      <c r="B1524" s="44"/>
      <c r="D1524" s="25"/>
      <c r="E1524" s="44"/>
      <c r="F1524" s="25" t="s">
        <v>123</v>
      </c>
      <c r="G1524" s="25"/>
      <c r="H1524" s="25"/>
      <c r="I1524" s="25"/>
      <c r="J1524" s="25"/>
    </row>
    <row r="1525" spans="1:10" ht="14.4">
      <c r="A1525" s="44"/>
      <c r="B1525" s="44"/>
      <c r="D1525" s="25"/>
      <c r="E1525" s="44"/>
      <c r="F1525" s="25" t="s">
        <v>123</v>
      </c>
      <c r="G1525" s="25"/>
      <c r="H1525" s="25"/>
      <c r="I1525" s="25"/>
      <c r="J1525" s="25"/>
    </row>
    <row r="1526" spans="1:10" ht="14.4">
      <c r="A1526" s="44"/>
      <c r="B1526" s="44"/>
      <c r="D1526" s="25"/>
      <c r="E1526" s="44"/>
      <c r="F1526" s="25" t="s">
        <v>123</v>
      </c>
      <c r="G1526" s="25"/>
      <c r="H1526" s="25"/>
      <c r="I1526" s="25"/>
      <c r="J1526" s="25"/>
    </row>
    <row r="1527" spans="1:10" ht="14.4">
      <c r="A1527" s="44"/>
      <c r="B1527" s="44"/>
      <c r="D1527" s="25"/>
      <c r="E1527" s="44"/>
      <c r="F1527" s="25" t="s">
        <v>123</v>
      </c>
      <c r="G1527" s="25"/>
      <c r="H1527" s="25"/>
      <c r="I1527" s="25"/>
      <c r="J1527" s="25"/>
    </row>
    <row r="1528" spans="1:10" ht="14.4">
      <c r="A1528" s="44"/>
      <c r="B1528" s="44"/>
      <c r="D1528" s="25"/>
      <c r="E1528" s="44"/>
      <c r="F1528" s="25" t="s">
        <v>123</v>
      </c>
      <c r="G1528" s="25"/>
      <c r="H1528" s="25"/>
      <c r="I1528" s="25"/>
      <c r="J1528" s="25"/>
    </row>
    <row r="1529" spans="1:10" ht="14.4">
      <c r="A1529" s="44"/>
      <c r="B1529" s="44"/>
      <c r="D1529" s="25"/>
      <c r="E1529" s="44"/>
      <c r="F1529" s="25" t="s">
        <v>123</v>
      </c>
      <c r="G1529" s="25"/>
      <c r="H1529" s="25"/>
      <c r="I1529" s="25"/>
      <c r="J1529" s="25"/>
    </row>
    <row r="1530" spans="1:10" ht="14.4">
      <c r="A1530" s="44"/>
      <c r="B1530" s="44"/>
      <c r="D1530" s="25"/>
      <c r="E1530" s="44"/>
      <c r="F1530" s="25" t="s">
        <v>123</v>
      </c>
      <c r="G1530" s="25"/>
      <c r="H1530" s="25"/>
      <c r="I1530" s="25"/>
      <c r="J1530" s="25"/>
    </row>
    <row r="1531" spans="1:10" ht="14.4">
      <c r="A1531" s="44"/>
      <c r="B1531" s="44"/>
      <c r="D1531" s="25"/>
      <c r="E1531" s="44"/>
      <c r="F1531" s="25" t="s">
        <v>123</v>
      </c>
      <c r="G1531" s="25"/>
      <c r="H1531" s="25"/>
      <c r="I1531" s="25"/>
      <c r="J1531" s="25"/>
    </row>
    <row r="1532" spans="1:10" ht="14.4">
      <c r="A1532" s="44"/>
      <c r="B1532" s="44"/>
      <c r="D1532" s="25"/>
      <c r="E1532" s="44"/>
      <c r="F1532" s="25" t="s">
        <v>123</v>
      </c>
      <c r="G1532" s="25"/>
      <c r="H1532" s="25"/>
      <c r="I1532" s="25"/>
      <c r="J1532" s="25"/>
    </row>
    <row r="1533" spans="1:10" ht="14.4">
      <c r="A1533" s="44"/>
      <c r="B1533" s="44"/>
      <c r="D1533" s="25"/>
      <c r="E1533" s="44"/>
      <c r="F1533" s="25" t="s">
        <v>123</v>
      </c>
      <c r="G1533" s="25"/>
      <c r="H1533" s="25"/>
      <c r="I1533" s="25"/>
      <c r="J1533" s="25"/>
    </row>
    <row r="1534" spans="1:10" ht="14.4">
      <c r="A1534" s="44"/>
      <c r="B1534" s="44"/>
      <c r="D1534" s="25"/>
      <c r="E1534" s="44"/>
      <c r="F1534" s="25" t="s">
        <v>123</v>
      </c>
      <c r="G1534" s="25"/>
      <c r="H1534" s="25"/>
      <c r="I1534" s="25"/>
      <c r="J1534" s="25"/>
    </row>
    <row r="1535" spans="1:10" ht="14.4">
      <c r="A1535" s="44"/>
      <c r="B1535" s="44"/>
      <c r="D1535" s="25"/>
      <c r="E1535" s="44"/>
      <c r="F1535" s="25" t="s">
        <v>123</v>
      </c>
      <c r="G1535" s="25"/>
      <c r="H1535" s="25"/>
      <c r="I1535" s="25"/>
      <c r="J1535" s="25"/>
    </row>
    <row r="1536" spans="1:10" ht="14.4">
      <c r="A1536" s="44"/>
      <c r="B1536" s="44"/>
      <c r="D1536" s="25"/>
      <c r="E1536" s="44"/>
      <c r="F1536" s="25" t="s">
        <v>123</v>
      </c>
      <c r="G1536" s="25"/>
      <c r="H1536" s="25"/>
      <c r="I1536" s="25"/>
      <c r="J1536" s="25"/>
    </row>
    <row r="1537" spans="1:10" ht="14.4">
      <c r="A1537" s="44"/>
      <c r="B1537" s="44"/>
      <c r="D1537" s="25"/>
      <c r="E1537" s="44"/>
      <c r="F1537" s="25" t="s">
        <v>123</v>
      </c>
      <c r="G1537" s="25"/>
      <c r="H1537" s="25"/>
      <c r="I1537" s="25"/>
      <c r="J1537" s="25"/>
    </row>
    <row r="1538" spans="1:10" ht="14.4">
      <c r="A1538" s="44"/>
      <c r="B1538" s="44"/>
      <c r="D1538" s="25"/>
      <c r="E1538" s="44"/>
      <c r="F1538" s="25" t="s">
        <v>123</v>
      </c>
      <c r="G1538" s="25"/>
      <c r="H1538" s="25"/>
      <c r="I1538" s="25"/>
      <c r="J1538" s="25"/>
    </row>
    <row r="1539" spans="1:10" ht="14.4">
      <c r="A1539" s="44"/>
      <c r="B1539" s="44"/>
      <c r="D1539" s="25"/>
      <c r="E1539" s="44"/>
      <c r="F1539" s="25" t="s">
        <v>123</v>
      </c>
      <c r="G1539" s="25"/>
      <c r="H1539" s="25"/>
      <c r="I1539" s="25"/>
      <c r="J1539" s="25"/>
    </row>
    <row r="1540" spans="1:10" ht="14.4">
      <c r="A1540" s="44"/>
      <c r="B1540" s="44"/>
      <c r="D1540" s="25"/>
      <c r="E1540" s="44"/>
      <c r="F1540" s="25" t="s">
        <v>123</v>
      </c>
      <c r="G1540" s="25"/>
      <c r="H1540" s="25"/>
      <c r="I1540" s="25"/>
      <c r="J1540" s="25"/>
    </row>
    <row r="1541" spans="1:10" ht="14.4">
      <c r="A1541" s="44"/>
      <c r="B1541" s="44"/>
      <c r="D1541" s="25"/>
      <c r="E1541" s="44"/>
      <c r="F1541" s="25" t="s">
        <v>123</v>
      </c>
      <c r="G1541" s="25"/>
      <c r="H1541" s="25"/>
      <c r="I1541" s="25"/>
      <c r="J1541" s="25"/>
    </row>
    <row r="1542" spans="1:10" ht="14.4">
      <c r="A1542" s="44"/>
      <c r="B1542" s="44"/>
      <c r="D1542" s="25"/>
      <c r="E1542" s="44"/>
      <c r="F1542" s="25" t="s">
        <v>123</v>
      </c>
      <c r="G1542" s="25"/>
      <c r="H1542" s="25"/>
      <c r="I1542" s="25"/>
      <c r="J1542" s="25"/>
    </row>
    <row r="1543" spans="1:10" ht="14.4">
      <c r="A1543" s="44"/>
      <c r="B1543" s="44"/>
      <c r="D1543" s="25"/>
      <c r="E1543" s="44"/>
      <c r="F1543" s="25" t="s">
        <v>123</v>
      </c>
      <c r="G1543" s="25"/>
      <c r="H1543" s="25"/>
      <c r="I1543" s="25"/>
      <c r="J1543" s="25"/>
    </row>
    <row r="1544" spans="1:10" ht="14.4">
      <c r="A1544" s="44"/>
      <c r="B1544" s="44"/>
      <c r="D1544" s="25"/>
      <c r="E1544" s="44"/>
      <c r="F1544" s="25" t="s">
        <v>123</v>
      </c>
      <c r="G1544" s="25"/>
      <c r="H1544" s="25"/>
      <c r="I1544" s="25"/>
      <c r="J1544" s="25"/>
    </row>
    <row r="1545" spans="1:10" ht="14.4">
      <c r="A1545" s="44"/>
      <c r="B1545" s="44"/>
      <c r="D1545" s="25"/>
      <c r="E1545" s="44"/>
      <c r="F1545" s="25" t="s">
        <v>123</v>
      </c>
      <c r="G1545" s="25"/>
      <c r="H1545" s="25"/>
      <c r="I1545" s="25"/>
      <c r="J1545" s="25"/>
    </row>
    <row r="1546" spans="1:10" ht="14.4">
      <c r="A1546" s="44"/>
      <c r="B1546" s="44"/>
      <c r="D1546" s="25"/>
      <c r="E1546" s="44"/>
      <c r="F1546" s="25" t="s">
        <v>123</v>
      </c>
      <c r="G1546" s="25"/>
      <c r="H1546" s="25"/>
      <c r="I1546" s="25"/>
      <c r="J1546" s="25"/>
    </row>
    <row r="1547" spans="1:10" ht="14.4">
      <c r="A1547" s="44"/>
      <c r="B1547" s="44"/>
      <c r="D1547" s="25"/>
      <c r="E1547" s="44"/>
      <c r="F1547" s="25" t="s">
        <v>123</v>
      </c>
      <c r="G1547" s="25"/>
      <c r="H1547" s="25"/>
      <c r="I1547" s="25"/>
      <c r="J1547" s="25"/>
    </row>
    <row r="1548" spans="1:10" ht="14.4">
      <c r="A1548" s="44"/>
      <c r="B1548" s="44"/>
      <c r="D1548" s="25"/>
      <c r="E1548" s="44"/>
      <c r="F1548" s="25" t="s">
        <v>123</v>
      </c>
      <c r="G1548" s="25"/>
      <c r="H1548" s="25"/>
      <c r="I1548" s="25"/>
      <c r="J1548" s="25"/>
    </row>
    <row r="1549" spans="1:10" ht="14.4">
      <c r="A1549" s="44"/>
      <c r="B1549" s="44"/>
      <c r="D1549" s="25"/>
      <c r="E1549" s="44"/>
      <c r="F1549" s="25" t="s">
        <v>123</v>
      </c>
      <c r="G1549" s="25"/>
      <c r="H1549" s="25"/>
      <c r="I1549" s="25"/>
      <c r="J1549" s="25"/>
    </row>
    <row r="1550" spans="1:10" ht="14.4">
      <c r="A1550" s="44"/>
      <c r="B1550" s="44"/>
      <c r="D1550" s="25"/>
      <c r="E1550" s="44"/>
      <c r="F1550" s="25" t="s">
        <v>123</v>
      </c>
      <c r="G1550" s="25"/>
      <c r="H1550" s="25"/>
      <c r="I1550" s="25"/>
      <c r="J1550" s="25"/>
    </row>
    <row r="1551" spans="1:10" ht="14.4">
      <c r="A1551" s="44"/>
      <c r="B1551" s="44"/>
      <c r="D1551" s="25"/>
      <c r="E1551" s="44"/>
      <c r="F1551" s="25" t="s">
        <v>123</v>
      </c>
      <c r="G1551" s="25"/>
      <c r="H1551" s="25"/>
      <c r="I1551" s="25"/>
      <c r="J1551" s="25"/>
    </row>
    <row r="1552" spans="1:10" ht="14.4">
      <c r="A1552" s="44"/>
      <c r="B1552" s="44"/>
      <c r="D1552" s="25"/>
      <c r="E1552" s="44"/>
      <c r="F1552" s="25" t="s">
        <v>123</v>
      </c>
      <c r="G1552" s="25"/>
      <c r="H1552" s="25"/>
      <c r="I1552" s="25"/>
      <c r="J1552" s="25"/>
    </row>
    <row r="1553" spans="1:10" ht="14.4">
      <c r="A1553" s="44"/>
      <c r="B1553" s="44"/>
      <c r="D1553" s="25"/>
      <c r="E1553" s="44"/>
      <c r="F1553" s="25" t="s">
        <v>123</v>
      </c>
      <c r="G1553" s="25"/>
      <c r="H1553" s="25"/>
      <c r="I1553" s="25"/>
      <c r="J1553" s="25"/>
    </row>
    <row r="1554" spans="1:10" ht="14.4">
      <c r="A1554" s="44"/>
      <c r="B1554" s="44"/>
      <c r="D1554" s="25"/>
      <c r="E1554" s="44"/>
      <c r="F1554" s="25" t="s">
        <v>123</v>
      </c>
      <c r="G1554" s="25"/>
      <c r="H1554" s="25"/>
      <c r="I1554" s="25"/>
      <c r="J1554" s="25"/>
    </row>
    <row r="1555" spans="1:10" ht="14.4">
      <c r="A1555" s="44"/>
      <c r="B1555" s="44"/>
      <c r="D1555" s="25"/>
      <c r="E1555" s="44"/>
      <c r="F1555" s="25" t="s">
        <v>123</v>
      </c>
      <c r="G1555" s="25"/>
      <c r="H1555" s="25"/>
      <c r="I1555" s="25"/>
      <c r="J1555" s="25"/>
    </row>
    <row r="1556" spans="1:10" ht="14.4">
      <c r="A1556" s="44"/>
      <c r="B1556" s="44"/>
      <c r="D1556" s="25"/>
      <c r="E1556" s="44"/>
      <c r="F1556" s="25" t="s">
        <v>123</v>
      </c>
      <c r="G1556" s="25"/>
      <c r="H1556" s="25"/>
      <c r="I1556" s="25"/>
      <c r="J1556" s="25"/>
    </row>
    <row r="1557" spans="1:10" ht="14.4">
      <c r="A1557" s="44"/>
      <c r="B1557" s="44"/>
      <c r="D1557" s="25"/>
      <c r="E1557" s="44"/>
      <c r="F1557" s="25" t="s">
        <v>123</v>
      </c>
      <c r="G1557" s="25"/>
      <c r="H1557" s="25"/>
      <c r="I1557" s="25"/>
      <c r="J1557" s="25"/>
    </row>
    <row r="1558" spans="1:10" ht="14.4">
      <c r="A1558" s="44"/>
      <c r="B1558" s="44"/>
      <c r="D1558" s="25"/>
      <c r="E1558" s="44"/>
      <c r="F1558" s="25" t="s">
        <v>123</v>
      </c>
      <c r="G1558" s="25"/>
      <c r="H1558" s="25"/>
      <c r="I1558" s="25"/>
      <c r="J1558" s="25"/>
    </row>
    <row r="1559" spans="1:10" ht="14.4">
      <c r="A1559" s="44"/>
      <c r="B1559" s="44"/>
      <c r="D1559" s="25"/>
      <c r="E1559" s="44"/>
      <c r="F1559" s="25" t="s">
        <v>123</v>
      </c>
      <c r="G1559" s="25"/>
      <c r="H1559" s="25"/>
      <c r="I1559" s="25"/>
      <c r="J1559" s="25"/>
    </row>
    <row r="1560" spans="1:10" ht="14.4">
      <c r="A1560" s="44"/>
      <c r="B1560" s="44"/>
      <c r="D1560" s="25"/>
      <c r="E1560" s="44"/>
      <c r="F1560" s="25" t="s">
        <v>123</v>
      </c>
      <c r="G1560" s="25"/>
      <c r="H1560" s="25"/>
      <c r="I1560" s="25"/>
      <c r="J1560" s="25"/>
    </row>
    <row r="1561" spans="1:10" ht="14.4">
      <c r="A1561" s="44"/>
      <c r="B1561" s="44"/>
      <c r="D1561" s="25"/>
      <c r="E1561" s="44"/>
      <c r="F1561" s="25" t="s">
        <v>123</v>
      </c>
      <c r="G1561" s="25"/>
      <c r="H1561" s="25"/>
      <c r="I1561" s="25"/>
      <c r="J1561" s="25"/>
    </row>
    <row r="1562" spans="1:10" ht="14.4">
      <c r="A1562" s="44"/>
      <c r="B1562" s="44"/>
      <c r="D1562" s="25"/>
      <c r="E1562" s="44"/>
      <c r="F1562" s="25" t="s">
        <v>123</v>
      </c>
      <c r="G1562" s="25"/>
      <c r="H1562" s="25"/>
      <c r="I1562" s="25"/>
      <c r="J1562" s="25"/>
    </row>
    <row r="1563" spans="1:10" ht="14.4">
      <c r="A1563" s="44"/>
      <c r="B1563" s="44"/>
      <c r="D1563" s="25"/>
      <c r="E1563" s="44"/>
      <c r="F1563" s="25" t="s">
        <v>123</v>
      </c>
      <c r="G1563" s="25"/>
      <c r="H1563" s="25"/>
      <c r="I1563" s="25"/>
      <c r="J1563" s="25"/>
    </row>
    <row r="1564" spans="1:10" ht="14.4">
      <c r="A1564" s="44"/>
      <c r="B1564" s="44"/>
      <c r="D1564" s="25"/>
      <c r="E1564" s="44"/>
      <c r="F1564" s="25" t="s">
        <v>123</v>
      </c>
      <c r="G1564" s="25"/>
      <c r="H1564" s="25"/>
      <c r="I1564" s="25"/>
      <c r="J1564" s="25"/>
    </row>
    <row r="1565" spans="1:10" ht="14.4">
      <c r="A1565" s="44"/>
      <c r="B1565" s="44"/>
      <c r="D1565" s="25"/>
      <c r="E1565" s="44"/>
      <c r="F1565" s="25" t="s">
        <v>123</v>
      </c>
      <c r="G1565" s="25"/>
      <c r="H1565" s="25"/>
      <c r="I1565" s="25"/>
      <c r="J1565" s="25"/>
    </row>
    <row r="1566" spans="1:10" ht="14.4">
      <c r="A1566" s="44"/>
      <c r="B1566" s="44"/>
      <c r="D1566" s="25"/>
      <c r="E1566" s="44"/>
      <c r="F1566" s="25" t="s">
        <v>123</v>
      </c>
      <c r="G1566" s="25"/>
      <c r="H1566" s="25"/>
      <c r="I1566" s="25"/>
      <c r="J1566" s="25"/>
    </row>
    <row r="1567" spans="1:10" ht="14.4">
      <c r="A1567" s="44"/>
      <c r="B1567" s="44"/>
      <c r="D1567" s="25"/>
      <c r="E1567" s="44"/>
      <c r="F1567" s="25" t="s">
        <v>123</v>
      </c>
      <c r="G1567" s="25"/>
      <c r="H1567" s="25"/>
      <c r="I1567" s="25"/>
      <c r="J1567" s="25"/>
    </row>
    <row r="1568" spans="1:10" ht="14.4">
      <c r="A1568" s="44"/>
      <c r="B1568" s="44"/>
      <c r="D1568" s="25"/>
      <c r="E1568" s="44"/>
      <c r="F1568" s="25" t="s">
        <v>123</v>
      </c>
      <c r="G1568" s="25"/>
      <c r="H1568" s="25"/>
      <c r="I1568" s="25"/>
      <c r="J1568" s="25"/>
    </row>
    <row r="1569" spans="1:10" ht="14.4">
      <c r="A1569" s="44"/>
      <c r="B1569" s="44"/>
      <c r="D1569" s="25"/>
      <c r="E1569" s="44"/>
      <c r="F1569" s="25" t="s">
        <v>123</v>
      </c>
      <c r="G1569" s="25"/>
      <c r="H1569" s="25"/>
      <c r="I1569" s="25"/>
      <c r="J1569" s="25"/>
    </row>
    <row r="1570" spans="1:10" ht="14.4">
      <c r="A1570" s="44"/>
      <c r="B1570" s="44"/>
      <c r="D1570" s="25"/>
      <c r="E1570" s="44"/>
      <c r="F1570" s="25" t="s">
        <v>123</v>
      </c>
      <c r="G1570" s="25"/>
      <c r="H1570" s="25"/>
      <c r="I1570" s="25"/>
      <c r="J1570" s="25"/>
    </row>
    <row r="1571" spans="1:10" ht="14.4">
      <c r="A1571" s="44"/>
      <c r="B1571" s="44"/>
      <c r="D1571" s="25"/>
      <c r="E1571" s="44"/>
      <c r="F1571" s="25" t="s">
        <v>123</v>
      </c>
      <c r="G1571" s="25"/>
      <c r="H1571" s="25"/>
      <c r="I1571" s="25"/>
      <c r="J1571" s="25"/>
    </row>
    <row r="1572" spans="1:10" ht="14.4">
      <c r="A1572" s="44"/>
      <c r="B1572" s="44"/>
      <c r="D1572" s="25"/>
      <c r="E1572" s="44"/>
      <c r="F1572" s="25" t="s">
        <v>123</v>
      </c>
      <c r="G1572" s="25"/>
      <c r="H1572" s="25"/>
      <c r="I1572" s="25"/>
      <c r="J1572" s="25"/>
    </row>
    <row r="1573" spans="1:10" ht="14.4">
      <c r="A1573" s="44"/>
      <c r="B1573" s="44"/>
      <c r="D1573" s="25"/>
      <c r="E1573" s="44"/>
      <c r="F1573" s="25" t="s">
        <v>123</v>
      </c>
      <c r="G1573" s="25"/>
      <c r="H1573" s="25"/>
      <c r="I1573" s="25"/>
      <c r="J1573" s="25"/>
    </row>
    <row r="1574" spans="1:10" ht="14.4">
      <c r="A1574" s="44"/>
      <c r="B1574" s="44"/>
      <c r="D1574" s="25"/>
      <c r="E1574" s="44"/>
      <c r="F1574" s="25" t="s">
        <v>123</v>
      </c>
      <c r="G1574" s="25"/>
      <c r="H1574" s="25"/>
      <c r="I1574" s="25"/>
      <c r="J1574" s="25"/>
    </row>
    <row r="1575" spans="1:10" ht="14.4">
      <c r="A1575" s="44"/>
      <c r="B1575" s="44"/>
      <c r="D1575" s="25"/>
      <c r="E1575" s="44"/>
      <c r="F1575" s="25" t="s">
        <v>123</v>
      </c>
      <c r="G1575" s="25"/>
      <c r="H1575" s="25"/>
      <c r="I1575" s="25"/>
      <c r="J1575" s="25"/>
    </row>
    <row r="1576" spans="1:10" ht="14.4">
      <c r="A1576" s="44"/>
      <c r="B1576" s="44"/>
      <c r="D1576" s="25"/>
      <c r="E1576" s="44"/>
      <c r="F1576" s="25" t="s">
        <v>123</v>
      </c>
      <c r="G1576" s="25"/>
      <c r="H1576" s="25"/>
      <c r="I1576" s="25"/>
      <c r="J1576" s="25"/>
    </row>
    <row r="1577" spans="1:10" ht="14.4">
      <c r="A1577" s="44"/>
      <c r="B1577" s="44"/>
      <c r="D1577" s="25"/>
      <c r="E1577" s="44"/>
      <c r="F1577" s="25" t="s">
        <v>123</v>
      </c>
      <c r="G1577" s="25"/>
      <c r="H1577" s="25"/>
      <c r="I1577" s="25"/>
      <c r="J1577" s="25"/>
    </row>
    <row r="1578" spans="1:10" ht="14.4">
      <c r="A1578" s="44"/>
      <c r="B1578" s="44"/>
      <c r="D1578" s="25"/>
      <c r="E1578" s="44"/>
      <c r="F1578" s="25" t="s">
        <v>123</v>
      </c>
      <c r="G1578" s="25"/>
      <c r="H1578" s="25"/>
      <c r="I1578" s="25"/>
      <c r="J1578" s="25"/>
    </row>
    <row r="1579" spans="1:10" ht="14.4">
      <c r="A1579" s="44"/>
      <c r="B1579" s="44"/>
      <c r="D1579" s="25"/>
      <c r="E1579" s="44"/>
      <c r="F1579" s="25" t="s">
        <v>123</v>
      </c>
      <c r="G1579" s="25"/>
      <c r="H1579" s="25"/>
      <c r="I1579" s="25"/>
      <c r="J1579" s="25"/>
    </row>
    <row r="1580" spans="1:10" ht="14.4">
      <c r="A1580" s="44"/>
      <c r="B1580" s="44"/>
      <c r="D1580" s="25"/>
      <c r="E1580" s="44"/>
      <c r="F1580" s="25" t="s">
        <v>123</v>
      </c>
      <c r="G1580" s="25"/>
      <c r="H1580" s="25"/>
      <c r="I1580" s="25"/>
      <c r="J1580" s="25"/>
    </row>
    <row r="1581" spans="1:10" ht="14.4">
      <c r="A1581" s="44"/>
      <c r="B1581" s="44"/>
      <c r="D1581" s="25"/>
      <c r="E1581" s="44"/>
      <c r="F1581" s="25" t="s">
        <v>123</v>
      </c>
      <c r="G1581" s="25"/>
      <c r="H1581" s="25"/>
      <c r="I1581" s="25"/>
      <c r="J1581" s="25"/>
    </row>
    <row r="1582" spans="1:10" ht="14.4">
      <c r="A1582" s="44"/>
      <c r="B1582" s="44"/>
      <c r="D1582" s="25"/>
      <c r="E1582" s="44"/>
      <c r="F1582" s="25" t="s">
        <v>123</v>
      </c>
      <c r="G1582" s="25"/>
      <c r="H1582" s="25"/>
      <c r="I1582" s="25"/>
      <c r="J1582" s="25"/>
    </row>
    <row r="1583" spans="1:10" ht="14.4">
      <c r="A1583" s="44"/>
      <c r="B1583" s="44"/>
      <c r="D1583" s="25"/>
      <c r="E1583" s="44"/>
      <c r="F1583" s="25" t="s">
        <v>123</v>
      </c>
      <c r="G1583" s="25"/>
      <c r="H1583" s="25"/>
      <c r="I1583" s="25"/>
      <c r="J1583" s="25"/>
    </row>
    <row r="1584" spans="1:10" ht="14.4">
      <c r="A1584" s="44"/>
      <c r="B1584" s="44"/>
      <c r="D1584" s="25"/>
      <c r="E1584" s="44"/>
      <c r="F1584" s="25" t="s">
        <v>123</v>
      </c>
      <c r="G1584" s="25"/>
      <c r="H1584" s="25"/>
      <c r="I1584" s="25"/>
      <c r="J1584" s="25"/>
    </row>
    <row r="1585" spans="1:10" ht="14.4">
      <c r="A1585" s="44"/>
      <c r="B1585" s="44"/>
      <c r="D1585" s="25"/>
      <c r="E1585" s="44"/>
      <c r="F1585" s="25" t="s">
        <v>123</v>
      </c>
      <c r="G1585" s="25"/>
      <c r="H1585" s="25"/>
      <c r="I1585" s="25"/>
      <c r="J1585" s="25"/>
    </row>
    <row r="1586" spans="1:10" ht="14.4">
      <c r="A1586" s="44"/>
      <c r="B1586" s="44"/>
      <c r="D1586" s="25"/>
      <c r="E1586" s="44"/>
      <c r="F1586" s="25" t="s">
        <v>123</v>
      </c>
      <c r="G1586" s="25"/>
      <c r="H1586" s="25"/>
      <c r="I1586" s="25"/>
      <c r="J1586" s="25"/>
    </row>
    <row r="1587" spans="1:10" ht="14.4">
      <c r="A1587" s="44"/>
      <c r="B1587" s="44"/>
      <c r="D1587" s="25"/>
      <c r="E1587" s="44"/>
      <c r="F1587" s="25" t="s">
        <v>123</v>
      </c>
      <c r="G1587" s="25"/>
      <c r="H1587" s="25"/>
      <c r="I1587" s="25"/>
      <c r="J1587" s="25"/>
    </row>
    <row r="1588" spans="1:10" ht="14.4">
      <c r="A1588" s="44"/>
      <c r="B1588" s="44"/>
      <c r="D1588" s="25"/>
      <c r="E1588" s="44"/>
      <c r="F1588" s="25" t="s">
        <v>123</v>
      </c>
      <c r="G1588" s="25"/>
      <c r="H1588" s="25"/>
      <c r="I1588" s="25"/>
      <c r="J1588" s="25"/>
    </row>
    <row r="1589" spans="1:10" ht="14.4">
      <c r="A1589" s="44"/>
      <c r="B1589" s="44"/>
      <c r="D1589" s="25"/>
      <c r="E1589" s="44"/>
      <c r="F1589" s="25" t="s">
        <v>123</v>
      </c>
      <c r="G1589" s="25"/>
      <c r="H1589" s="25"/>
      <c r="I1589" s="25"/>
      <c r="J1589" s="25"/>
    </row>
    <row r="1590" spans="1:10" ht="14.4">
      <c r="A1590" s="44"/>
      <c r="B1590" s="44"/>
      <c r="D1590" s="25"/>
      <c r="E1590" s="44"/>
      <c r="F1590" s="25" t="s">
        <v>123</v>
      </c>
      <c r="G1590" s="25"/>
      <c r="H1590" s="25"/>
      <c r="I1590" s="25"/>
      <c r="J1590" s="25"/>
    </row>
    <row r="1591" spans="1:10" ht="14.4">
      <c r="A1591" s="44"/>
      <c r="B1591" s="44"/>
      <c r="D1591" s="25"/>
      <c r="E1591" s="44"/>
      <c r="F1591" s="25" t="s">
        <v>123</v>
      </c>
      <c r="G1591" s="25"/>
      <c r="H1591" s="25"/>
      <c r="I1591" s="25"/>
      <c r="J1591" s="25"/>
    </row>
    <row r="1592" spans="1:10" ht="14.4">
      <c r="A1592" s="44"/>
      <c r="B1592" s="44"/>
      <c r="D1592" s="25"/>
      <c r="E1592" s="44"/>
      <c r="F1592" s="25" t="s">
        <v>123</v>
      </c>
      <c r="G1592" s="25"/>
      <c r="H1592" s="25"/>
      <c r="I1592" s="25"/>
      <c r="J1592" s="25"/>
    </row>
    <row r="1593" spans="1:10" ht="14.4">
      <c r="A1593" s="44"/>
      <c r="B1593" s="44"/>
      <c r="D1593" s="25"/>
      <c r="E1593" s="44"/>
      <c r="F1593" s="25" t="s">
        <v>123</v>
      </c>
      <c r="G1593" s="25"/>
      <c r="H1593" s="25"/>
      <c r="I1593" s="25"/>
      <c r="J1593" s="25"/>
    </row>
    <row r="1594" spans="1:10" ht="14.4">
      <c r="A1594" s="44"/>
      <c r="B1594" s="44"/>
      <c r="D1594" s="25"/>
      <c r="E1594" s="44"/>
      <c r="F1594" s="25" t="s">
        <v>123</v>
      </c>
      <c r="G1594" s="25"/>
      <c r="H1594" s="25"/>
      <c r="I1594" s="25"/>
      <c r="J1594" s="25"/>
    </row>
    <row r="1595" spans="1:10" ht="14.4">
      <c r="A1595" s="44"/>
      <c r="B1595" s="44"/>
      <c r="D1595" s="25"/>
      <c r="E1595" s="44"/>
      <c r="F1595" s="25" t="s">
        <v>123</v>
      </c>
      <c r="G1595" s="25"/>
      <c r="H1595" s="25"/>
      <c r="I1595" s="25"/>
      <c r="J1595" s="25"/>
    </row>
    <row r="1596" spans="1:10" ht="14.4">
      <c r="A1596" s="44"/>
      <c r="B1596" s="44"/>
      <c r="D1596" s="25"/>
      <c r="E1596" s="44"/>
      <c r="F1596" s="25" t="s">
        <v>123</v>
      </c>
      <c r="G1596" s="25"/>
      <c r="H1596" s="25"/>
      <c r="I1596" s="25"/>
      <c r="J1596" s="25"/>
    </row>
    <row r="1597" spans="1:10" ht="14.4">
      <c r="A1597" s="44"/>
      <c r="B1597" s="44"/>
      <c r="D1597" s="25"/>
      <c r="E1597" s="44"/>
      <c r="F1597" s="25" t="s">
        <v>123</v>
      </c>
      <c r="G1597" s="25"/>
      <c r="H1597" s="25"/>
      <c r="I1597" s="25"/>
      <c r="J1597" s="25"/>
    </row>
    <row r="1598" spans="1:10" ht="14.4">
      <c r="A1598" s="44"/>
      <c r="B1598" s="44"/>
      <c r="D1598" s="25"/>
      <c r="E1598" s="44"/>
      <c r="F1598" s="25" t="s">
        <v>123</v>
      </c>
      <c r="G1598" s="25"/>
      <c r="H1598" s="25"/>
      <c r="I1598" s="25"/>
      <c r="J1598" s="25"/>
    </row>
    <row r="1599" spans="1:10" ht="14.4">
      <c r="A1599" s="44"/>
      <c r="B1599" s="44"/>
      <c r="D1599" s="25"/>
      <c r="E1599" s="44"/>
      <c r="F1599" s="25" t="s">
        <v>123</v>
      </c>
      <c r="G1599" s="25"/>
      <c r="H1599" s="25"/>
      <c r="I1599" s="25"/>
      <c r="J1599" s="25"/>
    </row>
    <row r="1600" spans="1:10" ht="14.4">
      <c r="A1600" s="44"/>
      <c r="B1600" s="44"/>
      <c r="D1600" s="25"/>
      <c r="E1600" s="44"/>
      <c r="F1600" s="25" t="s">
        <v>123</v>
      </c>
      <c r="G1600" s="25"/>
      <c r="H1600" s="25"/>
      <c r="I1600" s="25"/>
      <c r="J1600" s="25"/>
    </row>
    <row r="1601" spans="1:10" ht="14.4">
      <c r="A1601" s="44"/>
      <c r="B1601" s="44"/>
      <c r="D1601" s="25"/>
      <c r="E1601" s="44"/>
      <c r="F1601" s="25" t="s">
        <v>123</v>
      </c>
      <c r="G1601" s="25"/>
      <c r="H1601" s="25"/>
      <c r="I1601" s="25"/>
      <c r="J1601" s="25"/>
    </row>
    <row r="1602" spans="1:10" ht="14.4">
      <c r="A1602" s="44"/>
      <c r="B1602" s="44"/>
      <c r="D1602" s="25"/>
      <c r="E1602" s="44"/>
      <c r="F1602" s="25" t="s">
        <v>123</v>
      </c>
      <c r="G1602" s="25"/>
      <c r="H1602" s="25"/>
      <c r="I1602" s="25"/>
      <c r="J1602" s="25"/>
    </row>
    <row r="1603" spans="1:10" ht="14.4">
      <c r="A1603" s="44"/>
      <c r="B1603" s="44"/>
      <c r="D1603" s="25"/>
      <c r="E1603" s="44"/>
      <c r="F1603" s="25" t="s">
        <v>123</v>
      </c>
      <c r="G1603" s="25"/>
      <c r="H1603" s="25"/>
      <c r="I1603" s="25"/>
      <c r="J1603" s="25"/>
    </row>
    <row r="1604" spans="1:10" ht="14.4">
      <c r="A1604" s="44"/>
      <c r="B1604" s="44"/>
      <c r="D1604" s="25"/>
      <c r="E1604" s="44"/>
      <c r="F1604" s="25" t="s">
        <v>123</v>
      </c>
      <c r="G1604" s="25"/>
      <c r="H1604" s="25"/>
      <c r="I1604" s="25"/>
      <c r="J1604" s="25"/>
    </row>
    <row r="1605" spans="1:10" ht="14.4">
      <c r="A1605" s="44"/>
      <c r="B1605" s="44"/>
      <c r="D1605" s="25"/>
      <c r="E1605" s="44"/>
      <c r="F1605" s="25" t="s">
        <v>123</v>
      </c>
      <c r="G1605" s="25"/>
      <c r="H1605" s="25"/>
      <c r="I1605" s="25"/>
      <c r="J1605" s="25"/>
    </row>
    <row r="1606" spans="1:10" ht="14.4">
      <c r="A1606" s="44"/>
      <c r="B1606" s="44"/>
      <c r="D1606" s="25"/>
      <c r="E1606" s="44"/>
      <c r="F1606" s="25" t="s">
        <v>123</v>
      </c>
      <c r="G1606" s="25"/>
      <c r="H1606" s="25"/>
      <c r="I1606" s="25"/>
      <c r="J1606" s="25"/>
    </row>
    <row r="1607" spans="1:10" ht="14.4">
      <c r="A1607" s="44"/>
      <c r="B1607" s="44"/>
      <c r="D1607" s="25"/>
      <c r="E1607" s="44"/>
      <c r="F1607" s="25" t="s">
        <v>123</v>
      </c>
      <c r="G1607" s="25"/>
      <c r="H1607" s="25"/>
      <c r="I1607" s="25"/>
      <c r="J1607" s="25"/>
    </row>
    <row r="1608" spans="1:10" ht="14.4">
      <c r="A1608" s="44"/>
      <c r="B1608" s="44"/>
      <c r="D1608" s="25"/>
      <c r="E1608" s="44"/>
      <c r="F1608" s="25" t="s">
        <v>123</v>
      </c>
      <c r="G1608" s="25"/>
      <c r="H1608" s="25"/>
      <c r="I1608" s="25"/>
      <c r="J1608" s="25"/>
    </row>
    <row r="1609" spans="1:10" ht="14.4">
      <c r="A1609" s="44"/>
      <c r="B1609" s="44"/>
      <c r="D1609" s="25"/>
      <c r="E1609" s="44"/>
      <c r="F1609" s="25" t="s">
        <v>123</v>
      </c>
      <c r="G1609" s="25"/>
      <c r="H1609" s="25"/>
      <c r="I1609" s="25"/>
      <c r="J1609" s="25"/>
    </row>
    <row r="1610" spans="1:10" ht="14.4">
      <c r="A1610" s="44"/>
      <c r="B1610" s="44"/>
      <c r="D1610" s="25"/>
      <c r="E1610" s="44"/>
      <c r="F1610" s="25" t="s">
        <v>123</v>
      </c>
      <c r="G1610" s="25"/>
      <c r="H1610" s="25"/>
      <c r="I1610" s="25"/>
      <c r="J1610" s="25"/>
    </row>
    <row r="1611" spans="1:10" ht="14.4">
      <c r="A1611" s="44"/>
      <c r="B1611" s="44"/>
      <c r="D1611" s="25"/>
      <c r="E1611" s="44"/>
      <c r="F1611" s="25" t="s">
        <v>123</v>
      </c>
      <c r="G1611" s="25"/>
      <c r="H1611" s="25"/>
      <c r="I1611" s="25"/>
      <c r="J1611" s="25"/>
    </row>
    <row r="1612" spans="1:10" ht="14.4">
      <c r="A1612" s="44"/>
      <c r="B1612" s="44"/>
      <c r="D1612" s="25"/>
      <c r="E1612" s="44"/>
      <c r="F1612" s="25" t="s">
        <v>123</v>
      </c>
      <c r="G1612" s="25"/>
      <c r="H1612" s="25"/>
      <c r="I1612" s="25"/>
      <c r="J1612" s="25"/>
    </row>
    <row r="1613" spans="1:10" ht="14.4">
      <c r="A1613" s="44"/>
      <c r="B1613" s="44"/>
      <c r="D1613" s="25"/>
      <c r="E1613" s="44"/>
      <c r="F1613" s="25" t="s">
        <v>123</v>
      </c>
      <c r="G1613" s="25"/>
      <c r="H1613" s="25"/>
      <c r="I1613" s="25"/>
      <c r="J1613" s="25"/>
    </row>
    <row r="1614" spans="1:10" ht="14.4">
      <c r="A1614" s="44"/>
      <c r="B1614" s="44"/>
      <c r="D1614" s="25"/>
      <c r="E1614" s="44"/>
      <c r="F1614" s="25" t="s">
        <v>123</v>
      </c>
      <c r="G1614" s="25"/>
      <c r="H1614" s="25"/>
      <c r="I1614" s="25"/>
      <c r="J1614" s="25"/>
    </row>
    <row r="1615" spans="1:10" ht="14.4">
      <c r="A1615" s="44"/>
      <c r="B1615" s="44"/>
      <c r="D1615" s="25"/>
      <c r="E1615" s="44"/>
      <c r="F1615" s="25" t="s">
        <v>123</v>
      </c>
      <c r="G1615" s="25"/>
      <c r="H1615" s="25"/>
      <c r="I1615" s="25"/>
      <c r="J1615" s="25"/>
    </row>
    <row r="1616" spans="1:10" ht="14.4">
      <c r="A1616" s="44"/>
      <c r="B1616" s="44"/>
      <c r="D1616" s="25"/>
      <c r="E1616" s="44"/>
      <c r="F1616" s="25" t="s">
        <v>123</v>
      </c>
      <c r="G1616" s="25"/>
      <c r="H1616" s="25"/>
      <c r="I1616" s="25"/>
      <c r="J1616" s="25"/>
    </row>
    <row r="1617" spans="1:10" ht="14.4">
      <c r="A1617" s="44"/>
      <c r="B1617" s="44"/>
      <c r="D1617" s="25"/>
      <c r="E1617" s="44"/>
      <c r="F1617" s="25" t="s">
        <v>123</v>
      </c>
      <c r="G1617" s="25"/>
      <c r="H1617" s="25"/>
      <c r="I1617" s="25"/>
      <c r="J1617" s="25"/>
    </row>
    <row r="1618" spans="1:10" ht="14.4">
      <c r="A1618" s="44"/>
      <c r="B1618" s="44"/>
      <c r="D1618" s="25"/>
      <c r="E1618" s="44"/>
      <c r="F1618" s="25" t="s">
        <v>123</v>
      </c>
      <c r="G1618" s="25"/>
      <c r="H1618" s="25"/>
      <c r="I1618" s="25"/>
      <c r="J1618" s="25"/>
    </row>
    <row r="1619" spans="1:10" ht="14.4">
      <c r="A1619" s="44"/>
      <c r="B1619" s="44"/>
      <c r="D1619" s="25"/>
      <c r="E1619" s="44"/>
      <c r="F1619" s="25" t="s">
        <v>123</v>
      </c>
      <c r="G1619" s="25"/>
      <c r="H1619" s="25"/>
      <c r="I1619" s="25"/>
      <c r="J1619" s="25"/>
    </row>
    <row r="1620" spans="1:10" ht="14.4">
      <c r="A1620" s="44"/>
      <c r="B1620" s="44"/>
      <c r="D1620" s="25"/>
      <c r="E1620" s="44"/>
      <c r="F1620" s="25" t="s">
        <v>123</v>
      </c>
      <c r="G1620" s="25"/>
      <c r="H1620" s="25"/>
      <c r="I1620" s="25"/>
      <c r="J1620" s="25"/>
    </row>
    <row r="1621" spans="1:10" ht="14.4">
      <c r="A1621" s="44"/>
      <c r="B1621" s="44"/>
      <c r="D1621" s="25"/>
      <c r="E1621" s="44"/>
      <c r="F1621" s="25" t="s">
        <v>123</v>
      </c>
      <c r="G1621" s="25"/>
      <c r="H1621" s="25"/>
      <c r="I1621" s="25"/>
      <c r="J1621" s="25"/>
    </row>
    <row r="1622" spans="1:10" ht="14.4">
      <c r="A1622" s="44"/>
      <c r="B1622" s="44"/>
      <c r="D1622" s="25"/>
      <c r="E1622" s="44"/>
      <c r="F1622" s="25" t="s">
        <v>123</v>
      </c>
      <c r="G1622" s="25"/>
      <c r="H1622" s="25"/>
      <c r="I1622" s="25"/>
      <c r="J1622" s="25"/>
    </row>
    <row r="1623" spans="1:10" ht="14.4">
      <c r="A1623" s="44"/>
      <c r="B1623" s="44"/>
      <c r="D1623" s="25"/>
      <c r="E1623" s="44"/>
      <c r="F1623" s="25" t="s">
        <v>123</v>
      </c>
      <c r="G1623" s="25"/>
      <c r="H1623" s="25"/>
      <c r="I1623" s="25"/>
      <c r="J1623" s="25"/>
    </row>
    <row r="1624" spans="1:10" ht="14.4">
      <c r="A1624" s="44"/>
      <c r="B1624" s="44"/>
      <c r="D1624" s="25"/>
      <c r="E1624" s="44"/>
      <c r="F1624" s="25" t="s">
        <v>123</v>
      </c>
      <c r="G1624" s="25"/>
      <c r="H1624" s="25"/>
      <c r="I1624" s="25"/>
      <c r="J1624" s="25"/>
    </row>
    <row r="1625" spans="1:10" ht="14.4">
      <c r="A1625" s="44"/>
      <c r="B1625" s="44"/>
      <c r="D1625" s="25"/>
      <c r="E1625" s="44"/>
      <c r="F1625" s="25" t="s">
        <v>123</v>
      </c>
      <c r="G1625" s="25"/>
      <c r="H1625" s="25"/>
      <c r="I1625" s="25"/>
      <c r="J1625" s="25"/>
    </row>
    <row r="1626" spans="1:10" ht="14.4">
      <c r="A1626" s="44"/>
      <c r="B1626" s="44"/>
      <c r="D1626" s="25"/>
      <c r="E1626" s="44"/>
      <c r="F1626" s="25" t="s">
        <v>123</v>
      </c>
      <c r="G1626" s="25"/>
      <c r="H1626" s="25"/>
      <c r="I1626" s="25"/>
      <c r="J1626" s="25"/>
    </row>
    <row r="1627" spans="1:10" ht="14.4">
      <c r="A1627" s="44"/>
      <c r="B1627" s="44"/>
      <c r="D1627" s="25"/>
      <c r="E1627" s="44"/>
      <c r="F1627" s="25" t="s">
        <v>123</v>
      </c>
      <c r="G1627" s="25"/>
      <c r="H1627" s="25"/>
      <c r="I1627" s="25"/>
      <c r="J1627" s="25"/>
    </row>
    <row r="1628" spans="1:10" ht="14.4">
      <c r="A1628" s="44"/>
      <c r="B1628" s="44"/>
      <c r="D1628" s="25"/>
      <c r="E1628" s="44"/>
      <c r="F1628" s="25" t="s">
        <v>123</v>
      </c>
      <c r="G1628" s="25"/>
      <c r="H1628" s="25"/>
      <c r="I1628" s="25"/>
      <c r="J1628" s="25"/>
    </row>
    <row r="1629" spans="1:10" ht="14.4">
      <c r="A1629" s="44"/>
      <c r="B1629" s="44"/>
      <c r="D1629" s="25"/>
      <c r="E1629" s="44"/>
      <c r="F1629" s="25" t="s">
        <v>123</v>
      </c>
      <c r="G1629" s="25"/>
      <c r="H1629" s="25"/>
      <c r="I1629" s="25"/>
      <c r="J1629" s="25"/>
    </row>
    <row r="1630" spans="1:10" ht="14.4">
      <c r="A1630" s="44"/>
      <c r="B1630" s="44"/>
      <c r="D1630" s="25"/>
      <c r="E1630" s="44"/>
      <c r="F1630" s="25" t="s">
        <v>123</v>
      </c>
      <c r="G1630" s="25"/>
      <c r="H1630" s="25"/>
      <c r="I1630" s="25"/>
      <c r="J1630" s="25"/>
    </row>
    <row r="1631" spans="1:10" ht="14.4">
      <c r="A1631" s="44"/>
      <c r="B1631" s="44"/>
      <c r="D1631" s="25"/>
      <c r="E1631" s="44"/>
      <c r="F1631" s="25" t="s">
        <v>123</v>
      </c>
      <c r="G1631" s="25"/>
      <c r="H1631" s="25"/>
      <c r="I1631" s="25"/>
      <c r="J1631" s="25"/>
    </row>
    <row r="1632" spans="1:10" ht="14.4">
      <c r="A1632" s="44"/>
      <c r="B1632" s="44"/>
      <c r="D1632" s="25"/>
      <c r="E1632" s="44"/>
      <c r="F1632" s="25" t="s">
        <v>123</v>
      </c>
      <c r="G1632" s="25"/>
      <c r="H1632" s="25"/>
      <c r="I1632" s="25"/>
      <c r="J1632" s="25"/>
    </row>
    <row r="1633" spans="1:10" ht="14.4">
      <c r="A1633" s="44"/>
      <c r="B1633" s="44"/>
      <c r="D1633" s="25"/>
      <c r="E1633" s="44"/>
      <c r="F1633" s="25" t="s">
        <v>123</v>
      </c>
      <c r="G1633" s="25"/>
      <c r="H1633" s="25"/>
      <c r="I1633" s="25"/>
      <c r="J1633" s="25"/>
    </row>
    <row r="1634" spans="1:10" ht="14.4">
      <c r="A1634" s="44"/>
      <c r="B1634" s="44"/>
      <c r="D1634" s="25"/>
      <c r="E1634" s="44"/>
      <c r="F1634" s="25" t="s">
        <v>123</v>
      </c>
      <c r="G1634" s="25"/>
      <c r="H1634" s="25"/>
      <c r="I1634" s="25"/>
      <c r="J1634" s="25"/>
    </row>
    <row r="1635" spans="1:10" ht="14.4">
      <c r="A1635" s="44"/>
      <c r="B1635" s="44"/>
      <c r="D1635" s="25"/>
      <c r="E1635" s="44"/>
      <c r="F1635" s="25" t="s">
        <v>123</v>
      </c>
      <c r="G1635" s="25"/>
      <c r="H1635" s="25"/>
      <c r="I1635" s="25"/>
      <c r="J1635" s="25"/>
    </row>
    <row r="1636" spans="1:10" ht="14.4">
      <c r="A1636" s="44"/>
      <c r="B1636" s="44"/>
      <c r="D1636" s="25"/>
      <c r="E1636" s="44"/>
      <c r="F1636" s="25" t="s">
        <v>123</v>
      </c>
      <c r="G1636" s="25"/>
      <c r="H1636" s="25"/>
      <c r="I1636" s="25"/>
      <c r="J1636" s="25"/>
    </row>
    <row r="1637" spans="1:10" ht="14.4">
      <c r="A1637" s="44"/>
      <c r="B1637" s="44"/>
      <c r="D1637" s="25"/>
      <c r="E1637" s="44"/>
      <c r="F1637" s="25" t="s">
        <v>123</v>
      </c>
      <c r="G1637" s="25"/>
      <c r="H1637" s="25"/>
      <c r="I1637" s="25"/>
      <c r="J1637" s="25"/>
    </row>
    <row r="1638" spans="1:10" ht="14.4">
      <c r="A1638" s="44"/>
      <c r="B1638" s="44"/>
      <c r="D1638" s="25"/>
      <c r="E1638" s="44"/>
      <c r="F1638" s="25" t="s">
        <v>123</v>
      </c>
      <c r="G1638" s="25"/>
      <c r="H1638" s="25"/>
      <c r="I1638" s="25"/>
      <c r="J1638" s="25"/>
    </row>
    <row r="1639" spans="1:10" ht="14.4">
      <c r="A1639" s="44"/>
      <c r="B1639" s="44"/>
      <c r="D1639" s="25"/>
      <c r="E1639" s="44"/>
      <c r="F1639" s="25" t="s">
        <v>123</v>
      </c>
      <c r="G1639" s="25"/>
      <c r="H1639" s="25"/>
      <c r="I1639" s="25"/>
      <c r="J1639" s="25"/>
    </row>
    <row r="1640" spans="1:10" ht="14.4">
      <c r="A1640" s="44"/>
      <c r="B1640" s="44"/>
      <c r="D1640" s="25"/>
      <c r="E1640" s="44"/>
      <c r="F1640" s="25" t="s">
        <v>123</v>
      </c>
      <c r="G1640" s="25"/>
      <c r="H1640" s="25"/>
      <c r="I1640" s="25"/>
      <c r="J1640" s="25"/>
    </row>
    <row r="1641" spans="1:10" ht="14.4">
      <c r="A1641" s="44"/>
      <c r="B1641" s="44"/>
      <c r="D1641" s="25"/>
      <c r="E1641" s="44"/>
      <c r="F1641" s="25" t="s">
        <v>123</v>
      </c>
      <c r="G1641" s="25"/>
      <c r="H1641" s="25"/>
      <c r="I1641" s="25"/>
      <c r="J1641" s="25"/>
    </row>
    <row r="1642" spans="1:10" ht="14.4">
      <c r="A1642" s="44"/>
      <c r="B1642" s="44"/>
      <c r="D1642" s="25"/>
      <c r="E1642" s="44"/>
      <c r="F1642" s="25" t="s">
        <v>123</v>
      </c>
      <c r="G1642" s="25"/>
      <c r="H1642" s="25"/>
      <c r="I1642" s="25"/>
      <c r="J1642" s="25"/>
    </row>
    <row r="1643" spans="1:10" ht="14.4">
      <c r="A1643" s="44"/>
      <c r="B1643" s="44"/>
      <c r="D1643" s="25"/>
      <c r="E1643" s="44"/>
      <c r="F1643" s="25" t="s">
        <v>123</v>
      </c>
      <c r="G1643" s="25"/>
      <c r="H1643" s="25"/>
      <c r="I1643" s="25"/>
      <c r="J1643" s="25"/>
    </row>
    <row r="1644" spans="1:10" ht="14.4">
      <c r="A1644" s="44"/>
      <c r="B1644" s="44"/>
      <c r="D1644" s="25"/>
      <c r="E1644" s="44"/>
      <c r="F1644" s="25" t="s">
        <v>123</v>
      </c>
      <c r="G1644" s="25"/>
      <c r="H1644" s="25"/>
      <c r="I1644" s="25"/>
      <c r="J1644" s="25"/>
    </row>
    <row r="1645" spans="1:10" ht="14.4">
      <c r="A1645" s="44"/>
      <c r="B1645" s="44"/>
      <c r="D1645" s="25"/>
      <c r="E1645" s="44"/>
      <c r="F1645" s="25" t="s">
        <v>123</v>
      </c>
      <c r="G1645" s="25"/>
      <c r="H1645" s="25"/>
      <c r="I1645" s="25"/>
      <c r="J1645" s="25"/>
    </row>
    <row r="1646" spans="1:10" ht="14.4">
      <c r="A1646" s="44"/>
      <c r="B1646" s="44"/>
      <c r="D1646" s="25"/>
      <c r="E1646" s="44"/>
      <c r="F1646" s="25" t="s">
        <v>123</v>
      </c>
      <c r="G1646" s="25"/>
      <c r="H1646" s="25"/>
      <c r="I1646" s="25"/>
      <c r="J1646" s="25"/>
    </row>
    <row r="1647" spans="1:10" ht="14.4">
      <c r="A1647" s="44"/>
      <c r="B1647" s="44"/>
      <c r="D1647" s="25"/>
      <c r="E1647" s="44"/>
      <c r="F1647" s="25" t="s">
        <v>123</v>
      </c>
      <c r="G1647" s="25"/>
      <c r="H1647" s="25"/>
      <c r="I1647" s="25"/>
      <c r="J1647" s="25"/>
    </row>
    <row r="1648" spans="1:10" ht="14.4">
      <c r="A1648" s="44"/>
      <c r="B1648" s="44"/>
      <c r="D1648" s="25"/>
      <c r="E1648" s="44"/>
      <c r="F1648" s="25" t="s">
        <v>123</v>
      </c>
      <c r="G1648" s="25"/>
      <c r="H1648" s="25"/>
      <c r="I1648" s="25"/>
      <c r="J1648" s="25"/>
    </row>
    <row r="1649" spans="1:10" ht="14.4">
      <c r="A1649" s="44"/>
      <c r="B1649" s="44"/>
      <c r="D1649" s="25"/>
      <c r="E1649" s="44"/>
      <c r="F1649" s="25" t="s">
        <v>123</v>
      </c>
      <c r="G1649" s="25"/>
      <c r="H1649" s="25"/>
      <c r="I1649" s="25"/>
      <c r="J1649" s="25"/>
    </row>
    <row r="1650" spans="1:10" ht="14.4">
      <c r="A1650" s="44"/>
      <c r="B1650" s="44"/>
      <c r="D1650" s="25"/>
      <c r="E1650" s="44"/>
      <c r="F1650" s="25" t="s">
        <v>123</v>
      </c>
      <c r="G1650" s="25"/>
      <c r="H1650" s="25"/>
      <c r="I1650" s="25"/>
      <c r="J1650" s="25"/>
    </row>
    <row r="1651" spans="1:10" ht="14.4">
      <c r="A1651" s="44"/>
      <c r="B1651" s="44"/>
      <c r="D1651" s="25"/>
      <c r="E1651" s="44"/>
      <c r="F1651" s="25" t="s">
        <v>123</v>
      </c>
      <c r="G1651" s="25"/>
      <c r="H1651" s="25"/>
      <c r="I1651" s="25"/>
      <c r="J1651" s="25"/>
    </row>
    <row r="1652" spans="1:10" ht="14.4">
      <c r="A1652" s="44"/>
      <c r="B1652" s="44"/>
      <c r="D1652" s="25"/>
      <c r="E1652" s="44"/>
      <c r="F1652" s="25" t="s">
        <v>123</v>
      </c>
      <c r="G1652" s="25"/>
      <c r="H1652" s="25"/>
      <c r="I1652" s="25"/>
      <c r="J1652" s="25"/>
    </row>
    <row r="1653" spans="1:10" ht="14.4">
      <c r="A1653" s="44"/>
      <c r="B1653" s="44"/>
      <c r="D1653" s="25"/>
      <c r="E1653" s="44"/>
      <c r="F1653" s="25" t="s">
        <v>123</v>
      </c>
      <c r="G1653" s="25"/>
      <c r="H1653" s="25"/>
      <c r="I1653" s="25"/>
      <c r="J1653" s="25"/>
    </row>
    <row r="1654" spans="1:10" ht="14.4">
      <c r="A1654" s="44"/>
      <c r="B1654" s="44"/>
      <c r="D1654" s="25"/>
      <c r="E1654" s="44"/>
      <c r="F1654" s="25" t="s">
        <v>123</v>
      </c>
      <c r="G1654" s="25"/>
      <c r="H1654" s="25"/>
      <c r="I1654" s="25"/>
      <c r="J1654" s="25"/>
    </row>
    <row r="1655" spans="1:10" ht="14.4">
      <c r="A1655" s="44"/>
      <c r="B1655" s="44"/>
      <c r="D1655" s="25"/>
      <c r="E1655" s="44"/>
      <c r="F1655" s="25" t="s">
        <v>123</v>
      </c>
      <c r="G1655" s="25"/>
      <c r="H1655" s="25"/>
      <c r="I1655" s="25"/>
      <c r="J1655" s="25"/>
    </row>
    <row r="1656" spans="1:10" ht="14.4">
      <c r="A1656" s="44"/>
      <c r="B1656" s="44"/>
      <c r="D1656" s="25"/>
      <c r="E1656" s="44"/>
      <c r="F1656" s="25" t="s">
        <v>123</v>
      </c>
      <c r="G1656" s="25"/>
      <c r="H1656" s="25"/>
      <c r="I1656" s="25"/>
      <c r="J1656" s="25"/>
    </row>
    <row r="1657" spans="1:10" ht="14.4">
      <c r="A1657" s="44"/>
      <c r="B1657" s="44"/>
      <c r="D1657" s="25"/>
      <c r="E1657" s="44"/>
      <c r="F1657" s="25" t="s">
        <v>123</v>
      </c>
      <c r="G1657" s="25"/>
      <c r="H1657" s="25"/>
      <c r="I1657" s="25"/>
      <c r="J1657" s="25"/>
    </row>
    <row r="1658" spans="1:10" ht="14.4">
      <c r="A1658" s="44"/>
      <c r="B1658" s="44"/>
      <c r="D1658" s="25"/>
      <c r="E1658" s="44"/>
      <c r="F1658" s="25" t="s">
        <v>123</v>
      </c>
      <c r="G1658" s="25"/>
      <c r="H1658" s="25"/>
      <c r="I1658" s="25"/>
      <c r="J1658" s="25"/>
    </row>
    <row r="1659" spans="1:10" ht="14.4">
      <c r="A1659" s="44"/>
      <c r="B1659" s="44"/>
      <c r="D1659" s="25"/>
      <c r="E1659" s="44"/>
      <c r="F1659" s="25" t="s">
        <v>123</v>
      </c>
      <c r="G1659" s="25"/>
      <c r="H1659" s="25"/>
      <c r="I1659" s="25"/>
      <c r="J1659" s="25"/>
    </row>
    <row r="1660" spans="1:10" ht="14.4">
      <c r="A1660" s="44"/>
      <c r="B1660" s="44"/>
      <c r="D1660" s="25"/>
      <c r="E1660" s="44"/>
      <c r="F1660" s="25" t="s">
        <v>123</v>
      </c>
      <c r="G1660" s="25"/>
      <c r="H1660" s="25"/>
      <c r="I1660" s="25"/>
      <c r="J1660" s="25"/>
    </row>
    <row r="1661" spans="1:10" ht="14.4">
      <c r="A1661" s="44"/>
      <c r="B1661" s="44"/>
      <c r="D1661" s="25"/>
      <c r="E1661" s="44"/>
      <c r="F1661" s="25" t="s">
        <v>123</v>
      </c>
      <c r="G1661" s="25"/>
      <c r="H1661" s="25"/>
      <c r="I1661" s="25"/>
      <c r="J1661" s="25"/>
    </row>
    <row r="1662" spans="1:10" ht="14.4">
      <c r="A1662" s="44"/>
      <c r="B1662" s="44"/>
      <c r="D1662" s="25"/>
      <c r="E1662" s="44"/>
      <c r="F1662" s="25" t="s">
        <v>123</v>
      </c>
      <c r="G1662" s="25"/>
      <c r="H1662" s="25"/>
      <c r="I1662" s="25"/>
      <c r="J1662" s="25"/>
    </row>
    <row r="1663" spans="1:10" ht="14.4">
      <c r="A1663" s="44"/>
      <c r="B1663" s="44"/>
      <c r="D1663" s="25"/>
      <c r="E1663" s="44"/>
      <c r="F1663" s="25" t="s">
        <v>123</v>
      </c>
      <c r="G1663" s="25"/>
      <c r="H1663" s="25"/>
      <c r="I1663" s="25"/>
      <c r="J1663" s="25"/>
    </row>
    <row r="1664" spans="1:10" ht="14.4">
      <c r="A1664" s="44"/>
      <c r="B1664" s="44"/>
      <c r="D1664" s="25"/>
      <c r="E1664" s="44"/>
      <c r="F1664" s="25" t="s">
        <v>123</v>
      </c>
      <c r="G1664" s="25"/>
      <c r="H1664" s="25"/>
      <c r="I1664" s="25"/>
      <c r="J1664" s="25"/>
    </row>
    <row r="1665" spans="1:10" ht="14.4">
      <c r="A1665" s="44"/>
      <c r="B1665" s="44"/>
      <c r="D1665" s="25"/>
      <c r="E1665" s="44"/>
      <c r="F1665" s="25" t="s">
        <v>123</v>
      </c>
      <c r="G1665" s="25"/>
      <c r="H1665" s="25"/>
      <c r="I1665" s="25"/>
      <c r="J1665" s="25"/>
    </row>
    <row r="1666" spans="1:10" ht="14.4">
      <c r="A1666" s="44"/>
      <c r="B1666" s="44"/>
      <c r="D1666" s="25"/>
      <c r="E1666" s="44"/>
      <c r="F1666" s="25" t="s">
        <v>123</v>
      </c>
      <c r="G1666" s="25"/>
      <c r="H1666" s="25"/>
      <c r="I1666" s="25"/>
      <c r="J1666" s="25"/>
    </row>
    <row r="1667" spans="1:10" ht="14.4">
      <c r="A1667" s="44"/>
      <c r="B1667" s="44"/>
      <c r="D1667" s="25"/>
      <c r="E1667" s="44"/>
      <c r="F1667" s="25" t="s">
        <v>123</v>
      </c>
      <c r="G1667" s="25"/>
      <c r="H1667" s="25"/>
      <c r="I1667" s="25"/>
      <c r="J1667" s="25"/>
    </row>
    <row r="1668" spans="1:10" ht="14.4">
      <c r="A1668" s="44"/>
      <c r="B1668" s="44"/>
      <c r="D1668" s="25"/>
      <c r="E1668" s="44"/>
      <c r="F1668" s="25" t="s">
        <v>123</v>
      </c>
      <c r="G1668" s="25"/>
      <c r="H1668" s="25"/>
      <c r="I1668" s="25"/>
      <c r="J1668" s="25"/>
    </row>
    <row r="1669" spans="1:10" ht="14.4">
      <c r="A1669" s="44"/>
      <c r="B1669" s="44"/>
      <c r="D1669" s="25"/>
      <c r="E1669" s="44"/>
      <c r="F1669" s="25" t="s">
        <v>123</v>
      </c>
      <c r="G1669" s="25"/>
      <c r="H1669" s="25"/>
      <c r="I1669" s="25"/>
      <c r="J1669" s="25"/>
    </row>
    <row r="1670" spans="1:10" ht="14.4">
      <c r="A1670" s="44"/>
      <c r="B1670" s="44"/>
      <c r="D1670" s="25"/>
      <c r="E1670" s="44"/>
      <c r="F1670" s="25" t="s">
        <v>123</v>
      </c>
      <c r="G1670" s="25"/>
      <c r="H1670" s="25"/>
      <c r="I1670" s="25"/>
      <c r="J1670" s="25"/>
    </row>
    <row r="1671" spans="1:10" ht="14.4">
      <c r="A1671" s="44"/>
      <c r="B1671" s="44"/>
      <c r="D1671" s="25"/>
      <c r="E1671" s="44"/>
      <c r="F1671" s="25" t="s">
        <v>123</v>
      </c>
      <c r="G1671" s="25"/>
      <c r="H1671" s="25"/>
      <c r="I1671" s="25"/>
      <c r="J1671" s="25"/>
    </row>
    <row r="1672" spans="1:10" ht="14.4">
      <c r="A1672" s="44"/>
      <c r="B1672" s="44"/>
      <c r="D1672" s="25"/>
      <c r="E1672" s="44"/>
      <c r="F1672" s="25" t="s">
        <v>123</v>
      </c>
      <c r="G1672" s="25"/>
      <c r="H1672" s="25"/>
      <c r="I1672" s="25"/>
      <c r="J1672" s="25"/>
    </row>
    <row r="1673" spans="1:10" ht="14.4">
      <c r="A1673" s="44"/>
      <c r="B1673" s="44"/>
      <c r="D1673" s="25"/>
      <c r="E1673" s="44"/>
      <c r="F1673" s="25" t="s">
        <v>123</v>
      </c>
      <c r="G1673" s="25"/>
      <c r="H1673" s="25"/>
      <c r="I1673" s="25"/>
      <c r="J1673" s="25"/>
    </row>
    <row r="1674" spans="1:10" ht="14.4">
      <c r="A1674" s="44"/>
      <c r="B1674" s="44"/>
      <c r="D1674" s="25"/>
      <c r="E1674" s="44"/>
      <c r="F1674" s="25" t="s">
        <v>123</v>
      </c>
      <c r="G1674" s="25"/>
      <c r="H1674" s="25"/>
      <c r="I1674" s="25"/>
      <c r="J1674" s="25"/>
    </row>
    <row r="1675" spans="1:10" ht="14.4">
      <c r="A1675" s="44"/>
      <c r="B1675" s="44"/>
      <c r="D1675" s="25"/>
      <c r="E1675" s="44"/>
      <c r="F1675" s="25" t="s">
        <v>123</v>
      </c>
      <c r="G1675" s="25"/>
      <c r="H1675" s="25"/>
      <c r="I1675" s="25"/>
      <c r="J1675" s="25"/>
    </row>
    <row r="1676" spans="1:10" ht="14.4">
      <c r="A1676" s="44"/>
      <c r="B1676" s="44"/>
      <c r="D1676" s="25"/>
      <c r="E1676" s="44"/>
      <c r="F1676" s="25" t="s">
        <v>123</v>
      </c>
      <c r="G1676" s="25"/>
      <c r="H1676" s="25"/>
      <c r="I1676" s="25"/>
      <c r="J1676" s="25"/>
    </row>
    <row r="1677" spans="1:10" ht="14.4">
      <c r="A1677" s="44"/>
      <c r="B1677" s="44"/>
      <c r="D1677" s="25"/>
      <c r="E1677" s="44"/>
      <c r="F1677" s="25" t="s">
        <v>123</v>
      </c>
      <c r="G1677" s="25"/>
      <c r="H1677" s="25"/>
      <c r="I1677" s="25"/>
      <c r="J1677" s="25"/>
    </row>
    <row r="1678" spans="1:10" ht="14.4">
      <c r="A1678" s="44"/>
      <c r="B1678" s="44"/>
      <c r="D1678" s="25"/>
      <c r="E1678" s="44"/>
      <c r="F1678" s="25" t="s">
        <v>123</v>
      </c>
      <c r="G1678" s="25"/>
      <c r="H1678" s="25"/>
      <c r="I1678" s="25"/>
      <c r="J1678" s="25"/>
    </row>
    <row r="1679" spans="1:10" ht="14.4">
      <c r="A1679" s="44"/>
      <c r="B1679" s="44"/>
      <c r="D1679" s="25"/>
      <c r="E1679" s="44"/>
      <c r="F1679" s="25" t="s">
        <v>123</v>
      </c>
      <c r="G1679" s="25"/>
      <c r="H1679" s="25"/>
      <c r="I1679" s="25"/>
      <c r="J1679" s="25"/>
    </row>
    <row r="1680" spans="1:10" ht="14.4">
      <c r="A1680" s="44"/>
      <c r="B1680" s="44"/>
      <c r="D1680" s="25"/>
      <c r="E1680" s="44"/>
      <c r="F1680" s="25" t="s">
        <v>123</v>
      </c>
      <c r="G1680" s="25"/>
      <c r="H1680" s="25"/>
      <c r="I1680" s="25"/>
      <c r="J1680" s="25"/>
    </row>
    <row r="1681" spans="1:10" ht="14.4">
      <c r="A1681" s="44"/>
      <c r="B1681" s="44"/>
      <c r="D1681" s="25"/>
      <c r="E1681" s="44"/>
      <c r="F1681" s="25" t="s">
        <v>123</v>
      </c>
      <c r="G1681" s="25"/>
      <c r="H1681" s="25"/>
      <c r="I1681" s="25"/>
      <c r="J1681" s="25"/>
    </row>
    <row r="1682" spans="1:10" ht="14.4">
      <c r="A1682" s="44"/>
      <c r="B1682" s="44"/>
      <c r="D1682" s="25"/>
      <c r="E1682" s="44"/>
      <c r="F1682" s="25" t="s">
        <v>123</v>
      </c>
      <c r="G1682" s="25"/>
      <c r="H1682" s="25"/>
      <c r="I1682" s="25"/>
      <c r="J1682" s="25"/>
    </row>
    <row r="1683" spans="1:10" ht="14.4">
      <c r="A1683" s="44"/>
      <c r="B1683" s="44"/>
      <c r="D1683" s="25"/>
      <c r="E1683" s="44"/>
      <c r="F1683" s="25" t="s">
        <v>123</v>
      </c>
      <c r="G1683" s="25"/>
      <c r="H1683" s="25"/>
      <c r="I1683" s="25"/>
      <c r="J1683" s="25"/>
    </row>
    <row r="1684" spans="1:10" ht="14.4">
      <c r="A1684" s="44"/>
      <c r="B1684" s="44"/>
      <c r="D1684" s="25"/>
      <c r="E1684" s="44"/>
      <c r="F1684" s="25" t="s">
        <v>123</v>
      </c>
      <c r="G1684" s="25"/>
      <c r="H1684" s="25"/>
      <c r="I1684" s="25"/>
      <c r="J1684" s="25"/>
    </row>
    <row r="1685" spans="1:10" ht="14.4">
      <c r="A1685" s="44"/>
      <c r="B1685" s="44"/>
      <c r="D1685" s="25"/>
      <c r="E1685" s="44"/>
      <c r="F1685" s="25" t="s">
        <v>123</v>
      </c>
      <c r="G1685" s="25"/>
      <c r="H1685" s="25"/>
      <c r="I1685" s="25"/>
      <c r="J1685" s="25"/>
    </row>
    <row r="1686" spans="1:10" ht="14.4">
      <c r="A1686" s="44"/>
      <c r="B1686" s="44"/>
      <c r="D1686" s="25"/>
      <c r="E1686" s="44"/>
      <c r="F1686" s="25" t="s">
        <v>123</v>
      </c>
      <c r="G1686" s="25"/>
      <c r="H1686" s="25"/>
      <c r="I1686" s="25"/>
      <c r="J1686" s="25"/>
    </row>
    <row r="1687" spans="1:10" ht="14.4">
      <c r="A1687" s="44"/>
      <c r="B1687" s="44"/>
      <c r="D1687" s="25"/>
      <c r="E1687" s="44"/>
      <c r="F1687" s="25" t="s">
        <v>123</v>
      </c>
      <c r="G1687" s="25"/>
      <c r="H1687" s="25"/>
      <c r="I1687" s="25"/>
      <c r="J1687" s="25"/>
    </row>
    <row r="1688" spans="1:10" ht="14.4">
      <c r="A1688" s="44"/>
      <c r="B1688" s="44"/>
      <c r="D1688" s="25"/>
      <c r="E1688" s="44"/>
      <c r="F1688" s="25" t="s">
        <v>123</v>
      </c>
      <c r="G1688" s="25"/>
      <c r="H1688" s="25"/>
      <c r="I1688" s="25"/>
      <c r="J1688" s="25"/>
    </row>
    <row r="1689" spans="1:10" ht="14.4">
      <c r="A1689" s="44"/>
      <c r="B1689" s="44"/>
      <c r="D1689" s="25"/>
      <c r="E1689" s="44"/>
      <c r="F1689" s="25" t="s">
        <v>123</v>
      </c>
      <c r="G1689" s="25"/>
      <c r="H1689" s="25"/>
      <c r="I1689" s="25"/>
      <c r="J1689" s="25"/>
    </row>
    <row r="1690" spans="1:10" ht="14.4">
      <c r="A1690" s="44"/>
      <c r="B1690" s="44"/>
      <c r="D1690" s="25"/>
      <c r="E1690" s="44"/>
      <c r="F1690" s="25" t="s">
        <v>123</v>
      </c>
      <c r="G1690" s="25"/>
      <c r="H1690" s="25"/>
      <c r="I1690" s="25"/>
      <c r="J1690" s="25"/>
    </row>
    <row r="1691" spans="1:10" ht="14.4">
      <c r="A1691" s="44"/>
      <c r="B1691" s="44"/>
      <c r="D1691" s="25"/>
      <c r="E1691" s="44"/>
      <c r="F1691" s="25" t="s">
        <v>123</v>
      </c>
      <c r="G1691" s="25"/>
      <c r="H1691" s="25"/>
      <c r="I1691" s="25"/>
      <c r="J1691" s="25"/>
    </row>
    <row r="1692" spans="1:10" ht="14.4">
      <c r="A1692" s="44"/>
      <c r="B1692" s="44"/>
      <c r="D1692" s="25"/>
      <c r="E1692" s="44"/>
      <c r="F1692" s="25" t="s">
        <v>123</v>
      </c>
      <c r="G1692" s="25"/>
      <c r="H1692" s="25"/>
      <c r="I1692" s="25"/>
      <c r="J1692" s="25"/>
    </row>
    <row r="1693" spans="1:10" ht="14.4">
      <c r="A1693" s="44"/>
      <c r="B1693" s="44"/>
      <c r="D1693" s="25"/>
      <c r="E1693" s="44"/>
      <c r="F1693" s="25" t="s">
        <v>123</v>
      </c>
      <c r="G1693" s="25"/>
      <c r="H1693" s="25"/>
      <c r="I1693" s="25"/>
      <c r="J1693" s="25"/>
    </row>
    <row r="1694" spans="1:10" ht="14.4">
      <c r="A1694" s="44"/>
      <c r="B1694" s="44"/>
      <c r="D1694" s="25"/>
      <c r="E1694" s="44"/>
      <c r="F1694" s="25" t="s">
        <v>123</v>
      </c>
      <c r="G1694" s="25"/>
      <c r="H1694" s="25"/>
      <c r="I1694" s="25"/>
      <c r="J1694" s="25"/>
    </row>
    <row r="1695" spans="1:10" ht="14.4">
      <c r="A1695" s="44"/>
      <c r="B1695" s="44"/>
      <c r="D1695" s="25"/>
      <c r="E1695" s="44"/>
      <c r="F1695" s="25" t="s">
        <v>123</v>
      </c>
      <c r="G1695" s="25"/>
      <c r="H1695" s="25"/>
      <c r="I1695" s="25"/>
      <c r="J1695" s="25"/>
    </row>
    <row r="1696" spans="1:10" ht="14.4">
      <c r="A1696" s="44"/>
      <c r="B1696" s="44"/>
      <c r="D1696" s="25"/>
      <c r="E1696" s="44"/>
      <c r="F1696" s="25" t="s">
        <v>123</v>
      </c>
      <c r="G1696" s="25"/>
      <c r="H1696" s="25"/>
      <c r="I1696" s="25"/>
      <c r="J1696" s="25"/>
    </row>
    <row r="1697" spans="1:10" ht="14.4">
      <c r="A1697" s="44"/>
      <c r="B1697" s="44"/>
      <c r="D1697" s="25"/>
      <c r="E1697" s="44"/>
      <c r="F1697" s="25" t="s">
        <v>123</v>
      </c>
      <c r="G1697" s="25"/>
      <c r="H1697" s="25"/>
      <c r="I1697" s="25"/>
      <c r="J1697" s="25"/>
    </row>
    <row r="1698" spans="1:10" ht="14.4">
      <c r="A1698" s="44"/>
      <c r="B1698" s="44"/>
      <c r="D1698" s="25"/>
      <c r="E1698" s="44"/>
      <c r="F1698" s="25" t="s">
        <v>123</v>
      </c>
      <c r="G1698" s="25"/>
      <c r="H1698" s="25"/>
      <c r="I1698" s="25"/>
      <c r="J1698" s="25"/>
    </row>
    <row r="1699" spans="1:10" ht="14.4">
      <c r="A1699" s="44"/>
      <c r="B1699" s="44"/>
      <c r="D1699" s="25"/>
      <c r="E1699" s="44"/>
      <c r="F1699" s="25" t="s">
        <v>123</v>
      </c>
      <c r="G1699" s="25"/>
      <c r="H1699" s="25"/>
      <c r="I1699" s="25"/>
      <c r="J1699" s="25"/>
    </row>
    <row r="1700" spans="1:10" ht="14.4">
      <c r="A1700" s="44"/>
      <c r="B1700" s="44"/>
      <c r="D1700" s="25"/>
      <c r="E1700" s="44"/>
      <c r="F1700" s="25" t="s">
        <v>123</v>
      </c>
      <c r="G1700" s="25"/>
      <c r="H1700" s="25"/>
      <c r="I1700" s="25"/>
      <c r="J1700" s="25"/>
    </row>
    <row r="1701" spans="1:10" ht="14.4">
      <c r="A1701" s="44"/>
      <c r="B1701" s="44"/>
      <c r="D1701" s="25"/>
      <c r="E1701" s="44"/>
      <c r="F1701" s="25" t="s">
        <v>123</v>
      </c>
      <c r="G1701" s="25"/>
      <c r="H1701" s="25"/>
      <c r="I1701" s="25"/>
      <c r="J1701" s="25"/>
    </row>
    <row r="1702" spans="1:10" ht="14.4">
      <c r="A1702" s="44"/>
      <c r="B1702" s="44"/>
      <c r="D1702" s="25"/>
      <c r="E1702" s="44"/>
      <c r="F1702" s="25" t="s">
        <v>123</v>
      </c>
      <c r="G1702" s="25"/>
      <c r="H1702" s="25"/>
      <c r="I1702" s="25"/>
      <c r="J1702" s="25"/>
    </row>
    <row r="1703" spans="1:10" ht="14.4">
      <c r="A1703" s="44"/>
      <c r="B1703" s="44"/>
      <c r="D1703" s="25"/>
      <c r="E1703" s="44"/>
      <c r="F1703" s="25" t="s">
        <v>123</v>
      </c>
      <c r="G1703" s="25"/>
      <c r="H1703" s="25"/>
      <c r="I1703" s="25"/>
      <c r="J1703" s="25"/>
    </row>
    <row r="1704" spans="1:10" ht="14.4">
      <c r="A1704" s="44"/>
      <c r="B1704" s="44"/>
      <c r="D1704" s="25"/>
      <c r="E1704" s="44"/>
      <c r="F1704" s="25" t="s">
        <v>123</v>
      </c>
      <c r="G1704" s="25"/>
      <c r="H1704" s="25"/>
      <c r="I1704" s="25"/>
      <c r="J1704" s="25"/>
    </row>
    <row r="1705" spans="1:10" ht="14.4">
      <c r="A1705" s="44"/>
      <c r="B1705" s="44"/>
      <c r="D1705" s="25"/>
      <c r="E1705" s="44"/>
      <c r="F1705" s="25" t="s">
        <v>123</v>
      </c>
      <c r="G1705" s="25"/>
      <c r="H1705" s="25"/>
      <c r="I1705" s="25"/>
      <c r="J1705" s="25"/>
    </row>
    <row r="1706" spans="1:10" ht="14.4">
      <c r="A1706" s="44"/>
      <c r="B1706" s="44"/>
      <c r="D1706" s="25"/>
      <c r="E1706" s="44"/>
      <c r="F1706" s="25" t="s">
        <v>123</v>
      </c>
      <c r="G1706" s="25"/>
      <c r="H1706" s="25"/>
      <c r="I1706" s="25"/>
      <c r="J1706" s="25"/>
    </row>
    <row r="1707" spans="1:10" ht="14.4">
      <c r="A1707" s="44"/>
      <c r="B1707" s="44"/>
      <c r="D1707" s="25"/>
      <c r="E1707" s="44"/>
      <c r="F1707" s="25" t="s">
        <v>123</v>
      </c>
      <c r="G1707" s="25"/>
      <c r="H1707" s="25"/>
      <c r="I1707" s="25"/>
      <c r="J1707" s="25"/>
    </row>
    <row r="1708" spans="1:10" ht="14.4">
      <c r="A1708" s="44"/>
      <c r="B1708" s="44"/>
      <c r="D1708" s="25"/>
      <c r="E1708" s="44"/>
      <c r="F1708" s="25" t="s">
        <v>123</v>
      </c>
      <c r="G1708" s="25"/>
      <c r="H1708" s="25"/>
      <c r="I1708" s="25"/>
      <c r="J1708" s="25"/>
    </row>
    <row r="1709" spans="1:10" ht="14.4">
      <c r="A1709" s="44"/>
      <c r="B1709" s="44"/>
      <c r="D1709" s="25"/>
      <c r="E1709" s="44"/>
      <c r="F1709" s="25" t="s">
        <v>123</v>
      </c>
      <c r="G1709" s="25"/>
      <c r="H1709" s="25"/>
      <c r="I1709" s="25"/>
      <c r="J1709" s="25"/>
    </row>
    <row r="1710" spans="1:10" ht="14.4">
      <c r="A1710" s="44"/>
      <c r="B1710" s="44"/>
      <c r="D1710" s="25"/>
      <c r="E1710" s="44"/>
      <c r="F1710" s="25" t="s">
        <v>123</v>
      </c>
      <c r="G1710" s="25"/>
      <c r="H1710" s="25"/>
      <c r="I1710" s="25"/>
      <c r="J1710" s="25"/>
    </row>
    <row r="1711" spans="1:10" ht="14.4">
      <c r="A1711" s="44"/>
      <c r="B1711" s="44"/>
      <c r="D1711" s="25"/>
      <c r="E1711" s="44"/>
      <c r="F1711" s="25" t="s">
        <v>123</v>
      </c>
      <c r="G1711" s="25"/>
      <c r="H1711" s="25"/>
      <c r="I1711" s="25"/>
      <c r="J1711" s="25"/>
    </row>
    <row r="1712" spans="1:10" ht="14.4">
      <c r="A1712" s="44"/>
      <c r="B1712" s="44"/>
      <c r="D1712" s="25"/>
      <c r="E1712" s="44"/>
      <c r="F1712" s="25" t="s">
        <v>123</v>
      </c>
      <c r="G1712" s="25"/>
      <c r="H1712" s="25"/>
      <c r="I1712" s="25"/>
      <c r="J1712" s="25"/>
    </row>
    <row r="1713" spans="1:10" ht="14.4">
      <c r="A1713" s="44"/>
      <c r="B1713" s="44"/>
      <c r="D1713" s="25"/>
      <c r="E1713" s="44"/>
      <c r="F1713" s="25" t="s">
        <v>123</v>
      </c>
      <c r="G1713" s="25"/>
      <c r="H1713" s="25"/>
      <c r="I1713" s="25"/>
      <c r="J1713" s="25"/>
    </row>
    <row r="1714" spans="1:10" ht="14.4">
      <c r="A1714" s="44"/>
      <c r="B1714" s="44"/>
      <c r="D1714" s="25"/>
      <c r="E1714" s="44"/>
      <c r="F1714" s="25" t="s">
        <v>123</v>
      </c>
      <c r="G1714" s="25"/>
      <c r="H1714" s="25"/>
      <c r="I1714" s="25"/>
      <c r="J1714" s="25"/>
    </row>
    <row r="1715" spans="1:10" ht="14.4">
      <c r="A1715" s="44"/>
      <c r="B1715" s="44"/>
      <c r="D1715" s="25"/>
      <c r="E1715" s="44"/>
      <c r="F1715" s="25" t="s">
        <v>123</v>
      </c>
      <c r="G1715" s="25"/>
      <c r="H1715" s="25"/>
      <c r="I1715" s="25"/>
      <c r="J1715" s="25"/>
    </row>
    <row r="1716" spans="1:10" ht="14.4">
      <c r="A1716" s="44"/>
      <c r="B1716" s="44"/>
      <c r="D1716" s="25"/>
      <c r="E1716" s="44"/>
      <c r="F1716" s="25" t="s">
        <v>123</v>
      </c>
      <c r="G1716" s="25"/>
      <c r="H1716" s="25"/>
      <c r="I1716" s="25"/>
      <c r="J1716" s="25"/>
    </row>
    <row r="1717" spans="1:10" ht="14.4">
      <c r="A1717" s="44"/>
      <c r="B1717" s="44"/>
      <c r="D1717" s="25"/>
      <c r="E1717" s="44"/>
      <c r="F1717" s="25" t="s">
        <v>123</v>
      </c>
      <c r="G1717" s="25"/>
      <c r="H1717" s="25"/>
      <c r="I1717" s="25"/>
      <c r="J1717" s="25"/>
    </row>
    <row r="1718" spans="1:10" ht="14.4">
      <c r="A1718" s="44"/>
      <c r="B1718" s="44"/>
      <c r="D1718" s="25"/>
      <c r="E1718" s="44"/>
      <c r="F1718" s="25" t="s">
        <v>123</v>
      </c>
      <c r="G1718" s="25"/>
      <c r="H1718" s="25"/>
      <c r="I1718" s="25"/>
      <c r="J1718" s="25"/>
    </row>
    <row r="1719" spans="1:10" ht="14.4">
      <c r="A1719" s="44"/>
      <c r="B1719" s="44"/>
      <c r="D1719" s="25"/>
      <c r="E1719" s="44"/>
      <c r="F1719" s="25" t="s">
        <v>123</v>
      </c>
      <c r="G1719" s="25"/>
      <c r="H1719" s="25"/>
      <c r="I1719" s="25"/>
      <c r="J1719" s="25"/>
    </row>
    <row r="1720" spans="1:10" ht="14.4">
      <c r="A1720" s="44"/>
      <c r="B1720" s="44"/>
      <c r="D1720" s="25"/>
      <c r="E1720" s="44"/>
      <c r="F1720" s="25" t="s">
        <v>123</v>
      </c>
      <c r="G1720" s="25"/>
      <c r="H1720" s="25"/>
      <c r="I1720" s="25"/>
      <c r="J1720" s="25"/>
    </row>
    <row r="1721" spans="1:10" ht="14.4">
      <c r="A1721" s="44"/>
      <c r="B1721" s="44"/>
      <c r="D1721" s="25"/>
      <c r="E1721" s="44"/>
      <c r="F1721" s="25" t="s">
        <v>123</v>
      </c>
      <c r="G1721" s="25"/>
      <c r="H1721" s="25"/>
      <c r="I1721" s="25"/>
      <c r="J1721" s="25"/>
    </row>
    <row r="1722" spans="1:10" ht="14.4">
      <c r="A1722" s="44"/>
      <c r="B1722" s="44"/>
      <c r="D1722" s="25"/>
      <c r="E1722" s="44"/>
      <c r="F1722" s="25" t="s">
        <v>123</v>
      </c>
      <c r="G1722" s="25"/>
      <c r="H1722" s="25"/>
      <c r="I1722" s="25"/>
      <c r="J1722" s="25"/>
    </row>
    <row r="1723" spans="1:10" ht="14.4">
      <c r="A1723" s="44"/>
      <c r="B1723" s="44"/>
      <c r="D1723" s="25"/>
      <c r="E1723" s="44"/>
      <c r="F1723" s="25" t="s">
        <v>123</v>
      </c>
      <c r="G1723" s="25"/>
      <c r="H1723" s="25"/>
      <c r="I1723" s="25"/>
      <c r="J1723" s="25"/>
    </row>
    <row r="1724" spans="1:10" ht="14.4">
      <c r="A1724" s="44"/>
      <c r="B1724" s="44"/>
      <c r="D1724" s="25"/>
      <c r="E1724" s="44"/>
      <c r="F1724" s="25" t="s">
        <v>123</v>
      </c>
      <c r="G1724" s="25"/>
      <c r="H1724" s="25"/>
      <c r="I1724" s="25"/>
      <c r="J1724" s="25"/>
    </row>
    <row r="1725" spans="1:10" ht="14.4">
      <c r="A1725" s="44"/>
      <c r="B1725" s="44"/>
      <c r="D1725" s="25"/>
      <c r="E1725" s="44"/>
      <c r="F1725" s="25" t="s">
        <v>123</v>
      </c>
      <c r="G1725" s="25"/>
      <c r="H1725" s="25"/>
      <c r="I1725" s="25"/>
      <c r="J1725" s="25"/>
    </row>
    <row r="1726" spans="1:10" ht="14.4">
      <c r="A1726" s="44"/>
      <c r="B1726" s="44"/>
      <c r="D1726" s="25"/>
      <c r="E1726" s="44"/>
      <c r="F1726" s="25" t="s">
        <v>123</v>
      </c>
      <c r="G1726" s="25"/>
      <c r="H1726" s="25"/>
      <c r="I1726" s="25"/>
      <c r="J1726" s="25"/>
    </row>
    <row r="1727" spans="1:10" ht="14.4">
      <c r="A1727" s="44"/>
      <c r="B1727" s="44"/>
      <c r="D1727" s="25"/>
      <c r="E1727" s="44"/>
      <c r="F1727" s="25" t="s">
        <v>123</v>
      </c>
      <c r="G1727" s="25"/>
      <c r="H1727" s="25"/>
      <c r="I1727" s="25"/>
      <c r="J1727" s="25"/>
    </row>
    <row r="1728" spans="1:10" ht="14.4">
      <c r="A1728" s="44"/>
      <c r="B1728" s="44"/>
      <c r="D1728" s="25"/>
      <c r="E1728" s="44"/>
      <c r="F1728" s="25" t="s">
        <v>123</v>
      </c>
      <c r="G1728" s="25"/>
      <c r="H1728" s="25"/>
      <c r="I1728" s="25"/>
      <c r="J1728" s="25"/>
    </row>
    <row r="1729" spans="1:10" ht="14.4">
      <c r="A1729" s="44"/>
      <c r="B1729" s="44"/>
      <c r="D1729" s="25"/>
      <c r="E1729" s="44"/>
      <c r="F1729" s="25" t="s">
        <v>123</v>
      </c>
      <c r="G1729" s="25"/>
      <c r="H1729" s="25"/>
      <c r="I1729" s="25"/>
      <c r="J1729" s="25"/>
    </row>
    <row r="1730" spans="1:10" ht="14.4">
      <c r="A1730" s="44"/>
      <c r="B1730" s="44"/>
      <c r="D1730" s="25"/>
      <c r="E1730" s="44"/>
      <c r="F1730" s="25" t="s">
        <v>123</v>
      </c>
      <c r="G1730" s="25"/>
      <c r="H1730" s="25"/>
      <c r="I1730" s="25"/>
      <c r="J1730" s="25"/>
    </row>
    <row r="1731" spans="1:10" ht="14.4">
      <c r="A1731" s="44"/>
      <c r="B1731" s="44"/>
      <c r="D1731" s="25"/>
      <c r="E1731" s="44"/>
      <c r="F1731" s="25" t="s">
        <v>123</v>
      </c>
      <c r="G1731" s="25"/>
      <c r="H1731" s="25"/>
      <c r="I1731" s="25"/>
      <c r="J1731" s="25"/>
    </row>
    <row r="1732" spans="1:10" ht="14.4">
      <c r="A1732" s="44"/>
      <c r="B1732" s="44"/>
      <c r="D1732" s="25"/>
      <c r="E1732" s="44"/>
      <c r="F1732" s="25" t="s">
        <v>123</v>
      </c>
      <c r="G1732" s="25"/>
      <c r="H1732" s="25"/>
      <c r="I1732" s="25"/>
      <c r="J1732" s="25"/>
    </row>
    <row r="1733" spans="1:10" ht="14.4">
      <c r="A1733" s="44"/>
      <c r="B1733" s="44"/>
      <c r="D1733" s="25"/>
      <c r="E1733" s="44"/>
      <c r="F1733" s="25" t="s">
        <v>123</v>
      </c>
      <c r="G1733" s="25"/>
      <c r="H1733" s="25"/>
      <c r="I1733" s="25"/>
      <c r="J1733" s="25"/>
    </row>
    <row r="1734" spans="1:10" ht="14.4">
      <c r="A1734" s="44"/>
      <c r="B1734" s="44"/>
      <c r="D1734" s="25"/>
      <c r="E1734" s="44"/>
      <c r="F1734" s="25" t="s">
        <v>123</v>
      </c>
      <c r="G1734" s="25"/>
      <c r="H1734" s="25"/>
      <c r="I1734" s="25"/>
      <c r="J1734" s="25"/>
    </row>
    <row r="1735" spans="1:10" ht="14.4">
      <c r="A1735" s="44"/>
      <c r="B1735" s="44"/>
      <c r="D1735" s="25"/>
      <c r="E1735" s="44"/>
      <c r="F1735" s="25" t="s">
        <v>123</v>
      </c>
      <c r="G1735" s="25"/>
      <c r="H1735" s="25"/>
      <c r="I1735" s="25"/>
      <c r="J1735" s="25"/>
    </row>
    <row r="1736" spans="1:10" ht="14.4">
      <c r="A1736" s="44"/>
      <c r="B1736" s="44"/>
      <c r="D1736" s="25"/>
      <c r="E1736" s="44"/>
      <c r="F1736" s="25" t="s">
        <v>123</v>
      </c>
      <c r="G1736" s="25"/>
      <c r="H1736" s="25"/>
      <c r="I1736" s="25"/>
      <c r="J1736" s="25"/>
    </row>
    <row r="1737" spans="1:10" ht="14.4">
      <c r="A1737" s="44"/>
      <c r="B1737" s="44"/>
      <c r="D1737" s="25"/>
      <c r="E1737" s="44"/>
      <c r="F1737" s="25" t="s">
        <v>123</v>
      </c>
      <c r="G1737" s="25"/>
      <c r="H1737" s="25"/>
      <c r="I1737" s="25"/>
      <c r="J1737" s="25"/>
    </row>
    <row r="1738" spans="1:10" ht="14.4">
      <c r="A1738" s="44"/>
      <c r="B1738" s="44"/>
      <c r="D1738" s="25"/>
      <c r="E1738" s="44"/>
      <c r="F1738" s="25" t="s">
        <v>123</v>
      </c>
      <c r="G1738" s="25"/>
      <c r="H1738" s="25"/>
      <c r="I1738" s="25"/>
      <c r="J1738" s="25"/>
    </row>
    <row r="1739" spans="1:10" ht="14.4">
      <c r="A1739" s="44"/>
      <c r="B1739" s="44"/>
      <c r="D1739" s="25"/>
      <c r="E1739" s="44"/>
      <c r="F1739" s="25" t="s">
        <v>123</v>
      </c>
      <c r="G1739" s="25"/>
      <c r="H1739" s="25"/>
      <c r="I1739" s="25"/>
      <c r="J1739" s="25"/>
    </row>
    <row r="1740" spans="1:10" ht="14.4">
      <c r="A1740" s="44"/>
      <c r="B1740" s="44"/>
      <c r="D1740" s="25"/>
      <c r="E1740" s="44"/>
      <c r="F1740" s="25" t="s">
        <v>123</v>
      </c>
      <c r="G1740" s="25"/>
      <c r="H1740" s="25"/>
      <c r="I1740" s="25"/>
      <c r="J1740" s="25"/>
    </row>
    <row r="1741" spans="1:10" ht="14.4">
      <c r="A1741" s="44"/>
      <c r="B1741" s="44"/>
      <c r="D1741" s="25"/>
      <c r="E1741" s="44"/>
      <c r="F1741" s="25" t="s">
        <v>123</v>
      </c>
      <c r="G1741" s="25"/>
      <c r="H1741" s="25"/>
      <c r="I1741" s="25"/>
      <c r="J1741" s="25"/>
    </row>
    <row r="1742" spans="1:10" ht="14.4">
      <c r="A1742" s="44"/>
      <c r="B1742" s="44"/>
      <c r="D1742" s="25"/>
      <c r="E1742" s="44"/>
      <c r="F1742" s="25" t="s">
        <v>123</v>
      </c>
      <c r="G1742" s="25"/>
      <c r="H1742" s="25"/>
      <c r="I1742" s="25"/>
      <c r="J1742" s="25"/>
    </row>
    <row r="1743" spans="1:10" ht="14.4">
      <c r="A1743" s="44"/>
      <c r="B1743" s="44"/>
      <c r="D1743" s="25"/>
      <c r="E1743" s="44"/>
      <c r="F1743" s="25" t="s">
        <v>123</v>
      </c>
      <c r="G1743" s="25"/>
      <c r="H1743" s="25"/>
      <c r="I1743" s="25"/>
      <c r="J1743" s="25"/>
    </row>
    <row r="1744" spans="1:10" ht="14.4">
      <c r="A1744" s="44"/>
      <c r="B1744" s="44"/>
      <c r="D1744" s="25"/>
      <c r="E1744" s="44"/>
      <c r="F1744" s="25" t="s">
        <v>123</v>
      </c>
      <c r="G1744" s="25"/>
      <c r="H1744" s="25"/>
      <c r="I1744" s="25"/>
      <c r="J1744" s="25"/>
    </row>
    <row r="1745" spans="1:10" ht="14.4">
      <c r="A1745" s="44"/>
      <c r="B1745" s="44"/>
      <c r="D1745" s="25"/>
      <c r="E1745" s="44"/>
      <c r="F1745" s="25" t="s">
        <v>123</v>
      </c>
      <c r="G1745" s="25"/>
      <c r="H1745" s="25"/>
      <c r="I1745" s="25"/>
      <c r="J1745" s="25"/>
    </row>
    <row r="1746" spans="1:10" ht="14.4">
      <c r="A1746" s="44"/>
      <c r="B1746" s="44"/>
      <c r="D1746" s="25"/>
      <c r="E1746" s="44"/>
      <c r="F1746" s="25" t="s">
        <v>123</v>
      </c>
      <c r="G1746" s="25"/>
      <c r="H1746" s="25"/>
      <c r="I1746" s="25"/>
      <c r="J1746" s="25"/>
    </row>
    <row r="1747" spans="1:10" ht="14.4">
      <c r="A1747" s="44"/>
      <c r="B1747" s="44"/>
      <c r="D1747" s="25"/>
      <c r="E1747" s="44"/>
      <c r="F1747" s="25" t="s">
        <v>123</v>
      </c>
      <c r="G1747" s="25"/>
      <c r="H1747" s="25"/>
      <c r="I1747" s="25"/>
      <c r="J1747" s="25"/>
    </row>
    <row r="1748" spans="1:10" ht="14.4">
      <c r="A1748" s="44"/>
      <c r="B1748" s="44"/>
      <c r="D1748" s="25"/>
      <c r="E1748" s="44"/>
      <c r="F1748" s="25" t="s">
        <v>123</v>
      </c>
      <c r="G1748" s="25"/>
      <c r="H1748" s="25"/>
      <c r="I1748" s="25"/>
      <c r="J1748" s="25"/>
    </row>
    <row r="1749" spans="1:10" ht="14.4">
      <c r="A1749" s="44"/>
      <c r="B1749" s="44"/>
      <c r="D1749" s="25"/>
      <c r="E1749" s="44"/>
      <c r="F1749" s="25" t="s">
        <v>123</v>
      </c>
      <c r="G1749" s="25"/>
      <c r="H1749" s="25"/>
      <c r="I1749" s="25"/>
      <c r="J1749" s="25"/>
    </row>
    <row r="1750" spans="1:10" ht="14.4">
      <c r="A1750" s="44"/>
      <c r="B1750" s="44"/>
      <c r="D1750" s="25"/>
      <c r="E1750" s="44"/>
      <c r="F1750" s="25" t="s">
        <v>123</v>
      </c>
      <c r="G1750" s="25"/>
      <c r="H1750" s="25"/>
      <c r="I1750" s="25"/>
      <c r="J1750" s="25"/>
    </row>
    <row r="1751" spans="1:10" ht="14.4">
      <c r="A1751" s="44"/>
      <c r="B1751" s="44"/>
      <c r="D1751" s="25"/>
      <c r="E1751" s="44"/>
      <c r="F1751" s="25" t="s">
        <v>123</v>
      </c>
      <c r="G1751" s="25"/>
      <c r="H1751" s="25"/>
      <c r="I1751" s="25"/>
      <c r="J1751" s="25"/>
    </row>
    <row r="1752" spans="1:10" ht="14.4">
      <c r="A1752" s="44"/>
      <c r="B1752" s="44"/>
      <c r="D1752" s="25"/>
      <c r="E1752" s="44"/>
      <c r="F1752" s="25" t="s">
        <v>123</v>
      </c>
      <c r="G1752" s="25"/>
      <c r="H1752" s="25"/>
      <c r="I1752" s="25"/>
      <c r="J1752" s="25"/>
    </row>
    <row r="1753" spans="1:10" ht="14.4">
      <c r="A1753" s="44"/>
      <c r="B1753" s="44"/>
      <c r="D1753" s="25"/>
      <c r="E1753" s="44"/>
      <c r="F1753" s="25" t="s">
        <v>123</v>
      </c>
      <c r="G1753" s="25"/>
      <c r="H1753" s="25"/>
      <c r="I1753" s="25"/>
      <c r="J1753" s="25"/>
    </row>
    <row r="1754" spans="1:10" ht="14.4">
      <c r="A1754" s="44"/>
      <c r="B1754" s="44"/>
      <c r="D1754" s="25"/>
      <c r="E1754" s="44"/>
      <c r="F1754" s="25" t="s">
        <v>123</v>
      </c>
      <c r="G1754" s="25"/>
      <c r="H1754" s="25"/>
      <c r="I1754" s="25"/>
      <c r="J1754" s="25"/>
    </row>
    <row r="1755" spans="1:10" ht="14.4">
      <c r="A1755" s="44"/>
      <c r="B1755" s="44"/>
      <c r="D1755" s="25"/>
      <c r="E1755" s="44"/>
      <c r="F1755" s="25" t="s">
        <v>123</v>
      </c>
      <c r="G1755" s="25"/>
      <c r="H1755" s="25"/>
      <c r="I1755" s="25"/>
      <c r="J1755" s="25"/>
    </row>
    <row r="1756" spans="1:10" ht="14.4">
      <c r="A1756" s="44"/>
      <c r="B1756" s="44"/>
      <c r="D1756" s="25"/>
      <c r="E1756" s="44"/>
      <c r="F1756" s="25" t="s">
        <v>123</v>
      </c>
      <c r="G1756" s="25"/>
      <c r="H1756" s="25"/>
      <c r="I1756" s="25"/>
      <c r="J1756" s="25"/>
    </row>
    <row r="1757" spans="1:10" ht="14.4">
      <c r="A1757" s="44"/>
      <c r="B1757" s="44"/>
      <c r="D1757" s="25"/>
      <c r="E1757" s="44"/>
      <c r="F1757" s="25" t="s">
        <v>123</v>
      </c>
      <c r="G1757" s="25"/>
      <c r="H1757" s="25"/>
      <c r="I1757" s="25"/>
      <c r="J1757" s="25"/>
    </row>
    <row r="1758" spans="1:10" ht="14.4">
      <c r="A1758" s="44"/>
      <c r="B1758" s="44"/>
      <c r="D1758" s="25"/>
      <c r="E1758" s="44"/>
      <c r="F1758" s="25" t="s">
        <v>123</v>
      </c>
      <c r="G1758" s="25"/>
      <c r="H1758" s="25"/>
      <c r="I1758" s="25"/>
      <c r="J1758" s="25"/>
    </row>
    <row r="1759" spans="1:10" ht="14.4">
      <c r="A1759" s="44"/>
      <c r="B1759" s="44"/>
      <c r="D1759" s="25"/>
      <c r="E1759" s="44"/>
      <c r="F1759" s="25" t="s">
        <v>123</v>
      </c>
      <c r="G1759" s="25"/>
      <c r="H1759" s="25"/>
      <c r="I1759" s="25"/>
      <c r="J1759" s="25"/>
    </row>
    <row r="1760" spans="1:10" ht="14.4">
      <c r="A1760" s="44"/>
      <c r="B1760" s="44"/>
      <c r="D1760" s="25"/>
      <c r="E1760" s="44"/>
      <c r="F1760" s="25" t="s">
        <v>123</v>
      </c>
      <c r="G1760" s="25"/>
      <c r="H1760" s="25"/>
      <c r="I1760" s="25"/>
      <c r="J1760" s="25"/>
    </row>
    <row r="1761" spans="1:10" ht="14.4">
      <c r="A1761" s="44"/>
      <c r="B1761" s="44"/>
      <c r="D1761" s="25"/>
      <c r="E1761" s="44"/>
      <c r="F1761" s="25" t="s">
        <v>123</v>
      </c>
      <c r="G1761" s="25"/>
      <c r="H1761" s="25"/>
      <c r="I1761" s="25"/>
      <c r="J1761" s="25"/>
    </row>
    <row r="1762" spans="1:10" ht="14.4">
      <c r="A1762" s="44"/>
      <c r="B1762" s="44"/>
      <c r="D1762" s="25"/>
      <c r="E1762" s="44"/>
      <c r="F1762" s="25" t="s">
        <v>123</v>
      </c>
      <c r="G1762" s="25"/>
      <c r="H1762" s="25"/>
      <c r="I1762" s="25"/>
      <c r="J1762" s="25"/>
    </row>
    <row r="1763" spans="1:10" ht="14.4">
      <c r="A1763" s="44"/>
      <c r="B1763" s="44"/>
      <c r="D1763" s="25"/>
      <c r="E1763" s="44"/>
      <c r="F1763" s="25" t="s">
        <v>123</v>
      </c>
      <c r="G1763" s="25"/>
      <c r="H1763" s="25"/>
      <c r="I1763" s="25"/>
      <c r="J1763" s="25"/>
    </row>
    <row r="1764" spans="1:10" ht="14.4">
      <c r="A1764" s="44"/>
      <c r="B1764" s="44"/>
      <c r="D1764" s="25"/>
      <c r="E1764" s="44"/>
      <c r="F1764" s="25" t="s">
        <v>123</v>
      </c>
      <c r="G1764" s="25"/>
      <c r="H1764" s="25"/>
      <c r="I1764" s="25"/>
      <c r="J1764" s="25"/>
    </row>
    <row r="1765" spans="1:10" ht="14.4">
      <c r="A1765" s="44"/>
      <c r="B1765" s="44"/>
      <c r="D1765" s="25"/>
      <c r="E1765" s="44"/>
      <c r="F1765" s="25" t="s">
        <v>123</v>
      </c>
      <c r="G1765" s="25"/>
      <c r="H1765" s="25"/>
      <c r="I1765" s="25"/>
      <c r="J1765" s="25"/>
    </row>
    <row r="1766" spans="1:10" ht="14.4">
      <c r="A1766" s="44"/>
      <c r="B1766" s="44"/>
      <c r="D1766" s="25"/>
      <c r="E1766" s="44"/>
      <c r="F1766" s="25" t="s">
        <v>123</v>
      </c>
      <c r="G1766" s="25"/>
      <c r="H1766" s="25"/>
      <c r="I1766" s="25"/>
      <c r="J1766" s="25"/>
    </row>
    <row r="1767" spans="1:10" ht="14.4">
      <c r="A1767" s="44"/>
      <c r="B1767" s="44"/>
      <c r="D1767" s="25"/>
      <c r="E1767" s="44"/>
      <c r="F1767" s="25" t="s">
        <v>123</v>
      </c>
      <c r="G1767" s="25"/>
      <c r="H1767" s="25"/>
      <c r="I1767" s="25"/>
      <c r="J1767" s="25"/>
    </row>
    <row r="1768" spans="1:10" ht="14.4">
      <c r="A1768" s="44"/>
      <c r="B1768" s="44"/>
      <c r="D1768" s="25"/>
      <c r="E1768" s="44"/>
      <c r="F1768" s="25" t="s">
        <v>123</v>
      </c>
      <c r="G1768" s="25"/>
      <c r="H1768" s="25"/>
      <c r="I1768" s="25"/>
      <c r="J1768" s="25"/>
    </row>
    <row r="1769" spans="1:10" ht="14.4">
      <c r="A1769" s="44"/>
      <c r="B1769" s="44"/>
      <c r="D1769" s="25"/>
      <c r="E1769" s="44"/>
      <c r="F1769" s="25" t="s">
        <v>123</v>
      </c>
      <c r="G1769" s="25"/>
      <c r="H1769" s="25"/>
      <c r="I1769" s="25"/>
      <c r="J1769" s="25"/>
    </row>
    <row r="1770" spans="1:10" ht="14.4">
      <c r="A1770" s="44"/>
      <c r="B1770" s="44"/>
      <c r="D1770" s="25"/>
      <c r="E1770" s="44"/>
      <c r="F1770" s="25" t="s">
        <v>123</v>
      </c>
      <c r="G1770" s="25"/>
      <c r="H1770" s="25"/>
      <c r="I1770" s="25"/>
      <c r="J1770" s="25"/>
    </row>
    <row r="1771" spans="1:10" ht="14.4">
      <c r="A1771" s="44"/>
      <c r="B1771" s="44"/>
      <c r="D1771" s="25"/>
      <c r="E1771" s="44"/>
      <c r="F1771" s="25" t="s">
        <v>123</v>
      </c>
      <c r="G1771" s="25"/>
      <c r="H1771" s="25"/>
      <c r="I1771" s="25"/>
      <c r="J1771" s="25"/>
    </row>
    <row r="1772" spans="1:10" ht="14.4">
      <c r="A1772" s="44"/>
      <c r="B1772" s="44"/>
      <c r="D1772" s="25"/>
      <c r="E1772" s="44"/>
      <c r="F1772" s="25" t="s">
        <v>123</v>
      </c>
      <c r="G1772" s="25"/>
      <c r="H1772" s="25"/>
      <c r="I1772" s="25"/>
      <c r="J1772" s="25"/>
    </row>
    <row r="1773" spans="1:10" ht="14.4">
      <c r="A1773" s="44"/>
      <c r="B1773" s="44"/>
      <c r="D1773" s="25"/>
      <c r="E1773" s="44"/>
      <c r="F1773" s="25" t="s">
        <v>123</v>
      </c>
      <c r="G1773" s="25"/>
      <c r="H1773" s="25"/>
      <c r="I1773" s="25"/>
      <c r="J1773" s="25"/>
    </row>
    <row r="1774" spans="1:10" ht="14.4">
      <c r="A1774" s="44"/>
      <c r="B1774" s="44"/>
      <c r="D1774" s="25"/>
      <c r="E1774" s="44"/>
      <c r="F1774" s="25" t="s">
        <v>123</v>
      </c>
      <c r="G1774" s="25"/>
      <c r="H1774" s="25"/>
      <c r="I1774" s="25"/>
      <c r="J1774" s="25"/>
    </row>
    <row r="1775" spans="1:10" ht="14.4">
      <c r="A1775" s="44"/>
      <c r="B1775" s="44"/>
      <c r="D1775" s="25"/>
      <c r="E1775" s="44"/>
      <c r="F1775" s="25" t="s">
        <v>123</v>
      </c>
      <c r="G1775" s="25"/>
      <c r="H1775" s="25"/>
      <c r="I1775" s="25"/>
      <c r="J1775" s="25"/>
    </row>
    <row r="1776" spans="1:10" ht="14.4">
      <c r="A1776" s="44"/>
      <c r="B1776" s="44"/>
      <c r="D1776" s="25"/>
      <c r="E1776" s="44"/>
      <c r="F1776" s="25" t="s">
        <v>123</v>
      </c>
      <c r="G1776" s="25"/>
      <c r="H1776" s="25"/>
      <c r="I1776" s="25"/>
      <c r="J1776" s="25"/>
    </row>
    <row r="1777" spans="1:10" ht="14.4">
      <c r="A1777" s="44"/>
      <c r="B1777" s="44"/>
      <c r="D1777" s="25"/>
      <c r="E1777" s="44"/>
      <c r="F1777" s="25" t="s">
        <v>123</v>
      </c>
      <c r="G1777" s="25"/>
      <c r="H1777" s="25"/>
      <c r="I1777" s="25"/>
      <c r="J1777" s="25"/>
    </row>
    <row r="1778" spans="1:10" ht="14.4">
      <c r="A1778" s="44"/>
      <c r="B1778" s="44"/>
      <c r="D1778" s="25"/>
      <c r="E1778" s="44"/>
      <c r="F1778" s="25" t="s">
        <v>123</v>
      </c>
      <c r="G1778" s="25"/>
      <c r="H1778" s="25"/>
      <c r="I1778" s="25"/>
      <c r="J1778" s="25"/>
    </row>
    <row r="1779" spans="1:10" ht="14.4">
      <c r="A1779" s="44"/>
      <c r="B1779" s="44"/>
      <c r="D1779" s="25"/>
      <c r="E1779" s="44"/>
      <c r="F1779" s="25" t="s">
        <v>123</v>
      </c>
      <c r="G1779" s="25"/>
      <c r="H1779" s="25"/>
      <c r="I1779" s="25"/>
      <c r="J1779" s="25"/>
    </row>
    <row r="1780" spans="1:10" ht="14.4">
      <c r="A1780" s="44"/>
      <c r="B1780" s="44"/>
      <c r="D1780" s="25"/>
      <c r="E1780" s="44"/>
      <c r="F1780" s="25" t="s">
        <v>123</v>
      </c>
      <c r="G1780" s="25"/>
      <c r="H1780" s="25"/>
      <c r="I1780" s="25"/>
      <c r="J1780" s="25"/>
    </row>
    <row r="1781" spans="1:10" ht="14.4">
      <c r="A1781" s="44"/>
      <c r="B1781" s="44"/>
      <c r="D1781" s="25"/>
      <c r="E1781" s="44"/>
      <c r="F1781" s="25" t="s">
        <v>123</v>
      </c>
      <c r="G1781" s="25"/>
      <c r="H1781" s="25"/>
      <c r="I1781" s="25"/>
      <c r="J1781" s="25"/>
    </row>
    <row r="1782" spans="1:10" ht="14.4">
      <c r="A1782" s="44"/>
      <c r="B1782" s="44"/>
      <c r="D1782" s="25"/>
      <c r="E1782" s="44"/>
      <c r="F1782" s="25" t="s">
        <v>123</v>
      </c>
      <c r="G1782" s="25"/>
      <c r="H1782" s="25"/>
      <c r="I1782" s="25"/>
      <c r="J1782" s="25"/>
    </row>
    <row r="1783" spans="1:10" ht="14.4">
      <c r="A1783" s="44"/>
      <c r="B1783" s="44"/>
      <c r="D1783" s="25"/>
      <c r="E1783" s="44"/>
      <c r="F1783" s="25" t="s">
        <v>123</v>
      </c>
      <c r="G1783" s="25"/>
      <c r="H1783" s="25"/>
      <c r="I1783" s="25"/>
      <c r="J1783" s="25"/>
    </row>
    <row r="1784" spans="1:10" ht="14.4">
      <c r="A1784" s="44"/>
      <c r="B1784" s="44"/>
      <c r="D1784" s="25"/>
      <c r="E1784" s="44"/>
      <c r="F1784" s="25" t="s">
        <v>123</v>
      </c>
      <c r="G1784" s="25"/>
      <c r="H1784" s="25"/>
      <c r="I1784" s="25"/>
      <c r="J1784" s="25"/>
    </row>
    <row r="1785" spans="1:10" ht="14.4">
      <c r="A1785" s="44"/>
      <c r="B1785" s="44"/>
      <c r="D1785" s="25"/>
      <c r="E1785" s="44"/>
      <c r="F1785" s="25" t="s">
        <v>123</v>
      </c>
      <c r="G1785" s="25"/>
      <c r="H1785" s="25"/>
      <c r="I1785" s="25"/>
      <c r="J1785" s="25"/>
    </row>
    <row r="1786" spans="1:10" ht="14.4">
      <c r="A1786" s="44"/>
      <c r="B1786" s="44"/>
      <c r="D1786" s="25"/>
      <c r="E1786" s="44"/>
      <c r="F1786" s="25" t="s">
        <v>123</v>
      </c>
      <c r="G1786" s="25"/>
      <c r="H1786" s="25"/>
      <c r="I1786" s="25"/>
      <c r="J1786" s="25"/>
    </row>
    <row r="1787" spans="1:10" ht="14.4">
      <c r="A1787" s="44"/>
      <c r="B1787" s="44"/>
      <c r="D1787" s="25"/>
      <c r="E1787" s="44"/>
      <c r="F1787" s="25" t="s">
        <v>123</v>
      </c>
      <c r="G1787" s="25"/>
      <c r="H1787" s="25"/>
      <c r="I1787" s="25"/>
      <c r="J1787" s="25"/>
    </row>
    <row r="1788" spans="1:10" ht="14.4">
      <c r="A1788" s="44"/>
      <c r="B1788" s="44"/>
      <c r="D1788" s="25"/>
      <c r="E1788" s="44"/>
      <c r="F1788" s="25" t="s">
        <v>123</v>
      </c>
      <c r="G1788" s="25"/>
      <c r="H1788" s="25"/>
      <c r="I1788" s="25"/>
      <c r="J1788" s="25"/>
    </row>
    <row r="1789" spans="1:10" ht="14.4">
      <c r="A1789" s="44"/>
      <c r="B1789" s="44"/>
      <c r="D1789" s="25"/>
      <c r="E1789" s="44"/>
      <c r="F1789" s="25" t="s">
        <v>123</v>
      </c>
      <c r="G1789" s="25"/>
      <c r="H1789" s="25"/>
      <c r="I1789" s="25"/>
      <c r="J1789" s="25"/>
    </row>
    <row r="1790" spans="1:10" ht="14.4">
      <c r="A1790" s="44"/>
      <c r="B1790" s="44"/>
      <c r="D1790" s="25"/>
      <c r="E1790" s="44"/>
      <c r="F1790" s="25" t="s">
        <v>123</v>
      </c>
      <c r="G1790" s="25"/>
      <c r="H1790" s="25"/>
      <c r="I1790" s="25"/>
      <c r="J1790" s="25"/>
    </row>
    <row r="1791" spans="1:10" ht="14.4">
      <c r="A1791" s="44"/>
      <c r="B1791" s="44"/>
      <c r="D1791" s="25"/>
      <c r="E1791" s="44"/>
      <c r="F1791" s="25" t="s">
        <v>123</v>
      </c>
      <c r="G1791" s="25"/>
      <c r="H1791" s="25"/>
      <c r="I1791" s="25"/>
      <c r="J1791" s="25"/>
    </row>
    <row r="1792" spans="1:10" ht="14.4">
      <c r="A1792" s="44"/>
      <c r="B1792" s="44"/>
      <c r="D1792" s="25"/>
      <c r="E1792" s="44"/>
      <c r="F1792" s="25" t="s">
        <v>123</v>
      </c>
      <c r="G1792" s="25"/>
      <c r="H1792" s="25"/>
      <c r="I1792" s="25"/>
      <c r="J1792" s="25"/>
    </row>
    <row r="1793" spans="1:10" ht="14.4">
      <c r="A1793" s="44"/>
      <c r="B1793" s="44"/>
      <c r="D1793" s="25"/>
      <c r="E1793" s="44"/>
      <c r="F1793" s="25" t="s">
        <v>123</v>
      </c>
      <c r="G1793" s="25"/>
      <c r="H1793" s="25"/>
      <c r="I1793" s="25"/>
      <c r="J1793" s="25"/>
    </row>
    <row r="1794" spans="1:10" ht="14.4">
      <c r="A1794" s="44"/>
      <c r="B1794" s="44"/>
      <c r="D1794" s="25"/>
      <c r="E1794" s="44"/>
      <c r="F1794" s="25" t="s">
        <v>123</v>
      </c>
      <c r="G1794" s="25"/>
      <c r="H1794" s="25"/>
      <c r="I1794" s="25"/>
      <c r="J1794" s="25"/>
    </row>
    <row r="1795" spans="1:10" ht="14.4">
      <c r="A1795" s="44"/>
      <c r="B1795" s="44"/>
      <c r="D1795" s="25"/>
      <c r="E1795" s="44"/>
      <c r="F1795" s="25" t="s">
        <v>123</v>
      </c>
      <c r="G1795" s="25"/>
      <c r="H1795" s="25"/>
      <c r="I1795" s="25"/>
      <c r="J1795" s="25"/>
    </row>
    <row r="1796" spans="1:10" ht="14.4">
      <c r="A1796" s="44"/>
      <c r="B1796" s="44"/>
      <c r="D1796" s="25"/>
      <c r="E1796" s="44"/>
      <c r="F1796" s="25" t="s">
        <v>123</v>
      </c>
      <c r="G1796" s="25"/>
      <c r="H1796" s="25"/>
      <c r="I1796" s="25"/>
      <c r="J1796" s="25"/>
    </row>
    <row r="1797" spans="1:10" ht="14.4">
      <c r="A1797" s="44"/>
      <c r="B1797" s="44"/>
      <c r="D1797" s="25"/>
      <c r="E1797" s="44"/>
      <c r="F1797" s="25" t="s">
        <v>123</v>
      </c>
      <c r="G1797" s="25"/>
      <c r="H1797" s="25"/>
      <c r="I1797" s="25"/>
      <c r="J1797" s="25"/>
    </row>
    <row r="1798" spans="1:10" ht="14.4">
      <c r="A1798" s="44"/>
      <c r="B1798" s="44"/>
      <c r="D1798" s="25"/>
      <c r="E1798" s="44"/>
      <c r="F1798" s="25" t="s">
        <v>123</v>
      </c>
      <c r="G1798" s="25"/>
      <c r="H1798" s="25"/>
      <c r="I1798" s="25"/>
      <c r="J1798" s="25"/>
    </row>
    <row r="1799" spans="1:10" ht="14.4">
      <c r="A1799" s="44"/>
      <c r="B1799" s="44"/>
      <c r="D1799" s="25"/>
      <c r="E1799" s="44"/>
      <c r="F1799" s="25" t="s">
        <v>123</v>
      </c>
      <c r="G1799" s="25"/>
      <c r="H1799" s="25"/>
      <c r="I1799" s="25"/>
      <c r="J1799" s="25"/>
    </row>
    <row r="1800" spans="1:10" ht="14.4">
      <c r="A1800" s="44"/>
      <c r="B1800" s="44"/>
      <c r="D1800" s="25"/>
      <c r="E1800" s="44"/>
      <c r="F1800" s="25" t="s">
        <v>123</v>
      </c>
      <c r="G1800" s="25"/>
      <c r="H1800" s="25"/>
      <c r="I1800" s="25"/>
      <c r="J1800" s="25"/>
    </row>
    <row r="1801" spans="1:10" ht="14.4">
      <c r="A1801" s="44"/>
      <c r="B1801" s="44"/>
      <c r="D1801" s="25"/>
      <c r="E1801" s="44"/>
      <c r="F1801" s="25" t="s">
        <v>123</v>
      </c>
      <c r="G1801" s="25"/>
      <c r="H1801" s="25"/>
      <c r="I1801" s="25"/>
      <c r="J1801" s="25"/>
    </row>
    <row r="1802" spans="1:10" ht="14.4">
      <c r="A1802" s="44"/>
      <c r="B1802" s="44"/>
      <c r="D1802" s="25"/>
      <c r="E1802" s="44"/>
      <c r="F1802" s="25" t="s">
        <v>123</v>
      </c>
      <c r="G1802" s="25"/>
      <c r="H1802" s="25"/>
      <c r="I1802" s="25"/>
      <c r="J1802" s="25"/>
    </row>
    <row r="1803" spans="1:10" ht="14.4">
      <c r="A1803" s="44"/>
      <c r="B1803" s="44"/>
      <c r="D1803" s="25"/>
      <c r="E1803" s="44"/>
      <c r="F1803" s="25" t="s">
        <v>123</v>
      </c>
      <c r="G1803" s="25"/>
      <c r="H1803" s="25"/>
      <c r="I1803" s="25"/>
      <c r="J1803" s="25"/>
    </row>
    <row r="1804" spans="1:10" ht="14.4">
      <c r="A1804" s="44"/>
      <c r="B1804" s="44"/>
      <c r="D1804" s="25"/>
      <c r="E1804" s="44"/>
      <c r="F1804" s="25" t="s">
        <v>123</v>
      </c>
      <c r="G1804" s="25"/>
      <c r="H1804" s="25"/>
      <c r="I1804" s="25"/>
      <c r="J1804" s="25"/>
    </row>
    <row r="1805" spans="1:10" ht="14.4">
      <c r="A1805" s="44"/>
      <c r="B1805" s="44"/>
      <c r="D1805" s="25"/>
      <c r="E1805" s="44"/>
      <c r="F1805" s="25" t="s">
        <v>123</v>
      </c>
      <c r="G1805" s="25"/>
      <c r="H1805" s="25"/>
      <c r="I1805" s="25"/>
      <c r="J1805" s="25"/>
    </row>
    <row r="1806" spans="1:10" ht="14.4">
      <c r="A1806" s="44"/>
      <c r="B1806" s="44"/>
      <c r="D1806" s="25"/>
      <c r="E1806" s="44"/>
      <c r="F1806" s="25" t="s">
        <v>123</v>
      </c>
      <c r="G1806" s="25"/>
      <c r="H1806" s="25"/>
      <c r="I1806" s="25"/>
      <c r="J1806" s="25"/>
    </row>
    <row r="1807" spans="1:10" ht="14.4">
      <c r="A1807" s="44"/>
      <c r="B1807" s="44"/>
      <c r="D1807" s="25"/>
      <c r="E1807" s="44"/>
      <c r="F1807" s="25" t="s">
        <v>123</v>
      </c>
      <c r="G1807" s="25"/>
      <c r="H1807" s="25"/>
      <c r="I1807" s="25"/>
      <c r="J1807" s="25"/>
    </row>
    <row r="2001" spans="1:10" ht="14.4">
      <c r="A2001" s="25"/>
      <c r="B2001" s="25"/>
      <c r="C2001" s="25"/>
      <c r="D2001" s="25"/>
      <c r="E2001" s="25"/>
      <c r="F2001" s="25"/>
      <c r="G2001" s="25"/>
      <c r="H2001" s="25"/>
      <c r="I2001" s="25"/>
      <c r="J2001" s="25"/>
    </row>
    <row r="2002" spans="1:10" ht="14.4">
      <c r="A2002" s="25"/>
      <c r="B2002" s="25"/>
      <c r="C2002" s="25"/>
      <c r="D2002" s="25"/>
      <c r="E2002" s="25"/>
      <c r="F2002" s="25"/>
      <c r="G2002" s="25"/>
      <c r="H2002" s="25"/>
      <c r="I2002" s="25"/>
      <c r="J2002" s="25"/>
    </row>
    <row r="2003" spans="1:10" ht="14.4">
      <c r="A2003" s="25"/>
      <c r="B2003" s="25"/>
      <c r="C2003" s="25"/>
      <c r="D2003" s="25"/>
      <c r="E2003" s="25"/>
      <c r="F2003" s="25"/>
      <c r="G2003" s="25"/>
      <c r="H2003" s="25"/>
      <c r="I2003" s="25"/>
      <c r="J2003" s="25"/>
    </row>
    <row r="2004" spans="1:10" ht="14.4">
      <c r="A2004" s="25"/>
      <c r="B2004" s="25"/>
      <c r="C2004" s="25"/>
      <c r="D2004" s="25"/>
      <c r="E2004" s="25"/>
      <c r="F2004" s="25"/>
      <c r="G2004" s="25"/>
      <c r="H2004" s="25"/>
      <c r="I2004" s="25"/>
      <c r="J2004" s="25"/>
    </row>
    <row r="2005" spans="1:10" ht="14.4">
      <c r="A2005" s="25"/>
      <c r="B2005" s="25"/>
      <c r="C2005" s="25"/>
      <c r="D2005" s="25"/>
      <c r="E2005" s="25"/>
      <c r="F2005" s="25"/>
      <c r="G2005" s="25"/>
      <c r="H2005" s="25"/>
      <c r="I2005" s="25"/>
      <c r="J2005" s="25"/>
    </row>
    <row r="2006" spans="1:10" ht="14.4">
      <c r="A2006" s="25"/>
      <c r="B2006" s="25"/>
      <c r="C2006" s="25"/>
      <c r="D2006" s="25"/>
      <c r="E2006" s="25"/>
      <c r="F2006" s="25"/>
      <c r="G2006" s="25"/>
      <c r="H2006" s="25"/>
      <c r="I2006" s="25"/>
      <c r="J2006" s="25"/>
    </row>
    <row r="2007" spans="1:10" ht="14.4">
      <c r="A2007" s="25"/>
      <c r="B2007" s="25"/>
      <c r="C2007" s="25"/>
      <c r="D2007" s="25"/>
      <c r="E2007" s="25"/>
      <c r="F2007" s="25"/>
      <c r="G2007" s="25"/>
      <c r="H2007" s="25"/>
      <c r="I2007" s="25"/>
      <c r="J2007" s="25"/>
    </row>
    <row r="2008" spans="1:10" ht="14.4">
      <c r="A2008" s="25"/>
      <c r="B2008" s="25"/>
      <c r="C2008" s="25"/>
      <c r="D2008" s="25"/>
      <c r="E2008" s="25"/>
      <c r="F2008" s="25"/>
      <c r="G2008" s="25"/>
      <c r="H2008" s="25"/>
      <c r="I2008" s="25"/>
      <c r="J2008" s="25"/>
    </row>
    <row r="2009" spans="1:10" ht="14.4">
      <c r="A2009" s="25"/>
      <c r="B2009" s="25"/>
      <c r="C2009" s="25"/>
      <c r="D2009" s="25"/>
      <c r="E2009" s="25"/>
      <c r="F2009" s="25"/>
      <c r="G2009" s="25"/>
      <c r="H2009" s="25"/>
      <c r="I2009" s="25"/>
      <c r="J2009" s="25"/>
    </row>
    <row r="2010" spans="1:10" ht="14.4">
      <c r="A2010" s="25"/>
      <c r="B2010" s="25"/>
      <c r="C2010" s="25"/>
      <c r="D2010" s="25"/>
      <c r="E2010" s="25"/>
      <c r="F2010" s="25"/>
      <c r="G2010" s="25"/>
      <c r="H2010" s="25"/>
      <c r="I2010" s="25"/>
      <c r="J2010" s="25"/>
    </row>
    <row r="2011" spans="1:10" ht="14.4">
      <c r="A2011" s="25"/>
      <c r="B2011" s="25"/>
      <c r="C2011" s="25"/>
      <c r="D2011" s="25"/>
      <c r="E2011" s="25"/>
      <c r="F2011" s="25"/>
      <c r="G2011" s="25"/>
      <c r="H2011" s="25"/>
      <c r="I2011" s="25"/>
      <c r="J2011" s="25"/>
    </row>
    <row r="2012" spans="1:10" ht="14.4">
      <c r="A2012" s="25"/>
      <c r="B2012" s="25"/>
      <c r="C2012" s="25"/>
      <c r="D2012" s="25"/>
      <c r="E2012" s="25"/>
      <c r="F2012" s="25"/>
      <c r="G2012" s="25"/>
      <c r="H2012" s="25"/>
      <c r="I2012" s="25"/>
      <c r="J2012" s="25"/>
    </row>
    <row r="2013" spans="1:10" ht="14.4">
      <c r="A2013" s="25"/>
      <c r="B2013" s="25"/>
      <c r="C2013" s="25"/>
      <c r="D2013" s="25"/>
      <c r="E2013" s="25"/>
      <c r="F2013" s="25"/>
      <c r="G2013" s="25"/>
      <c r="H2013" s="25"/>
      <c r="I2013" s="25"/>
      <c r="J2013" s="25"/>
    </row>
    <row r="2014" spans="1:10" ht="14.4">
      <c r="A2014" s="25"/>
      <c r="B2014" s="25"/>
      <c r="C2014" s="25"/>
      <c r="D2014" s="25"/>
      <c r="E2014" s="25"/>
      <c r="F2014" s="25"/>
      <c r="G2014" s="25"/>
      <c r="H2014" s="25"/>
      <c r="I2014" s="25"/>
      <c r="J2014" s="25"/>
    </row>
    <row r="2015" spans="1:10" ht="14.4">
      <c r="A2015" s="25"/>
      <c r="B2015" s="25"/>
      <c r="C2015" s="25"/>
      <c r="D2015" s="25"/>
      <c r="E2015" s="25"/>
      <c r="F2015" s="25"/>
      <c r="G2015" s="25"/>
      <c r="H2015" s="25"/>
      <c r="I2015" s="25"/>
      <c r="J2015" s="25"/>
    </row>
    <row r="2016" spans="1:10" ht="14.4">
      <c r="A2016" s="25"/>
      <c r="B2016" s="25"/>
      <c r="C2016" s="25"/>
      <c r="D2016" s="25"/>
      <c r="E2016" s="25"/>
      <c r="F2016" s="25"/>
      <c r="G2016" s="25"/>
      <c r="H2016" s="25"/>
      <c r="I2016" s="25"/>
      <c r="J2016" s="25"/>
    </row>
    <row r="2017" spans="1:10" ht="14.4">
      <c r="A2017" s="25"/>
      <c r="B2017" s="25"/>
      <c r="C2017" s="25"/>
      <c r="D2017" s="25"/>
      <c r="E2017" s="25"/>
      <c r="F2017" s="25"/>
      <c r="G2017" s="25"/>
      <c r="H2017" s="25"/>
      <c r="I2017" s="25"/>
      <c r="J2017" s="25"/>
    </row>
    <row r="2018" spans="1:10" ht="14.4">
      <c r="A2018" s="25"/>
      <c r="B2018" s="25"/>
      <c r="C2018" s="25"/>
      <c r="D2018" s="25"/>
      <c r="E2018" s="25"/>
      <c r="F2018" s="25"/>
      <c r="G2018" s="25"/>
      <c r="H2018" s="25"/>
      <c r="I2018" s="25"/>
      <c r="J2018" s="25"/>
    </row>
    <row r="2019" spans="1:10" ht="14.4">
      <c r="A2019" s="25"/>
      <c r="B2019" s="25"/>
      <c r="C2019" s="25"/>
      <c r="D2019" s="25"/>
      <c r="E2019" s="25"/>
      <c r="F2019" s="25"/>
      <c r="G2019" s="25"/>
      <c r="H2019" s="25"/>
      <c r="I2019" s="25"/>
      <c r="J2019" s="25"/>
    </row>
    <row r="2020" spans="1:10" ht="14.4">
      <c r="A2020" s="25"/>
      <c r="B2020" s="25"/>
      <c r="C2020" s="25"/>
      <c r="D2020" s="25"/>
      <c r="E2020" s="25"/>
      <c r="F2020" s="25"/>
      <c r="G2020" s="25"/>
      <c r="H2020" s="25"/>
      <c r="I2020" s="25"/>
      <c r="J2020" s="25"/>
    </row>
    <row r="2021" spans="1:10" ht="14.4">
      <c r="A2021" s="25"/>
      <c r="B2021" s="25"/>
      <c r="C2021" s="25"/>
      <c r="D2021" s="25"/>
      <c r="E2021" s="25"/>
      <c r="F2021" s="25"/>
      <c r="G2021" s="25"/>
      <c r="H2021" s="25"/>
      <c r="I2021" s="25"/>
      <c r="J2021" s="25"/>
    </row>
    <row r="2022" spans="1:10" ht="14.4">
      <c r="A2022" s="25"/>
      <c r="B2022" s="25"/>
      <c r="C2022" s="25"/>
      <c r="D2022" s="25"/>
      <c r="E2022" s="25"/>
      <c r="F2022" s="25"/>
      <c r="G2022" s="25"/>
      <c r="H2022" s="25"/>
      <c r="I2022" s="25"/>
      <c r="J2022" s="25"/>
    </row>
    <row r="2023" spans="1:10" ht="14.4">
      <c r="A2023" s="25"/>
      <c r="B2023" s="25"/>
      <c r="C2023" s="25"/>
      <c r="D2023" s="25"/>
      <c r="E2023" s="25"/>
      <c r="F2023" s="25"/>
      <c r="G2023" s="25"/>
      <c r="H2023" s="25"/>
      <c r="I2023" s="25"/>
      <c r="J2023" s="25"/>
    </row>
    <row r="2024" spans="1:10" ht="14.4">
      <c r="A2024" s="25"/>
      <c r="B2024" s="25"/>
      <c r="C2024" s="25"/>
      <c r="D2024" s="25"/>
      <c r="E2024" s="25"/>
      <c r="F2024" s="25"/>
      <c r="G2024" s="25"/>
      <c r="H2024" s="25"/>
      <c r="I2024" s="25"/>
      <c r="J2024" s="25"/>
    </row>
    <row r="2025" spans="1:10" ht="14.4">
      <c r="A2025" s="25"/>
      <c r="B2025" s="25"/>
      <c r="C2025" s="25"/>
      <c r="D2025" s="25"/>
      <c r="E2025" s="25"/>
      <c r="F2025" s="25"/>
      <c r="G2025" s="25"/>
      <c r="H2025" s="25"/>
      <c r="I2025" s="25"/>
      <c r="J2025" s="25"/>
    </row>
    <row r="2026" spans="1:10" ht="14.4">
      <c r="A2026" s="25"/>
      <c r="B2026" s="25"/>
      <c r="C2026" s="25"/>
      <c r="D2026" s="25"/>
      <c r="E2026" s="25"/>
      <c r="F2026" s="25"/>
      <c r="G2026" s="25"/>
      <c r="H2026" s="25"/>
      <c r="I2026" s="25"/>
      <c r="J2026" s="25"/>
    </row>
    <row r="2027" spans="1:10" ht="14.4">
      <c r="A2027" s="25"/>
      <c r="B2027" s="25"/>
      <c r="C2027" s="25"/>
      <c r="D2027" s="25"/>
      <c r="E2027" s="25"/>
      <c r="F2027" s="25"/>
      <c r="G2027" s="25"/>
      <c r="H2027" s="25"/>
      <c r="I2027" s="25"/>
      <c r="J2027" s="25"/>
    </row>
    <row r="2028" spans="1:10" ht="14.4">
      <c r="A2028" s="25"/>
      <c r="B2028" s="25"/>
      <c r="C2028" s="25"/>
      <c r="D2028" s="25"/>
      <c r="E2028" s="25"/>
      <c r="F2028" s="25"/>
      <c r="G2028" s="25"/>
      <c r="H2028" s="25"/>
      <c r="I2028" s="25"/>
      <c r="J2028" s="25"/>
    </row>
    <row r="2029" spans="1:10" ht="14.4">
      <c r="A2029" s="25"/>
      <c r="B2029" s="25"/>
      <c r="C2029" s="25"/>
      <c r="D2029" s="25"/>
      <c r="E2029" s="25"/>
      <c r="F2029" s="25"/>
      <c r="G2029" s="25"/>
      <c r="H2029" s="25"/>
      <c r="I2029" s="25"/>
      <c r="J2029" s="25"/>
    </row>
    <row r="2030" spans="1:10" ht="14.4">
      <c r="A2030" s="25"/>
      <c r="B2030" s="25"/>
      <c r="C2030" s="25"/>
      <c r="D2030" s="25"/>
      <c r="E2030" s="25"/>
      <c r="F2030" s="25"/>
      <c r="G2030" s="25"/>
      <c r="H2030" s="25"/>
      <c r="I2030" s="25"/>
      <c r="J2030" s="25"/>
    </row>
    <row r="2031" spans="1:10" ht="14.4">
      <c r="A2031" s="25"/>
      <c r="B2031" s="25"/>
      <c r="C2031" s="25"/>
      <c r="D2031" s="25"/>
      <c r="E2031" s="25"/>
      <c r="F2031" s="25"/>
      <c r="G2031" s="25"/>
      <c r="H2031" s="25"/>
      <c r="I2031" s="25"/>
      <c r="J2031" s="25"/>
    </row>
    <row r="2032" spans="1:10" ht="14.4">
      <c r="A2032" s="25"/>
      <c r="B2032" s="25"/>
      <c r="C2032" s="25"/>
      <c r="D2032" s="25"/>
      <c r="E2032" s="25"/>
      <c r="F2032" s="25"/>
      <c r="G2032" s="25"/>
      <c r="H2032" s="25"/>
      <c r="I2032" s="25"/>
      <c r="J2032" s="25"/>
    </row>
    <row r="2033" spans="1:10" ht="14.4">
      <c r="A2033" s="25"/>
      <c r="B2033" s="25"/>
      <c r="C2033" s="25"/>
      <c r="D2033" s="25"/>
      <c r="E2033" s="25"/>
      <c r="F2033" s="25"/>
      <c r="G2033" s="25"/>
      <c r="H2033" s="25"/>
      <c r="I2033" s="25"/>
      <c r="J2033" s="25"/>
    </row>
    <row r="2034" spans="1:10" ht="14.4">
      <c r="A2034" s="25"/>
      <c r="B2034" s="25"/>
      <c r="C2034" s="25"/>
      <c r="D2034" s="25"/>
      <c r="E2034" s="25"/>
      <c r="F2034" s="25"/>
      <c r="G2034" s="25"/>
      <c r="H2034" s="25"/>
      <c r="I2034" s="25"/>
      <c r="J2034" s="25"/>
    </row>
    <row r="2035" spans="1:10" ht="14.4">
      <c r="A2035" s="25"/>
      <c r="B2035" s="25"/>
      <c r="C2035" s="25"/>
      <c r="D2035" s="25"/>
      <c r="E2035" s="25"/>
      <c r="F2035" s="25"/>
      <c r="G2035" s="25"/>
      <c r="H2035" s="25"/>
      <c r="I2035" s="25"/>
      <c r="J2035" s="25"/>
    </row>
    <row r="2036" spans="1:10" ht="14.4">
      <c r="A2036" s="25"/>
      <c r="B2036" s="25"/>
      <c r="C2036" s="25"/>
      <c r="D2036" s="25"/>
      <c r="E2036" s="25"/>
      <c r="F2036" s="25"/>
      <c r="G2036" s="25"/>
      <c r="H2036" s="25"/>
      <c r="I2036" s="25"/>
      <c r="J2036" s="25"/>
    </row>
    <row r="2037" spans="1:10" ht="14.4">
      <c r="A2037" s="25"/>
      <c r="B2037" s="25"/>
      <c r="C2037" s="25"/>
      <c r="D2037" s="25"/>
      <c r="E2037" s="25"/>
      <c r="F2037" s="25"/>
      <c r="G2037" s="25"/>
      <c r="H2037" s="25"/>
      <c r="I2037" s="25"/>
      <c r="J2037" s="25"/>
    </row>
    <row r="2038" spans="1:10" ht="14.4">
      <c r="A2038" s="25"/>
      <c r="B2038" s="25"/>
      <c r="C2038" s="25"/>
      <c r="D2038" s="25"/>
      <c r="E2038" s="25"/>
      <c r="F2038" s="25"/>
      <c r="G2038" s="25"/>
      <c r="H2038" s="25"/>
      <c r="I2038" s="25"/>
      <c r="J2038" s="25"/>
    </row>
    <row r="2039" spans="1:10" ht="14.4">
      <c r="A2039" s="25"/>
      <c r="B2039" s="25"/>
      <c r="C2039" s="25"/>
      <c r="D2039" s="25"/>
      <c r="E2039" s="25"/>
      <c r="F2039" s="25"/>
      <c r="G2039" s="25"/>
      <c r="H2039" s="25"/>
      <c r="I2039" s="25"/>
      <c r="J2039" s="25"/>
    </row>
    <row r="2040" spans="1:10" ht="14.4">
      <c r="A2040" s="25"/>
      <c r="B2040" s="25"/>
      <c r="C2040" s="25"/>
      <c r="D2040" s="25"/>
      <c r="E2040" s="25"/>
      <c r="F2040" s="25"/>
      <c r="G2040" s="25"/>
      <c r="H2040" s="25"/>
      <c r="I2040" s="25"/>
      <c r="J2040" s="25"/>
    </row>
    <row r="2041" spans="1:10" ht="14.4">
      <c r="A2041" s="25"/>
      <c r="B2041" s="25"/>
      <c r="C2041" s="25"/>
      <c r="D2041" s="25"/>
      <c r="E2041" s="25"/>
      <c r="F2041" s="25"/>
      <c r="G2041" s="25"/>
      <c r="H2041" s="25"/>
      <c r="I2041" s="25"/>
      <c r="J2041" s="25"/>
    </row>
    <row r="2042" spans="1:10" ht="14.4">
      <c r="A2042" s="25"/>
      <c r="B2042" s="25"/>
      <c r="C2042" s="25"/>
      <c r="D2042" s="25"/>
      <c r="E2042" s="25"/>
      <c r="F2042" s="25"/>
      <c r="G2042" s="25"/>
      <c r="H2042" s="25"/>
      <c r="I2042" s="25"/>
      <c r="J2042" s="25"/>
    </row>
    <row r="2043" spans="1:10" ht="14.4">
      <c r="A2043" s="25"/>
      <c r="B2043" s="25"/>
      <c r="C2043" s="25"/>
      <c r="D2043" s="25"/>
      <c r="E2043" s="25"/>
      <c r="F2043" s="25"/>
      <c r="G2043" s="25"/>
      <c r="H2043" s="25"/>
      <c r="I2043" s="25"/>
      <c r="J2043" s="25"/>
    </row>
    <row r="2044" spans="1:10" ht="14.4">
      <c r="A2044" s="25"/>
      <c r="B2044" s="25"/>
      <c r="C2044" s="25"/>
      <c r="D2044" s="25"/>
      <c r="E2044" s="25"/>
      <c r="F2044" s="25"/>
      <c r="G2044" s="25"/>
      <c r="H2044" s="25"/>
      <c r="I2044" s="25"/>
      <c r="J2044" s="25"/>
    </row>
    <row r="2045" spans="1:10" ht="14.4">
      <c r="A2045" s="25"/>
      <c r="B2045" s="25"/>
      <c r="C2045" s="25"/>
      <c r="D2045" s="25"/>
      <c r="E2045" s="25"/>
      <c r="F2045" s="25"/>
      <c r="G2045" s="25"/>
      <c r="H2045" s="25"/>
      <c r="I2045" s="25"/>
      <c r="J2045" s="25"/>
    </row>
    <row r="2046" spans="1:10" ht="14.4">
      <c r="A2046" s="25"/>
      <c r="B2046" s="25"/>
      <c r="C2046" s="25"/>
      <c r="D2046" s="25"/>
      <c r="E2046" s="25"/>
      <c r="F2046" s="25"/>
      <c r="G2046" s="25"/>
      <c r="H2046" s="25"/>
      <c r="I2046" s="25"/>
      <c r="J2046" s="25"/>
    </row>
    <row r="2047" spans="1:10" ht="14.4">
      <c r="A2047" s="25"/>
      <c r="B2047" s="25"/>
      <c r="C2047" s="25"/>
      <c r="D2047" s="25"/>
      <c r="E2047" s="25"/>
      <c r="F2047" s="25"/>
      <c r="G2047" s="25"/>
      <c r="H2047" s="25"/>
      <c r="I2047" s="25"/>
      <c r="J2047" s="25"/>
    </row>
    <row r="2048" spans="1:10" ht="14.4">
      <c r="A2048" s="25"/>
      <c r="B2048" s="25"/>
      <c r="C2048" s="25"/>
      <c r="D2048" s="25"/>
      <c r="E2048" s="25"/>
      <c r="F2048" s="25"/>
      <c r="G2048" s="25"/>
      <c r="H2048" s="25"/>
      <c r="I2048" s="25"/>
      <c r="J2048" s="25"/>
    </row>
    <row r="2049" spans="1:10" ht="14.4">
      <c r="A2049" s="25"/>
      <c r="B2049" s="25"/>
      <c r="C2049" s="25"/>
      <c r="D2049" s="25"/>
      <c r="E2049" s="25"/>
      <c r="F2049" s="25"/>
      <c r="G2049" s="25"/>
      <c r="H2049" s="25"/>
      <c r="I2049" s="25"/>
      <c r="J2049" s="25"/>
    </row>
    <row r="2050" spans="1:10" ht="14.4">
      <c r="A2050" s="25"/>
      <c r="B2050" s="25"/>
      <c r="C2050" s="25"/>
      <c r="D2050" s="25"/>
      <c r="E2050" s="25"/>
      <c r="F2050" s="25"/>
      <c r="G2050" s="25"/>
      <c r="H2050" s="25"/>
      <c r="I2050" s="25"/>
      <c r="J2050" s="25"/>
    </row>
    <row r="2051" spans="1:10" ht="14.4">
      <c r="A2051" s="25"/>
      <c r="B2051" s="25"/>
      <c r="C2051" s="25"/>
      <c r="D2051" s="25"/>
      <c r="E2051" s="25"/>
      <c r="F2051" s="25"/>
      <c r="G2051" s="25"/>
      <c r="H2051" s="25"/>
      <c r="I2051" s="25"/>
      <c r="J2051" s="25"/>
    </row>
    <row r="2052" spans="1:10" ht="14.4">
      <c r="A2052" s="25"/>
      <c r="B2052" s="25"/>
      <c r="C2052" s="25"/>
      <c r="D2052" s="25"/>
      <c r="E2052" s="25"/>
      <c r="F2052" s="25"/>
      <c r="G2052" s="25"/>
      <c r="H2052" s="25"/>
      <c r="I2052" s="25"/>
      <c r="J2052" s="25"/>
    </row>
    <row r="2053" spans="1:10" ht="14.4">
      <c r="A2053" s="25"/>
      <c r="B2053" s="25"/>
      <c r="C2053" s="25"/>
      <c r="D2053" s="25"/>
      <c r="E2053" s="25"/>
      <c r="F2053" s="25"/>
      <c r="G2053" s="25"/>
      <c r="H2053" s="25"/>
      <c r="I2053" s="25"/>
      <c r="J2053" s="25"/>
    </row>
    <row r="2054" spans="1:10" ht="14.4">
      <c r="A2054" s="25"/>
      <c r="B2054" s="25"/>
      <c r="C2054" s="25"/>
      <c r="D2054" s="25"/>
      <c r="E2054" s="25"/>
      <c r="F2054" s="25"/>
      <c r="G2054" s="25"/>
      <c r="H2054" s="25"/>
      <c r="I2054" s="25"/>
      <c r="J2054" s="25"/>
    </row>
    <row r="2055" spans="1:10" ht="14.4">
      <c r="A2055" s="25"/>
      <c r="B2055" s="25"/>
      <c r="C2055" s="25"/>
      <c r="D2055" s="25"/>
      <c r="E2055" s="25"/>
      <c r="F2055" s="25"/>
      <c r="G2055" s="25"/>
      <c r="H2055" s="25"/>
      <c r="I2055" s="25"/>
      <c r="J2055" s="25"/>
    </row>
    <row r="2056" spans="1:10" ht="14.4">
      <c r="A2056" s="25"/>
      <c r="B2056" s="25"/>
      <c r="C2056" s="25"/>
      <c r="D2056" s="25"/>
      <c r="E2056" s="25"/>
      <c r="F2056" s="25"/>
      <c r="G2056" s="25"/>
      <c r="H2056" s="25"/>
      <c r="I2056" s="25"/>
      <c r="J2056" s="25"/>
    </row>
    <row r="2057" spans="1:10" ht="14.4">
      <c r="A2057" s="25"/>
      <c r="B2057" s="25"/>
      <c r="C2057" s="25"/>
      <c r="D2057" s="25"/>
      <c r="E2057" s="25"/>
      <c r="F2057" s="25"/>
      <c r="G2057" s="25"/>
      <c r="H2057" s="25"/>
      <c r="I2057" s="25"/>
      <c r="J2057" s="25"/>
    </row>
    <row r="2058" spans="1:10" ht="14.4">
      <c r="A2058" s="25"/>
      <c r="B2058" s="25"/>
      <c r="C2058" s="25"/>
      <c r="D2058" s="25"/>
      <c r="E2058" s="25"/>
      <c r="F2058" s="25"/>
      <c r="G2058" s="25"/>
      <c r="H2058" s="25"/>
      <c r="I2058" s="25"/>
      <c r="J2058" s="25"/>
    </row>
    <row r="2059" spans="1:10" ht="14.4">
      <c r="A2059" s="25"/>
      <c r="B2059" s="25"/>
      <c r="C2059" s="25"/>
      <c r="D2059" s="25"/>
      <c r="E2059" s="25"/>
      <c r="F2059" s="25"/>
      <c r="G2059" s="25"/>
      <c r="H2059" s="25"/>
      <c r="I2059" s="25"/>
      <c r="J2059" s="25"/>
    </row>
    <row r="2060" spans="1:10" ht="14.4">
      <c r="A2060" s="25"/>
      <c r="B2060" s="25"/>
      <c r="C2060" s="25"/>
      <c r="D2060" s="25"/>
      <c r="E2060" s="25"/>
      <c r="F2060" s="25"/>
      <c r="G2060" s="25"/>
      <c r="H2060" s="25"/>
      <c r="I2060" s="25"/>
      <c r="J2060" s="25"/>
    </row>
    <row r="2061" spans="1:10" ht="14.4">
      <c r="A2061" s="25"/>
      <c r="B2061" s="25"/>
      <c r="C2061" s="25"/>
      <c r="D2061" s="25"/>
      <c r="E2061" s="25"/>
      <c r="F2061" s="25"/>
      <c r="G2061" s="25"/>
      <c r="H2061" s="25"/>
      <c r="I2061" s="25"/>
      <c r="J2061" s="25"/>
    </row>
    <row r="2062" spans="1:10" ht="14.4">
      <c r="A2062" s="25"/>
      <c r="B2062" s="25"/>
      <c r="C2062" s="25"/>
      <c r="D2062" s="25"/>
      <c r="E2062" s="25"/>
      <c r="F2062" s="25"/>
      <c r="G2062" s="25"/>
      <c r="H2062" s="25"/>
      <c r="I2062" s="25"/>
      <c r="J2062" s="25"/>
    </row>
    <row r="2063" spans="1:10" ht="14.4">
      <c r="A2063" s="25"/>
      <c r="B2063" s="25"/>
      <c r="C2063" s="25"/>
      <c r="D2063" s="25"/>
      <c r="E2063" s="25"/>
      <c r="F2063" s="25"/>
      <c r="G2063" s="25"/>
      <c r="H2063" s="25"/>
      <c r="I2063" s="25"/>
      <c r="J2063" s="25"/>
    </row>
    <row r="2064" spans="1:10" ht="14.4">
      <c r="A2064" s="25"/>
      <c r="B2064" s="25"/>
      <c r="C2064" s="25"/>
      <c r="D2064" s="25"/>
      <c r="E2064" s="25"/>
      <c r="F2064" s="25"/>
      <c r="G2064" s="25"/>
      <c r="H2064" s="25"/>
      <c r="I2064" s="25"/>
      <c r="J2064" s="25"/>
    </row>
    <row r="2065" spans="1:10" ht="14.4">
      <c r="A2065" s="25"/>
      <c r="B2065" s="25"/>
      <c r="C2065" s="25"/>
      <c r="D2065" s="25"/>
      <c r="E2065" s="25"/>
      <c r="F2065" s="25"/>
      <c r="G2065" s="25"/>
      <c r="H2065" s="25"/>
      <c r="I2065" s="25"/>
      <c r="J2065" s="25"/>
    </row>
    <row r="2066" spans="1:10" ht="14.4">
      <c r="A2066" s="25"/>
      <c r="B2066" s="25"/>
      <c r="C2066" s="25"/>
      <c r="D2066" s="25"/>
      <c r="E2066" s="25"/>
      <c r="F2066" s="25"/>
      <c r="G2066" s="25"/>
      <c r="H2066" s="25"/>
      <c r="I2066" s="25"/>
      <c r="J2066" s="25"/>
    </row>
    <row r="2067" spans="1:10" ht="14.4">
      <c r="A2067" s="25"/>
      <c r="B2067" s="25"/>
      <c r="C2067" s="25"/>
      <c r="D2067" s="25"/>
      <c r="E2067" s="25"/>
      <c r="F2067" s="25"/>
      <c r="G2067" s="25"/>
      <c r="H2067" s="25"/>
      <c r="I2067" s="25"/>
      <c r="J2067" s="25"/>
    </row>
    <row r="2068" spans="1:10" ht="14.4">
      <c r="A2068" s="25"/>
      <c r="B2068" s="25"/>
      <c r="C2068" s="25"/>
      <c r="D2068" s="25"/>
      <c r="E2068" s="25"/>
      <c r="F2068" s="25"/>
      <c r="G2068" s="25"/>
      <c r="H2068" s="25"/>
      <c r="I2068" s="25"/>
      <c r="J2068" s="25"/>
    </row>
    <row r="2069" spans="1:10" ht="14.4">
      <c r="A2069" s="25"/>
      <c r="B2069" s="25"/>
      <c r="C2069" s="25"/>
      <c r="D2069" s="25"/>
      <c r="E2069" s="25"/>
      <c r="F2069" s="25"/>
      <c r="G2069" s="25"/>
      <c r="H2069" s="25"/>
      <c r="I2069" s="25"/>
      <c r="J2069" s="25"/>
    </row>
    <row r="2070" spans="1:10" ht="14.4">
      <c r="A2070" s="25"/>
      <c r="B2070" s="25"/>
      <c r="C2070" s="25"/>
      <c r="D2070" s="25"/>
      <c r="E2070" s="25"/>
      <c r="F2070" s="25"/>
      <c r="G2070" s="25"/>
      <c r="H2070" s="25"/>
      <c r="I2070" s="25"/>
      <c r="J2070" s="25"/>
    </row>
    <row r="2071" spans="1:10" ht="14.4">
      <c r="A2071" s="25"/>
      <c r="B2071" s="25"/>
      <c r="C2071" s="25"/>
      <c r="D2071" s="25"/>
      <c r="E2071" s="25"/>
      <c r="F2071" s="25"/>
      <c r="G2071" s="25"/>
      <c r="H2071" s="25"/>
      <c r="I2071" s="25"/>
      <c r="J2071" s="25"/>
    </row>
    <row r="2072" spans="1:10" ht="14.4">
      <c r="A2072" s="25"/>
      <c r="B2072" s="25"/>
      <c r="C2072" s="25"/>
      <c r="D2072" s="25"/>
      <c r="E2072" s="25"/>
      <c r="F2072" s="25"/>
      <c r="G2072" s="25"/>
      <c r="H2072" s="25"/>
      <c r="I2072" s="25"/>
      <c r="J2072" s="25"/>
    </row>
    <row r="2073" spans="1:10" ht="14.4">
      <c r="A2073" s="25"/>
      <c r="B2073" s="25"/>
      <c r="C2073" s="25"/>
      <c r="D2073" s="25"/>
      <c r="E2073" s="25"/>
      <c r="F2073" s="25"/>
      <c r="G2073" s="25"/>
      <c r="H2073" s="25"/>
      <c r="I2073" s="25"/>
      <c r="J2073" s="25"/>
    </row>
    <row r="2074" spans="1:10" ht="14.4">
      <c r="A2074" s="25"/>
      <c r="B2074" s="25"/>
      <c r="C2074" s="25"/>
      <c r="D2074" s="25"/>
      <c r="E2074" s="25"/>
      <c r="F2074" s="25"/>
      <c r="G2074" s="25"/>
      <c r="H2074" s="25"/>
      <c r="I2074" s="25"/>
      <c r="J2074" s="25"/>
    </row>
    <row r="2075" spans="1:10" ht="14.4">
      <c r="A2075" s="25"/>
      <c r="B2075" s="25"/>
      <c r="C2075" s="25"/>
      <c r="D2075" s="25"/>
      <c r="E2075" s="25"/>
      <c r="F2075" s="25"/>
      <c r="G2075" s="25"/>
      <c r="H2075" s="25"/>
      <c r="I2075" s="25"/>
      <c r="J2075" s="25"/>
    </row>
    <row r="2076" spans="1:10" ht="14.4">
      <c r="A2076" s="25"/>
      <c r="B2076" s="25"/>
      <c r="C2076" s="25"/>
      <c r="D2076" s="25"/>
      <c r="E2076" s="25"/>
      <c r="F2076" s="25"/>
      <c r="G2076" s="25"/>
      <c r="H2076" s="25"/>
      <c r="I2076" s="25"/>
      <c r="J2076" s="25"/>
    </row>
    <row r="2077" spans="1:10" ht="14.4">
      <c r="A2077" s="25"/>
      <c r="B2077" s="25"/>
      <c r="C2077" s="25"/>
      <c r="D2077" s="25"/>
      <c r="E2077" s="25"/>
      <c r="F2077" s="25"/>
      <c r="G2077" s="25"/>
      <c r="H2077" s="25"/>
      <c r="I2077" s="25"/>
      <c r="J2077" s="25"/>
    </row>
    <row r="2078" spans="1:10" ht="14.4">
      <c r="A2078" s="25"/>
      <c r="B2078" s="25"/>
      <c r="C2078" s="25"/>
      <c r="D2078" s="25"/>
      <c r="E2078" s="25"/>
      <c r="F2078" s="25"/>
      <c r="G2078" s="25"/>
      <c r="H2078" s="25"/>
      <c r="I2078" s="25"/>
      <c r="J2078" s="25"/>
    </row>
    <row r="2079" spans="1:10" ht="14.4">
      <c r="A2079" s="25"/>
      <c r="B2079" s="25"/>
      <c r="C2079" s="25"/>
      <c r="D2079" s="25"/>
      <c r="E2079" s="25"/>
      <c r="F2079" s="25"/>
      <c r="G2079" s="25"/>
      <c r="H2079" s="25"/>
      <c r="I2079" s="25"/>
      <c r="J2079" s="25"/>
    </row>
    <row r="2080" spans="1:10" ht="14.4">
      <c r="A2080" s="25"/>
      <c r="B2080" s="25"/>
      <c r="C2080" s="25"/>
      <c r="D2080" s="25"/>
      <c r="E2080" s="25"/>
      <c r="F2080" s="25"/>
      <c r="G2080" s="25"/>
      <c r="H2080" s="25"/>
      <c r="I2080" s="25"/>
      <c r="J2080" s="25"/>
    </row>
    <row r="2081" spans="1:10" ht="14.4">
      <c r="A2081" s="25"/>
      <c r="B2081" s="25"/>
      <c r="C2081" s="25"/>
      <c r="D2081" s="25"/>
      <c r="E2081" s="25"/>
      <c r="F2081" s="25"/>
      <c r="G2081" s="25"/>
      <c r="H2081" s="25"/>
      <c r="I2081" s="25"/>
      <c r="J2081" s="25"/>
    </row>
    <row r="2082" spans="1:10" ht="14.4">
      <c r="A2082" s="25"/>
      <c r="B2082" s="25"/>
      <c r="C2082" s="25"/>
      <c r="D2082" s="25"/>
      <c r="E2082" s="25"/>
      <c r="F2082" s="25"/>
      <c r="G2082" s="25"/>
      <c r="H2082" s="25"/>
      <c r="I2082" s="25"/>
      <c r="J2082" s="25"/>
    </row>
    <row r="2083" spans="1:10" ht="14.4">
      <c r="A2083" s="25"/>
      <c r="B2083" s="25"/>
      <c r="C2083" s="25"/>
      <c r="D2083" s="25"/>
      <c r="E2083" s="25"/>
      <c r="F2083" s="25"/>
      <c r="G2083" s="25"/>
      <c r="H2083" s="25"/>
      <c r="I2083" s="25"/>
      <c r="J2083" s="25"/>
    </row>
    <row r="2084" spans="1:10" ht="14.4">
      <c r="A2084" s="25"/>
      <c r="B2084" s="25"/>
      <c r="C2084" s="25"/>
      <c r="D2084" s="25"/>
      <c r="E2084" s="25"/>
      <c r="F2084" s="25"/>
      <c r="G2084" s="25"/>
      <c r="H2084" s="25"/>
      <c r="I2084" s="25"/>
      <c r="J2084" s="25"/>
    </row>
    <row r="2085" spans="1:10" ht="14.4">
      <c r="A2085" s="25"/>
      <c r="B2085" s="25"/>
      <c r="C2085" s="25"/>
      <c r="D2085" s="25"/>
      <c r="E2085" s="25"/>
      <c r="F2085" s="25"/>
      <c r="G2085" s="25"/>
      <c r="H2085" s="25"/>
      <c r="I2085" s="25"/>
      <c r="J2085" s="25"/>
    </row>
    <row r="2086" spans="1:10" ht="14.4">
      <c r="A2086" s="25"/>
      <c r="B2086" s="25"/>
      <c r="C2086" s="25"/>
      <c r="D2086" s="25"/>
      <c r="E2086" s="25"/>
      <c r="F2086" s="25"/>
      <c r="G2086" s="25"/>
      <c r="H2086" s="25"/>
      <c r="I2086" s="25"/>
      <c r="J2086" s="25"/>
    </row>
    <row r="2087" spans="1:10" ht="14.4">
      <c r="A2087" s="25"/>
      <c r="B2087" s="25"/>
      <c r="C2087" s="25"/>
      <c r="D2087" s="25"/>
      <c r="E2087" s="25"/>
      <c r="F2087" s="25"/>
      <c r="G2087" s="25"/>
      <c r="H2087" s="25"/>
      <c r="I2087" s="25"/>
      <c r="J2087" s="25"/>
    </row>
    <row r="2088" spans="1:10" ht="14.4">
      <c r="A2088" s="25"/>
      <c r="B2088" s="25"/>
      <c r="C2088" s="25"/>
      <c r="D2088" s="25"/>
      <c r="E2088" s="25"/>
      <c r="F2088" s="25"/>
      <c r="G2088" s="25"/>
      <c r="H2088" s="25"/>
      <c r="I2088" s="25"/>
      <c r="J2088" s="25"/>
    </row>
    <row r="2089" spans="1:10" ht="14.4">
      <c r="A2089" s="25"/>
      <c r="B2089" s="25"/>
      <c r="C2089" s="25"/>
      <c r="D2089" s="25"/>
      <c r="E2089" s="25"/>
      <c r="F2089" s="25"/>
      <c r="G2089" s="25"/>
      <c r="H2089" s="25"/>
      <c r="I2089" s="25"/>
      <c r="J2089" s="25"/>
    </row>
    <row r="2090" spans="1:10" ht="14.4">
      <c r="A2090" s="25"/>
      <c r="B2090" s="25"/>
      <c r="C2090" s="25"/>
      <c r="D2090" s="25"/>
      <c r="E2090" s="25"/>
      <c r="F2090" s="25"/>
      <c r="G2090" s="25"/>
      <c r="H2090" s="25"/>
      <c r="I2090" s="25"/>
      <c r="J2090" s="25"/>
    </row>
    <row r="2091" spans="1:10" ht="14.4">
      <c r="A2091" s="25"/>
      <c r="B2091" s="25"/>
      <c r="C2091" s="25"/>
      <c r="D2091" s="25"/>
      <c r="E2091" s="25"/>
      <c r="F2091" s="25"/>
      <c r="G2091" s="25"/>
      <c r="H2091" s="25"/>
      <c r="I2091" s="25"/>
      <c r="J2091" s="25"/>
    </row>
    <row r="2092" spans="1:10" ht="14.4">
      <c r="A2092" s="25"/>
      <c r="B2092" s="25"/>
      <c r="C2092" s="25"/>
      <c r="D2092" s="25"/>
      <c r="E2092" s="25"/>
      <c r="F2092" s="25"/>
      <c r="G2092" s="25"/>
      <c r="H2092" s="25"/>
      <c r="I2092" s="25"/>
      <c r="J2092" s="25"/>
    </row>
    <row r="2093" spans="1:10" ht="14.4">
      <c r="A2093" s="25"/>
      <c r="B2093" s="25"/>
      <c r="C2093" s="25"/>
      <c r="D2093" s="25"/>
      <c r="E2093" s="25"/>
      <c r="F2093" s="25"/>
      <c r="G2093" s="25"/>
      <c r="H2093" s="25"/>
      <c r="I2093" s="25"/>
      <c r="J2093" s="25"/>
    </row>
    <row r="2094" spans="1:10" ht="14.4">
      <c r="A2094" s="25"/>
      <c r="B2094" s="25"/>
      <c r="C2094" s="25"/>
      <c r="D2094" s="25"/>
      <c r="E2094" s="25"/>
      <c r="F2094" s="25"/>
      <c r="G2094" s="25"/>
      <c r="H2094" s="25"/>
      <c r="I2094" s="25"/>
      <c r="J2094" s="25"/>
    </row>
    <row r="2095" spans="1:10" ht="14.4">
      <c r="A2095" s="25"/>
      <c r="B2095" s="25"/>
      <c r="C2095" s="25"/>
      <c r="D2095" s="25"/>
      <c r="E2095" s="25"/>
      <c r="F2095" s="25"/>
      <c r="G2095" s="25"/>
      <c r="H2095" s="25"/>
      <c r="I2095" s="25"/>
      <c r="J2095" s="25"/>
    </row>
    <row r="2096" spans="1:10" ht="14.4">
      <c r="A2096" s="25"/>
      <c r="B2096" s="25"/>
      <c r="C2096" s="25"/>
      <c r="D2096" s="25"/>
      <c r="E2096" s="25"/>
      <c r="F2096" s="25"/>
      <c r="G2096" s="25"/>
      <c r="H2096" s="25"/>
      <c r="I2096" s="25"/>
      <c r="J2096" s="25"/>
    </row>
    <row r="2097" spans="1:10" ht="14.4">
      <c r="A2097" s="25"/>
      <c r="B2097" s="25"/>
      <c r="C2097" s="25"/>
      <c r="D2097" s="25"/>
      <c r="E2097" s="25"/>
      <c r="F2097" s="25"/>
      <c r="G2097" s="25"/>
      <c r="H2097" s="25"/>
      <c r="I2097" s="25"/>
      <c r="J2097" s="25"/>
    </row>
    <row r="2098" spans="1:10" ht="14.4">
      <c r="A2098" s="25"/>
      <c r="B2098" s="25"/>
      <c r="C2098" s="25"/>
      <c r="D2098" s="25"/>
      <c r="E2098" s="25"/>
      <c r="F2098" s="25"/>
      <c r="G2098" s="25"/>
      <c r="H2098" s="25"/>
      <c r="I2098" s="25"/>
      <c r="J2098" s="25"/>
    </row>
    <row r="2099" spans="1:10" ht="14.4">
      <c r="A2099" s="25"/>
      <c r="B2099" s="25"/>
      <c r="C2099" s="25"/>
      <c r="D2099" s="25"/>
      <c r="E2099" s="25"/>
      <c r="F2099" s="25"/>
      <c r="G2099" s="25"/>
      <c r="H2099" s="25"/>
      <c r="I2099" s="25"/>
      <c r="J2099" s="25"/>
    </row>
    <row r="2100" spans="1:10" ht="14.4">
      <c r="A2100" s="25"/>
      <c r="B2100" s="25"/>
      <c r="C2100" s="25"/>
      <c r="D2100" s="25"/>
      <c r="E2100" s="25"/>
      <c r="F2100" s="25"/>
      <c r="G2100" s="25"/>
      <c r="H2100" s="25"/>
      <c r="I2100" s="25"/>
      <c r="J2100" s="25"/>
    </row>
    <row r="2101" spans="1:10" ht="14.4">
      <c r="A2101" s="25"/>
      <c r="B2101" s="25"/>
      <c r="C2101" s="25"/>
      <c r="D2101" s="25"/>
      <c r="E2101" s="25"/>
      <c r="F2101" s="25"/>
      <c r="G2101" s="25"/>
      <c r="H2101" s="25"/>
      <c r="I2101" s="25"/>
      <c r="J2101" s="25"/>
    </row>
    <row r="2102" spans="1:10" ht="14.4">
      <c r="A2102" s="25"/>
      <c r="B2102" s="25"/>
      <c r="C2102" s="25"/>
      <c r="D2102" s="25"/>
      <c r="E2102" s="25"/>
      <c r="F2102" s="25"/>
      <c r="G2102" s="25"/>
      <c r="H2102" s="25"/>
      <c r="I2102" s="25"/>
      <c r="J2102" s="25"/>
    </row>
    <row r="2103" spans="1:10" ht="14.4">
      <c r="A2103" s="25"/>
      <c r="B2103" s="25"/>
      <c r="C2103" s="25"/>
      <c r="D2103" s="25"/>
      <c r="E2103" s="25"/>
      <c r="F2103" s="25"/>
      <c r="G2103" s="25"/>
      <c r="H2103" s="25"/>
      <c r="I2103" s="25"/>
      <c r="J2103" s="25"/>
    </row>
    <row r="2104" spans="1:10" ht="14.4">
      <c r="A2104" s="25"/>
      <c r="B2104" s="25"/>
      <c r="C2104" s="25"/>
      <c r="D2104" s="25"/>
      <c r="E2104" s="25"/>
      <c r="F2104" s="25"/>
      <c r="G2104" s="25"/>
      <c r="H2104" s="25"/>
      <c r="I2104" s="25"/>
      <c r="J2104" s="25"/>
    </row>
    <row r="2105" spans="1:10" ht="14.4">
      <c r="A2105" s="25"/>
      <c r="B2105" s="25"/>
      <c r="C2105" s="25"/>
      <c r="D2105" s="25"/>
      <c r="E2105" s="25"/>
      <c r="F2105" s="25"/>
      <c r="G2105" s="25"/>
      <c r="H2105" s="25"/>
      <c r="I2105" s="25"/>
      <c r="J2105" s="25"/>
    </row>
    <row r="2106" spans="1:10" ht="14.4">
      <c r="A2106" s="25"/>
      <c r="B2106" s="25"/>
      <c r="C2106" s="25"/>
      <c r="D2106" s="25"/>
      <c r="E2106" s="25"/>
      <c r="F2106" s="25"/>
      <c r="G2106" s="25"/>
      <c r="H2106" s="25"/>
      <c r="I2106" s="25"/>
      <c r="J2106" s="25"/>
    </row>
    <row r="2107" spans="1:10" ht="14.4">
      <c r="A2107" s="25"/>
      <c r="B2107" s="25"/>
      <c r="C2107" s="25"/>
      <c r="D2107" s="25"/>
      <c r="E2107" s="25"/>
      <c r="F2107" s="25"/>
      <c r="G2107" s="25"/>
      <c r="H2107" s="25"/>
      <c r="I2107" s="25"/>
      <c r="J2107" s="25"/>
    </row>
    <row r="2108" spans="1:10" ht="14.4">
      <c r="A2108" s="25"/>
      <c r="B2108" s="25"/>
      <c r="C2108" s="25"/>
      <c r="D2108" s="25"/>
      <c r="E2108" s="25"/>
      <c r="F2108" s="25"/>
      <c r="G2108" s="25"/>
      <c r="H2108" s="25"/>
      <c r="I2108" s="25"/>
      <c r="J2108" s="25"/>
    </row>
    <row r="2109" spans="1:10" ht="14.4">
      <c r="A2109" s="25"/>
      <c r="B2109" s="25"/>
      <c r="C2109" s="25"/>
      <c r="D2109" s="25"/>
      <c r="E2109" s="25"/>
      <c r="F2109" s="25"/>
      <c r="G2109" s="25"/>
      <c r="H2109" s="25"/>
      <c r="I2109" s="25"/>
      <c r="J2109" s="25"/>
    </row>
    <row r="2110" spans="1:10" ht="14.4">
      <c r="A2110" s="25"/>
      <c r="B2110" s="25"/>
      <c r="C2110" s="25"/>
      <c r="D2110" s="25"/>
      <c r="E2110" s="25"/>
      <c r="F2110" s="25"/>
      <c r="G2110" s="25"/>
      <c r="H2110" s="25"/>
      <c r="I2110" s="25"/>
      <c r="J2110" s="25"/>
    </row>
    <row r="2111" spans="1:10" ht="14.4">
      <c r="A2111" s="25"/>
      <c r="B2111" s="25"/>
      <c r="C2111" s="25"/>
      <c r="D2111" s="25"/>
      <c r="E2111" s="25"/>
      <c r="F2111" s="25"/>
      <c r="G2111" s="25"/>
      <c r="H2111" s="25"/>
      <c r="I2111" s="25"/>
      <c r="J2111" s="25"/>
    </row>
    <row r="2112" spans="1:10" ht="14.4">
      <c r="A2112" s="25"/>
      <c r="B2112" s="25"/>
      <c r="C2112" s="25"/>
      <c r="D2112" s="25"/>
      <c r="E2112" s="25"/>
      <c r="F2112" s="25"/>
      <c r="G2112" s="25"/>
      <c r="H2112" s="25"/>
      <c r="I2112" s="25"/>
      <c r="J2112" s="25"/>
    </row>
    <row r="2113" spans="1:10" ht="14.4">
      <c r="A2113" s="25"/>
      <c r="B2113" s="25"/>
      <c r="C2113" s="25"/>
      <c r="D2113" s="25"/>
      <c r="E2113" s="25"/>
      <c r="F2113" s="25"/>
      <c r="G2113" s="25"/>
      <c r="H2113" s="25"/>
      <c r="I2113" s="25"/>
      <c r="J2113" s="25"/>
    </row>
    <row r="2114" spans="1:10" ht="14.4">
      <c r="A2114" s="25"/>
      <c r="B2114" s="25"/>
      <c r="C2114" s="25"/>
      <c r="D2114" s="25"/>
      <c r="E2114" s="25"/>
      <c r="F2114" s="25"/>
      <c r="G2114" s="25"/>
      <c r="H2114" s="25"/>
      <c r="I2114" s="25"/>
      <c r="J2114" s="25"/>
    </row>
    <row r="2115" spans="1:10" ht="14.4">
      <c r="A2115" s="25"/>
      <c r="B2115" s="25"/>
      <c r="C2115" s="25"/>
      <c r="D2115" s="25"/>
      <c r="E2115" s="25"/>
      <c r="F2115" s="25"/>
      <c r="G2115" s="25"/>
      <c r="H2115" s="25"/>
      <c r="I2115" s="25"/>
      <c r="J2115" s="25"/>
    </row>
    <row r="2116" spans="1:10" ht="14.4">
      <c r="A2116" s="25"/>
      <c r="B2116" s="25"/>
      <c r="C2116" s="25"/>
      <c r="D2116" s="25"/>
      <c r="E2116" s="25"/>
      <c r="F2116" s="25"/>
      <c r="G2116" s="25"/>
      <c r="H2116" s="25"/>
      <c r="I2116" s="25"/>
      <c r="J2116" s="25"/>
    </row>
    <row r="2117" spans="1:10" ht="14.4">
      <c r="A2117" s="25"/>
      <c r="B2117" s="25"/>
      <c r="C2117" s="25"/>
      <c r="D2117" s="25"/>
      <c r="E2117" s="25"/>
      <c r="F2117" s="25"/>
      <c r="G2117" s="25"/>
      <c r="H2117" s="25"/>
      <c r="I2117" s="25"/>
      <c r="J2117" s="25"/>
    </row>
    <row r="2118" spans="1:10" ht="14.4">
      <c r="A2118" s="25"/>
      <c r="B2118" s="25"/>
      <c r="C2118" s="25"/>
      <c r="D2118" s="25"/>
      <c r="E2118" s="25"/>
      <c r="F2118" s="25"/>
      <c r="G2118" s="25"/>
      <c r="H2118" s="25"/>
      <c r="I2118" s="25"/>
      <c r="J2118" s="25"/>
    </row>
    <row r="2119" spans="1:10" ht="14.4">
      <c r="A2119" s="25"/>
      <c r="B2119" s="25"/>
      <c r="C2119" s="25"/>
      <c r="D2119" s="25"/>
      <c r="E2119" s="25"/>
      <c r="F2119" s="25"/>
      <c r="G2119" s="25"/>
      <c r="H2119" s="25"/>
      <c r="I2119" s="25"/>
      <c r="J2119" s="25"/>
    </row>
    <row r="2120" spans="1:10" ht="14.4">
      <c r="A2120" s="25"/>
      <c r="B2120" s="25"/>
      <c r="C2120" s="25"/>
      <c r="D2120" s="25"/>
      <c r="E2120" s="25"/>
      <c r="F2120" s="25"/>
      <c r="G2120" s="25"/>
      <c r="H2120" s="25"/>
      <c r="I2120" s="25"/>
      <c r="J2120" s="25"/>
    </row>
    <row r="2121" spans="1:10" ht="14.4">
      <c r="A2121" s="25"/>
      <c r="B2121" s="25"/>
      <c r="C2121" s="25"/>
      <c r="D2121" s="25"/>
      <c r="E2121" s="25"/>
      <c r="F2121" s="25"/>
      <c r="G2121" s="25"/>
      <c r="H2121" s="25"/>
      <c r="I2121" s="25"/>
      <c r="J2121" s="25"/>
    </row>
    <row r="2122" spans="1:10" ht="14.4">
      <c r="A2122" s="25"/>
      <c r="B2122" s="25"/>
      <c r="C2122" s="25"/>
      <c r="D2122" s="25"/>
      <c r="E2122" s="25"/>
      <c r="F2122" s="25"/>
      <c r="G2122" s="25"/>
      <c r="H2122" s="25"/>
      <c r="I2122" s="25"/>
      <c r="J2122" s="25"/>
    </row>
    <row r="2123" spans="1:10" ht="14.4">
      <c r="A2123" s="25"/>
      <c r="B2123" s="25"/>
      <c r="C2123" s="25"/>
      <c r="D2123" s="25"/>
      <c r="E2123" s="25"/>
      <c r="F2123" s="25"/>
      <c r="G2123" s="25"/>
      <c r="H2123" s="25"/>
      <c r="I2123" s="25"/>
      <c r="J2123" s="25"/>
    </row>
    <row r="2124" spans="1:10" ht="14.4">
      <c r="A2124" s="25"/>
      <c r="B2124" s="25"/>
      <c r="C2124" s="25"/>
      <c r="D2124" s="25"/>
      <c r="E2124" s="25"/>
      <c r="F2124" s="25"/>
      <c r="G2124" s="25"/>
      <c r="H2124" s="25"/>
      <c r="I2124" s="25"/>
      <c r="J2124" s="25"/>
    </row>
    <row r="2125" spans="1:10" ht="14.4">
      <c r="A2125" s="25"/>
      <c r="B2125" s="25"/>
      <c r="C2125" s="25"/>
      <c r="D2125" s="25"/>
      <c r="E2125" s="25"/>
      <c r="F2125" s="25"/>
      <c r="G2125" s="25"/>
      <c r="H2125" s="25"/>
      <c r="I2125" s="25"/>
      <c r="J2125" s="25"/>
    </row>
    <row r="2126" spans="1:10" ht="14.4">
      <c r="A2126" s="25"/>
      <c r="B2126" s="25"/>
      <c r="C2126" s="25"/>
      <c r="D2126" s="25"/>
      <c r="E2126" s="25"/>
      <c r="F2126" s="25"/>
      <c r="G2126" s="25"/>
      <c r="H2126" s="25"/>
      <c r="I2126" s="25"/>
      <c r="J2126" s="25"/>
    </row>
    <row r="2127" spans="1:10" ht="14.4">
      <c r="A2127" s="25"/>
      <c r="B2127" s="25"/>
      <c r="C2127" s="25"/>
      <c r="D2127" s="25"/>
      <c r="E2127" s="25"/>
      <c r="F2127" s="25"/>
      <c r="G2127" s="25"/>
      <c r="H2127" s="25"/>
      <c r="I2127" s="25"/>
      <c r="J2127" s="25"/>
    </row>
    <row r="2128" spans="1:10" ht="14.4">
      <c r="A2128" s="25"/>
      <c r="B2128" s="25"/>
      <c r="C2128" s="25"/>
      <c r="D2128" s="25"/>
      <c r="E2128" s="25"/>
      <c r="F2128" s="25"/>
      <c r="G2128" s="25"/>
      <c r="H2128" s="25"/>
      <c r="I2128" s="25"/>
      <c r="J2128" s="25"/>
    </row>
    <row r="2129" spans="1:10" ht="14.4">
      <c r="A2129" s="25"/>
      <c r="B2129" s="25"/>
      <c r="C2129" s="25"/>
      <c r="D2129" s="25"/>
      <c r="E2129" s="25"/>
      <c r="F2129" s="25"/>
      <c r="G2129" s="25"/>
      <c r="H2129" s="25"/>
      <c r="I2129" s="25"/>
      <c r="J2129" s="25"/>
    </row>
    <row r="2130" spans="1:10" ht="14.4">
      <c r="A2130" s="25"/>
      <c r="B2130" s="25"/>
      <c r="C2130" s="25"/>
      <c r="D2130" s="25"/>
      <c r="E2130" s="25"/>
      <c r="F2130" s="25"/>
      <c r="G2130" s="25"/>
      <c r="H2130" s="25"/>
      <c r="I2130" s="25"/>
      <c r="J2130" s="25"/>
    </row>
    <row r="2131" spans="1:10" ht="14.4">
      <c r="A2131" s="25"/>
      <c r="B2131" s="25"/>
      <c r="C2131" s="25"/>
      <c r="D2131" s="25"/>
      <c r="E2131" s="25"/>
      <c r="F2131" s="25"/>
      <c r="G2131" s="25"/>
      <c r="H2131" s="25"/>
      <c r="I2131" s="25"/>
      <c r="J2131" s="25"/>
    </row>
    <row r="2132" spans="1:10" ht="14.4">
      <c r="A2132" s="25"/>
      <c r="B2132" s="25"/>
      <c r="C2132" s="25"/>
      <c r="D2132" s="25"/>
      <c r="E2132" s="25"/>
      <c r="F2132" s="25"/>
      <c r="G2132" s="25"/>
      <c r="H2132" s="25"/>
      <c r="I2132" s="25"/>
      <c r="J2132" s="25"/>
    </row>
    <row r="2133" spans="1:10" ht="14.4">
      <c r="A2133" s="25"/>
      <c r="B2133" s="25"/>
      <c r="C2133" s="25"/>
      <c r="D2133" s="25"/>
      <c r="E2133" s="25"/>
      <c r="F2133" s="25"/>
      <c r="G2133" s="25"/>
      <c r="H2133" s="25"/>
      <c r="I2133" s="25"/>
      <c r="J2133" s="25"/>
    </row>
    <row r="2134" spans="1:10" ht="14.4">
      <c r="A2134" s="25"/>
      <c r="B2134" s="25"/>
      <c r="C2134" s="25"/>
      <c r="D2134" s="25"/>
      <c r="E2134" s="25"/>
      <c r="F2134" s="25"/>
      <c r="G2134" s="25"/>
      <c r="H2134" s="25"/>
      <c r="I2134" s="25"/>
      <c r="J2134" s="25"/>
    </row>
    <row r="2135" spans="1:10" ht="14.4">
      <c r="A2135" s="25"/>
      <c r="B2135" s="25"/>
      <c r="C2135" s="25"/>
      <c r="D2135" s="25"/>
      <c r="E2135" s="25"/>
      <c r="F2135" s="25"/>
      <c r="G2135" s="25"/>
      <c r="H2135" s="25"/>
      <c r="I2135" s="25"/>
      <c r="J2135" s="25"/>
    </row>
    <row r="2136" spans="1:10" ht="14.4">
      <c r="A2136" s="25"/>
      <c r="B2136" s="25"/>
      <c r="C2136" s="25"/>
      <c r="D2136" s="25"/>
      <c r="E2136" s="25"/>
      <c r="F2136" s="25"/>
      <c r="G2136" s="25"/>
      <c r="H2136" s="25"/>
      <c r="I2136" s="25"/>
      <c r="J2136" s="25"/>
    </row>
    <row r="2137" spans="1:10" ht="14.4">
      <c r="A2137" s="25"/>
      <c r="B2137" s="25"/>
      <c r="C2137" s="25"/>
      <c r="D2137" s="25"/>
      <c r="E2137" s="25"/>
      <c r="F2137" s="25"/>
      <c r="G2137" s="25"/>
      <c r="H2137" s="25"/>
      <c r="I2137" s="25"/>
      <c r="J2137" s="25"/>
    </row>
    <row r="2138" spans="1:10" ht="14.4">
      <c r="A2138" s="25"/>
      <c r="B2138" s="25"/>
      <c r="C2138" s="25"/>
      <c r="D2138" s="25"/>
      <c r="E2138" s="25"/>
      <c r="F2138" s="25"/>
      <c r="G2138" s="25"/>
      <c r="H2138" s="25"/>
      <c r="I2138" s="25"/>
      <c r="J2138" s="25"/>
    </row>
    <row r="2139" spans="1:10" ht="14.4">
      <c r="A2139" s="25"/>
      <c r="B2139" s="25"/>
      <c r="C2139" s="25"/>
      <c r="D2139" s="25"/>
      <c r="E2139" s="25"/>
      <c r="F2139" s="25"/>
      <c r="G2139" s="25"/>
      <c r="H2139" s="25"/>
      <c r="I2139" s="25"/>
      <c r="J2139" s="25"/>
    </row>
    <row r="2140" spans="1:10" ht="14.4">
      <c r="A2140" s="25"/>
      <c r="B2140" s="25"/>
      <c r="C2140" s="25"/>
      <c r="D2140" s="25"/>
      <c r="E2140" s="25"/>
      <c r="F2140" s="25"/>
      <c r="G2140" s="25"/>
      <c r="H2140" s="25"/>
      <c r="I2140" s="25"/>
      <c r="J2140" s="25"/>
    </row>
    <row r="2141" spans="1:10" ht="14.4">
      <c r="A2141" s="25"/>
      <c r="B2141" s="25"/>
      <c r="C2141" s="25"/>
      <c r="D2141" s="25"/>
      <c r="E2141" s="25"/>
      <c r="F2141" s="25"/>
      <c r="G2141" s="25"/>
      <c r="H2141" s="25"/>
      <c r="I2141" s="25"/>
      <c r="J2141" s="25"/>
    </row>
    <row r="2142" spans="1:10" ht="14.4">
      <c r="A2142" s="25"/>
      <c r="B2142" s="25"/>
      <c r="C2142" s="25"/>
      <c r="D2142" s="25"/>
      <c r="E2142" s="25"/>
      <c r="F2142" s="25"/>
      <c r="G2142" s="25"/>
      <c r="H2142" s="25"/>
      <c r="I2142" s="25"/>
      <c r="J2142" s="25"/>
    </row>
    <row r="2143" spans="1:10" ht="14.4">
      <c r="A2143" s="25"/>
      <c r="B2143" s="25"/>
      <c r="C2143" s="25"/>
      <c r="D2143" s="25"/>
      <c r="E2143" s="25"/>
      <c r="F2143" s="25"/>
      <c r="G2143" s="25"/>
      <c r="H2143" s="25"/>
      <c r="I2143" s="25"/>
      <c r="J2143" s="25"/>
    </row>
    <row r="2144" spans="1:10" ht="14.4">
      <c r="A2144" s="25"/>
      <c r="B2144" s="25"/>
      <c r="C2144" s="25"/>
      <c r="D2144" s="25"/>
      <c r="E2144" s="25"/>
      <c r="F2144" s="25"/>
      <c r="G2144" s="25"/>
      <c r="H2144" s="25"/>
      <c r="I2144" s="25"/>
      <c r="J2144" s="25"/>
    </row>
    <row r="2145" spans="1:10" ht="14.4">
      <c r="A2145" s="25"/>
      <c r="B2145" s="25"/>
      <c r="C2145" s="25"/>
      <c r="D2145" s="25"/>
      <c r="E2145" s="25"/>
      <c r="F2145" s="25"/>
      <c r="G2145" s="25"/>
      <c r="H2145" s="25"/>
      <c r="I2145" s="25"/>
      <c r="J2145" s="25"/>
    </row>
    <row r="2146" spans="1:10" ht="14.4">
      <c r="A2146" s="25"/>
      <c r="B2146" s="25"/>
      <c r="C2146" s="25"/>
      <c r="D2146" s="25"/>
      <c r="E2146" s="25"/>
      <c r="F2146" s="25"/>
      <c r="G2146" s="25"/>
      <c r="H2146" s="25"/>
      <c r="I2146" s="25"/>
      <c r="J2146" s="25"/>
    </row>
    <row r="2147" spans="1:10" ht="14.4">
      <c r="A2147" s="25"/>
      <c r="B2147" s="25"/>
      <c r="C2147" s="25"/>
      <c r="D2147" s="25"/>
      <c r="E2147" s="25"/>
      <c r="F2147" s="25"/>
      <c r="G2147" s="25"/>
      <c r="H2147" s="25"/>
      <c r="I2147" s="25"/>
      <c r="J2147" s="25"/>
    </row>
    <row r="2148" spans="1:10" ht="14.4">
      <c r="A2148" s="25"/>
      <c r="B2148" s="25"/>
      <c r="C2148" s="25"/>
      <c r="D2148" s="25"/>
      <c r="E2148" s="25"/>
      <c r="F2148" s="25"/>
      <c r="G2148" s="25"/>
      <c r="H2148" s="25"/>
      <c r="I2148" s="25"/>
      <c r="J2148" s="25"/>
    </row>
    <row r="2149" spans="1:10" ht="14.4">
      <c r="A2149" s="25"/>
      <c r="B2149" s="25"/>
      <c r="C2149" s="25"/>
      <c r="D2149" s="25"/>
      <c r="E2149" s="25"/>
      <c r="F2149" s="25"/>
      <c r="G2149" s="25"/>
      <c r="H2149" s="25"/>
      <c r="I2149" s="25"/>
      <c r="J2149" s="25"/>
    </row>
    <row r="2150" spans="1:10" ht="14.4">
      <c r="A2150" s="25"/>
      <c r="B2150" s="25"/>
      <c r="C2150" s="25"/>
      <c r="D2150" s="25"/>
      <c r="E2150" s="25"/>
      <c r="F2150" s="25"/>
      <c r="G2150" s="25"/>
      <c r="H2150" s="25"/>
      <c r="I2150" s="25"/>
      <c r="J2150" s="25"/>
    </row>
    <row r="2151" spans="1:10" ht="14.4">
      <c r="A2151" s="25"/>
      <c r="B2151" s="25"/>
      <c r="C2151" s="25"/>
      <c r="D2151" s="25"/>
      <c r="E2151" s="25"/>
      <c r="F2151" s="25"/>
      <c r="G2151" s="25"/>
      <c r="H2151" s="25"/>
      <c r="I2151" s="25"/>
      <c r="J2151" s="25"/>
    </row>
    <row r="2152" spans="1:10" ht="14.4">
      <c r="A2152" s="25"/>
      <c r="B2152" s="25"/>
      <c r="C2152" s="25"/>
      <c r="D2152" s="25"/>
      <c r="E2152" s="25"/>
      <c r="F2152" s="25"/>
      <c r="G2152" s="25"/>
      <c r="H2152" s="25"/>
      <c r="I2152" s="25"/>
      <c r="J2152" s="25"/>
    </row>
    <row r="2153" spans="1:10" ht="14.4">
      <c r="A2153" s="25"/>
      <c r="B2153" s="25"/>
      <c r="C2153" s="25"/>
      <c r="D2153" s="25"/>
      <c r="E2153" s="25"/>
      <c r="F2153" s="25"/>
      <c r="G2153" s="25"/>
      <c r="H2153" s="25"/>
      <c r="I2153" s="25"/>
      <c r="J2153" s="25"/>
    </row>
    <row r="2154" spans="1:10" ht="14.4">
      <c r="A2154" s="25"/>
      <c r="B2154" s="25"/>
      <c r="C2154" s="25"/>
      <c r="D2154" s="25"/>
      <c r="E2154" s="25"/>
      <c r="F2154" s="25"/>
      <c r="G2154" s="25"/>
      <c r="H2154" s="25"/>
      <c r="I2154" s="25"/>
      <c r="J2154" s="25"/>
    </row>
    <row r="2155" spans="1:10" ht="14.4">
      <c r="A2155" s="25"/>
      <c r="B2155" s="25"/>
      <c r="C2155" s="25"/>
      <c r="D2155" s="25"/>
      <c r="E2155" s="25"/>
      <c r="F2155" s="25"/>
      <c r="G2155" s="25"/>
      <c r="H2155" s="25"/>
      <c r="I2155" s="25"/>
      <c r="J2155" s="25"/>
    </row>
    <row r="2156" spans="1:10" ht="14.4">
      <c r="A2156" s="25"/>
      <c r="B2156" s="25"/>
      <c r="C2156" s="25"/>
      <c r="D2156" s="25"/>
      <c r="E2156" s="25"/>
      <c r="F2156" s="25"/>
      <c r="G2156" s="25"/>
      <c r="H2156" s="25"/>
      <c r="I2156" s="25"/>
      <c r="J2156" s="25"/>
    </row>
    <row r="2157" spans="1:10" ht="14.4">
      <c r="A2157" s="25"/>
      <c r="B2157" s="25"/>
      <c r="C2157" s="25"/>
      <c r="D2157" s="25"/>
      <c r="E2157" s="25"/>
      <c r="F2157" s="25"/>
      <c r="G2157" s="25"/>
      <c r="H2157" s="25"/>
      <c r="I2157" s="25"/>
      <c r="J2157" s="25"/>
    </row>
    <row r="2158" spans="1:10" ht="14.4">
      <c r="A2158" s="25"/>
      <c r="B2158" s="25"/>
      <c r="C2158" s="25"/>
      <c r="D2158" s="25"/>
      <c r="E2158" s="25"/>
      <c r="F2158" s="25"/>
      <c r="G2158" s="25"/>
      <c r="H2158" s="25"/>
      <c r="I2158" s="25"/>
      <c r="J2158" s="25"/>
    </row>
    <row r="2159" spans="1:10" ht="14.4">
      <c r="A2159" s="25"/>
      <c r="B2159" s="25"/>
      <c r="C2159" s="25"/>
      <c r="D2159" s="25"/>
      <c r="E2159" s="25"/>
      <c r="F2159" s="25"/>
      <c r="G2159" s="25"/>
      <c r="H2159" s="25"/>
      <c r="I2159" s="25"/>
      <c r="J2159" s="25"/>
    </row>
    <row r="2160" spans="1:10" ht="14.4">
      <c r="A2160" s="25"/>
      <c r="B2160" s="25"/>
      <c r="C2160" s="25"/>
      <c r="D2160" s="25"/>
      <c r="E2160" s="25"/>
      <c r="F2160" s="25"/>
      <c r="G2160" s="25"/>
      <c r="H2160" s="25"/>
      <c r="I2160" s="25"/>
      <c r="J2160" s="25"/>
    </row>
    <row r="2161" spans="1:10" ht="14.4">
      <c r="A2161" s="25"/>
      <c r="B2161" s="25"/>
      <c r="C2161" s="25"/>
      <c r="D2161" s="25"/>
      <c r="E2161" s="25"/>
      <c r="F2161" s="25"/>
      <c r="G2161" s="25"/>
      <c r="H2161" s="25"/>
      <c r="I2161" s="25"/>
      <c r="J2161" s="25"/>
    </row>
    <row r="2162" spans="1:10" ht="14.4">
      <c r="A2162" s="25"/>
      <c r="B2162" s="25"/>
      <c r="C2162" s="25"/>
      <c r="D2162" s="25"/>
      <c r="E2162" s="25"/>
      <c r="F2162" s="25"/>
      <c r="G2162" s="25"/>
      <c r="H2162" s="25"/>
      <c r="I2162" s="25"/>
      <c r="J2162" s="25"/>
    </row>
    <row r="2163" spans="1:10" ht="14.4">
      <c r="A2163" s="25"/>
      <c r="B2163" s="25"/>
      <c r="C2163" s="25"/>
      <c r="D2163" s="25"/>
      <c r="E2163" s="25"/>
      <c r="F2163" s="25"/>
      <c r="G2163" s="25"/>
      <c r="H2163" s="25"/>
      <c r="I2163" s="25"/>
      <c r="J2163" s="25"/>
    </row>
    <row r="2164" spans="1:10" ht="14.4">
      <c r="A2164" s="25"/>
      <c r="B2164" s="25"/>
      <c r="C2164" s="25"/>
      <c r="D2164" s="25"/>
      <c r="E2164" s="25"/>
      <c r="F2164" s="25"/>
      <c r="G2164" s="25"/>
      <c r="H2164" s="25"/>
      <c r="I2164" s="25"/>
      <c r="J2164" s="25"/>
    </row>
    <row r="2165" spans="1:10" ht="14.4">
      <c r="A2165" s="25"/>
      <c r="B2165" s="25"/>
      <c r="C2165" s="25"/>
      <c r="D2165" s="25"/>
      <c r="E2165" s="25"/>
      <c r="F2165" s="25"/>
      <c r="G2165" s="25"/>
      <c r="H2165" s="25"/>
      <c r="I2165" s="25"/>
      <c r="J2165" s="25"/>
    </row>
    <row r="2166" spans="1:10" ht="14.4">
      <c r="A2166" s="25"/>
      <c r="B2166" s="25"/>
      <c r="C2166" s="25"/>
      <c r="D2166" s="25"/>
      <c r="E2166" s="25"/>
      <c r="F2166" s="25"/>
      <c r="G2166" s="25"/>
      <c r="H2166" s="25"/>
      <c r="I2166" s="25"/>
      <c r="J2166" s="25"/>
    </row>
    <row r="2167" spans="1:10" ht="14.4">
      <c r="A2167" s="25"/>
      <c r="B2167" s="25"/>
      <c r="C2167" s="25"/>
      <c r="D2167" s="25"/>
      <c r="E2167" s="25"/>
      <c r="F2167" s="25"/>
      <c r="G2167" s="25"/>
      <c r="H2167" s="25"/>
      <c r="I2167" s="25"/>
      <c r="J2167" s="25"/>
    </row>
    <row r="2168" spans="1:10" ht="14.4">
      <c r="A2168" s="25"/>
      <c r="B2168" s="25"/>
      <c r="C2168" s="25"/>
      <c r="D2168" s="25"/>
      <c r="E2168" s="25"/>
      <c r="F2168" s="25"/>
      <c r="G2168" s="25"/>
      <c r="H2168" s="25"/>
      <c r="I2168" s="25"/>
      <c r="J2168" s="25"/>
    </row>
    <row r="2169" spans="1:10" ht="14.4">
      <c r="A2169" s="25"/>
      <c r="B2169" s="25"/>
      <c r="C2169" s="25"/>
      <c r="D2169" s="25"/>
      <c r="E2169" s="25"/>
      <c r="F2169" s="25"/>
      <c r="G2169" s="25"/>
      <c r="H2169" s="25"/>
      <c r="I2169" s="25"/>
      <c r="J2169" s="25"/>
    </row>
    <row r="2170" spans="1:10" ht="14.4">
      <c r="A2170" s="25"/>
      <c r="B2170" s="25"/>
      <c r="C2170" s="25"/>
      <c r="D2170" s="25"/>
      <c r="E2170" s="25"/>
      <c r="F2170" s="25"/>
      <c r="G2170" s="25"/>
      <c r="H2170" s="25"/>
      <c r="I2170" s="25"/>
      <c r="J2170" s="25"/>
    </row>
    <row r="2171" spans="1:10" ht="14.4">
      <c r="A2171" s="25"/>
      <c r="B2171" s="25"/>
      <c r="C2171" s="25"/>
      <c r="D2171" s="25"/>
      <c r="E2171" s="25"/>
      <c r="F2171" s="25"/>
      <c r="G2171" s="25"/>
      <c r="H2171" s="25"/>
      <c r="I2171" s="25"/>
      <c r="J2171" s="25"/>
    </row>
    <row r="2172" spans="1:10" ht="14.4">
      <c r="A2172" s="25"/>
      <c r="B2172" s="25"/>
      <c r="C2172" s="25"/>
      <c r="D2172" s="25"/>
      <c r="E2172" s="25"/>
      <c r="F2172" s="25"/>
      <c r="G2172" s="25"/>
      <c r="H2172" s="25"/>
      <c r="I2172" s="25"/>
      <c r="J2172" s="25"/>
    </row>
    <row r="2173" spans="1:10" ht="14.4">
      <c r="A2173" s="25"/>
      <c r="B2173" s="25"/>
      <c r="C2173" s="25"/>
      <c r="D2173" s="25"/>
      <c r="E2173" s="25"/>
      <c r="F2173" s="25"/>
      <c r="G2173" s="25"/>
      <c r="H2173" s="25"/>
      <c r="I2173" s="25"/>
      <c r="J2173" s="25"/>
    </row>
    <row r="2174" spans="1:10" ht="14.4">
      <c r="A2174" s="25"/>
      <c r="B2174" s="25"/>
      <c r="C2174" s="25"/>
      <c r="D2174" s="25"/>
      <c r="E2174" s="25"/>
      <c r="F2174" s="25"/>
      <c r="G2174" s="25"/>
      <c r="H2174" s="25"/>
      <c r="I2174" s="25"/>
      <c r="J2174" s="25"/>
    </row>
    <row r="2175" spans="1:10" ht="14.4">
      <c r="A2175" s="25"/>
      <c r="B2175" s="25"/>
      <c r="C2175" s="25"/>
      <c r="D2175" s="25"/>
      <c r="E2175" s="25"/>
      <c r="F2175" s="25"/>
      <c r="G2175" s="25"/>
      <c r="H2175" s="25"/>
      <c r="I2175" s="25"/>
      <c r="J2175" s="25"/>
    </row>
    <row r="2176" spans="1:10" ht="14.4">
      <c r="A2176" s="25"/>
      <c r="B2176" s="25"/>
      <c r="C2176" s="25"/>
      <c r="D2176" s="25"/>
      <c r="E2176" s="25"/>
      <c r="F2176" s="25"/>
      <c r="G2176" s="25"/>
      <c r="H2176" s="25"/>
      <c r="I2176" s="25"/>
      <c r="J2176" s="25"/>
    </row>
    <row r="2177" spans="1:10" ht="14.4">
      <c r="A2177" s="25"/>
      <c r="B2177" s="25"/>
      <c r="C2177" s="25"/>
      <c r="D2177" s="25"/>
      <c r="E2177" s="25"/>
      <c r="F2177" s="25"/>
      <c r="G2177" s="25"/>
      <c r="H2177" s="25"/>
      <c r="I2177" s="25"/>
      <c r="J2177" s="25"/>
    </row>
    <row r="2178" spans="1:10" ht="14.4">
      <c r="A2178" s="25"/>
      <c r="B2178" s="25"/>
      <c r="C2178" s="25"/>
      <c r="D2178" s="25"/>
      <c r="E2178" s="25"/>
      <c r="F2178" s="25"/>
      <c r="G2178" s="25"/>
      <c r="H2178" s="25"/>
      <c r="I2178" s="25"/>
      <c r="J2178" s="25"/>
    </row>
    <row r="2179" spans="1:10" ht="14.4">
      <c r="A2179" s="25"/>
      <c r="B2179" s="25"/>
      <c r="C2179" s="25"/>
      <c r="D2179" s="25"/>
      <c r="E2179" s="25"/>
      <c r="F2179" s="25"/>
      <c r="G2179" s="25"/>
      <c r="H2179" s="25"/>
      <c r="I2179" s="25"/>
      <c r="J2179" s="25"/>
    </row>
    <row r="2180" spans="1:10" ht="14.4">
      <c r="A2180" s="25"/>
      <c r="B2180" s="25"/>
      <c r="C2180" s="25"/>
      <c r="D2180" s="25"/>
      <c r="E2180" s="25"/>
      <c r="F2180" s="25"/>
      <c r="G2180" s="25"/>
      <c r="H2180" s="25"/>
      <c r="I2180" s="25"/>
      <c r="J2180" s="25"/>
    </row>
    <row r="2181" spans="1:10" ht="14.4">
      <c r="A2181" s="25"/>
      <c r="B2181" s="25"/>
      <c r="C2181" s="25"/>
      <c r="D2181" s="25"/>
      <c r="E2181" s="25"/>
      <c r="F2181" s="25"/>
      <c r="G2181" s="25"/>
      <c r="H2181" s="25"/>
      <c r="I2181" s="25"/>
      <c r="J2181" s="25"/>
    </row>
    <row r="2182" spans="1:10" ht="14.4">
      <c r="A2182" s="25"/>
      <c r="B2182" s="25"/>
      <c r="C2182" s="25"/>
      <c r="D2182" s="25"/>
      <c r="E2182" s="25"/>
      <c r="F2182" s="25"/>
      <c r="G2182" s="25"/>
      <c r="H2182" s="25"/>
      <c r="I2182" s="25"/>
      <c r="J2182" s="25"/>
    </row>
    <row r="2183" spans="1:10" ht="14.4">
      <c r="A2183" s="25"/>
      <c r="B2183" s="25"/>
      <c r="C2183" s="25"/>
      <c r="D2183" s="25"/>
      <c r="E2183" s="25"/>
      <c r="F2183" s="25"/>
      <c r="G2183" s="25"/>
      <c r="H2183" s="25"/>
      <c r="I2183" s="25"/>
      <c r="J2183" s="25"/>
    </row>
    <row r="2184" spans="1:10" ht="14.4">
      <c r="A2184" s="25"/>
      <c r="B2184" s="25"/>
      <c r="C2184" s="25"/>
      <c r="D2184" s="25"/>
      <c r="E2184" s="25"/>
      <c r="F2184" s="25"/>
      <c r="G2184" s="25"/>
      <c r="H2184" s="25"/>
      <c r="I2184" s="25"/>
      <c r="J2184" s="25"/>
    </row>
    <row r="2185" spans="1:10" ht="14.4">
      <c r="A2185" s="25"/>
      <c r="B2185" s="25"/>
      <c r="C2185" s="25"/>
      <c r="D2185" s="25"/>
      <c r="E2185" s="25"/>
      <c r="F2185" s="25"/>
      <c r="G2185" s="25"/>
      <c r="H2185" s="25"/>
      <c r="I2185" s="25"/>
      <c r="J2185" s="25"/>
    </row>
    <row r="2186" spans="1:10" ht="14.4">
      <c r="A2186" s="25"/>
      <c r="B2186" s="25"/>
      <c r="C2186" s="25"/>
      <c r="D2186" s="25"/>
      <c r="E2186" s="25"/>
      <c r="F2186" s="25"/>
      <c r="G2186" s="25"/>
      <c r="H2186" s="25"/>
      <c r="I2186" s="25"/>
      <c r="J2186" s="25"/>
    </row>
    <row r="2187" spans="1:10" ht="14.4">
      <c r="A2187" s="25"/>
      <c r="B2187" s="25"/>
      <c r="C2187" s="25"/>
      <c r="D2187" s="25"/>
      <c r="E2187" s="25"/>
      <c r="F2187" s="25"/>
      <c r="G2187" s="25"/>
      <c r="H2187" s="25"/>
      <c r="I2187" s="25"/>
      <c r="J2187" s="25"/>
    </row>
    <row r="2188" spans="1:10" ht="14.4">
      <c r="A2188" s="25"/>
      <c r="B2188" s="25"/>
      <c r="C2188" s="25"/>
      <c r="D2188" s="25"/>
      <c r="E2188" s="25"/>
      <c r="F2188" s="25"/>
      <c r="G2188" s="25"/>
      <c r="H2188" s="25"/>
      <c r="I2188" s="25"/>
      <c r="J2188" s="25"/>
    </row>
    <row r="2189" spans="1:10" ht="14.4">
      <c r="A2189" s="25"/>
      <c r="B2189" s="25"/>
      <c r="C2189" s="25"/>
      <c r="D2189" s="25"/>
      <c r="E2189" s="25"/>
      <c r="F2189" s="25"/>
      <c r="G2189" s="25"/>
      <c r="H2189" s="25"/>
      <c r="I2189" s="25"/>
      <c r="J2189" s="25"/>
    </row>
    <row r="2190" spans="1:10" ht="14.4">
      <c r="A2190" s="25"/>
      <c r="B2190" s="25"/>
      <c r="C2190" s="25"/>
      <c r="D2190" s="25"/>
      <c r="E2190" s="25"/>
      <c r="F2190" s="25"/>
      <c r="G2190" s="25"/>
      <c r="H2190" s="25"/>
      <c r="I2190" s="25"/>
      <c r="J2190" s="25"/>
    </row>
    <row r="2191" spans="1:10" ht="14.4">
      <c r="A2191" s="25"/>
      <c r="B2191" s="25"/>
      <c r="C2191" s="25"/>
      <c r="D2191" s="25"/>
      <c r="E2191" s="25"/>
      <c r="F2191" s="25"/>
      <c r="G2191" s="25"/>
      <c r="H2191" s="25"/>
      <c r="I2191" s="25"/>
      <c r="J2191" s="25"/>
    </row>
    <row r="2192" spans="1:10" ht="14.4">
      <c r="A2192" s="25"/>
      <c r="B2192" s="25"/>
      <c r="C2192" s="25"/>
      <c r="D2192" s="25"/>
      <c r="E2192" s="25"/>
      <c r="F2192" s="25"/>
      <c r="G2192" s="25"/>
      <c r="H2192" s="25"/>
      <c r="I2192" s="25"/>
      <c r="J2192" s="25"/>
    </row>
    <row r="2193" spans="1:10" ht="14.4">
      <c r="A2193" s="25"/>
      <c r="B2193" s="25"/>
      <c r="C2193" s="25"/>
      <c r="D2193" s="25"/>
      <c r="E2193" s="25"/>
      <c r="F2193" s="25"/>
      <c r="G2193" s="25"/>
      <c r="H2193" s="25"/>
      <c r="I2193" s="25"/>
      <c r="J2193" s="25"/>
    </row>
    <row r="2194" spans="1:10" ht="14.4">
      <c r="A2194" s="25"/>
      <c r="B2194" s="25"/>
      <c r="C2194" s="25"/>
      <c r="D2194" s="25"/>
      <c r="E2194" s="25"/>
      <c r="F2194" s="25"/>
      <c r="G2194" s="25"/>
      <c r="H2194" s="25"/>
      <c r="I2194" s="25"/>
      <c r="J2194" s="25"/>
    </row>
    <row r="2195" spans="1:10" ht="14.4">
      <c r="A2195" s="25"/>
      <c r="B2195" s="25"/>
      <c r="C2195" s="25"/>
      <c r="D2195" s="25"/>
      <c r="E2195" s="25"/>
      <c r="F2195" s="25"/>
      <c r="G2195" s="25"/>
      <c r="H2195" s="25"/>
      <c r="I2195" s="25"/>
      <c r="J2195" s="25"/>
    </row>
    <row r="2196" spans="1:10" ht="14.4">
      <c r="A2196" s="25"/>
      <c r="B2196" s="25"/>
      <c r="C2196" s="25"/>
      <c r="D2196" s="25"/>
      <c r="E2196" s="25"/>
      <c r="F2196" s="25"/>
      <c r="G2196" s="25"/>
      <c r="H2196" s="25"/>
      <c r="I2196" s="25"/>
      <c r="J2196" s="25"/>
    </row>
    <row r="2197" spans="1:10" ht="14.4">
      <c r="A2197" s="25"/>
      <c r="B2197" s="25"/>
      <c r="C2197" s="25"/>
      <c r="D2197" s="25"/>
      <c r="E2197" s="25"/>
      <c r="F2197" s="25"/>
      <c r="G2197" s="25"/>
      <c r="H2197" s="25"/>
      <c r="I2197" s="25"/>
      <c r="J2197" s="25"/>
    </row>
    <row r="2198" spans="1:10" ht="14.4">
      <c r="A2198" s="25"/>
      <c r="B2198" s="25"/>
      <c r="C2198" s="25"/>
      <c r="D2198" s="25"/>
      <c r="E2198" s="25"/>
      <c r="F2198" s="25"/>
      <c r="G2198" s="25"/>
      <c r="H2198" s="25"/>
      <c r="I2198" s="25"/>
      <c r="J2198" s="25"/>
    </row>
    <row r="2199" spans="1:10" ht="14.4">
      <c r="A2199" s="25"/>
      <c r="B2199" s="25"/>
      <c r="C2199" s="25"/>
      <c r="D2199" s="25"/>
      <c r="E2199" s="25"/>
      <c r="F2199" s="25"/>
      <c r="G2199" s="25"/>
      <c r="H2199" s="25"/>
      <c r="I2199" s="25"/>
      <c r="J2199" s="25"/>
    </row>
    <row r="2200" spans="1:10" ht="14.4">
      <c r="A2200" s="25"/>
      <c r="B2200" s="25"/>
      <c r="C2200" s="25"/>
      <c r="D2200" s="25"/>
      <c r="E2200" s="25"/>
      <c r="F2200" s="25"/>
      <c r="G2200" s="25"/>
      <c r="H2200" s="25"/>
      <c r="I2200" s="25"/>
      <c r="J2200" s="25"/>
    </row>
    <row r="2201" spans="1:10" ht="14.4">
      <c r="A2201" s="25"/>
      <c r="B2201" s="25"/>
      <c r="C2201" s="25"/>
      <c r="D2201" s="25"/>
      <c r="E2201" s="25"/>
      <c r="F2201" s="25"/>
      <c r="G2201" s="25"/>
      <c r="H2201" s="25"/>
      <c r="I2201" s="25"/>
      <c r="J2201" s="25"/>
    </row>
    <row r="2202" spans="1:10" ht="14.4">
      <c r="A2202" s="25"/>
      <c r="B2202" s="25"/>
      <c r="C2202" s="25"/>
      <c r="D2202" s="25"/>
      <c r="E2202" s="25"/>
      <c r="F2202" s="25"/>
      <c r="G2202" s="25"/>
      <c r="H2202" s="25"/>
      <c r="I2202" s="25"/>
      <c r="J2202" s="25"/>
    </row>
    <row r="2203" spans="1:10" ht="14.4">
      <c r="A2203" s="25"/>
      <c r="B2203" s="25"/>
      <c r="C2203" s="25"/>
      <c r="D2203" s="25"/>
      <c r="E2203" s="25"/>
      <c r="F2203" s="25"/>
      <c r="G2203" s="25"/>
      <c r="H2203" s="25"/>
      <c r="I2203" s="25"/>
      <c r="J2203" s="25"/>
    </row>
    <row r="2204" spans="1:10" ht="14.4">
      <c r="A2204" s="25"/>
      <c r="B2204" s="25"/>
      <c r="C2204" s="25"/>
      <c r="D2204" s="25"/>
      <c r="E2204" s="25"/>
      <c r="F2204" s="25"/>
      <c r="G2204" s="25"/>
      <c r="H2204" s="25"/>
      <c r="I2204" s="25"/>
      <c r="J2204" s="25"/>
    </row>
    <row r="2205" spans="1:10" ht="14.4">
      <c r="A2205" s="25"/>
      <c r="B2205" s="25"/>
      <c r="C2205" s="25"/>
      <c r="D2205" s="25"/>
      <c r="E2205" s="25"/>
      <c r="F2205" s="25"/>
      <c r="G2205" s="25"/>
      <c r="H2205" s="25"/>
      <c r="I2205" s="25"/>
      <c r="J2205" s="25"/>
    </row>
    <row r="2206" spans="1:10" ht="14.4">
      <c r="A2206" s="25"/>
      <c r="B2206" s="25"/>
      <c r="C2206" s="25"/>
      <c r="D2206" s="25"/>
      <c r="E2206" s="25"/>
      <c r="F2206" s="25"/>
      <c r="G2206" s="25"/>
      <c r="H2206" s="25"/>
      <c r="I2206" s="25"/>
      <c r="J2206" s="25"/>
    </row>
    <row r="2207" spans="1:10" ht="14.4">
      <c r="A2207" s="25"/>
      <c r="B2207" s="25"/>
      <c r="C2207" s="25"/>
      <c r="D2207" s="25"/>
      <c r="E2207" s="25"/>
      <c r="F2207" s="25"/>
      <c r="G2207" s="25"/>
      <c r="H2207" s="25"/>
      <c r="I2207" s="25"/>
      <c r="J2207" s="25"/>
    </row>
    <row r="2208" spans="1:10" ht="14.4">
      <c r="A2208" s="25"/>
      <c r="B2208" s="25"/>
      <c r="C2208" s="25"/>
      <c r="D2208" s="25"/>
      <c r="E2208" s="25"/>
      <c r="F2208" s="25"/>
      <c r="G2208" s="25"/>
      <c r="H2208" s="25"/>
      <c r="I2208" s="25"/>
      <c r="J2208" s="25"/>
    </row>
    <row r="2209" spans="1:10" ht="14.4">
      <c r="A2209" s="25"/>
      <c r="B2209" s="25"/>
      <c r="C2209" s="25"/>
      <c r="D2209" s="25"/>
      <c r="E2209" s="25"/>
      <c r="F2209" s="25"/>
      <c r="G2209" s="25"/>
      <c r="H2209" s="25"/>
      <c r="I2209" s="25"/>
      <c r="J2209" s="25"/>
    </row>
    <row r="2210" spans="1:10" ht="14.4">
      <c r="A2210" s="25"/>
      <c r="B2210" s="25"/>
      <c r="C2210" s="25"/>
      <c r="D2210" s="25"/>
      <c r="E2210" s="25"/>
      <c r="F2210" s="25"/>
      <c r="G2210" s="25"/>
      <c r="H2210" s="25"/>
      <c r="I2210" s="25"/>
      <c r="J2210" s="25"/>
    </row>
    <row r="2211" spans="1:10" ht="14.4">
      <c r="A2211" s="25"/>
      <c r="B2211" s="25"/>
      <c r="C2211" s="25"/>
      <c r="D2211" s="25"/>
      <c r="E2211" s="25"/>
      <c r="F2211" s="25"/>
      <c r="G2211" s="25"/>
      <c r="H2211" s="25"/>
      <c r="I2211" s="25"/>
      <c r="J2211" s="25"/>
    </row>
    <row r="2212" spans="1:10" ht="14.4">
      <c r="A2212" s="25"/>
      <c r="B2212" s="25"/>
      <c r="C2212" s="25"/>
      <c r="D2212" s="25"/>
      <c r="E2212" s="25"/>
      <c r="F2212" s="25"/>
      <c r="G2212" s="25"/>
      <c r="H2212" s="25"/>
      <c r="I2212" s="25"/>
      <c r="J2212" s="25"/>
    </row>
    <row r="2213" spans="1:10" ht="14.4">
      <c r="A2213" s="25"/>
      <c r="B2213" s="25"/>
      <c r="C2213" s="25"/>
      <c r="D2213" s="25"/>
      <c r="E2213" s="25"/>
      <c r="F2213" s="25"/>
      <c r="G2213" s="25"/>
      <c r="H2213" s="25"/>
      <c r="I2213" s="25"/>
      <c r="J2213" s="25"/>
    </row>
    <row r="2214" spans="1:10" ht="14.4">
      <c r="A2214" s="25"/>
      <c r="B2214" s="25"/>
      <c r="C2214" s="25"/>
      <c r="D2214" s="25"/>
      <c r="E2214" s="25"/>
      <c r="F2214" s="25"/>
      <c r="G2214" s="25"/>
      <c r="H2214" s="25"/>
      <c r="I2214" s="25"/>
      <c r="J2214" s="25"/>
    </row>
    <row r="2215" spans="1:10" ht="14.4">
      <c r="A2215" s="25"/>
      <c r="B2215" s="25"/>
      <c r="C2215" s="25"/>
      <c r="D2215" s="25"/>
      <c r="E2215" s="25"/>
      <c r="F2215" s="25"/>
      <c r="G2215" s="25"/>
      <c r="H2215" s="25"/>
      <c r="I2215" s="25"/>
      <c r="J2215" s="25"/>
    </row>
    <row r="2216" spans="1:10" ht="14.4">
      <c r="A2216" s="25"/>
      <c r="B2216" s="25"/>
      <c r="C2216" s="25"/>
      <c r="D2216" s="25"/>
      <c r="E2216" s="25"/>
      <c r="F2216" s="25"/>
      <c r="G2216" s="25"/>
      <c r="H2216" s="25"/>
      <c r="I2216" s="25"/>
      <c r="J2216" s="25"/>
    </row>
    <row r="2217" spans="1:10" ht="14.4">
      <c r="A2217" s="25"/>
      <c r="B2217" s="25"/>
      <c r="C2217" s="25"/>
      <c r="D2217" s="25"/>
      <c r="E2217" s="25"/>
      <c r="F2217" s="25"/>
      <c r="G2217" s="25"/>
      <c r="H2217" s="25"/>
      <c r="I2217" s="25"/>
      <c r="J2217" s="25"/>
    </row>
    <row r="2218" spans="1:10" ht="14.4">
      <c r="A2218" s="25"/>
      <c r="B2218" s="25"/>
      <c r="C2218" s="25"/>
      <c r="D2218" s="25"/>
      <c r="E2218" s="25"/>
      <c r="F2218" s="25"/>
      <c r="G2218" s="25"/>
      <c r="H2218" s="25"/>
      <c r="I2218" s="25"/>
      <c r="J2218" s="25"/>
    </row>
    <row r="2219" spans="1:10" ht="14.4">
      <c r="A2219" s="25"/>
      <c r="B2219" s="25"/>
      <c r="C2219" s="25"/>
      <c r="D2219" s="25"/>
      <c r="E2219" s="25"/>
      <c r="F2219" s="25"/>
      <c r="G2219" s="25"/>
      <c r="H2219" s="25"/>
      <c r="I2219" s="25"/>
      <c r="J2219" s="25"/>
    </row>
    <row r="2220" spans="1:10" ht="14.4">
      <c r="A2220" s="25"/>
      <c r="B2220" s="25"/>
      <c r="C2220" s="25"/>
      <c r="D2220" s="25"/>
      <c r="E2220" s="25"/>
      <c r="F2220" s="25"/>
      <c r="G2220" s="25"/>
      <c r="H2220" s="25"/>
      <c r="I2220" s="25"/>
      <c r="J2220" s="25"/>
    </row>
    <row r="2221" spans="1:10" ht="14.4">
      <c r="A2221" s="25"/>
      <c r="B2221" s="25"/>
      <c r="C2221" s="25"/>
      <c r="D2221" s="25"/>
      <c r="E2221" s="25"/>
      <c r="F2221" s="25"/>
      <c r="G2221" s="25"/>
      <c r="H2221" s="25"/>
      <c r="I2221" s="25"/>
      <c r="J2221" s="25"/>
    </row>
    <row r="2222" spans="1:10" ht="14.4">
      <c r="A2222" s="25"/>
      <c r="B2222" s="25"/>
      <c r="C2222" s="25"/>
      <c r="D2222" s="25"/>
      <c r="E2222" s="25"/>
      <c r="F2222" s="25"/>
      <c r="G2222" s="25"/>
      <c r="H2222" s="25"/>
      <c r="I2222" s="25"/>
      <c r="J2222" s="25"/>
    </row>
    <row r="2223" spans="1:10" ht="14.4">
      <c r="A2223" s="25"/>
      <c r="B2223" s="25"/>
      <c r="C2223" s="25"/>
      <c r="D2223" s="25"/>
      <c r="E2223" s="25"/>
      <c r="F2223" s="25"/>
      <c r="G2223" s="25"/>
      <c r="H2223" s="25"/>
      <c r="I2223" s="25"/>
      <c r="J2223" s="25"/>
    </row>
    <row r="2224" spans="1:10" ht="14.4">
      <c r="A2224" s="25"/>
      <c r="B2224" s="25"/>
      <c r="C2224" s="25"/>
      <c r="D2224" s="25"/>
      <c r="E2224" s="25"/>
      <c r="F2224" s="25"/>
      <c r="G2224" s="25"/>
      <c r="H2224" s="25"/>
      <c r="I2224" s="25"/>
      <c r="J2224" s="25"/>
    </row>
    <row r="2225" spans="1:10" ht="14.4">
      <c r="A2225" s="25"/>
      <c r="B2225" s="25"/>
      <c r="C2225" s="25"/>
      <c r="D2225" s="25"/>
      <c r="E2225" s="25"/>
      <c r="F2225" s="25"/>
      <c r="G2225" s="25"/>
      <c r="H2225" s="25"/>
      <c r="I2225" s="25"/>
      <c r="J2225" s="25"/>
    </row>
    <row r="2226" spans="1:10" ht="14.4">
      <c r="A2226" s="25"/>
      <c r="B2226" s="25"/>
      <c r="C2226" s="25"/>
      <c r="D2226" s="25"/>
      <c r="E2226" s="25"/>
      <c r="F2226" s="25"/>
      <c r="G2226" s="25"/>
      <c r="H2226" s="25"/>
      <c r="I2226" s="25"/>
      <c r="J2226" s="25"/>
    </row>
    <row r="2227" spans="1:10" ht="14.4">
      <c r="A2227" s="25"/>
      <c r="B2227" s="25"/>
      <c r="C2227" s="25"/>
      <c r="D2227" s="25"/>
      <c r="E2227" s="25"/>
      <c r="F2227" s="25"/>
      <c r="G2227" s="25"/>
      <c r="H2227" s="25"/>
      <c r="I2227" s="25"/>
      <c r="J2227" s="25"/>
    </row>
    <row r="2228" spans="1:10" ht="14.4">
      <c r="A2228" s="25"/>
      <c r="B2228" s="25"/>
      <c r="C2228" s="25"/>
      <c r="D2228" s="25"/>
      <c r="E2228" s="25"/>
      <c r="F2228" s="25"/>
      <c r="G2228" s="25"/>
      <c r="H2228" s="25"/>
      <c r="I2228" s="25"/>
      <c r="J2228" s="25"/>
    </row>
    <row r="2229" spans="1:10" ht="14.4">
      <c r="A2229" s="25"/>
      <c r="B2229" s="25"/>
      <c r="C2229" s="25"/>
      <c r="D2229" s="25"/>
      <c r="E2229" s="25"/>
      <c r="F2229" s="25"/>
      <c r="G2229" s="25"/>
      <c r="H2229" s="25"/>
      <c r="I2229" s="25"/>
      <c r="J2229" s="25"/>
    </row>
    <row r="2230" spans="1:10" ht="14.4">
      <c r="A2230" s="25"/>
      <c r="B2230" s="25"/>
      <c r="C2230" s="25"/>
      <c r="D2230" s="25"/>
      <c r="E2230" s="25"/>
      <c r="F2230" s="25"/>
      <c r="G2230" s="25"/>
      <c r="H2230" s="25"/>
      <c r="I2230" s="25"/>
      <c r="J2230" s="25"/>
    </row>
    <row r="2231" spans="1:10" ht="14.4">
      <c r="A2231" s="25"/>
      <c r="B2231" s="25"/>
      <c r="C2231" s="25"/>
      <c r="D2231" s="25"/>
      <c r="E2231" s="25"/>
      <c r="F2231" s="25"/>
      <c r="G2231" s="25"/>
      <c r="H2231" s="25"/>
      <c r="I2231" s="25"/>
      <c r="J2231" s="25"/>
    </row>
    <row r="2232" spans="1:10" ht="14.4">
      <c r="A2232" s="25"/>
      <c r="B2232" s="25"/>
      <c r="C2232" s="25"/>
      <c r="D2232" s="25"/>
      <c r="E2232" s="25"/>
      <c r="F2232" s="25"/>
      <c r="G2232" s="25"/>
      <c r="H2232" s="25"/>
      <c r="I2232" s="25"/>
      <c r="J2232" s="25"/>
    </row>
    <row r="2233" spans="1:10" ht="14.4">
      <c r="A2233" s="25"/>
      <c r="B2233" s="25"/>
      <c r="C2233" s="25"/>
      <c r="D2233" s="25"/>
      <c r="E2233" s="25"/>
      <c r="F2233" s="25"/>
      <c r="G2233" s="25"/>
      <c r="H2233" s="25"/>
      <c r="I2233" s="25"/>
      <c r="J2233" s="25"/>
    </row>
    <row r="2234" spans="1:10" ht="14.4">
      <c r="A2234" s="25"/>
      <c r="B2234" s="25"/>
      <c r="C2234" s="25"/>
      <c r="D2234" s="25"/>
      <c r="E2234" s="25"/>
      <c r="F2234" s="25"/>
      <c r="G2234" s="25"/>
      <c r="H2234" s="25"/>
      <c r="I2234" s="25"/>
      <c r="J2234" s="25"/>
    </row>
    <row r="2235" spans="1:10" ht="14.4">
      <c r="A2235" s="25"/>
      <c r="B2235" s="25"/>
      <c r="C2235" s="25"/>
      <c r="D2235" s="25"/>
      <c r="E2235" s="25"/>
      <c r="F2235" s="25"/>
      <c r="G2235" s="25"/>
      <c r="H2235" s="25"/>
      <c r="I2235" s="25"/>
      <c r="J2235" s="25"/>
    </row>
    <row r="2236" spans="1:10" ht="14.4">
      <c r="A2236" s="25"/>
      <c r="B2236" s="25"/>
      <c r="C2236" s="25"/>
      <c r="D2236" s="25"/>
      <c r="E2236" s="25"/>
      <c r="F2236" s="25"/>
      <c r="G2236" s="25"/>
      <c r="H2236" s="25"/>
      <c r="I2236" s="25"/>
      <c r="J2236" s="25"/>
    </row>
    <row r="2237" spans="1:10" ht="14.4">
      <c r="A2237" s="25"/>
      <c r="B2237" s="25"/>
      <c r="C2237" s="25"/>
      <c r="D2237" s="25"/>
      <c r="E2237" s="25"/>
      <c r="F2237" s="25"/>
      <c r="G2237" s="25"/>
      <c r="H2237" s="25"/>
      <c r="I2237" s="25"/>
      <c r="J2237" s="25"/>
    </row>
    <row r="2238" spans="1:10" ht="14.4">
      <c r="A2238" s="25"/>
      <c r="B2238" s="25"/>
      <c r="C2238" s="25"/>
      <c r="D2238" s="25"/>
      <c r="E2238" s="25"/>
      <c r="F2238" s="25"/>
      <c r="G2238" s="25"/>
      <c r="H2238" s="25"/>
      <c r="I2238" s="25"/>
      <c r="J2238" s="25"/>
    </row>
    <row r="2239" spans="1:10" ht="14.4">
      <c r="A2239" s="25"/>
      <c r="B2239" s="25"/>
      <c r="C2239" s="25"/>
      <c r="D2239" s="25"/>
      <c r="E2239" s="25"/>
      <c r="F2239" s="25"/>
      <c r="G2239" s="25"/>
      <c r="H2239" s="25"/>
      <c r="I2239" s="25"/>
      <c r="J2239" s="25"/>
    </row>
    <row r="2240" spans="1:10" ht="14.4">
      <c r="A2240" s="25"/>
      <c r="B2240" s="25"/>
      <c r="C2240" s="25"/>
      <c r="D2240" s="25"/>
      <c r="E2240" s="25"/>
      <c r="F2240" s="25"/>
      <c r="G2240" s="25"/>
      <c r="H2240" s="25"/>
      <c r="I2240" s="25"/>
      <c r="J2240" s="25"/>
    </row>
    <row r="2241" spans="1:10" ht="14.4">
      <c r="A2241" s="25"/>
      <c r="B2241" s="25"/>
      <c r="C2241" s="25"/>
      <c r="D2241" s="25"/>
      <c r="E2241" s="25"/>
      <c r="F2241" s="25"/>
      <c r="G2241" s="25"/>
      <c r="H2241" s="25"/>
      <c r="I2241" s="25"/>
      <c r="J2241" s="25"/>
    </row>
    <row r="2242" spans="1:10" ht="14.4">
      <c r="A2242" s="25"/>
      <c r="B2242" s="25"/>
      <c r="C2242" s="25"/>
      <c r="D2242" s="25"/>
      <c r="E2242" s="25"/>
      <c r="F2242" s="25"/>
      <c r="G2242" s="25"/>
      <c r="H2242" s="25"/>
      <c r="I2242" s="25"/>
      <c r="J2242" s="25"/>
    </row>
    <row r="2243" spans="1:10" ht="14.4">
      <c r="A2243" s="25"/>
      <c r="B2243" s="25"/>
      <c r="C2243" s="25"/>
      <c r="D2243" s="25"/>
      <c r="E2243" s="25"/>
      <c r="F2243" s="25"/>
      <c r="G2243" s="25"/>
      <c r="H2243" s="25"/>
      <c r="I2243" s="25"/>
      <c r="J2243" s="25"/>
    </row>
    <row r="2244" spans="1:10" ht="14.4">
      <c r="A2244" s="25"/>
      <c r="B2244" s="25"/>
      <c r="C2244" s="25"/>
      <c r="D2244" s="25"/>
      <c r="E2244" s="25"/>
      <c r="F2244" s="25"/>
      <c r="G2244" s="25"/>
      <c r="H2244" s="25"/>
      <c r="I2244" s="25"/>
      <c r="J2244" s="25"/>
    </row>
    <row r="2245" spans="1:10" ht="14.4">
      <c r="A2245" s="25"/>
      <c r="B2245" s="25"/>
      <c r="C2245" s="25"/>
      <c r="D2245" s="25"/>
      <c r="E2245" s="25"/>
      <c r="F2245" s="25"/>
      <c r="G2245" s="25"/>
      <c r="H2245" s="25"/>
      <c r="I2245" s="25"/>
      <c r="J2245" s="25"/>
    </row>
    <row r="2246" spans="1:10" ht="14.4">
      <c r="A2246" s="25"/>
      <c r="B2246" s="25"/>
      <c r="C2246" s="25"/>
      <c r="D2246" s="25"/>
      <c r="E2246" s="25"/>
      <c r="F2246" s="25"/>
      <c r="G2246" s="25"/>
      <c r="H2246" s="25"/>
      <c r="I2246" s="25"/>
      <c r="J2246" s="25"/>
    </row>
    <row r="2247" spans="1:10" ht="14.4">
      <c r="A2247" s="25"/>
      <c r="B2247" s="25"/>
      <c r="C2247" s="25"/>
      <c r="D2247" s="25"/>
      <c r="E2247" s="25"/>
      <c r="F2247" s="25"/>
      <c r="G2247" s="25"/>
      <c r="H2247" s="25"/>
      <c r="I2247" s="25"/>
      <c r="J2247" s="25"/>
    </row>
    <row r="2248" spans="1:10" ht="14.4">
      <c r="A2248" s="25"/>
      <c r="B2248" s="25"/>
      <c r="C2248" s="25"/>
      <c r="D2248" s="25"/>
      <c r="E2248" s="25"/>
      <c r="F2248" s="25"/>
      <c r="G2248" s="25"/>
      <c r="H2248" s="25"/>
      <c r="I2248" s="25"/>
      <c r="J2248" s="25"/>
    </row>
    <row r="2249" spans="1:10" ht="14.4">
      <c r="A2249" s="25"/>
      <c r="B2249" s="25"/>
      <c r="C2249" s="25"/>
      <c r="D2249" s="25"/>
      <c r="E2249" s="25"/>
      <c r="F2249" s="25"/>
      <c r="G2249" s="25"/>
      <c r="H2249" s="25"/>
      <c r="I2249" s="25"/>
      <c r="J2249" s="25"/>
    </row>
    <row r="2250" spans="1:10" ht="14.4">
      <c r="A2250" s="25"/>
      <c r="B2250" s="25"/>
      <c r="C2250" s="25"/>
      <c r="D2250" s="25"/>
      <c r="E2250" s="25"/>
      <c r="F2250" s="25"/>
      <c r="G2250" s="25"/>
      <c r="H2250" s="25"/>
      <c r="I2250" s="25"/>
      <c r="J2250" s="25"/>
    </row>
    <row r="2251" spans="1:10" ht="14.4">
      <c r="A2251" s="25"/>
      <c r="B2251" s="25"/>
      <c r="C2251" s="25"/>
      <c r="D2251" s="25"/>
      <c r="E2251" s="25"/>
      <c r="F2251" s="25"/>
      <c r="G2251" s="25"/>
      <c r="H2251" s="25"/>
      <c r="I2251" s="25"/>
      <c r="J2251" s="25"/>
    </row>
    <row r="2252" spans="1:10" ht="14.4">
      <c r="A2252" s="25"/>
      <c r="B2252" s="25"/>
      <c r="C2252" s="25"/>
      <c r="D2252" s="25"/>
      <c r="E2252" s="25"/>
      <c r="F2252" s="25"/>
      <c r="G2252" s="25"/>
      <c r="H2252" s="25"/>
      <c r="I2252" s="25"/>
      <c r="J2252" s="25"/>
    </row>
    <row r="2253" spans="1:10" ht="14.4">
      <c r="A2253" s="25"/>
      <c r="B2253" s="25"/>
      <c r="C2253" s="25"/>
      <c r="D2253" s="25"/>
      <c r="E2253" s="25"/>
      <c r="F2253" s="25"/>
      <c r="G2253" s="25"/>
      <c r="H2253" s="25"/>
      <c r="I2253" s="25"/>
      <c r="J2253" s="25"/>
    </row>
    <row r="2254" spans="1:10" ht="14.4">
      <c r="A2254" s="25"/>
      <c r="B2254" s="25"/>
      <c r="C2254" s="25"/>
      <c r="D2254" s="25"/>
      <c r="E2254" s="25"/>
      <c r="F2254" s="25"/>
      <c r="G2254" s="25"/>
      <c r="H2254" s="25"/>
      <c r="I2254" s="25"/>
      <c r="J2254" s="25"/>
    </row>
    <row r="2255" spans="1:10" ht="14.4">
      <c r="A2255" s="25"/>
      <c r="B2255" s="25"/>
      <c r="C2255" s="25"/>
      <c r="D2255" s="25"/>
      <c r="E2255" s="25"/>
      <c r="F2255" s="25"/>
      <c r="G2255" s="25"/>
      <c r="H2255" s="25"/>
      <c r="I2255" s="25"/>
      <c r="J2255" s="25"/>
    </row>
    <row r="2256" spans="1:10" ht="14.4">
      <c r="A2256" s="25"/>
      <c r="B2256" s="25"/>
      <c r="C2256" s="25"/>
      <c r="D2256" s="25"/>
      <c r="E2256" s="25"/>
      <c r="F2256" s="25"/>
      <c r="G2256" s="25"/>
      <c r="H2256" s="25"/>
      <c r="I2256" s="25"/>
      <c r="J2256" s="25"/>
    </row>
    <row r="2257" spans="1:10" ht="14.4">
      <c r="A2257" s="25"/>
      <c r="B2257" s="25"/>
      <c r="C2257" s="25"/>
      <c r="D2257" s="25"/>
      <c r="E2257" s="25"/>
      <c r="F2257" s="25"/>
      <c r="G2257" s="25"/>
      <c r="H2257" s="25"/>
      <c r="I2257" s="25"/>
      <c r="J2257" s="25"/>
    </row>
    <row r="2258" spans="1:10" ht="14.4">
      <c r="A2258" s="25"/>
      <c r="B2258" s="25"/>
      <c r="C2258" s="25"/>
      <c r="D2258" s="25"/>
      <c r="E2258" s="25"/>
      <c r="F2258" s="25"/>
      <c r="G2258" s="25"/>
      <c r="H2258" s="25"/>
      <c r="I2258" s="25"/>
      <c r="J2258" s="25"/>
    </row>
    <row r="2259" spans="1:10" ht="14.4">
      <c r="A2259" s="25"/>
      <c r="B2259" s="25"/>
      <c r="C2259" s="25"/>
      <c r="D2259" s="25"/>
      <c r="E2259" s="25"/>
      <c r="F2259" s="25"/>
      <c r="G2259" s="25"/>
      <c r="H2259" s="25"/>
      <c r="I2259" s="25"/>
      <c r="J2259" s="25"/>
    </row>
    <row r="2260" spans="1:10" ht="14.4">
      <c r="A2260" s="25"/>
      <c r="B2260" s="25"/>
      <c r="C2260" s="25"/>
      <c r="D2260" s="25"/>
      <c r="E2260" s="25"/>
      <c r="F2260" s="25"/>
      <c r="G2260" s="25"/>
      <c r="H2260" s="25"/>
      <c r="I2260" s="25"/>
      <c r="J2260" s="25"/>
    </row>
    <row r="2261" spans="1:10" ht="14.4">
      <c r="A2261" s="25"/>
      <c r="B2261" s="25"/>
      <c r="C2261" s="25"/>
      <c r="D2261" s="25"/>
      <c r="E2261" s="25"/>
      <c r="F2261" s="25"/>
      <c r="G2261" s="25"/>
      <c r="H2261" s="25"/>
      <c r="I2261" s="25"/>
      <c r="J2261" s="25"/>
    </row>
    <row r="2262" spans="1:10" ht="14.4">
      <c r="A2262" s="25"/>
      <c r="B2262" s="25"/>
      <c r="C2262" s="25"/>
      <c r="D2262" s="25"/>
      <c r="E2262" s="25"/>
      <c r="F2262" s="25"/>
      <c r="G2262" s="25"/>
      <c r="H2262" s="25"/>
      <c r="I2262" s="25"/>
      <c r="J2262" s="25"/>
    </row>
    <row r="2263" spans="1:10" ht="14.4">
      <c r="A2263" s="25"/>
      <c r="B2263" s="25"/>
      <c r="C2263" s="25"/>
      <c r="D2263" s="25"/>
      <c r="E2263" s="25"/>
      <c r="F2263" s="25"/>
      <c r="G2263" s="25"/>
      <c r="H2263" s="25"/>
      <c r="I2263" s="25"/>
      <c r="J2263" s="25"/>
    </row>
    <row r="2264" spans="1:10" ht="14.4">
      <c r="A2264" s="25"/>
      <c r="B2264" s="25"/>
      <c r="C2264" s="25"/>
      <c r="D2264" s="25"/>
      <c r="E2264" s="25"/>
      <c r="F2264" s="25"/>
      <c r="G2264" s="25"/>
      <c r="H2264" s="25"/>
      <c r="I2264" s="25"/>
      <c r="J2264" s="25"/>
    </row>
    <row r="2265" spans="1:10" ht="14.4">
      <c r="A2265" s="25"/>
      <c r="B2265" s="25"/>
      <c r="C2265" s="25"/>
      <c r="D2265" s="25"/>
      <c r="E2265" s="25"/>
      <c r="F2265" s="25"/>
      <c r="G2265" s="25"/>
      <c r="H2265" s="25"/>
      <c r="I2265" s="25"/>
      <c r="J2265" s="25"/>
    </row>
    <row r="2266" spans="1:10" ht="14.4">
      <c r="A2266" s="25"/>
      <c r="B2266" s="25"/>
      <c r="C2266" s="25"/>
      <c r="D2266" s="25"/>
      <c r="E2266" s="25"/>
      <c r="F2266" s="25"/>
      <c r="G2266" s="25"/>
      <c r="H2266" s="25"/>
      <c r="I2266" s="25"/>
      <c r="J2266" s="25"/>
    </row>
    <row r="2267" spans="1:10" ht="14.4">
      <c r="A2267" s="25"/>
      <c r="B2267" s="25"/>
      <c r="C2267" s="25"/>
      <c r="D2267" s="25"/>
      <c r="E2267" s="25"/>
      <c r="F2267" s="25"/>
      <c r="G2267" s="25"/>
      <c r="H2267" s="25"/>
      <c r="I2267" s="25"/>
      <c r="J2267" s="25"/>
    </row>
    <row r="2268" spans="1:10" ht="14.4">
      <c r="A2268" s="25"/>
      <c r="B2268" s="25"/>
      <c r="C2268" s="25"/>
      <c r="D2268" s="25"/>
      <c r="E2268" s="25"/>
      <c r="F2268" s="25"/>
      <c r="G2268" s="25"/>
      <c r="H2268" s="25"/>
      <c r="I2268" s="25"/>
      <c r="J2268" s="25"/>
    </row>
    <row r="2269" spans="1:10" ht="14.4">
      <c r="A2269" s="25"/>
      <c r="B2269" s="25"/>
      <c r="C2269" s="25"/>
      <c r="D2269" s="25"/>
      <c r="E2269" s="25"/>
      <c r="F2269" s="25"/>
      <c r="G2269" s="25"/>
      <c r="H2269" s="25"/>
      <c r="I2269" s="25"/>
      <c r="J2269" s="25"/>
    </row>
    <row r="2270" spans="1:10" ht="14.4">
      <c r="A2270" s="25"/>
      <c r="B2270" s="25"/>
      <c r="C2270" s="25"/>
      <c r="D2270" s="25"/>
      <c r="E2270" s="25"/>
      <c r="F2270" s="25"/>
      <c r="G2270" s="25"/>
      <c r="H2270" s="25"/>
      <c r="I2270" s="25"/>
      <c r="J2270" s="25"/>
    </row>
    <row r="2271" spans="1:10" ht="14.4">
      <c r="A2271" s="25"/>
      <c r="B2271" s="25"/>
      <c r="C2271" s="25"/>
      <c r="D2271" s="25"/>
      <c r="E2271" s="25"/>
      <c r="F2271" s="25"/>
      <c r="G2271" s="25"/>
      <c r="H2271" s="25"/>
      <c r="I2271" s="25"/>
      <c r="J2271" s="25"/>
    </row>
    <row r="2272" spans="1:10" ht="14.4">
      <c r="A2272" s="25"/>
      <c r="B2272" s="25"/>
      <c r="C2272" s="25"/>
      <c r="D2272" s="25"/>
      <c r="E2272" s="25"/>
      <c r="F2272" s="25"/>
      <c r="G2272" s="25"/>
      <c r="H2272" s="25"/>
      <c r="I2272" s="25"/>
      <c r="J2272" s="25"/>
    </row>
    <row r="2273" spans="1:10" ht="14.4">
      <c r="A2273" s="25"/>
      <c r="B2273" s="25"/>
      <c r="C2273" s="25"/>
      <c r="D2273" s="25"/>
      <c r="E2273" s="25"/>
      <c r="F2273" s="25"/>
      <c r="G2273" s="25"/>
      <c r="H2273" s="25"/>
      <c r="I2273" s="25"/>
      <c r="J2273" s="25"/>
    </row>
    <row r="2274" spans="1:10" ht="14.4">
      <c r="A2274" s="25"/>
      <c r="B2274" s="25"/>
      <c r="C2274" s="25"/>
      <c r="D2274" s="25"/>
      <c r="E2274" s="25"/>
      <c r="F2274" s="25"/>
      <c r="G2274" s="25"/>
      <c r="H2274" s="25"/>
      <c r="I2274" s="25"/>
      <c r="J2274" s="25"/>
    </row>
    <row r="2275" spans="1:10" ht="14.4">
      <c r="A2275" s="25"/>
      <c r="B2275" s="25"/>
      <c r="C2275" s="25"/>
      <c r="D2275" s="25"/>
      <c r="E2275" s="25"/>
      <c r="F2275" s="25"/>
      <c r="G2275" s="25"/>
      <c r="H2275" s="25"/>
      <c r="I2275" s="25"/>
      <c r="J2275" s="25"/>
    </row>
    <row r="2276" spans="1:10" ht="14.4">
      <c r="A2276" s="25"/>
      <c r="B2276" s="25"/>
      <c r="C2276" s="25"/>
      <c r="D2276" s="25"/>
      <c r="E2276" s="25"/>
      <c r="F2276" s="25"/>
      <c r="G2276" s="25"/>
      <c r="H2276" s="25"/>
      <c r="I2276" s="25"/>
      <c r="J2276" s="25"/>
    </row>
    <row r="2277" spans="1:10" ht="14.4">
      <c r="A2277" s="25"/>
      <c r="B2277" s="25"/>
      <c r="C2277" s="25"/>
      <c r="D2277" s="25"/>
      <c r="E2277" s="25"/>
      <c r="F2277" s="25"/>
      <c r="G2277" s="25"/>
      <c r="H2277" s="25"/>
      <c r="I2277" s="25"/>
      <c r="J2277" s="25"/>
    </row>
    <row r="2278" spans="1:10" ht="14.4">
      <c r="A2278" s="25"/>
      <c r="B2278" s="25"/>
      <c r="C2278" s="25"/>
      <c r="D2278" s="25"/>
      <c r="E2278" s="25"/>
      <c r="F2278" s="25"/>
      <c r="G2278" s="25"/>
      <c r="H2278" s="25"/>
      <c r="I2278" s="25"/>
      <c r="J2278" s="25"/>
    </row>
    <row r="2279" spans="1:10" ht="14.4">
      <c r="A2279" s="25"/>
      <c r="B2279" s="25"/>
      <c r="C2279" s="25"/>
      <c r="D2279" s="25"/>
      <c r="E2279" s="25"/>
      <c r="F2279" s="25"/>
      <c r="G2279" s="25"/>
      <c r="H2279" s="25"/>
      <c r="I2279" s="25"/>
      <c r="J2279" s="25"/>
    </row>
    <row r="2280" spans="1:10" ht="14.4">
      <c r="A2280" s="25"/>
      <c r="B2280" s="25"/>
      <c r="C2280" s="25"/>
      <c r="D2280" s="25"/>
      <c r="E2280" s="25"/>
      <c r="F2280" s="25"/>
      <c r="G2280" s="25"/>
      <c r="H2280" s="25"/>
      <c r="I2280" s="25"/>
      <c r="J2280" s="25"/>
    </row>
    <row r="2281" spans="1:10" ht="14.4">
      <c r="A2281" s="25"/>
      <c r="B2281" s="25"/>
      <c r="C2281" s="25"/>
      <c r="D2281" s="25"/>
      <c r="E2281" s="25"/>
      <c r="F2281" s="25"/>
      <c r="G2281" s="25"/>
      <c r="H2281" s="25"/>
      <c r="I2281" s="25"/>
      <c r="J2281" s="25"/>
    </row>
    <row r="2282" spans="1:10" ht="14.4">
      <c r="A2282" s="25"/>
      <c r="B2282" s="25"/>
      <c r="C2282" s="25"/>
      <c r="D2282" s="25"/>
      <c r="E2282" s="25"/>
      <c r="F2282" s="25"/>
      <c r="G2282" s="25"/>
      <c r="H2282" s="25"/>
      <c r="I2282" s="25"/>
      <c r="J2282" s="25"/>
    </row>
    <row r="2283" spans="1:10" ht="14.4">
      <c r="A2283" s="25"/>
      <c r="B2283" s="25"/>
      <c r="C2283" s="25"/>
      <c r="D2283" s="25"/>
      <c r="E2283" s="25"/>
      <c r="F2283" s="25"/>
      <c r="G2283" s="25"/>
      <c r="H2283" s="25"/>
      <c r="I2283" s="25"/>
      <c r="J2283" s="25"/>
    </row>
    <row r="2284" spans="1:10" ht="14.4">
      <c r="A2284" s="25"/>
      <c r="B2284" s="25"/>
      <c r="C2284" s="25"/>
      <c r="D2284" s="25"/>
      <c r="E2284" s="25"/>
      <c r="F2284" s="25"/>
      <c r="G2284" s="25"/>
      <c r="H2284" s="25"/>
      <c r="I2284" s="25"/>
      <c r="J2284" s="25"/>
    </row>
    <row r="2285" spans="1:10" ht="14.4">
      <c r="A2285" s="25"/>
      <c r="B2285" s="25"/>
      <c r="C2285" s="25"/>
      <c r="D2285" s="25"/>
      <c r="E2285" s="25"/>
      <c r="F2285" s="25"/>
      <c r="G2285" s="25"/>
      <c r="H2285" s="25"/>
      <c r="I2285" s="25"/>
      <c r="J2285" s="25"/>
    </row>
    <row r="2286" spans="1:10" ht="14.4">
      <c r="A2286" s="25"/>
      <c r="B2286" s="25"/>
      <c r="C2286" s="25"/>
      <c r="D2286" s="25"/>
      <c r="E2286" s="25"/>
      <c r="F2286" s="25"/>
      <c r="G2286" s="25"/>
      <c r="H2286" s="25"/>
      <c r="I2286" s="25"/>
      <c r="J2286" s="25"/>
    </row>
    <row r="2287" spans="1:10" ht="14.4">
      <c r="A2287" s="25"/>
      <c r="B2287" s="25"/>
      <c r="C2287" s="25"/>
      <c r="D2287" s="25"/>
      <c r="E2287" s="25"/>
      <c r="F2287" s="25"/>
      <c r="G2287" s="25"/>
      <c r="H2287" s="25"/>
      <c r="I2287" s="25"/>
      <c r="J2287" s="25"/>
    </row>
    <row r="2288" spans="1:10" ht="14.4">
      <c r="A2288" s="25"/>
      <c r="B2288" s="25"/>
      <c r="C2288" s="25"/>
      <c r="D2288" s="25"/>
      <c r="E2288" s="25"/>
      <c r="F2288" s="25"/>
      <c r="G2288" s="25"/>
      <c r="H2288" s="25"/>
      <c r="I2288" s="25"/>
      <c r="J2288" s="25"/>
    </row>
    <row r="2289" spans="1:10" ht="14.4">
      <c r="A2289" s="25"/>
      <c r="B2289" s="25"/>
      <c r="C2289" s="25"/>
      <c r="D2289" s="25"/>
      <c r="E2289" s="25"/>
      <c r="F2289" s="25"/>
      <c r="G2289" s="25"/>
      <c r="H2289" s="25"/>
      <c r="I2289" s="25"/>
      <c r="J2289" s="25"/>
    </row>
    <row r="2290" spans="1:10" ht="14.4">
      <c r="A2290" s="25"/>
      <c r="B2290" s="25"/>
      <c r="C2290" s="25"/>
      <c r="D2290" s="25"/>
      <c r="E2290" s="25"/>
      <c r="F2290" s="25"/>
      <c r="G2290" s="25"/>
      <c r="H2290" s="25"/>
      <c r="I2290" s="25"/>
      <c r="J2290" s="25"/>
    </row>
    <row r="2291" spans="1:10" ht="14.4">
      <c r="A2291" s="25"/>
      <c r="B2291" s="25"/>
      <c r="C2291" s="25"/>
      <c r="D2291" s="25"/>
      <c r="E2291" s="25"/>
      <c r="F2291" s="25"/>
      <c r="G2291" s="25"/>
      <c r="H2291" s="25"/>
      <c r="I2291" s="25"/>
      <c r="J2291" s="25"/>
    </row>
    <row r="2292" spans="1:10" ht="14.4">
      <c r="A2292" s="25"/>
      <c r="B2292" s="25"/>
      <c r="C2292" s="25"/>
      <c r="D2292" s="25"/>
      <c r="E2292" s="25"/>
      <c r="F2292" s="25"/>
      <c r="G2292" s="25"/>
      <c r="H2292" s="25"/>
      <c r="I2292" s="25"/>
      <c r="J2292" s="25"/>
    </row>
    <row r="2293" spans="1:10" ht="14.4">
      <c r="A2293" s="25"/>
      <c r="B2293" s="25"/>
      <c r="C2293" s="25"/>
      <c r="D2293" s="25"/>
      <c r="E2293" s="25"/>
      <c r="F2293" s="25"/>
      <c r="G2293" s="25"/>
      <c r="H2293" s="25"/>
      <c r="I2293" s="25"/>
      <c r="J2293" s="25"/>
    </row>
    <row r="2294" spans="1:10" ht="14.4">
      <c r="A2294" s="25"/>
      <c r="B2294" s="25"/>
      <c r="C2294" s="25"/>
      <c r="D2294" s="25"/>
      <c r="E2294" s="25"/>
      <c r="F2294" s="25"/>
      <c r="G2294" s="25"/>
      <c r="H2294" s="25"/>
      <c r="I2294" s="25"/>
      <c r="J2294" s="25"/>
    </row>
    <row r="2295" spans="1:10" ht="14.4">
      <c r="A2295" s="25"/>
      <c r="B2295" s="25"/>
      <c r="C2295" s="25"/>
      <c r="D2295" s="25"/>
      <c r="E2295" s="25"/>
      <c r="F2295" s="25"/>
      <c r="G2295" s="25"/>
      <c r="H2295" s="25"/>
      <c r="I2295" s="25"/>
      <c r="J2295" s="25"/>
    </row>
    <row r="2296" spans="1:10" ht="14.4">
      <c r="A2296" s="25"/>
      <c r="B2296" s="25"/>
      <c r="C2296" s="25"/>
      <c r="D2296" s="25"/>
      <c r="E2296" s="25"/>
      <c r="F2296" s="25"/>
      <c r="G2296" s="25"/>
      <c r="H2296" s="25"/>
      <c r="I2296" s="25"/>
      <c r="J2296" s="25"/>
    </row>
    <row r="2297" spans="1:10" ht="14.4">
      <c r="A2297" s="25"/>
      <c r="B2297" s="25"/>
      <c r="C2297" s="25"/>
      <c r="D2297" s="25"/>
      <c r="E2297" s="25"/>
      <c r="F2297" s="25"/>
      <c r="G2297" s="25"/>
      <c r="H2297" s="25"/>
      <c r="I2297" s="25"/>
      <c r="J2297" s="25"/>
    </row>
    <row r="2298" spans="1:10" ht="14.4">
      <c r="A2298" s="25"/>
      <c r="B2298" s="25"/>
      <c r="C2298" s="25"/>
      <c r="D2298" s="25"/>
      <c r="E2298" s="25"/>
      <c r="F2298" s="25"/>
      <c r="G2298" s="25"/>
      <c r="H2298" s="25"/>
      <c r="I2298" s="25"/>
      <c r="J2298" s="25"/>
    </row>
    <row r="2299" spans="1:10" ht="14.4">
      <c r="A2299" s="25"/>
      <c r="B2299" s="25"/>
      <c r="C2299" s="25"/>
      <c r="D2299" s="25"/>
      <c r="E2299" s="25"/>
      <c r="F2299" s="25"/>
      <c r="G2299" s="25"/>
      <c r="H2299" s="25"/>
      <c r="I2299" s="25"/>
      <c r="J2299" s="25"/>
    </row>
    <row r="2300" spans="1:10" ht="14.4">
      <c r="A2300" s="25"/>
      <c r="B2300" s="25"/>
      <c r="C2300" s="25"/>
      <c r="D2300" s="25"/>
      <c r="E2300" s="25"/>
      <c r="F2300" s="25"/>
      <c r="G2300" s="25"/>
      <c r="H2300" s="25"/>
      <c r="I2300" s="25"/>
      <c r="J2300" s="25"/>
    </row>
    <row r="2301" spans="1:10" ht="14.4">
      <c r="A2301" s="25"/>
      <c r="B2301" s="25"/>
      <c r="C2301" s="25"/>
      <c r="D2301" s="25"/>
      <c r="E2301" s="25"/>
      <c r="F2301" s="25"/>
      <c r="G2301" s="25"/>
      <c r="H2301" s="25"/>
      <c r="I2301" s="25"/>
      <c r="J2301" s="25"/>
    </row>
    <row r="2302" spans="1:10" ht="14.4">
      <c r="A2302" s="25"/>
      <c r="B2302" s="25"/>
      <c r="C2302" s="25"/>
      <c r="D2302" s="25"/>
      <c r="E2302" s="25"/>
      <c r="F2302" s="25"/>
      <c r="G2302" s="25"/>
      <c r="H2302" s="25"/>
      <c r="I2302" s="25"/>
      <c r="J2302" s="25"/>
    </row>
    <row r="2303" spans="1:10" ht="14.4">
      <c r="A2303" s="25"/>
      <c r="B2303" s="25"/>
      <c r="C2303" s="25"/>
      <c r="D2303" s="25"/>
      <c r="E2303" s="25"/>
      <c r="F2303" s="25"/>
      <c r="G2303" s="25"/>
      <c r="H2303" s="25"/>
      <c r="I2303" s="25"/>
      <c r="J2303" s="25"/>
    </row>
    <row r="2304" spans="1:10" ht="14.4">
      <c r="A2304" s="25"/>
      <c r="B2304" s="25"/>
      <c r="C2304" s="25"/>
      <c r="D2304" s="25"/>
      <c r="E2304" s="25"/>
      <c r="F2304" s="25"/>
      <c r="G2304" s="25"/>
      <c r="H2304" s="25"/>
      <c r="I2304" s="25"/>
      <c r="J2304" s="25"/>
    </row>
    <row r="2305" spans="1:10" ht="14.4">
      <c r="A2305" s="25"/>
      <c r="B2305" s="25"/>
      <c r="C2305" s="25"/>
      <c r="D2305" s="25"/>
      <c r="E2305" s="25"/>
      <c r="F2305" s="25"/>
      <c r="G2305" s="25"/>
      <c r="H2305" s="25"/>
      <c r="I2305" s="25"/>
      <c r="J2305" s="25"/>
    </row>
    <row r="2306" spans="1:10" ht="14.4">
      <c r="A2306" s="25"/>
      <c r="B2306" s="25"/>
      <c r="C2306" s="25"/>
      <c r="D2306" s="25"/>
      <c r="E2306" s="25"/>
      <c r="F2306" s="25"/>
      <c r="G2306" s="25"/>
      <c r="H2306" s="25"/>
      <c r="I2306" s="25"/>
      <c r="J2306" s="25"/>
    </row>
    <row r="2307" spans="1:10" ht="14.4">
      <c r="A2307" s="25"/>
      <c r="B2307" s="25"/>
      <c r="C2307" s="25"/>
      <c r="D2307" s="25"/>
      <c r="E2307" s="25"/>
      <c r="F2307" s="25"/>
      <c r="G2307" s="25"/>
      <c r="H2307" s="25"/>
      <c r="I2307" s="25"/>
      <c r="J2307" s="25"/>
    </row>
    <row r="2308" spans="1:10" ht="14.4">
      <c r="A2308" s="25"/>
      <c r="B2308" s="25"/>
      <c r="C2308" s="25"/>
      <c r="D2308" s="25"/>
      <c r="E2308" s="25"/>
      <c r="F2308" s="25"/>
      <c r="G2308" s="25"/>
      <c r="H2308" s="25"/>
      <c r="I2308" s="25"/>
      <c r="J2308" s="25"/>
    </row>
    <row r="2309" spans="1:10" ht="14.4">
      <c r="A2309" s="25"/>
      <c r="B2309" s="25"/>
      <c r="C2309" s="25"/>
      <c r="D2309" s="25"/>
      <c r="E2309" s="25"/>
      <c r="F2309" s="25"/>
      <c r="G2309" s="25"/>
      <c r="H2309" s="25"/>
      <c r="I2309" s="25"/>
      <c r="J2309" s="25"/>
    </row>
    <row r="2310" spans="1:10" ht="14.4">
      <c r="A2310" s="25"/>
      <c r="B2310" s="25"/>
      <c r="C2310" s="25"/>
      <c r="D2310" s="25"/>
      <c r="E2310" s="25"/>
      <c r="F2310" s="25"/>
      <c r="G2310" s="25"/>
      <c r="H2310" s="25"/>
      <c r="I2310" s="25"/>
      <c r="J2310" s="25"/>
    </row>
    <row r="2311" spans="1:10" ht="14.4">
      <c r="A2311" s="25"/>
      <c r="B2311" s="25"/>
      <c r="C2311" s="25"/>
      <c r="D2311" s="25"/>
      <c r="E2311" s="25"/>
      <c r="F2311" s="25"/>
      <c r="G2311" s="25"/>
      <c r="H2311" s="25"/>
      <c r="I2311" s="25"/>
      <c r="J2311" s="25"/>
    </row>
    <row r="2312" spans="1:10" ht="14.4">
      <c r="A2312" s="25"/>
      <c r="B2312" s="25"/>
      <c r="C2312" s="25"/>
      <c r="D2312" s="25"/>
      <c r="E2312" s="25"/>
      <c r="F2312" s="25"/>
      <c r="G2312" s="25"/>
      <c r="H2312" s="25"/>
      <c r="I2312" s="25"/>
      <c r="J2312" s="25"/>
    </row>
    <row r="2313" spans="1:10" ht="14.4">
      <c r="A2313" s="25"/>
      <c r="B2313" s="25"/>
      <c r="C2313" s="25"/>
      <c r="D2313" s="25"/>
      <c r="E2313" s="25"/>
      <c r="F2313" s="25"/>
      <c r="G2313" s="25"/>
      <c r="H2313" s="25"/>
      <c r="I2313" s="25"/>
      <c r="J2313" s="25"/>
    </row>
    <row r="2314" spans="1:10" ht="14.4">
      <c r="A2314" s="25"/>
      <c r="B2314" s="25"/>
      <c r="C2314" s="25"/>
      <c r="D2314" s="25"/>
      <c r="E2314" s="25"/>
      <c r="F2314" s="25"/>
      <c r="G2314" s="25"/>
      <c r="H2314" s="25"/>
      <c r="I2314" s="25"/>
      <c r="J2314" s="25"/>
    </row>
    <row r="2315" spans="1:10" ht="14.4">
      <c r="A2315" s="25"/>
      <c r="B2315" s="25"/>
      <c r="C2315" s="25"/>
      <c r="D2315" s="25"/>
      <c r="E2315" s="25"/>
      <c r="F2315" s="25"/>
      <c r="G2315" s="25"/>
      <c r="H2315" s="25"/>
      <c r="I2315" s="25"/>
      <c r="J2315" s="25"/>
    </row>
    <row r="2316" spans="1:10" ht="14.4">
      <c r="A2316" s="25"/>
      <c r="B2316" s="25"/>
      <c r="C2316" s="25"/>
      <c r="D2316" s="25"/>
      <c r="E2316" s="25"/>
      <c r="F2316" s="25"/>
      <c r="G2316" s="25"/>
      <c r="H2316" s="25"/>
      <c r="I2316" s="25"/>
      <c r="J2316" s="25"/>
    </row>
    <row r="2317" spans="1:10" ht="14.4">
      <c r="A2317" s="25"/>
      <c r="B2317" s="25"/>
      <c r="C2317" s="25"/>
      <c r="D2317" s="25"/>
      <c r="E2317" s="25"/>
      <c r="F2317" s="25"/>
      <c r="G2317" s="25"/>
      <c r="H2317" s="25"/>
      <c r="I2317" s="25"/>
      <c r="J2317" s="25"/>
    </row>
    <row r="2318" spans="1:10" ht="14.4">
      <c r="A2318" s="25"/>
      <c r="B2318" s="25"/>
      <c r="C2318" s="25"/>
      <c r="D2318" s="25"/>
      <c r="E2318" s="25"/>
      <c r="F2318" s="25"/>
      <c r="G2318" s="25"/>
      <c r="H2318" s="25"/>
      <c r="I2318" s="25"/>
      <c r="J2318" s="25"/>
    </row>
    <row r="2319" spans="1:10" ht="14.4">
      <c r="A2319" s="25"/>
      <c r="B2319" s="25"/>
      <c r="C2319" s="25"/>
      <c r="D2319" s="25"/>
      <c r="E2319" s="25"/>
      <c r="F2319" s="25"/>
      <c r="G2319" s="25"/>
      <c r="H2319" s="25"/>
      <c r="I2319" s="25"/>
      <c r="J2319" s="25"/>
    </row>
    <row r="2320" spans="1:10" ht="14.4">
      <c r="A2320" s="25"/>
      <c r="B2320" s="25"/>
      <c r="C2320" s="25"/>
      <c r="D2320" s="25"/>
      <c r="E2320" s="25"/>
      <c r="F2320" s="25"/>
      <c r="G2320" s="25"/>
      <c r="H2320" s="25"/>
      <c r="I2320" s="25"/>
      <c r="J2320" s="25"/>
    </row>
    <row r="2321" spans="1:10" ht="14.4">
      <c r="A2321" s="25"/>
      <c r="B2321" s="25"/>
      <c r="C2321" s="25"/>
      <c r="D2321" s="25"/>
      <c r="E2321" s="25"/>
      <c r="F2321" s="25"/>
      <c r="G2321" s="25"/>
      <c r="H2321" s="25"/>
      <c r="I2321" s="25"/>
      <c r="J2321" s="25"/>
    </row>
    <row r="2322" spans="1:10" ht="14.4">
      <c r="A2322" s="25"/>
      <c r="B2322" s="25"/>
      <c r="C2322" s="25"/>
      <c r="D2322" s="25"/>
      <c r="E2322" s="25"/>
      <c r="F2322" s="25"/>
      <c r="G2322" s="25"/>
      <c r="H2322" s="25"/>
      <c r="I2322" s="25"/>
      <c r="J2322" s="25"/>
    </row>
    <row r="2323" spans="1:10" ht="14.4">
      <c r="A2323" s="25"/>
      <c r="B2323" s="25"/>
      <c r="C2323" s="25"/>
      <c r="D2323" s="25"/>
      <c r="E2323" s="25"/>
      <c r="F2323" s="25"/>
      <c r="G2323" s="25"/>
      <c r="H2323" s="25"/>
      <c r="I2323" s="25"/>
      <c r="J2323" s="25"/>
    </row>
    <row r="2324" spans="1:10" ht="14.4">
      <c r="A2324" s="25"/>
      <c r="B2324" s="25"/>
      <c r="C2324" s="25"/>
      <c r="D2324" s="25"/>
      <c r="E2324" s="25"/>
      <c r="F2324" s="25"/>
      <c r="G2324" s="25"/>
      <c r="H2324" s="25"/>
      <c r="I2324" s="25"/>
      <c r="J2324" s="25"/>
    </row>
    <row r="2325" spans="1:10" ht="14.4">
      <c r="A2325" s="25"/>
      <c r="B2325" s="25"/>
      <c r="C2325" s="25"/>
      <c r="D2325" s="25"/>
      <c r="E2325" s="25"/>
      <c r="F2325" s="25"/>
      <c r="G2325" s="25"/>
      <c r="H2325" s="25"/>
      <c r="I2325" s="25"/>
      <c r="J2325" s="25"/>
    </row>
    <row r="2326" spans="1:10" ht="14.4">
      <c r="A2326" s="25"/>
      <c r="B2326" s="25"/>
      <c r="C2326" s="25"/>
      <c r="D2326" s="25"/>
      <c r="E2326" s="25"/>
      <c r="F2326" s="25"/>
      <c r="G2326" s="25"/>
      <c r="H2326" s="25"/>
      <c r="I2326" s="25"/>
      <c r="J2326" s="25"/>
    </row>
    <row r="2327" spans="1:10" ht="14.4">
      <c r="A2327" s="25"/>
      <c r="B2327" s="25"/>
      <c r="C2327" s="25"/>
      <c r="D2327" s="25"/>
      <c r="E2327" s="25"/>
      <c r="F2327" s="25"/>
      <c r="G2327" s="25"/>
      <c r="H2327" s="25"/>
      <c r="I2327" s="25"/>
      <c r="J2327" s="25"/>
    </row>
    <row r="2328" spans="1:10" ht="14.4">
      <c r="A2328" s="25"/>
      <c r="B2328" s="25"/>
      <c r="C2328" s="25"/>
      <c r="D2328" s="25"/>
      <c r="E2328" s="25"/>
      <c r="F2328" s="25"/>
      <c r="G2328" s="25"/>
      <c r="H2328" s="25"/>
      <c r="I2328" s="25"/>
      <c r="J2328" s="25"/>
    </row>
    <row r="2329" spans="1:10" ht="14.4">
      <c r="A2329" s="25"/>
      <c r="B2329" s="25"/>
      <c r="C2329" s="25"/>
      <c r="D2329" s="25"/>
      <c r="E2329" s="25"/>
      <c r="F2329" s="25"/>
      <c r="G2329" s="25"/>
      <c r="H2329" s="25"/>
      <c r="I2329" s="25"/>
      <c r="J2329" s="25"/>
    </row>
    <row r="2330" spans="1:10" ht="14.4">
      <c r="A2330" s="25"/>
      <c r="B2330" s="25"/>
      <c r="C2330" s="25"/>
      <c r="D2330" s="25"/>
      <c r="E2330" s="25"/>
      <c r="F2330" s="25"/>
      <c r="G2330" s="25"/>
      <c r="H2330" s="25"/>
      <c r="I2330" s="25"/>
      <c r="J2330" s="25"/>
    </row>
    <row r="2331" spans="1:10" ht="14.4">
      <c r="A2331" s="25"/>
      <c r="B2331" s="25"/>
      <c r="C2331" s="25"/>
      <c r="D2331" s="25"/>
      <c r="E2331" s="25"/>
      <c r="F2331" s="25"/>
      <c r="G2331" s="25"/>
      <c r="H2331" s="25"/>
      <c r="I2331" s="25"/>
      <c r="J2331" s="25"/>
    </row>
    <row r="2332" spans="1:10" ht="14.4">
      <c r="A2332" s="25"/>
      <c r="B2332" s="25"/>
      <c r="C2332" s="25"/>
      <c r="D2332" s="25"/>
      <c r="E2332" s="25"/>
      <c r="F2332" s="25"/>
      <c r="G2332" s="25"/>
      <c r="H2332" s="25"/>
      <c r="I2332" s="25"/>
      <c r="J2332" s="25"/>
    </row>
    <row r="2333" spans="1:10" ht="14.4">
      <c r="A2333" s="25"/>
      <c r="B2333" s="25"/>
      <c r="C2333" s="25"/>
      <c r="D2333" s="25"/>
      <c r="E2333" s="25"/>
      <c r="F2333" s="25"/>
      <c r="G2333" s="25"/>
      <c r="H2333" s="25"/>
      <c r="I2333" s="25"/>
      <c r="J2333" s="25"/>
    </row>
    <row r="2334" spans="1:10" ht="14.4">
      <c r="A2334" s="25"/>
      <c r="B2334" s="25"/>
      <c r="C2334" s="25"/>
      <c r="D2334" s="25"/>
      <c r="E2334" s="25"/>
      <c r="F2334" s="25"/>
      <c r="G2334" s="25"/>
      <c r="H2334" s="25"/>
      <c r="I2334" s="25"/>
      <c r="J2334" s="25"/>
    </row>
    <row r="2335" spans="1:10" ht="14.4">
      <c r="A2335" s="25"/>
      <c r="B2335" s="25"/>
      <c r="C2335" s="25"/>
      <c r="D2335" s="25"/>
      <c r="E2335" s="25"/>
      <c r="F2335" s="25"/>
      <c r="G2335" s="25"/>
      <c r="H2335" s="25"/>
      <c r="I2335" s="25"/>
      <c r="J2335" s="25"/>
    </row>
    <row r="2336" spans="1:10" ht="14.4">
      <c r="A2336" s="25"/>
      <c r="B2336" s="25"/>
      <c r="C2336" s="25"/>
      <c r="D2336" s="25"/>
      <c r="E2336" s="25"/>
      <c r="F2336" s="25"/>
      <c r="G2336" s="25"/>
      <c r="H2336" s="25"/>
      <c r="I2336" s="25"/>
      <c r="J2336" s="25"/>
    </row>
    <row r="2337" spans="1:10" ht="14.4">
      <c r="A2337" s="25"/>
      <c r="B2337" s="25"/>
      <c r="C2337" s="25"/>
      <c r="D2337" s="25"/>
      <c r="E2337" s="25"/>
      <c r="F2337" s="25"/>
      <c r="G2337" s="25"/>
      <c r="H2337" s="25"/>
      <c r="I2337" s="25"/>
      <c r="J2337" s="25"/>
    </row>
    <row r="2338" spans="1:10" ht="14.4">
      <c r="A2338" s="25"/>
      <c r="B2338" s="25"/>
      <c r="C2338" s="25"/>
      <c r="D2338" s="25"/>
      <c r="E2338" s="25"/>
      <c r="F2338" s="25"/>
      <c r="G2338" s="25"/>
      <c r="H2338" s="25"/>
      <c r="I2338" s="25"/>
      <c r="J2338" s="25"/>
    </row>
    <row r="2339" spans="1:10" ht="14.4">
      <c r="A2339" s="25"/>
      <c r="B2339" s="25"/>
      <c r="C2339" s="25"/>
      <c r="D2339" s="25"/>
      <c r="E2339" s="25"/>
      <c r="F2339" s="25"/>
      <c r="G2339" s="25"/>
      <c r="H2339" s="25"/>
      <c r="I2339" s="25"/>
      <c r="J2339" s="25"/>
    </row>
    <row r="2340" spans="1:10" ht="14.4">
      <c r="A2340" s="25"/>
      <c r="B2340" s="25"/>
      <c r="C2340" s="25"/>
      <c r="D2340" s="25"/>
      <c r="E2340" s="25"/>
      <c r="F2340" s="25"/>
      <c r="G2340" s="25"/>
      <c r="H2340" s="25"/>
      <c r="I2340" s="25"/>
      <c r="J2340" s="25"/>
    </row>
    <row r="2341" spans="1:10" ht="14.4">
      <c r="A2341" s="25"/>
      <c r="B2341" s="25"/>
      <c r="C2341" s="25"/>
      <c r="D2341" s="25"/>
      <c r="E2341" s="25"/>
      <c r="F2341" s="25"/>
      <c r="G2341" s="25"/>
      <c r="H2341" s="25"/>
      <c r="I2341" s="25"/>
      <c r="J2341" s="25"/>
    </row>
    <row r="2342" spans="1:10" ht="14.4">
      <c r="A2342" s="25"/>
      <c r="B2342" s="25"/>
      <c r="C2342" s="25"/>
      <c r="D2342" s="25"/>
      <c r="E2342" s="25"/>
      <c r="F2342" s="25"/>
      <c r="G2342" s="25"/>
      <c r="H2342" s="25"/>
      <c r="I2342" s="25"/>
      <c r="J2342" s="25"/>
    </row>
    <row r="2343" spans="1:10" ht="14.4">
      <c r="A2343" s="25"/>
      <c r="B2343" s="25"/>
      <c r="C2343" s="25"/>
      <c r="D2343" s="25"/>
      <c r="E2343" s="25"/>
      <c r="F2343" s="25"/>
      <c r="G2343" s="25"/>
      <c r="H2343" s="25"/>
      <c r="I2343" s="25"/>
      <c r="J2343" s="25"/>
    </row>
    <row r="2344" spans="1:10" ht="14.4">
      <c r="A2344" s="25"/>
      <c r="B2344" s="25"/>
      <c r="C2344" s="25"/>
      <c r="D2344" s="25"/>
      <c r="E2344" s="25"/>
      <c r="F2344" s="25"/>
      <c r="G2344" s="25"/>
      <c r="H2344" s="25"/>
      <c r="I2344" s="25"/>
      <c r="J2344" s="25"/>
    </row>
    <row r="2345" spans="1:10" ht="14.4">
      <c r="A2345" s="25"/>
      <c r="B2345" s="25"/>
      <c r="C2345" s="25"/>
      <c r="D2345" s="25"/>
      <c r="E2345" s="25"/>
      <c r="F2345" s="25"/>
      <c r="G2345" s="25"/>
      <c r="H2345" s="25"/>
      <c r="I2345" s="25"/>
      <c r="J2345" s="25"/>
    </row>
    <row r="2346" spans="1:10" ht="14.4">
      <c r="A2346" s="25"/>
      <c r="B2346" s="25"/>
      <c r="C2346" s="25"/>
      <c r="D2346" s="25"/>
      <c r="E2346" s="25"/>
      <c r="F2346" s="25"/>
      <c r="G2346" s="25"/>
      <c r="H2346" s="25"/>
      <c r="I2346" s="25"/>
      <c r="J2346" s="25"/>
    </row>
    <row r="2347" spans="1:10" ht="14.4">
      <c r="A2347" s="25"/>
      <c r="B2347" s="25"/>
      <c r="C2347" s="25"/>
      <c r="D2347" s="25"/>
      <c r="E2347" s="25"/>
      <c r="F2347" s="25"/>
      <c r="G2347" s="25"/>
      <c r="H2347" s="25"/>
      <c r="I2347" s="25"/>
      <c r="J2347" s="25"/>
    </row>
    <row r="2348" spans="1:10" ht="14.4">
      <c r="A2348" s="25"/>
      <c r="B2348" s="25"/>
      <c r="C2348" s="25"/>
      <c r="D2348" s="25"/>
      <c r="E2348" s="25"/>
      <c r="F2348" s="25"/>
      <c r="G2348" s="25"/>
      <c r="H2348" s="25"/>
      <c r="I2348" s="25"/>
      <c r="J2348" s="25"/>
    </row>
    <row r="2349" spans="1:10" ht="14.4">
      <c r="A2349" s="25"/>
      <c r="B2349" s="25"/>
      <c r="C2349" s="25"/>
      <c r="D2349" s="25"/>
      <c r="E2349" s="25"/>
      <c r="F2349" s="25"/>
      <c r="G2349" s="25"/>
      <c r="H2349" s="25"/>
      <c r="I2349" s="25"/>
      <c r="J2349" s="25"/>
    </row>
    <row r="2350" spans="1:10" ht="14.4">
      <c r="A2350" s="25"/>
      <c r="B2350" s="25"/>
      <c r="C2350" s="25"/>
      <c r="D2350" s="25"/>
      <c r="E2350" s="25"/>
      <c r="F2350" s="25"/>
      <c r="G2350" s="25"/>
      <c r="H2350" s="25"/>
      <c r="I2350" s="25"/>
      <c r="J2350" s="25"/>
    </row>
    <row r="2351" spans="1:10" ht="14.4">
      <c r="A2351" s="25"/>
      <c r="B2351" s="25"/>
      <c r="C2351" s="25"/>
      <c r="D2351" s="25"/>
      <c r="E2351" s="25"/>
      <c r="F2351" s="25"/>
      <c r="G2351" s="25"/>
      <c r="H2351" s="25"/>
      <c r="I2351" s="25"/>
      <c r="J2351" s="25"/>
    </row>
    <row r="2352" spans="1:10" ht="14.4">
      <c r="A2352" s="25"/>
      <c r="B2352" s="25"/>
      <c r="C2352" s="25"/>
      <c r="D2352" s="25"/>
      <c r="E2352" s="25"/>
      <c r="F2352" s="25"/>
      <c r="G2352" s="25"/>
      <c r="H2352" s="25"/>
      <c r="I2352" s="25"/>
      <c r="J2352" s="25"/>
    </row>
    <row r="2353" spans="1:10" ht="14.4">
      <c r="A2353" s="25"/>
      <c r="B2353" s="25"/>
      <c r="C2353" s="25"/>
      <c r="D2353" s="25"/>
      <c r="E2353" s="25"/>
      <c r="F2353" s="25"/>
      <c r="G2353" s="25"/>
      <c r="H2353" s="25"/>
      <c r="I2353" s="25"/>
      <c r="J2353" s="25"/>
    </row>
    <row r="2354" spans="1:10" ht="14.4">
      <c r="A2354" s="25"/>
      <c r="B2354" s="25"/>
      <c r="C2354" s="25"/>
      <c r="D2354" s="25"/>
      <c r="E2354" s="25"/>
      <c r="F2354" s="25"/>
      <c r="G2354" s="25"/>
      <c r="H2354" s="25"/>
      <c r="I2354" s="25"/>
      <c r="J2354" s="25"/>
    </row>
    <row r="2355" spans="1:10" ht="14.4">
      <c r="A2355" s="25"/>
      <c r="B2355" s="25"/>
      <c r="C2355" s="25"/>
      <c r="D2355" s="25"/>
      <c r="E2355" s="25"/>
      <c r="F2355" s="25"/>
      <c r="G2355" s="25"/>
      <c r="H2355" s="25"/>
      <c r="I2355" s="25"/>
      <c r="J2355" s="25"/>
    </row>
    <row r="2356" spans="1:10" ht="14.4">
      <c r="A2356" s="25"/>
      <c r="B2356" s="25"/>
      <c r="C2356" s="25"/>
      <c r="D2356" s="25"/>
      <c r="E2356" s="25"/>
      <c r="F2356" s="25"/>
      <c r="G2356" s="25"/>
      <c r="H2356" s="25"/>
      <c r="I2356" s="25"/>
      <c r="J2356" s="25"/>
    </row>
    <row r="2357" spans="1:10" ht="14.4">
      <c r="A2357" s="25"/>
      <c r="B2357" s="25"/>
      <c r="C2357" s="25"/>
      <c r="D2357" s="25"/>
      <c r="E2357" s="25"/>
      <c r="F2357" s="25"/>
      <c r="G2357" s="25"/>
      <c r="H2357" s="25"/>
      <c r="I2357" s="25"/>
      <c r="J2357" s="25"/>
    </row>
    <row r="2358" spans="1:10" ht="14.4">
      <c r="A2358" s="25"/>
      <c r="B2358" s="25"/>
      <c r="C2358" s="25"/>
      <c r="D2358" s="25"/>
      <c r="E2358" s="25"/>
      <c r="F2358" s="25"/>
      <c r="G2358" s="25"/>
      <c r="H2358" s="25"/>
      <c r="I2358" s="25"/>
      <c r="J2358" s="25"/>
    </row>
    <row r="2359" spans="1:10" ht="14.4">
      <c r="A2359" s="25"/>
      <c r="B2359" s="25"/>
      <c r="C2359" s="25"/>
      <c r="D2359" s="25"/>
      <c r="E2359" s="25"/>
      <c r="F2359" s="25"/>
      <c r="G2359" s="25"/>
      <c r="H2359" s="25"/>
      <c r="I2359" s="25"/>
      <c r="J2359" s="25"/>
    </row>
    <row r="2360" spans="1:10" ht="14.4">
      <c r="A2360" s="25"/>
      <c r="B2360" s="25"/>
      <c r="C2360" s="25"/>
      <c r="D2360" s="25"/>
      <c r="E2360" s="25"/>
      <c r="F2360" s="25"/>
      <c r="G2360" s="25"/>
      <c r="H2360" s="25"/>
      <c r="I2360" s="25"/>
      <c r="J2360" s="25"/>
    </row>
    <row r="2361" spans="1:10" ht="14.4">
      <c r="A2361" s="25"/>
      <c r="B2361" s="25"/>
      <c r="C2361" s="25"/>
      <c r="D2361" s="25"/>
      <c r="E2361" s="25"/>
      <c r="F2361" s="25"/>
      <c r="G2361" s="25"/>
      <c r="H2361" s="25"/>
      <c r="I2361" s="25"/>
      <c r="J2361" s="25"/>
    </row>
    <row r="2362" spans="1:10" ht="14.4">
      <c r="A2362" s="25"/>
      <c r="B2362" s="25"/>
      <c r="C2362" s="25"/>
      <c r="D2362" s="25"/>
      <c r="E2362" s="25"/>
      <c r="F2362" s="25"/>
      <c r="G2362" s="25"/>
      <c r="H2362" s="25"/>
      <c r="I2362" s="25"/>
      <c r="J2362" s="25"/>
    </row>
    <row r="2363" spans="1:10" ht="14.4">
      <c r="A2363" s="25"/>
      <c r="B2363" s="25"/>
      <c r="C2363" s="25"/>
      <c r="D2363" s="25"/>
      <c r="E2363" s="25"/>
      <c r="F2363" s="25"/>
      <c r="G2363" s="25"/>
      <c r="H2363" s="25"/>
      <c r="I2363" s="25"/>
      <c r="J2363" s="25"/>
    </row>
    <row r="2364" spans="1:10" ht="14.4">
      <c r="A2364" s="25"/>
      <c r="B2364" s="25"/>
      <c r="C2364" s="25"/>
      <c r="D2364" s="25"/>
      <c r="E2364" s="25"/>
      <c r="F2364" s="25"/>
      <c r="G2364" s="25"/>
      <c r="H2364" s="25"/>
      <c r="I2364" s="25"/>
      <c r="J2364" s="25"/>
    </row>
    <row r="2365" spans="1:10" ht="14.4">
      <c r="A2365" s="25"/>
      <c r="B2365" s="25"/>
      <c r="C2365" s="25"/>
      <c r="D2365" s="25"/>
      <c r="E2365" s="25"/>
      <c r="F2365" s="25"/>
      <c r="G2365" s="25"/>
      <c r="H2365" s="25"/>
      <c r="I2365" s="25"/>
      <c r="J2365" s="25"/>
    </row>
    <row r="2366" spans="1:10" ht="14.4">
      <c r="A2366" s="25"/>
      <c r="B2366" s="25"/>
      <c r="C2366" s="25"/>
      <c r="D2366" s="25"/>
      <c r="E2366" s="25"/>
      <c r="F2366" s="25"/>
      <c r="G2366" s="25"/>
      <c r="H2366" s="25"/>
      <c r="I2366" s="25"/>
      <c r="J2366" s="25"/>
    </row>
    <row r="2367" spans="1:10" ht="14.4">
      <c r="A2367" s="25"/>
      <c r="B2367" s="25"/>
      <c r="C2367" s="25"/>
      <c r="D2367" s="25"/>
      <c r="E2367" s="25"/>
      <c r="F2367" s="25"/>
      <c r="G2367" s="25"/>
      <c r="H2367" s="25"/>
      <c r="I2367" s="25"/>
      <c r="J2367" s="25"/>
    </row>
    <row r="2368" spans="1:10" ht="14.4">
      <c r="A2368" s="25"/>
      <c r="B2368" s="25"/>
      <c r="C2368" s="25"/>
      <c r="D2368" s="25"/>
      <c r="E2368" s="25"/>
      <c r="F2368" s="25"/>
      <c r="G2368" s="25"/>
      <c r="H2368" s="25"/>
      <c r="I2368" s="25"/>
      <c r="J2368" s="25"/>
    </row>
    <row r="2369" spans="1:10" ht="14.4">
      <c r="A2369" s="25"/>
      <c r="B2369" s="25"/>
      <c r="C2369" s="25"/>
      <c r="D2369" s="25"/>
      <c r="E2369" s="25"/>
      <c r="F2369" s="25"/>
      <c r="G2369" s="25"/>
      <c r="H2369" s="25"/>
      <c r="I2369" s="25"/>
      <c r="J2369" s="25"/>
    </row>
    <row r="2370" spans="1:10" ht="14.4">
      <c r="A2370" s="25"/>
      <c r="B2370" s="25"/>
      <c r="C2370" s="25"/>
      <c r="D2370" s="25"/>
      <c r="E2370" s="25"/>
      <c r="F2370" s="25"/>
      <c r="G2370" s="25"/>
      <c r="H2370" s="25"/>
      <c r="I2370" s="25"/>
      <c r="J2370" s="25"/>
    </row>
    <row r="2371" spans="1:10" ht="14.4">
      <c r="A2371" s="25"/>
      <c r="B2371" s="25"/>
      <c r="C2371" s="25"/>
      <c r="D2371" s="25"/>
      <c r="E2371" s="25"/>
      <c r="F2371" s="25"/>
      <c r="G2371" s="25"/>
      <c r="H2371" s="25"/>
      <c r="I2371" s="25"/>
      <c r="J2371" s="25"/>
    </row>
    <row r="2372" spans="1:10" ht="14.4">
      <c r="A2372" s="25"/>
      <c r="B2372" s="25"/>
      <c r="C2372" s="25"/>
      <c r="D2372" s="25"/>
      <c r="E2372" s="25"/>
      <c r="F2372" s="25"/>
      <c r="G2372" s="25"/>
      <c r="H2372" s="25"/>
      <c r="I2372" s="25"/>
      <c r="J2372" s="25"/>
    </row>
    <row r="2373" spans="1:10" ht="14.4">
      <c r="A2373" s="25"/>
      <c r="B2373" s="25"/>
      <c r="C2373" s="25"/>
      <c r="D2373" s="25"/>
      <c r="E2373" s="25"/>
      <c r="F2373" s="25"/>
      <c r="G2373" s="25"/>
      <c r="H2373" s="25"/>
      <c r="I2373" s="25"/>
      <c r="J2373" s="25"/>
    </row>
    <row r="2374" spans="1:10" ht="14.4">
      <c r="A2374" s="25"/>
      <c r="B2374" s="25"/>
      <c r="C2374" s="25"/>
      <c r="D2374" s="25"/>
      <c r="E2374" s="25"/>
      <c r="F2374" s="25"/>
      <c r="G2374" s="25"/>
      <c r="H2374" s="25"/>
      <c r="I2374" s="25"/>
      <c r="J2374" s="25"/>
    </row>
    <row r="2375" spans="1:10" ht="14.4">
      <c r="A2375" s="25"/>
      <c r="B2375" s="25"/>
      <c r="C2375" s="25"/>
      <c r="D2375" s="25"/>
      <c r="E2375" s="25"/>
      <c r="F2375" s="25"/>
      <c r="G2375" s="25"/>
      <c r="H2375" s="25"/>
      <c r="I2375" s="25"/>
      <c r="J2375" s="25"/>
    </row>
    <row r="2376" spans="1:10" ht="14.4">
      <c r="A2376" s="25"/>
      <c r="B2376" s="25"/>
      <c r="C2376" s="25"/>
      <c r="D2376" s="25"/>
      <c r="E2376" s="25"/>
      <c r="F2376" s="25"/>
      <c r="G2376" s="25"/>
      <c r="H2376" s="25"/>
      <c r="I2376" s="25"/>
      <c r="J2376" s="25"/>
    </row>
    <row r="2377" spans="1:10" ht="14.4">
      <c r="A2377" s="25"/>
      <c r="B2377" s="25"/>
      <c r="C2377" s="25"/>
      <c r="D2377" s="25"/>
      <c r="E2377" s="25"/>
      <c r="F2377" s="25"/>
      <c r="G2377" s="25"/>
      <c r="H2377" s="25"/>
      <c r="I2377" s="25"/>
      <c r="J2377" s="25"/>
    </row>
    <row r="2378" spans="1:10" ht="14.4">
      <c r="A2378" s="25"/>
      <c r="B2378" s="25"/>
      <c r="C2378" s="25"/>
      <c r="D2378" s="25"/>
      <c r="E2378" s="25"/>
      <c r="F2378" s="25"/>
      <c r="G2378" s="25"/>
      <c r="H2378" s="25"/>
      <c r="I2378" s="25"/>
      <c r="J2378" s="25"/>
    </row>
    <row r="2379" spans="1:10" ht="14.4">
      <c r="A2379" s="25"/>
      <c r="B2379" s="25"/>
      <c r="C2379" s="25"/>
      <c r="D2379" s="25"/>
      <c r="E2379" s="25"/>
      <c r="F2379" s="25"/>
      <c r="G2379" s="25"/>
      <c r="H2379" s="25"/>
      <c r="I2379" s="25"/>
      <c r="J2379" s="25"/>
    </row>
    <row r="2380" spans="1:10" ht="14.4">
      <c r="A2380" s="25"/>
      <c r="B2380" s="25"/>
      <c r="C2380" s="25"/>
      <c r="D2380" s="25"/>
      <c r="E2380" s="25"/>
      <c r="F2380" s="25"/>
      <c r="G2380" s="25"/>
      <c r="H2380" s="25"/>
      <c r="I2380" s="25"/>
      <c r="J2380" s="25"/>
    </row>
    <row r="2381" spans="1:10" ht="14.4">
      <c r="A2381" s="25"/>
      <c r="B2381" s="25"/>
      <c r="C2381" s="25"/>
      <c r="D2381" s="25"/>
      <c r="E2381" s="25"/>
      <c r="F2381" s="25"/>
      <c r="G2381" s="25"/>
      <c r="H2381" s="25"/>
      <c r="I2381" s="25"/>
      <c r="J2381" s="25"/>
    </row>
    <row r="2382" spans="1:10" ht="14.4">
      <c r="A2382" s="25"/>
      <c r="B2382" s="25"/>
      <c r="C2382" s="25"/>
      <c r="D2382" s="25"/>
      <c r="E2382" s="25"/>
      <c r="F2382" s="25"/>
      <c r="G2382" s="25"/>
      <c r="H2382" s="25"/>
      <c r="I2382" s="25"/>
      <c r="J2382" s="25"/>
    </row>
    <row r="2383" spans="1:10" ht="14.4">
      <c r="A2383" s="25"/>
      <c r="B2383" s="25"/>
      <c r="C2383" s="25"/>
      <c r="D2383" s="25"/>
      <c r="E2383" s="25"/>
      <c r="F2383" s="25"/>
      <c r="G2383" s="25"/>
      <c r="H2383" s="25"/>
      <c r="I2383" s="25"/>
      <c r="J2383" s="25"/>
    </row>
    <row r="2384" spans="1:10" ht="14.4">
      <c r="A2384" s="25"/>
      <c r="B2384" s="25"/>
      <c r="C2384" s="25"/>
      <c r="D2384" s="25"/>
      <c r="E2384" s="25"/>
      <c r="F2384" s="25"/>
      <c r="G2384" s="25"/>
      <c r="H2384" s="25"/>
      <c r="I2384" s="25"/>
      <c r="J2384" s="25"/>
    </row>
    <row r="2385" spans="1:10" ht="14.4">
      <c r="A2385" s="25"/>
      <c r="B2385" s="25"/>
      <c r="C2385" s="25"/>
      <c r="D2385" s="25"/>
      <c r="E2385" s="25"/>
      <c r="F2385" s="25"/>
      <c r="G2385" s="25"/>
      <c r="H2385" s="25"/>
      <c r="I2385" s="25"/>
      <c r="J2385" s="25"/>
    </row>
    <row r="2386" spans="1:10" ht="14.4">
      <c r="A2386" s="25"/>
      <c r="B2386" s="25"/>
      <c r="C2386" s="25"/>
      <c r="D2386" s="25"/>
      <c r="E2386" s="25"/>
      <c r="F2386" s="25"/>
      <c r="G2386" s="25"/>
      <c r="H2386" s="25"/>
      <c r="I2386" s="25"/>
      <c r="J2386" s="25"/>
    </row>
    <row r="2387" spans="1:10" ht="14.4">
      <c r="A2387" s="25"/>
      <c r="B2387" s="25"/>
      <c r="C2387" s="25"/>
      <c r="D2387" s="25"/>
      <c r="E2387" s="25"/>
      <c r="F2387" s="25"/>
      <c r="G2387" s="25"/>
      <c r="H2387" s="25"/>
      <c r="I2387" s="25"/>
      <c r="J2387" s="25"/>
    </row>
    <row r="2388" spans="1:10" ht="14.4">
      <c r="A2388" s="25"/>
      <c r="B2388" s="25"/>
      <c r="C2388" s="25"/>
      <c r="D2388" s="25"/>
      <c r="E2388" s="25"/>
      <c r="F2388" s="25"/>
      <c r="G2388" s="25"/>
      <c r="H2388" s="25"/>
      <c r="I2388" s="25"/>
      <c r="J2388" s="25"/>
    </row>
    <row r="2389" spans="1:10" ht="14.4">
      <c r="A2389" s="25"/>
      <c r="B2389" s="25"/>
      <c r="C2389" s="25"/>
      <c r="D2389" s="25"/>
      <c r="E2389" s="25"/>
      <c r="F2389" s="25"/>
      <c r="G2389" s="25"/>
      <c r="H2389" s="25"/>
      <c r="I2389" s="25"/>
      <c r="J2389" s="25"/>
    </row>
    <row r="2390" spans="1:10" ht="14.4">
      <c r="A2390" s="25"/>
      <c r="B2390" s="25"/>
      <c r="C2390" s="25"/>
      <c r="D2390" s="25"/>
      <c r="E2390" s="25"/>
      <c r="F2390" s="25"/>
      <c r="G2390" s="25"/>
      <c r="H2390" s="25"/>
      <c r="I2390" s="25"/>
      <c r="J2390" s="25"/>
    </row>
    <row r="2391" spans="1:10" ht="14.4">
      <c r="A2391" s="25"/>
      <c r="B2391" s="25"/>
      <c r="C2391" s="25"/>
      <c r="D2391" s="25"/>
      <c r="E2391" s="25"/>
      <c r="F2391" s="25"/>
      <c r="G2391" s="25"/>
      <c r="H2391" s="25"/>
      <c r="I2391" s="25"/>
      <c r="J2391" s="25"/>
    </row>
    <row r="2392" spans="1:10" ht="14.4">
      <c r="A2392" s="25"/>
      <c r="B2392" s="25"/>
      <c r="C2392" s="25"/>
      <c r="D2392" s="25"/>
      <c r="E2392" s="25"/>
      <c r="F2392" s="25"/>
      <c r="G2392" s="25"/>
      <c r="H2392" s="25"/>
      <c r="I2392" s="25"/>
      <c r="J2392" s="25"/>
    </row>
    <row r="2393" spans="1:10" ht="14.4">
      <c r="A2393" s="25"/>
      <c r="B2393" s="25"/>
      <c r="C2393" s="25"/>
      <c r="D2393" s="25"/>
      <c r="E2393" s="25"/>
      <c r="F2393" s="25"/>
      <c r="G2393" s="25"/>
      <c r="H2393" s="25"/>
      <c r="I2393" s="25"/>
      <c r="J2393" s="25"/>
    </row>
    <row r="2394" spans="1:10" ht="14.4">
      <c r="A2394" s="25"/>
      <c r="B2394" s="25"/>
      <c r="C2394" s="25"/>
      <c r="D2394" s="25"/>
      <c r="E2394" s="25"/>
      <c r="F2394" s="25"/>
      <c r="G2394" s="25"/>
      <c r="H2394" s="25"/>
      <c r="I2394" s="25"/>
      <c r="J2394" s="25"/>
    </row>
    <row r="2395" spans="1:10" ht="14.4">
      <c r="A2395" s="25"/>
      <c r="B2395" s="25"/>
      <c r="C2395" s="25"/>
      <c r="D2395" s="25"/>
      <c r="E2395" s="25"/>
      <c r="F2395" s="25"/>
      <c r="G2395" s="25"/>
      <c r="H2395" s="25"/>
      <c r="I2395" s="25"/>
      <c r="J2395" s="25"/>
    </row>
    <row r="2396" spans="1:10" ht="14.4">
      <c r="A2396" s="25"/>
      <c r="B2396" s="25"/>
      <c r="C2396" s="25"/>
      <c r="D2396" s="25"/>
      <c r="E2396" s="25"/>
      <c r="F2396" s="25"/>
      <c r="G2396" s="25"/>
      <c r="H2396" s="25"/>
      <c r="I2396" s="25"/>
      <c r="J2396" s="25"/>
    </row>
    <row r="2397" spans="1:10" ht="14.4">
      <c r="A2397" s="25"/>
      <c r="B2397" s="25"/>
      <c r="C2397" s="25"/>
      <c r="D2397" s="25"/>
      <c r="E2397" s="25"/>
      <c r="F2397" s="25"/>
      <c r="G2397" s="25"/>
      <c r="H2397" s="25"/>
      <c r="I2397" s="25"/>
      <c r="J2397" s="25"/>
    </row>
    <row r="2398" spans="1:10" ht="14.4">
      <c r="A2398" s="25"/>
      <c r="B2398" s="25"/>
      <c r="C2398" s="25"/>
      <c r="D2398" s="25"/>
      <c r="E2398" s="25"/>
      <c r="F2398" s="25"/>
      <c r="G2398" s="25"/>
      <c r="H2398" s="25"/>
      <c r="I2398" s="25"/>
      <c r="J2398" s="25"/>
    </row>
    <row r="2399" spans="1:10" ht="14.4">
      <c r="A2399" s="25"/>
      <c r="B2399" s="25"/>
      <c r="C2399" s="25"/>
      <c r="D2399" s="25"/>
      <c r="E2399" s="25"/>
      <c r="F2399" s="25"/>
      <c r="G2399" s="25"/>
      <c r="H2399" s="25"/>
      <c r="I2399" s="25"/>
      <c r="J2399" s="25"/>
    </row>
    <row r="2400" spans="1:10" ht="14.4">
      <c r="A2400" s="25"/>
      <c r="B2400" s="25"/>
      <c r="C2400" s="25"/>
      <c r="D2400" s="25"/>
      <c r="E2400" s="25"/>
      <c r="F2400" s="25"/>
      <c r="G2400" s="25"/>
      <c r="H2400" s="25"/>
      <c r="I2400" s="25"/>
      <c r="J2400" s="25"/>
    </row>
    <row r="2401" spans="1:10" ht="14.4">
      <c r="A2401" s="25"/>
      <c r="B2401" s="25"/>
      <c r="C2401" s="25"/>
      <c r="D2401" s="25"/>
      <c r="E2401" s="25"/>
      <c r="F2401" s="25"/>
      <c r="G2401" s="25"/>
      <c r="H2401" s="25"/>
      <c r="I2401" s="25"/>
      <c r="J2401" s="25"/>
    </row>
    <row r="2402" spans="1:10" ht="14.4">
      <c r="A2402" s="25"/>
      <c r="B2402" s="25"/>
      <c r="C2402" s="25"/>
      <c r="D2402" s="25"/>
      <c r="E2402" s="25"/>
      <c r="F2402" s="25"/>
      <c r="G2402" s="25"/>
      <c r="H2402" s="25"/>
      <c r="I2402" s="25"/>
      <c r="J2402" s="25"/>
    </row>
    <row r="2403" spans="1:10" ht="14.4">
      <c r="A2403" s="25"/>
      <c r="B2403" s="25"/>
      <c r="C2403" s="25"/>
      <c r="D2403" s="25"/>
      <c r="E2403" s="25"/>
      <c r="F2403" s="25"/>
      <c r="G2403" s="25"/>
      <c r="H2403" s="25"/>
      <c r="I2403" s="25"/>
      <c r="J2403" s="25"/>
    </row>
    <row r="2404" spans="1:10" ht="14.4">
      <c r="A2404" s="25"/>
      <c r="B2404" s="25"/>
      <c r="C2404" s="25"/>
      <c r="D2404" s="25"/>
      <c r="E2404" s="25"/>
      <c r="F2404" s="25"/>
      <c r="G2404" s="25"/>
      <c r="H2404" s="25"/>
      <c r="I2404" s="25"/>
      <c r="J2404" s="25"/>
    </row>
    <row r="2405" spans="1:10" ht="14.4">
      <c r="A2405" s="25"/>
      <c r="B2405" s="25"/>
      <c r="C2405" s="25"/>
      <c r="D2405" s="25"/>
      <c r="E2405" s="25"/>
      <c r="F2405" s="25"/>
      <c r="G2405" s="25"/>
      <c r="H2405" s="25"/>
      <c r="I2405" s="25"/>
      <c r="J2405" s="25"/>
    </row>
    <row r="2406" spans="1:10" ht="14.4">
      <c r="A2406" s="25"/>
      <c r="B2406" s="25"/>
      <c r="C2406" s="25"/>
      <c r="D2406" s="25"/>
      <c r="E2406" s="25"/>
      <c r="F2406" s="25"/>
      <c r="G2406" s="25"/>
      <c r="H2406" s="25"/>
      <c r="I2406" s="25"/>
      <c r="J2406" s="25"/>
    </row>
    <row r="2407" spans="1:10" ht="14.4">
      <c r="A2407" s="25"/>
      <c r="B2407" s="25"/>
      <c r="C2407" s="25"/>
      <c r="D2407" s="25"/>
      <c r="E2407" s="25"/>
      <c r="F2407" s="25"/>
      <c r="G2407" s="25"/>
      <c r="H2407" s="25"/>
      <c r="I2407" s="25"/>
      <c r="J2407" s="25"/>
    </row>
    <row r="2408" spans="1:10" ht="14.4">
      <c r="A2408" s="25"/>
      <c r="B2408" s="25"/>
      <c r="C2408" s="25"/>
      <c r="D2408" s="25"/>
      <c r="E2408" s="25"/>
      <c r="F2408" s="25"/>
      <c r="G2408" s="25"/>
      <c r="H2408" s="25"/>
      <c r="I2408" s="25"/>
      <c r="J2408" s="25"/>
    </row>
    <row r="2409" spans="1:10" ht="14.4">
      <c r="A2409" s="25"/>
      <c r="B2409" s="25"/>
      <c r="C2409" s="25"/>
      <c r="D2409" s="25"/>
      <c r="E2409" s="25"/>
      <c r="F2409" s="25"/>
      <c r="G2409" s="25"/>
      <c r="H2409" s="25"/>
      <c r="I2409" s="25"/>
      <c r="J2409" s="25"/>
    </row>
    <row r="2410" spans="1:10" ht="14.4">
      <c r="A2410" s="25"/>
      <c r="B2410" s="25"/>
      <c r="C2410" s="25"/>
      <c r="D2410" s="25"/>
      <c r="E2410" s="25"/>
      <c r="F2410" s="25"/>
      <c r="G2410" s="25"/>
      <c r="H2410" s="25"/>
      <c r="I2410" s="25"/>
      <c r="J2410" s="25"/>
    </row>
    <row r="2411" spans="1:10" ht="14.4">
      <c r="A2411" s="25"/>
      <c r="B2411" s="25"/>
      <c r="C2411" s="25"/>
      <c r="D2411" s="25"/>
      <c r="E2411" s="25"/>
      <c r="F2411" s="25"/>
      <c r="G2411" s="25"/>
      <c r="H2411" s="25"/>
      <c r="I2411" s="25"/>
      <c r="J2411" s="25"/>
    </row>
    <row r="2412" spans="1:10" ht="14.4">
      <c r="A2412" s="25"/>
      <c r="B2412" s="25"/>
      <c r="C2412" s="25"/>
      <c r="D2412" s="25"/>
      <c r="E2412" s="25"/>
      <c r="F2412" s="25"/>
      <c r="G2412" s="25"/>
      <c r="H2412" s="25"/>
      <c r="I2412" s="25"/>
      <c r="J2412" s="25"/>
    </row>
    <row r="2413" spans="1:10" ht="14.4">
      <c r="A2413" s="25"/>
      <c r="B2413" s="25"/>
      <c r="C2413" s="25"/>
      <c r="D2413" s="25"/>
      <c r="E2413" s="25"/>
      <c r="F2413" s="25"/>
      <c r="G2413" s="25"/>
      <c r="H2413" s="25"/>
      <c r="I2413" s="25"/>
      <c r="J2413" s="25"/>
    </row>
    <row r="2414" spans="1:10" ht="14.4">
      <c r="A2414" s="25"/>
      <c r="B2414" s="25"/>
      <c r="C2414" s="25"/>
      <c r="D2414" s="25"/>
      <c r="E2414" s="25"/>
      <c r="F2414" s="25"/>
      <c r="G2414" s="25"/>
      <c r="H2414" s="25"/>
      <c r="I2414" s="25"/>
      <c r="J2414" s="25"/>
    </row>
    <row r="2415" spans="1:10" ht="14.4">
      <c r="A2415" s="25"/>
      <c r="B2415" s="25"/>
      <c r="C2415" s="25"/>
      <c r="D2415" s="25"/>
      <c r="E2415" s="25"/>
      <c r="F2415" s="25"/>
      <c r="G2415" s="25"/>
      <c r="H2415" s="25"/>
      <c r="I2415" s="25"/>
      <c r="J2415" s="25"/>
    </row>
    <row r="2416" spans="1:10" ht="14.4">
      <c r="A2416" s="25"/>
      <c r="B2416" s="25"/>
      <c r="C2416" s="25"/>
      <c r="D2416" s="25"/>
      <c r="E2416" s="25"/>
      <c r="F2416" s="25"/>
      <c r="G2416" s="25"/>
      <c r="H2416" s="25"/>
      <c r="I2416" s="25"/>
      <c r="J2416" s="25"/>
    </row>
    <row r="2417" spans="1:10" ht="14.4">
      <c r="A2417" s="25"/>
      <c r="B2417" s="25"/>
      <c r="C2417" s="25"/>
      <c r="D2417" s="25"/>
      <c r="E2417" s="25"/>
      <c r="F2417" s="25"/>
      <c r="G2417" s="25"/>
      <c r="H2417" s="25"/>
      <c r="I2417" s="25"/>
      <c r="J2417" s="25"/>
    </row>
    <row r="2418" spans="1:10" ht="14.4">
      <c r="A2418" s="25"/>
      <c r="B2418" s="25"/>
      <c r="C2418" s="25"/>
      <c r="D2418" s="25"/>
      <c r="E2418" s="25"/>
      <c r="F2418" s="25"/>
      <c r="G2418" s="25"/>
      <c r="H2418" s="25"/>
      <c r="I2418" s="25"/>
      <c r="J2418" s="25"/>
    </row>
    <row r="2419" spans="1:10" ht="14.4">
      <c r="A2419" s="25"/>
      <c r="B2419" s="25"/>
      <c r="C2419" s="25"/>
      <c r="D2419" s="25"/>
      <c r="E2419" s="25"/>
      <c r="F2419" s="25"/>
      <c r="G2419" s="25"/>
      <c r="H2419" s="25"/>
      <c r="I2419" s="25"/>
      <c r="J2419" s="25"/>
    </row>
    <row r="2420" spans="1:10" ht="14.4">
      <c r="A2420" s="25"/>
      <c r="B2420" s="25"/>
      <c r="C2420" s="25"/>
      <c r="D2420" s="25"/>
      <c r="E2420" s="25"/>
      <c r="F2420" s="25"/>
      <c r="G2420" s="25"/>
      <c r="H2420" s="25"/>
      <c r="I2420" s="25"/>
      <c r="J2420" s="25"/>
    </row>
    <row r="2421" spans="1:10" ht="14.4">
      <c r="A2421" s="25"/>
      <c r="B2421" s="25"/>
      <c r="C2421" s="25"/>
      <c r="D2421" s="25"/>
      <c r="E2421" s="25"/>
      <c r="F2421" s="25"/>
      <c r="G2421" s="25"/>
      <c r="H2421" s="25"/>
      <c r="I2421" s="25"/>
      <c r="J2421" s="25"/>
    </row>
    <row r="2422" spans="1:10" ht="14.4">
      <c r="A2422" s="25"/>
      <c r="B2422" s="25"/>
      <c r="C2422" s="25"/>
      <c r="D2422" s="25"/>
      <c r="E2422" s="25"/>
      <c r="F2422" s="25"/>
      <c r="G2422" s="25"/>
      <c r="H2422" s="25"/>
      <c r="I2422" s="25"/>
      <c r="J2422" s="25"/>
    </row>
    <row r="2423" spans="1:10" ht="14.4">
      <c r="A2423" s="25"/>
      <c r="B2423" s="25"/>
      <c r="C2423" s="25"/>
      <c r="D2423" s="25"/>
      <c r="E2423" s="25"/>
      <c r="F2423" s="25"/>
      <c r="G2423" s="25"/>
      <c r="H2423" s="25"/>
      <c r="I2423" s="25"/>
      <c r="J2423" s="25"/>
    </row>
    <row r="2424" spans="1:10" ht="14.4">
      <c r="A2424" s="25"/>
      <c r="B2424" s="25"/>
      <c r="C2424" s="25"/>
      <c r="D2424" s="25"/>
      <c r="E2424" s="25"/>
      <c r="F2424" s="25"/>
      <c r="G2424" s="25"/>
      <c r="H2424" s="25"/>
      <c r="I2424" s="25"/>
      <c r="J2424" s="25"/>
    </row>
    <row r="2425" spans="1:10" ht="14.4">
      <c r="A2425" s="25"/>
      <c r="B2425" s="25"/>
      <c r="C2425" s="25"/>
      <c r="D2425" s="25"/>
      <c r="E2425" s="25"/>
      <c r="F2425" s="25"/>
      <c r="G2425" s="25"/>
      <c r="H2425" s="25"/>
      <c r="I2425" s="25"/>
      <c r="J2425" s="25"/>
    </row>
    <row r="2426" spans="1:10" ht="14.4">
      <c r="A2426" s="25"/>
      <c r="B2426" s="25"/>
      <c r="C2426" s="25"/>
      <c r="D2426" s="25"/>
      <c r="E2426" s="25"/>
      <c r="F2426" s="25"/>
      <c r="G2426" s="25"/>
      <c r="H2426" s="25"/>
      <c r="I2426" s="25"/>
      <c r="J2426" s="25"/>
    </row>
    <row r="2427" spans="1:10" ht="14.4">
      <c r="A2427" s="25"/>
      <c r="B2427" s="25"/>
      <c r="C2427" s="25"/>
      <c r="D2427" s="25"/>
      <c r="E2427" s="25"/>
      <c r="F2427" s="25"/>
      <c r="G2427" s="25"/>
      <c r="H2427" s="25"/>
      <c r="I2427" s="25"/>
      <c r="J2427" s="25"/>
    </row>
    <row r="2428" spans="1:10" ht="14.4">
      <c r="A2428" s="25"/>
      <c r="B2428" s="25"/>
      <c r="C2428" s="25"/>
      <c r="D2428" s="25"/>
      <c r="E2428" s="25"/>
      <c r="F2428" s="25"/>
      <c r="G2428" s="25"/>
      <c r="H2428" s="25"/>
      <c r="I2428" s="25"/>
      <c r="J2428" s="25"/>
    </row>
    <row r="2429" spans="1:10" ht="14.4">
      <c r="A2429" s="25"/>
      <c r="B2429" s="25"/>
      <c r="C2429" s="25"/>
      <c r="D2429" s="25"/>
      <c r="E2429" s="25"/>
      <c r="F2429" s="25"/>
      <c r="G2429" s="25"/>
      <c r="H2429" s="25"/>
      <c r="I2429" s="25"/>
      <c r="J2429" s="25"/>
    </row>
    <row r="2430" spans="1:10" ht="14.4">
      <c r="A2430" s="25"/>
      <c r="B2430" s="25"/>
      <c r="C2430" s="25"/>
      <c r="D2430" s="25"/>
      <c r="E2430" s="25"/>
      <c r="F2430" s="25"/>
      <c r="G2430" s="25"/>
      <c r="H2430" s="25"/>
      <c r="I2430" s="25"/>
      <c r="J2430" s="25"/>
    </row>
    <row r="2431" spans="1:10" ht="14.4">
      <c r="A2431" s="25"/>
      <c r="B2431" s="25"/>
      <c r="C2431" s="25"/>
      <c r="D2431" s="25"/>
      <c r="E2431" s="25"/>
      <c r="F2431" s="25"/>
      <c r="G2431" s="25"/>
      <c r="H2431" s="25"/>
      <c r="I2431" s="25"/>
      <c r="J2431" s="25"/>
    </row>
    <row r="2432" spans="1:10" ht="14.4">
      <c r="A2432" s="25"/>
      <c r="B2432" s="25"/>
      <c r="C2432" s="25"/>
      <c r="D2432" s="25"/>
      <c r="E2432" s="25"/>
      <c r="F2432" s="25"/>
      <c r="G2432" s="25"/>
      <c r="H2432" s="25"/>
      <c r="I2432" s="25"/>
      <c r="J2432" s="25"/>
    </row>
    <row r="2433" spans="1:10" ht="14.4">
      <c r="A2433" s="25"/>
      <c r="B2433" s="25"/>
      <c r="C2433" s="25"/>
      <c r="D2433" s="25"/>
      <c r="E2433" s="25"/>
      <c r="F2433" s="25"/>
      <c r="G2433" s="25"/>
      <c r="H2433" s="25"/>
      <c r="I2433" s="25"/>
      <c r="J2433" s="25"/>
    </row>
    <row r="2434" spans="1:10" ht="14.4">
      <c r="A2434" s="25"/>
      <c r="B2434" s="25"/>
      <c r="C2434" s="25"/>
      <c r="D2434" s="25"/>
      <c r="E2434" s="25"/>
      <c r="F2434" s="25"/>
      <c r="G2434" s="25"/>
      <c r="H2434" s="25"/>
      <c r="I2434" s="25"/>
      <c r="J2434" s="25"/>
    </row>
    <row r="2435" spans="1:10" ht="14.4">
      <c r="A2435" s="25"/>
      <c r="B2435" s="25"/>
      <c r="C2435" s="25"/>
      <c r="D2435" s="25"/>
      <c r="E2435" s="25"/>
      <c r="F2435" s="25"/>
      <c r="G2435" s="25"/>
      <c r="H2435" s="25"/>
      <c r="I2435" s="25"/>
      <c r="J2435" s="25"/>
    </row>
    <row r="2436" spans="1:10" ht="14.4">
      <c r="A2436" s="25"/>
      <c r="B2436" s="25"/>
      <c r="C2436" s="25"/>
      <c r="D2436" s="25"/>
      <c r="E2436" s="25"/>
      <c r="F2436" s="25"/>
      <c r="G2436" s="25"/>
      <c r="H2436" s="25"/>
      <c r="I2436" s="25"/>
      <c r="J2436" s="25"/>
    </row>
    <row r="2437" spans="1:10" ht="14.4">
      <c r="A2437" s="25"/>
      <c r="B2437" s="25"/>
      <c r="C2437" s="25"/>
      <c r="D2437" s="25"/>
      <c r="E2437" s="25"/>
      <c r="F2437" s="25"/>
      <c r="G2437" s="25"/>
      <c r="H2437" s="25"/>
      <c r="I2437" s="25"/>
      <c r="J2437" s="25"/>
    </row>
    <row r="2438" spans="1:10" ht="14.4">
      <c r="A2438" s="25"/>
      <c r="B2438" s="25"/>
      <c r="C2438" s="25"/>
      <c r="D2438" s="25"/>
      <c r="E2438" s="25"/>
      <c r="F2438" s="25"/>
      <c r="G2438" s="25"/>
      <c r="H2438" s="25"/>
      <c r="I2438" s="25"/>
      <c r="J2438" s="25"/>
    </row>
    <row r="2439" spans="1:10" ht="14.4">
      <c r="A2439" s="25"/>
      <c r="B2439" s="25"/>
      <c r="C2439" s="25"/>
      <c r="D2439" s="25"/>
      <c r="E2439" s="25"/>
      <c r="F2439" s="25"/>
      <c r="G2439" s="25"/>
      <c r="H2439" s="25"/>
      <c r="I2439" s="25"/>
      <c r="J2439" s="25"/>
    </row>
    <row r="2440" spans="1:10" ht="14.4">
      <c r="A2440" s="25"/>
      <c r="B2440" s="25"/>
      <c r="C2440" s="25"/>
      <c r="D2440" s="25"/>
      <c r="E2440" s="25"/>
      <c r="F2440" s="25"/>
      <c r="G2440" s="25"/>
      <c r="H2440" s="25"/>
      <c r="I2440" s="25"/>
      <c r="J2440" s="25"/>
    </row>
    <row r="2441" spans="1:10" ht="14.4">
      <c r="A2441" s="25"/>
      <c r="B2441" s="25"/>
      <c r="C2441" s="25"/>
      <c r="D2441" s="25"/>
      <c r="E2441" s="25"/>
      <c r="F2441" s="25"/>
      <c r="G2441" s="25"/>
      <c r="H2441" s="25"/>
      <c r="I2441" s="25"/>
      <c r="J2441" s="25"/>
    </row>
    <row r="2442" spans="1:10" ht="14.4">
      <c r="A2442" s="25"/>
      <c r="B2442" s="25"/>
      <c r="C2442" s="25"/>
      <c r="D2442" s="25"/>
      <c r="E2442" s="25"/>
      <c r="F2442" s="25"/>
      <c r="G2442" s="25"/>
      <c r="H2442" s="25"/>
      <c r="I2442" s="25"/>
      <c r="J2442" s="25"/>
    </row>
    <row r="2443" spans="1:10" ht="14.4">
      <c r="A2443" s="25"/>
      <c r="B2443" s="25"/>
      <c r="C2443" s="25"/>
      <c r="D2443" s="25"/>
      <c r="E2443" s="25"/>
      <c r="F2443" s="25"/>
      <c r="G2443" s="25"/>
      <c r="H2443" s="25"/>
      <c r="I2443" s="25"/>
      <c r="J2443" s="25"/>
    </row>
    <row r="2444" spans="1:10" ht="14.4">
      <c r="A2444" s="25"/>
      <c r="B2444" s="25"/>
      <c r="C2444" s="25"/>
      <c r="D2444" s="25"/>
      <c r="E2444" s="25"/>
      <c r="F2444" s="25"/>
      <c r="G2444" s="25"/>
      <c r="H2444" s="25"/>
      <c r="I2444" s="25"/>
      <c r="J2444" s="25"/>
    </row>
    <row r="2445" spans="1:10" ht="14.4">
      <c r="A2445" s="25"/>
      <c r="B2445" s="25"/>
      <c r="C2445" s="25"/>
      <c r="D2445" s="25"/>
      <c r="E2445" s="25"/>
      <c r="F2445" s="25"/>
      <c r="G2445" s="25"/>
      <c r="H2445" s="25"/>
      <c r="I2445" s="25"/>
      <c r="J2445" s="25"/>
    </row>
    <row r="2446" spans="1:10" ht="14.4">
      <c r="A2446" s="25"/>
      <c r="B2446" s="25"/>
      <c r="C2446" s="25"/>
      <c r="D2446" s="25"/>
      <c r="E2446" s="25"/>
      <c r="F2446" s="25"/>
      <c r="G2446" s="25"/>
      <c r="H2446" s="25"/>
      <c r="I2446" s="25"/>
      <c r="J2446" s="25"/>
    </row>
    <row r="2447" spans="1:10" ht="14.4">
      <c r="A2447" s="25"/>
      <c r="B2447" s="25"/>
      <c r="C2447" s="25"/>
      <c r="D2447" s="25"/>
      <c r="E2447" s="25"/>
      <c r="F2447" s="25"/>
      <c r="G2447" s="25"/>
      <c r="H2447" s="25"/>
      <c r="I2447" s="25"/>
      <c r="J2447" s="25"/>
    </row>
    <row r="2448" spans="1:10" ht="14.4">
      <c r="A2448" s="25"/>
      <c r="B2448" s="25"/>
      <c r="C2448" s="25"/>
      <c r="D2448" s="25"/>
      <c r="E2448" s="25"/>
      <c r="F2448" s="25"/>
      <c r="G2448" s="25"/>
      <c r="H2448" s="25"/>
      <c r="I2448" s="25"/>
      <c r="J2448" s="25"/>
    </row>
    <row r="2449" spans="1:10" ht="14.4">
      <c r="A2449" s="25"/>
      <c r="B2449" s="25"/>
      <c r="C2449" s="25"/>
      <c r="D2449" s="25"/>
      <c r="E2449" s="25"/>
      <c r="F2449" s="25"/>
      <c r="G2449" s="25"/>
      <c r="H2449" s="25"/>
      <c r="I2449" s="25"/>
      <c r="J2449" s="25"/>
    </row>
    <row r="2450" spans="1:10" ht="14.4">
      <c r="A2450" s="25"/>
      <c r="B2450" s="25"/>
      <c r="C2450" s="25"/>
      <c r="D2450" s="25"/>
      <c r="E2450" s="25"/>
      <c r="F2450" s="25"/>
      <c r="G2450" s="25"/>
      <c r="H2450" s="25"/>
      <c r="I2450" s="25"/>
      <c r="J2450" s="25"/>
    </row>
    <row r="2451" spans="1:10" ht="14.4">
      <c r="A2451" s="25"/>
      <c r="B2451" s="25"/>
      <c r="C2451" s="25"/>
      <c r="D2451" s="25"/>
      <c r="E2451" s="25"/>
      <c r="F2451" s="25"/>
      <c r="G2451" s="25"/>
      <c r="H2451" s="25"/>
      <c r="I2451" s="25"/>
      <c r="J2451" s="25"/>
    </row>
    <row r="2452" spans="1:10" ht="14.4">
      <c r="A2452" s="25"/>
      <c r="B2452" s="25"/>
      <c r="C2452" s="25"/>
      <c r="D2452" s="25"/>
      <c r="E2452" s="25"/>
      <c r="F2452" s="25"/>
      <c r="G2452" s="25"/>
      <c r="H2452" s="25"/>
      <c r="I2452" s="25"/>
      <c r="J2452" s="25"/>
    </row>
    <row r="2453" spans="1:10" ht="14.4">
      <c r="A2453" s="25"/>
      <c r="B2453" s="25"/>
      <c r="C2453" s="25"/>
      <c r="D2453" s="25"/>
      <c r="E2453" s="25"/>
      <c r="F2453" s="25"/>
      <c r="G2453" s="25"/>
      <c r="H2453" s="25"/>
      <c r="I2453" s="25"/>
      <c r="J2453" s="25"/>
    </row>
    <row r="2454" spans="1:10" ht="14.4">
      <c r="A2454" s="25"/>
      <c r="B2454" s="25"/>
      <c r="C2454" s="25"/>
      <c r="D2454" s="25"/>
      <c r="E2454" s="25"/>
      <c r="F2454" s="25"/>
      <c r="G2454" s="25"/>
      <c r="H2454" s="25"/>
      <c r="I2454" s="25"/>
      <c r="J2454" s="25"/>
    </row>
    <row r="2455" spans="1:10" ht="14.4">
      <c r="A2455" s="25"/>
      <c r="B2455" s="25"/>
      <c r="C2455" s="25"/>
      <c r="D2455" s="25"/>
      <c r="E2455" s="25"/>
      <c r="F2455" s="25"/>
      <c r="G2455" s="25"/>
      <c r="H2455" s="25"/>
      <c r="I2455" s="25"/>
      <c r="J2455" s="25"/>
    </row>
    <row r="2456" spans="1:10" ht="14.4">
      <c r="A2456" s="25"/>
      <c r="B2456" s="25"/>
      <c r="C2456" s="25"/>
      <c r="D2456" s="25"/>
      <c r="E2456" s="25"/>
      <c r="F2456" s="25"/>
      <c r="G2456" s="25"/>
      <c r="H2456" s="25"/>
      <c r="I2456" s="25"/>
      <c r="J2456" s="25"/>
    </row>
    <row r="2457" spans="1:10" ht="14.4">
      <c r="A2457" s="25"/>
      <c r="B2457" s="25"/>
      <c r="C2457" s="25"/>
      <c r="D2457" s="25"/>
      <c r="E2457" s="25"/>
      <c r="F2457" s="25"/>
      <c r="G2457" s="25"/>
      <c r="H2457" s="25"/>
      <c r="I2457" s="25"/>
      <c r="J2457" s="25"/>
    </row>
    <row r="2458" spans="1:10" ht="14.4">
      <c r="A2458" s="25"/>
      <c r="B2458" s="25"/>
      <c r="C2458" s="25"/>
      <c r="D2458" s="25"/>
      <c r="E2458" s="25"/>
      <c r="F2458" s="25"/>
      <c r="G2458" s="25"/>
      <c r="H2458" s="25"/>
      <c r="I2458" s="25"/>
      <c r="J2458" s="25"/>
    </row>
    <row r="2459" spans="1:10" ht="14.4">
      <c r="A2459" s="25"/>
      <c r="B2459" s="25"/>
      <c r="C2459" s="25"/>
      <c r="D2459" s="25"/>
      <c r="E2459" s="25"/>
      <c r="F2459" s="25"/>
      <c r="G2459" s="25"/>
      <c r="H2459" s="25"/>
      <c r="I2459" s="25"/>
      <c r="J2459" s="25"/>
    </row>
    <row r="2460" spans="1:10" ht="14.4">
      <c r="A2460" s="25"/>
      <c r="B2460" s="25"/>
      <c r="C2460" s="25"/>
      <c r="D2460" s="25"/>
      <c r="E2460" s="25"/>
      <c r="F2460" s="25"/>
      <c r="G2460" s="25"/>
      <c r="H2460" s="25"/>
      <c r="I2460" s="25"/>
      <c r="J2460" s="25"/>
    </row>
    <row r="2461" spans="1:10" ht="14.4">
      <c r="A2461" s="25"/>
      <c r="B2461" s="25"/>
      <c r="C2461" s="25"/>
      <c r="D2461" s="25"/>
      <c r="E2461" s="25"/>
      <c r="F2461" s="25"/>
      <c r="G2461" s="25"/>
      <c r="H2461" s="25"/>
      <c r="I2461" s="25"/>
      <c r="J2461" s="25"/>
    </row>
    <row r="2462" spans="1:10" ht="14.4">
      <c r="A2462" s="25"/>
      <c r="B2462" s="25"/>
      <c r="C2462" s="25"/>
      <c r="D2462" s="25"/>
      <c r="E2462" s="25"/>
      <c r="F2462" s="25"/>
      <c r="G2462" s="25"/>
      <c r="H2462" s="25"/>
      <c r="I2462" s="25"/>
      <c r="J2462" s="25"/>
    </row>
    <row r="2463" spans="1:10" ht="14.4">
      <c r="A2463" s="25"/>
      <c r="B2463" s="25"/>
      <c r="C2463" s="25"/>
      <c r="D2463" s="25"/>
      <c r="E2463" s="25"/>
      <c r="F2463" s="25"/>
      <c r="G2463" s="25"/>
      <c r="H2463" s="25"/>
      <c r="I2463" s="25"/>
      <c r="J2463" s="25"/>
    </row>
    <row r="2464" spans="1:10" ht="14.4">
      <c r="A2464" s="25"/>
      <c r="B2464" s="25"/>
      <c r="C2464" s="25"/>
      <c r="D2464" s="25"/>
      <c r="E2464" s="25"/>
      <c r="F2464" s="25"/>
      <c r="G2464" s="25"/>
      <c r="H2464" s="25"/>
      <c r="I2464" s="25"/>
      <c r="J2464" s="25"/>
    </row>
    <row r="2465" spans="1:10" ht="14.4">
      <c r="A2465" s="25"/>
      <c r="B2465" s="25"/>
      <c r="C2465" s="25"/>
      <c r="D2465" s="25"/>
      <c r="E2465" s="25"/>
      <c r="F2465" s="25"/>
      <c r="G2465" s="25"/>
      <c r="H2465" s="25"/>
      <c r="I2465" s="25"/>
      <c r="J2465" s="25"/>
    </row>
    <row r="2466" spans="1:10" ht="14.4">
      <c r="A2466" s="25"/>
      <c r="B2466" s="25"/>
      <c r="C2466" s="25"/>
      <c r="D2466" s="25"/>
      <c r="E2466" s="25"/>
      <c r="F2466" s="25"/>
      <c r="G2466" s="25"/>
      <c r="H2466" s="25"/>
      <c r="I2466" s="25"/>
      <c r="J2466" s="25"/>
    </row>
    <row r="2467" spans="1:10" ht="14.4">
      <c r="A2467" s="25"/>
      <c r="B2467" s="25"/>
      <c r="C2467" s="25"/>
      <c r="D2467" s="25"/>
      <c r="E2467" s="25"/>
      <c r="F2467" s="25"/>
      <c r="G2467" s="25"/>
      <c r="H2467" s="25"/>
      <c r="I2467" s="25"/>
      <c r="J2467" s="25"/>
    </row>
    <row r="2468" spans="1:10" ht="14.4">
      <c r="A2468" s="25"/>
      <c r="B2468" s="25"/>
      <c r="C2468" s="25"/>
      <c r="D2468" s="25"/>
      <c r="E2468" s="25"/>
      <c r="F2468" s="25"/>
      <c r="G2468" s="25"/>
      <c r="H2468" s="25"/>
      <c r="I2468" s="25"/>
      <c r="J2468" s="25"/>
    </row>
    <row r="2469" spans="1:10" ht="14.4">
      <c r="A2469" s="25"/>
      <c r="B2469" s="25"/>
      <c r="C2469" s="25"/>
      <c r="D2469" s="25"/>
      <c r="E2469" s="25"/>
      <c r="F2469" s="25"/>
      <c r="G2469" s="25"/>
      <c r="H2469" s="25"/>
      <c r="I2469" s="25"/>
      <c r="J2469" s="25"/>
    </row>
    <row r="2470" spans="1:10" ht="14.4">
      <c r="A2470" s="25"/>
      <c r="B2470" s="25"/>
      <c r="C2470" s="25"/>
      <c r="D2470" s="25"/>
      <c r="E2470" s="25"/>
      <c r="F2470" s="25"/>
      <c r="G2470" s="25"/>
      <c r="H2470" s="25"/>
      <c r="I2470" s="25"/>
      <c r="J2470" s="25"/>
    </row>
    <row r="2471" spans="1:10" ht="14.4">
      <c r="A2471" s="25"/>
      <c r="B2471" s="25"/>
      <c r="C2471" s="25"/>
      <c r="D2471" s="25"/>
      <c r="E2471" s="25"/>
      <c r="F2471" s="25"/>
      <c r="G2471" s="25"/>
      <c r="H2471" s="25"/>
      <c r="I2471" s="25"/>
      <c r="J2471" s="25"/>
    </row>
    <row r="2472" spans="1:10" ht="14.4">
      <c r="A2472" s="25"/>
      <c r="B2472" s="25"/>
      <c r="C2472" s="25"/>
      <c r="D2472" s="25"/>
      <c r="E2472" s="25"/>
      <c r="F2472" s="25"/>
      <c r="G2472" s="25"/>
      <c r="H2472" s="25"/>
      <c r="I2472" s="25"/>
      <c r="J2472" s="25"/>
    </row>
    <row r="2473" spans="1:10" ht="14.4">
      <c r="A2473" s="25"/>
      <c r="B2473" s="25"/>
      <c r="C2473" s="25"/>
      <c r="D2473" s="25"/>
      <c r="E2473" s="25"/>
      <c r="F2473" s="25"/>
      <c r="G2473" s="25"/>
      <c r="H2473" s="25"/>
      <c r="I2473" s="25"/>
      <c r="J2473" s="25"/>
    </row>
    <row r="2474" spans="1:10" ht="14.4">
      <c r="A2474" s="25"/>
      <c r="B2474" s="25"/>
      <c r="C2474" s="25"/>
      <c r="D2474" s="25"/>
      <c r="E2474" s="25"/>
      <c r="F2474" s="25"/>
      <c r="G2474" s="25"/>
      <c r="H2474" s="25"/>
      <c r="I2474" s="25"/>
      <c r="J2474" s="25"/>
    </row>
    <row r="2475" spans="1:10" ht="14.4">
      <c r="A2475" s="25"/>
      <c r="B2475" s="25"/>
      <c r="C2475" s="25"/>
      <c r="D2475" s="25"/>
      <c r="E2475" s="25"/>
      <c r="F2475" s="25"/>
      <c r="G2475" s="25"/>
      <c r="H2475" s="25"/>
      <c r="I2475" s="25"/>
      <c r="J2475" s="25"/>
    </row>
    <row r="2476" spans="1:10" ht="14.4">
      <c r="A2476" s="25"/>
      <c r="B2476" s="25"/>
      <c r="C2476" s="25"/>
      <c r="D2476" s="25"/>
      <c r="E2476" s="25"/>
      <c r="F2476" s="25"/>
      <c r="G2476" s="25"/>
      <c r="H2476" s="25"/>
      <c r="I2476" s="25"/>
      <c r="J2476" s="25"/>
    </row>
    <row r="2477" spans="1:10" ht="14.4">
      <c r="A2477" s="25"/>
      <c r="B2477" s="25"/>
      <c r="C2477" s="25"/>
      <c r="D2477" s="25"/>
      <c r="E2477" s="25"/>
      <c r="F2477" s="25"/>
      <c r="G2477" s="25"/>
      <c r="H2477" s="25"/>
      <c r="I2477" s="25"/>
      <c r="J2477" s="25"/>
    </row>
    <row r="2478" spans="1:10" ht="14.4">
      <c r="A2478" s="25"/>
      <c r="B2478" s="25"/>
      <c r="C2478" s="25"/>
      <c r="D2478" s="25"/>
      <c r="E2478" s="25"/>
      <c r="F2478" s="25"/>
      <c r="G2478" s="25"/>
      <c r="H2478" s="25"/>
      <c r="I2478" s="25"/>
      <c r="J2478" s="25"/>
    </row>
    <row r="2479" spans="1:10" ht="14.4">
      <c r="A2479" s="25"/>
      <c r="B2479" s="25"/>
      <c r="C2479" s="25"/>
      <c r="D2479" s="25"/>
      <c r="E2479" s="25"/>
      <c r="F2479" s="25"/>
      <c r="G2479" s="25"/>
      <c r="H2479" s="25"/>
      <c r="I2479" s="25"/>
      <c r="J2479" s="25"/>
    </row>
    <row r="2480" spans="1:10" ht="14.4">
      <c r="A2480" s="25"/>
      <c r="B2480" s="25"/>
      <c r="C2480" s="25"/>
      <c r="D2480" s="25"/>
      <c r="E2480" s="25"/>
      <c r="F2480" s="25"/>
      <c r="G2480" s="25"/>
      <c r="H2480" s="25"/>
      <c r="I2480" s="25"/>
      <c r="J2480" s="25"/>
    </row>
    <row r="2481" spans="1:10" ht="14.4">
      <c r="A2481" s="25"/>
      <c r="B2481" s="25"/>
      <c r="C2481" s="25"/>
      <c r="D2481" s="25"/>
      <c r="E2481" s="25"/>
      <c r="F2481" s="25"/>
      <c r="G2481" s="25"/>
      <c r="H2481" s="25"/>
      <c r="I2481" s="25"/>
      <c r="J2481" s="25"/>
    </row>
    <row r="2482" spans="1:10" ht="14.4">
      <c r="A2482" s="25"/>
      <c r="B2482" s="25"/>
      <c r="C2482" s="25"/>
      <c r="D2482" s="25"/>
      <c r="E2482" s="25"/>
      <c r="F2482" s="25"/>
      <c r="G2482" s="25"/>
      <c r="H2482" s="25"/>
      <c r="I2482" s="25"/>
      <c r="J2482" s="25"/>
    </row>
    <row r="2483" spans="1:10" ht="14.4">
      <c r="A2483" s="25"/>
      <c r="B2483" s="25"/>
      <c r="C2483" s="25"/>
      <c r="D2483" s="25"/>
      <c r="E2483" s="25"/>
      <c r="F2483" s="25"/>
      <c r="G2483" s="25"/>
      <c r="H2483" s="25"/>
      <c r="I2483" s="25"/>
      <c r="J2483" s="25"/>
    </row>
    <row r="2484" spans="1:10" ht="14.4">
      <c r="A2484" s="25"/>
      <c r="B2484" s="25"/>
      <c r="C2484" s="25"/>
      <c r="D2484" s="25"/>
      <c r="E2484" s="25"/>
      <c r="F2484" s="25"/>
      <c r="G2484" s="25"/>
      <c r="H2484" s="25"/>
      <c r="I2484" s="25"/>
      <c r="J2484" s="25"/>
    </row>
    <row r="2485" spans="1:10" ht="14.4">
      <c r="A2485" s="25"/>
      <c r="B2485" s="25"/>
      <c r="C2485" s="25"/>
      <c r="D2485" s="25"/>
      <c r="E2485" s="25"/>
      <c r="F2485" s="25"/>
      <c r="G2485" s="25"/>
      <c r="H2485" s="25"/>
      <c r="I2485" s="25"/>
      <c r="J2485" s="25"/>
    </row>
    <row r="2486" spans="1:10" ht="14.4">
      <c r="A2486" s="25"/>
      <c r="B2486" s="25"/>
      <c r="C2486" s="25"/>
      <c r="D2486" s="25"/>
      <c r="E2486" s="25"/>
      <c r="F2486" s="25"/>
      <c r="G2486" s="25"/>
      <c r="H2486" s="25"/>
      <c r="I2486" s="25"/>
      <c r="J2486" s="25"/>
    </row>
    <row r="2487" spans="1:10" ht="14.4">
      <c r="A2487" s="25"/>
      <c r="B2487" s="25"/>
      <c r="C2487" s="25"/>
      <c r="D2487" s="25"/>
      <c r="E2487" s="25"/>
      <c r="F2487" s="25"/>
      <c r="G2487" s="25"/>
      <c r="H2487" s="25"/>
      <c r="I2487" s="25"/>
      <c r="J2487" s="25"/>
    </row>
    <row r="2488" spans="1:10" ht="14.4">
      <c r="A2488" s="25"/>
      <c r="B2488" s="25"/>
      <c r="C2488" s="25"/>
      <c r="D2488" s="25"/>
      <c r="E2488" s="25"/>
      <c r="F2488" s="25"/>
      <c r="G2488" s="25"/>
      <c r="H2488" s="25"/>
      <c r="I2488" s="25"/>
      <c r="J2488" s="25"/>
    </row>
    <row r="2489" spans="1:10" ht="14.4">
      <c r="A2489" s="25"/>
      <c r="B2489" s="25"/>
      <c r="C2489" s="25"/>
      <c r="D2489" s="25"/>
      <c r="E2489" s="25"/>
      <c r="F2489" s="25"/>
      <c r="G2489" s="25"/>
      <c r="H2489" s="25"/>
      <c r="I2489" s="25"/>
      <c r="J2489" s="25"/>
    </row>
    <row r="2490" spans="1:10" ht="14.4">
      <c r="A2490" s="25"/>
      <c r="B2490" s="25"/>
      <c r="C2490" s="25"/>
      <c r="D2490" s="25"/>
      <c r="E2490" s="25"/>
      <c r="F2490" s="25"/>
      <c r="G2490" s="25"/>
      <c r="H2490" s="25"/>
      <c r="I2490" s="25"/>
      <c r="J2490" s="25"/>
    </row>
    <row r="2491" spans="1:10" ht="14.4">
      <c r="A2491" s="25"/>
      <c r="B2491" s="25"/>
      <c r="C2491" s="25"/>
      <c r="D2491" s="25"/>
      <c r="E2491" s="25"/>
      <c r="F2491" s="25"/>
      <c r="G2491" s="25"/>
      <c r="H2491" s="25"/>
      <c r="I2491" s="25"/>
      <c r="J2491" s="25"/>
    </row>
    <row r="2492" spans="1:10" ht="14.4">
      <c r="A2492" s="25"/>
      <c r="B2492" s="25"/>
      <c r="C2492" s="25"/>
      <c r="D2492" s="25"/>
      <c r="E2492" s="25"/>
      <c r="F2492" s="25"/>
      <c r="G2492" s="25"/>
      <c r="H2492" s="25"/>
      <c r="I2492" s="25"/>
      <c r="J2492" s="25"/>
    </row>
    <row r="2493" spans="1:10" ht="14.4">
      <c r="A2493" s="25"/>
      <c r="B2493" s="25"/>
      <c r="C2493" s="25"/>
      <c r="D2493" s="25"/>
      <c r="E2493" s="25"/>
      <c r="F2493" s="25"/>
      <c r="G2493" s="25"/>
      <c r="H2493" s="25"/>
      <c r="I2493" s="25"/>
      <c r="J2493" s="25"/>
    </row>
    <row r="2494" spans="1:10" ht="14.4">
      <c r="A2494" s="25"/>
      <c r="B2494" s="25"/>
      <c r="C2494" s="25"/>
      <c r="D2494" s="25"/>
      <c r="E2494" s="25"/>
      <c r="F2494" s="25"/>
      <c r="G2494" s="25"/>
      <c r="H2494" s="25"/>
      <c r="I2494" s="25"/>
      <c r="J2494" s="25"/>
    </row>
    <row r="2495" spans="1:10" ht="14.4">
      <c r="A2495" s="25"/>
      <c r="B2495" s="25"/>
      <c r="C2495" s="25"/>
      <c r="D2495" s="25"/>
      <c r="E2495" s="25"/>
      <c r="F2495" s="25"/>
      <c r="G2495" s="25"/>
      <c r="H2495" s="25"/>
      <c r="I2495" s="25"/>
      <c r="J2495" s="25"/>
    </row>
    <row r="2496" spans="1:10" ht="14.4">
      <c r="A2496" s="25"/>
      <c r="B2496" s="25"/>
      <c r="C2496" s="25"/>
      <c r="D2496" s="25"/>
      <c r="E2496" s="25"/>
      <c r="F2496" s="25"/>
      <c r="G2496" s="25"/>
      <c r="H2496" s="25"/>
      <c r="I2496" s="25"/>
      <c r="J2496" s="25"/>
    </row>
    <row r="2497" spans="1:10" ht="14.4">
      <c r="A2497" s="25"/>
      <c r="B2497" s="25"/>
      <c r="C2497" s="25"/>
      <c r="D2497" s="25"/>
      <c r="E2497" s="25"/>
      <c r="F2497" s="25"/>
      <c r="G2497" s="25"/>
      <c r="H2497" s="25"/>
      <c r="I2497" s="25"/>
      <c r="J2497" s="25"/>
    </row>
    <row r="2498" spans="1:10" ht="14.4">
      <c r="A2498" s="25"/>
      <c r="B2498" s="25"/>
      <c r="C2498" s="25"/>
      <c r="D2498" s="25"/>
      <c r="E2498" s="25"/>
      <c r="F2498" s="25"/>
      <c r="G2498" s="25"/>
      <c r="H2498" s="25"/>
      <c r="I2498" s="25"/>
      <c r="J2498" s="25"/>
    </row>
    <row r="2499" spans="1:10" ht="14.4">
      <c r="A2499" s="25"/>
      <c r="B2499" s="25"/>
      <c r="C2499" s="25"/>
      <c r="D2499" s="25"/>
      <c r="E2499" s="25"/>
      <c r="F2499" s="25"/>
      <c r="G2499" s="25"/>
      <c r="H2499" s="25"/>
      <c r="I2499" s="25"/>
      <c r="J2499" s="25"/>
    </row>
    <row r="2500" spans="1:10" ht="14.4">
      <c r="A2500" s="25"/>
      <c r="B2500" s="25"/>
      <c r="C2500" s="25"/>
      <c r="D2500" s="25"/>
      <c r="E2500" s="25"/>
      <c r="F2500" s="25"/>
      <c r="G2500" s="25"/>
      <c r="H2500" s="25"/>
      <c r="I2500" s="25"/>
      <c r="J2500" s="25"/>
    </row>
    <row r="2501" spans="1:10" ht="14.4">
      <c r="A2501" s="25"/>
      <c r="B2501" s="25"/>
      <c r="C2501" s="25"/>
      <c r="D2501" s="25"/>
      <c r="E2501" s="25"/>
      <c r="F2501" s="25"/>
      <c r="G2501" s="25"/>
      <c r="H2501" s="25"/>
      <c r="I2501" s="25"/>
      <c r="J2501" s="25"/>
    </row>
    <row r="2502" spans="1:10" ht="14.4">
      <c r="A2502" s="25"/>
      <c r="B2502" s="25"/>
      <c r="C2502" s="25"/>
      <c r="D2502" s="25"/>
      <c r="E2502" s="25"/>
      <c r="F2502" s="25"/>
      <c r="G2502" s="25"/>
      <c r="H2502" s="25"/>
      <c r="I2502" s="25"/>
      <c r="J2502" s="25"/>
    </row>
    <row r="2503" spans="1:10" ht="14.4">
      <c r="A2503" s="25"/>
      <c r="B2503" s="25"/>
      <c r="C2503" s="25"/>
      <c r="D2503" s="25"/>
      <c r="E2503" s="25"/>
      <c r="F2503" s="25"/>
      <c r="G2503" s="25"/>
      <c r="H2503" s="25"/>
      <c r="I2503" s="25"/>
      <c r="J2503" s="25"/>
    </row>
    <row r="2504" spans="1:10" ht="14.4">
      <c r="A2504" s="25"/>
      <c r="B2504" s="25"/>
      <c r="C2504" s="25"/>
      <c r="D2504" s="25"/>
      <c r="E2504" s="25"/>
      <c r="F2504" s="25"/>
      <c r="G2504" s="25"/>
      <c r="H2504" s="25"/>
      <c r="I2504" s="25"/>
      <c r="J2504" s="25"/>
    </row>
    <row r="2505" spans="1:10" ht="14.4">
      <c r="A2505" s="25"/>
      <c r="B2505" s="25"/>
      <c r="C2505" s="25"/>
      <c r="D2505" s="25"/>
      <c r="E2505" s="25"/>
      <c r="F2505" s="25"/>
      <c r="G2505" s="25"/>
      <c r="H2505" s="25"/>
      <c r="I2505" s="25"/>
      <c r="J2505" s="25"/>
    </row>
    <row r="2506" spans="1:10" ht="14.4">
      <c r="A2506" s="25"/>
      <c r="B2506" s="25"/>
      <c r="C2506" s="25"/>
      <c r="D2506" s="25"/>
      <c r="E2506" s="25"/>
      <c r="F2506" s="25"/>
      <c r="G2506" s="25"/>
      <c r="H2506" s="25"/>
      <c r="I2506" s="25"/>
      <c r="J2506" s="25"/>
    </row>
    <row r="2507" spans="1:10" ht="14.4">
      <c r="A2507" s="25"/>
      <c r="B2507" s="25"/>
      <c r="C2507" s="25"/>
      <c r="D2507" s="25"/>
      <c r="E2507" s="25"/>
      <c r="F2507" s="25"/>
      <c r="G2507" s="25"/>
      <c r="H2507" s="25"/>
      <c r="I2507" s="25"/>
      <c r="J2507" s="25"/>
    </row>
    <row r="2508" spans="1:10" ht="14.4">
      <c r="A2508" s="25"/>
      <c r="B2508" s="25"/>
      <c r="C2508" s="25"/>
      <c r="D2508" s="25"/>
      <c r="E2508" s="25"/>
      <c r="F2508" s="25"/>
      <c r="G2508" s="25"/>
      <c r="H2508" s="25"/>
      <c r="I2508" s="25"/>
      <c r="J2508" s="25"/>
    </row>
    <row r="2509" spans="1:10" ht="14.4">
      <c r="A2509" s="25"/>
      <c r="B2509" s="25"/>
      <c r="C2509" s="25"/>
      <c r="D2509" s="25"/>
      <c r="E2509" s="25"/>
      <c r="F2509" s="25"/>
      <c r="G2509" s="25"/>
      <c r="H2509" s="25"/>
      <c r="I2509" s="25"/>
      <c r="J2509" s="25"/>
    </row>
    <row r="2510" spans="1:10" ht="14.4">
      <c r="A2510" s="25"/>
      <c r="B2510" s="25"/>
      <c r="C2510" s="25"/>
      <c r="D2510" s="25"/>
      <c r="E2510" s="25"/>
      <c r="F2510" s="25"/>
      <c r="G2510" s="25"/>
      <c r="H2510" s="25"/>
      <c r="I2510" s="25"/>
      <c r="J2510" s="25"/>
    </row>
    <row r="2511" spans="1:10" ht="14.4">
      <c r="A2511" s="25"/>
      <c r="B2511" s="25"/>
      <c r="C2511" s="25"/>
      <c r="D2511" s="25"/>
      <c r="E2511" s="25"/>
      <c r="F2511" s="25"/>
      <c r="G2511" s="25"/>
      <c r="H2511" s="25"/>
      <c r="I2511" s="25"/>
      <c r="J2511" s="25"/>
    </row>
    <row r="2512" spans="1:10" ht="14.4">
      <c r="A2512" s="25"/>
      <c r="B2512" s="25"/>
      <c r="C2512" s="25"/>
      <c r="D2512" s="25"/>
      <c r="E2512" s="25"/>
      <c r="F2512" s="25"/>
      <c r="G2512" s="25"/>
      <c r="H2512" s="25"/>
      <c r="I2512" s="25"/>
      <c r="J2512" s="25"/>
    </row>
    <row r="2513" spans="1:10" ht="14.4">
      <c r="A2513" s="25"/>
      <c r="B2513" s="25"/>
      <c r="C2513" s="25"/>
      <c r="D2513" s="25"/>
      <c r="E2513" s="25"/>
      <c r="F2513" s="25"/>
      <c r="G2513" s="25"/>
      <c r="H2513" s="25"/>
      <c r="I2513" s="25"/>
      <c r="J2513" s="25"/>
    </row>
    <row r="2514" spans="1:10" ht="14.4">
      <c r="A2514" s="25"/>
      <c r="B2514" s="25"/>
      <c r="C2514" s="25"/>
      <c r="D2514" s="25"/>
      <c r="E2514" s="25"/>
      <c r="F2514" s="25"/>
      <c r="G2514" s="25"/>
      <c r="H2514" s="25"/>
      <c r="I2514" s="25"/>
      <c r="J2514" s="25"/>
    </row>
    <row r="2515" spans="1:10" ht="14.4">
      <c r="A2515" s="25"/>
      <c r="B2515" s="25"/>
      <c r="C2515" s="25"/>
      <c r="D2515" s="25"/>
      <c r="E2515" s="25"/>
      <c r="F2515" s="25"/>
      <c r="G2515" s="25"/>
      <c r="H2515" s="25"/>
      <c r="I2515" s="25"/>
      <c r="J2515" s="25"/>
    </row>
    <row r="2516" spans="1:10" ht="14.4">
      <c r="A2516" s="25"/>
      <c r="B2516" s="25"/>
      <c r="C2516" s="25"/>
      <c r="D2516" s="25"/>
      <c r="E2516" s="25"/>
      <c r="F2516" s="25"/>
      <c r="G2516" s="25"/>
      <c r="H2516" s="25"/>
      <c r="I2516" s="25"/>
      <c r="J2516" s="25"/>
    </row>
    <row r="2517" spans="1:10" ht="14.4">
      <c r="A2517" s="25"/>
      <c r="B2517" s="25"/>
      <c r="C2517" s="25"/>
      <c r="D2517" s="25"/>
      <c r="E2517" s="25"/>
      <c r="F2517" s="25"/>
      <c r="G2517" s="25"/>
      <c r="H2517" s="25"/>
      <c r="I2517" s="25"/>
      <c r="J2517" s="25"/>
    </row>
    <row r="2518" spans="1:10" ht="14.4">
      <c r="A2518" s="25"/>
      <c r="B2518" s="25"/>
      <c r="C2518" s="25"/>
      <c r="D2518" s="25"/>
      <c r="E2518" s="25"/>
      <c r="F2518" s="25"/>
      <c r="G2518" s="25"/>
      <c r="H2518" s="25"/>
      <c r="I2518" s="25"/>
      <c r="J2518" s="25"/>
    </row>
    <row r="2519" spans="1:10" ht="14.4">
      <c r="A2519" s="25"/>
      <c r="B2519" s="25"/>
      <c r="C2519" s="25"/>
      <c r="D2519" s="25"/>
      <c r="E2519" s="25"/>
      <c r="F2519" s="25"/>
      <c r="G2519" s="25"/>
      <c r="H2519" s="25"/>
      <c r="I2519" s="25"/>
      <c r="J2519" s="25"/>
    </row>
    <row r="2520" spans="1:10" ht="14.4">
      <c r="A2520" s="25"/>
      <c r="B2520" s="25"/>
      <c r="C2520" s="25"/>
      <c r="D2520" s="25"/>
      <c r="E2520" s="25"/>
      <c r="F2520" s="25"/>
      <c r="G2520" s="25"/>
      <c r="H2520" s="25"/>
      <c r="I2520" s="25"/>
      <c r="J2520" s="25"/>
    </row>
    <row r="2521" spans="1:10" ht="14.4">
      <c r="A2521" s="25"/>
      <c r="B2521" s="25"/>
      <c r="C2521" s="25"/>
      <c r="D2521" s="25"/>
      <c r="E2521" s="25"/>
      <c r="F2521" s="25"/>
      <c r="G2521" s="25"/>
      <c r="H2521" s="25"/>
      <c r="I2521" s="25"/>
      <c r="J2521" s="25"/>
    </row>
    <row r="2522" spans="1:10" ht="14.4">
      <c r="A2522" s="25"/>
      <c r="B2522" s="25"/>
      <c r="C2522" s="25"/>
      <c r="D2522" s="25"/>
      <c r="E2522" s="25"/>
      <c r="F2522" s="25"/>
      <c r="G2522" s="25"/>
      <c r="H2522" s="25"/>
      <c r="I2522" s="25"/>
      <c r="J2522" s="25"/>
    </row>
    <row r="2523" spans="1:10" ht="14.4">
      <c r="A2523" s="25"/>
      <c r="B2523" s="25"/>
      <c r="C2523" s="25"/>
      <c r="D2523" s="25"/>
      <c r="E2523" s="25"/>
      <c r="F2523" s="25"/>
      <c r="G2523" s="25"/>
      <c r="H2523" s="25"/>
      <c r="I2523" s="25"/>
      <c r="J2523" s="25"/>
    </row>
    <row r="2524" spans="1:10" ht="14.4">
      <c r="A2524" s="25"/>
      <c r="B2524" s="25"/>
      <c r="C2524" s="25"/>
      <c r="D2524" s="25"/>
      <c r="E2524" s="25"/>
      <c r="F2524" s="25"/>
      <c r="G2524" s="25"/>
      <c r="H2524" s="25"/>
      <c r="I2524" s="25"/>
      <c r="J2524" s="25"/>
    </row>
    <row r="2525" spans="1:10" ht="14.4">
      <c r="A2525" s="25"/>
      <c r="B2525" s="25"/>
      <c r="C2525" s="25"/>
      <c r="D2525" s="25"/>
      <c r="E2525" s="25"/>
      <c r="F2525" s="25"/>
      <c r="G2525" s="25"/>
      <c r="H2525" s="25"/>
      <c r="I2525" s="25"/>
      <c r="J2525" s="25"/>
    </row>
    <row r="2526" spans="1:10" ht="14.4">
      <c r="A2526" s="25"/>
      <c r="B2526" s="25"/>
      <c r="C2526" s="25"/>
      <c r="D2526" s="25"/>
      <c r="E2526" s="25"/>
      <c r="F2526" s="25"/>
      <c r="G2526" s="25"/>
      <c r="H2526" s="25"/>
      <c r="I2526" s="25"/>
      <c r="J2526" s="25"/>
    </row>
    <row r="2527" spans="1:10" ht="14.4">
      <c r="A2527" s="25"/>
      <c r="B2527" s="25"/>
      <c r="C2527" s="25"/>
      <c r="D2527" s="25"/>
      <c r="E2527" s="25"/>
      <c r="F2527" s="25"/>
      <c r="G2527" s="25"/>
      <c r="H2527" s="25"/>
      <c r="I2527" s="25"/>
      <c r="J2527" s="25"/>
    </row>
    <row r="2528" spans="1:10" ht="14.4">
      <c r="A2528" s="25"/>
      <c r="B2528" s="25"/>
      <c r="C2528" s="25"/>
      <c r="D2528" s="25"/>
      <c r="E2528" s="25"/>
      <c r="F2528" s="25"/>
      <c r="G2528" s="25"/>
      <c r="H2528" s="25"/>
      <c r="I2528" s="25"/>
      <c r="J2528" s="25"/>
    </row>
    <row r="2529" spans="1:10" ht="14.4">
      <c r="A2529" s="25"/>
      <c r="B2529" s="25"/>
      <c r="C2529" s="25"/>
      <c r="D2529" s="25"/>
      <c r="E2529" s="25"/>
      <c r="F2529" s="25"/>
      <c r="G2529" s="25"/>
      <c r="H2529" s="25"/>
      <c r="I2529" s="25"/>
      <c r="J2529" s="25"/>
    </row>
    <row r="2530" spans="1:10" ht="14.4">
      <c r="A2530" s="25"/>
      <c r="B2530" s="25"/>
      <c r="C2530" s="25"/>
      <c r="D2530" s="25"/>
      <c r="E2530" s="25"/>
      <c r="F2530" s="25"/>
      <c r="G2530" s="25"/>
      <c r="H2530" s="25"/>
      <c r="I2530" s="25"/>
      <c r="J2530" s="25"/>
    </row>
    <row r="2531" spans="1:10" ht="14.4">
      <c r="A2531" s="25"/>
      <c r="B2531" s="25"/>
      <c r="C2531" s="25"/>
      <c r="D2531" s="25"/>
      <c r="E2531" s="25"/>
      <c r="F2531" s="25"/>
      <c r="G2531" s="25"/>
      <c r="H2531" s="25"/>
      <c r="I2531" s="25"/>
      <c r="J2531" s="25"/>
    </row>
    <row r="2532" spans="1:10" ht="14.4">
      <c r="A2532" s="25"/>
      <c r="B2532" s="25"/>
      <c r="C2532" s="25"/>
      <c r="D2532" s="25"/>
      <c r="E2532" s="25"/>
      <c r="F2532" s="25"/>
      <c r="G2532" s="25"/>
      <c r="H2532" s="25"/>
      <c r="I2532" s="25"/>
      <c r="J2532" s="25"/>
    </row>
    <row r="2533" spans="1:10" ht="14.4">
      <c r="A2533" s="25"/>
      <c r="B2533" s="25"/>
      <c r="C2533" s="25"/>
      <c r="D2533" s="25"/>
      <c r="E2533" s="25"/>
      <c r="F2533" s="25"/>
      <c r="G2533" s="25"/>
      <c r="H2533" s="25"/>
      <c r="I2533" s="25"/>
      <c r="J2533" s="25"/>
    </row>
    <row r="2534" spans="1:10" ht="14.4">
      <c r="A2534" s="25"/>
      <c r="B2534" s="25"/>
      <c r="C2534" s="25"/>
      <c r="D2534" s="25"/>
      <c r="E2534" s="25"/>
      <c r="F2534" s="25"/>
      <c r="G2534" s="25"/>
      <c r="H2534" s="25"/>
      <c r="I2534" s="25"/>
      <c r="J2534" s="25"/>
    </row>
    <row r="2535" spans="1:10" ht="14.4">
      <c r="A2535" s="25"/>
      <c r="B2535" s="25"/>
      <c r="C2535" s="25"/>
      <c r="D2535" s="25"/>
      <c r="E2535" s="25"/>
      <c r="F2535" s="25"/>
      <c r="G2535" s="25"/>
      <c r="H2535" s="25"/>
      <c r="I2535" s="25"/>
      <c r="J2535" s="25"/>
    </row>
    <row r="2536" spans="1:10" ht="14.4">
      <c r="A2536" s="25"/>
      <c r="B2536" s="25"/>
      <c r="C2536" s="25"/>
      <c r="D2536" s="25"/>
      <c r="E2536" s="25"/>
      <c r="F2536" s="25"/>
      <c r="G2536" s="25"/>
      <c r="H2536" s="25"/>
      <c r="I2536" s="25"/>
      <c r="J2536" s="25"/>
    </row>
    <row r="2537" spans="1:10" ht="14.4">
      <c r="A2537" s="25"/>
      <c r="B2537" s="25"/>
      <c r="C2537" s="25"/>
      <c r="D2537" s="25"/>
      <c r="E2537" s="25"/>
      <c r="F2537" s="25"/>
      <c r="G2537" s="25"/>
      <c r="H2537" s="25"/>
      <c r="I2537" s="25"/>
      <c r="J2537" s="25"/>
    </row>
    <row r="2538" spans="1:10" ht="14.4">
      <c r="A2538" s="25"/>
      <c r="B2538" s="25"/>
      <c r="C2538" s="25"/>
      <c r="D2538" s="25"/>
      <c r="E2538" s="25"/>
      <c r="F2538" s="25"/>
      <c r="G2538" s="25"/>
      <c r="H2538" s="25"/>
      <c r="I2538" s="25"/>
      <c r="J2538" s="25"/>
    </row>
    <row r="2539" spans="1:10" ht="14.4">
      <c r="A2539" s="25"/>
      <c r="B2539" s="25"/>
      <c r="C2539" s="25"/>
      <c r="D2539" s="25"/>
      <c r="E2539" s="25"/>
      <c r="F2539" s="25"/>
      <c r="G2539" s="25"/>
      <c r="H2539" s="25"/>
      <c r="I2539" s="25"/>
      <c r="J2539" s="25"/>
    </row>
    <row r="2540" spans="1:10" ht="14.4">
      <c r="A2540" s="25"/>
      <c r="B2540" s="25"/>
      <c r="C2540" s="25"/>
      <c r="D2540" s="25"/>
      <c r="E2540" s="25"/>
      <c r="F2540" s="25"/>
      <c r="G2540" s="25"/>
      <c r="H2540" s="25"/>
      <c r="I2540" s="25"/>
      <c r="J2540" s="25"/>
    </row>
    <row r="2541" spans="1:10" ht="14.4">
      <c r="A2541" s="25"/>
      <c r="B2541" s="25"/>
      <c r="C2541" s="25"/>
      <c r="D2541" s="25"/>
      <c r="E2541" s="25"/>
      <c r="F2541" s="25"/>
      <c r="G2541" s="25"/>
      <c r="H2541" s="25"/>
      <c r="I2541" s="25"/>
      <c r="J2541" s="25"/>
    </row>
    <row r="2542" spans="1:10" ht="14.4">
      <c r="A2542" s="25"/>
      <c r="B2542" s="25"/>
      <c r="C2542" s="25"/>
      <c r="D2542" s="25"/>
      <c r="E2542" s="25"/>
      <c r="F2542" s="25"/>
      <c r="G2542" s="25"/>
      <c r="H2542" s="25"/>
      <c r="I2542" s="25"/>
      <c r="J2542" s="25"/>
    </row>
    <row r="2543" spans="1:10" ht="14.4">
      <c r="A2543" s="25"/>
      <c r="B2543" s="25"/>
      <c r="C2543" s="25"/>
      <c r="D2543" s="25"/>
      <c r="E2543" s="25"/>
      <c r="F2543" s="25"/>
      <c r="G2543" s="25"/>
      <c r="H2543" s="25"/>
      <c r="I2543" s="25"/>
      <c r="J2543" s="25"/>
    </row>
    <row r="2544" spans="1:10" ht="14.4">
      <c r="A2544" s="25"/>
      <c r="B2544" s="25"/>
      <c r="C2544" s="25"/>
      <c r="D2544" s="25"/>
      <c r="E2544" s="25"/>
      <c r="F2544" s="25"/>
      <c r="G2544" s="25"/>
      <c r="H2544" s="25"/>
      <c r="I2544" s="25"/>
      <c r="J2544" s="25"/>
    </row>
    <row r="2545" spans="1:10" ht="14.4">
      <c r="A2545" s="25"/>
      <c r="B2545" s="25"/>
      <c r="C2545" s="25"/>
      <c r="D2545" s="25"/>
      <c r="E2545" s="25"/>
      <c r="F2545" s="25"/>
      <c r="G2545" s="25"/>
      <c r="H2545" s="25"/>
      <c r="I2545" s="25"/>
      <c r="J2545" s="25"/>
    </row>
    <row r="2546" spans="1:10" ht="14.4">
      <c r="A2546" s="25"/>
      <c r="B2546" s="25"/>
      <c r="C2546" s="25"/>
      <c r="D2546" s="25"/>
      <c r="E2546" s="25"/>
      <c r="F2546" s="25"/>
      <c r="G2546" s="25"/>
      <c r="H2546" s="25"/>
      <c r="I2546" s="25"/>
      <c r="J2546" s="25"/>
    </row>
    <row r="2547" spans="1:10" ht="14.4">
      <c r="A2547" s="25"/>
      <c r="B2547" s="25"/>
      <c r="C2547" s="25"/>
      <c r="D2547" s="25"/>
      <c r="E2547" s="25"/>
      <c r="F2547" s="25"/>
      <c r="G2547" s="25"/>
      <c r="H2547" s="25"/>
      <c r="I2547" s="25"/>
      <c r="J2547" s="25"/>
    </row>
    <row r="2548" spans="1:10" ht="14.4">
      <c r="A2548" s="25"/>
      <c r="B2548" s="25"/>
      <c r="C2548" s="25"/>
      <c r="D2548" s="25"/>
      <c r="E2548" s="25"/>
      <c r="F2548" s="25"/>
      <c r="G2548" s="25"/>
      <c r="H2548" s="25"/>
      <c r="I2548" s="25"/>
      <c r="J2548" s="25"/>
    </row>
    <row r="2549" spans="1:10" ht="14.4">
      <c r="A2549" s="25"/>
      <c r="B2549" s="25"/>
      <c r="C2549" s="25"/>
      <c r="D2549" s="25"/>
      <c r="E2549" s="25"/>
      <c r="F2549" s="25"/>
      <c r="G2549" s="25"/>
      <c r="H2549" s="25"/>
      <c r="I2549" s="25"/>
      <c r="J2549" s="25"/>
    </row>
    <row r="2550" spans="1:10" ht="14.4">
      <c r="A2550" s="25"/>
      <c r="B2550" s="25"/>
      <c r="C2550" s="25"/>
      <c r="D2550" s="25"/>
      <c r="E2550" s="25"/>
      <c r="F2550" s="25"/>
      <c r="G2550" s="25"/>
      <c r="H2550" s="25"/>
      <c r="I2550" s="25"/>
      <c r="J2550" s="25"/>
    </row>
    <row r="2551" spans="1:10" ht="14.4">
      <c r="A2551" s="25"/>
      <c r="B2551" s="25"/>
      <c r="C2551" s="25"/>
      <c r="D2551" s="25"/>
      <c r="E2551" s="25"/>
      <c r="F2551" s="25"/>
      <c r="G2551" s="25"/>
      <c r="H2551" s="25"/>
      <c r="I2551" s="25"/>
      <c r="J2551" s="25"/>
    </row>
    <row r="2552" spans="1:10" ht="14.4">
      <c r="A2552" s="25"/>
      <c r="B2552" s="25"/>
      <c r="C2552" s="25"/>
      <c r="D2552" s="25"/>
      <c r="E2552" s="25"/>
      <c r="F2552" s="25"/>
      <c r="G2552" s="25"/>
      <c r="H2552" s="25"/>
      <c r="I2552" s="25"/>
      <c r="J2552" s="25"/>
    </row>
    <row r="2553" spans="1:10" ht="14.4">
      <c r="A2553" s="25"/>
      <c r="B2553" s="25"/>
      <c r="C2553" s="25"/>
      <c r="D2553" s="25"/>
      <c r="E2553" s="25"/>
      <c r="F2553" s="25"/>
      <c r="G2553" s="25"/>
      <c r="H2553" s="25"/>
      <c r="I2553" s="25"/>
      <c r="J2553" s="25"/>
    </row>
    <row r="2554" spans="1:10" ht="14.4">
      <c r="A2554" s="25"/>
      <c r="B2554" s="25"/>
      <c r="C2554" s="25"/>
      <c r="D2554" s="25"/>
      <c r="E2554" s="25"/>
      <c r="F2554" s="25"/>
      <c r="G2554" s="25"/>
      <c r="H2554" s="25"/>
      <c r="I2554" s="25"/>
      <c r="J2554" s="25"/>
    </row>
    <row r="2555" spans="1:10" ht="14.4">
      <c r="A2555" s="25"/>
      <c r="B2555" s="25"/>
      <c r="C2555" s="25"/>
      <c r="D2555" s="25"/>
      <c r="E2555" s="25"/>
      <c r="F2555" s="25"/>
      <c r="G2555" s="25"/>
      <c r="H2555" s="25"/>
      <c r="I2555" s="25"/>
      <c r="J2555" s="25"/>
    </row>
    <row r="2556" spans="1:10" ht="14.4">
      <c r="A2556" s="25"/>
      <c r="B2556" s="25"/>
      <c r="C2556" s="25"/>
      <c r="D2556" s="25"/>
      <c r="E2556" s="25"/>
      <c r="F2556" s="25"/>
      <c r="G2556" s="25"/>
      <c r="H2556" s="25"/>
      <c r="I2556" s="25"/>
      <c r="J2556" s="25"/>
    </row>
    <row r="2557" spans="1:10" ht="14.4">
      <c r="A2557" s="25"/>
      <c r="B2557" s="25"/>
      <c r="C2557" s="25"/>
      <c r="D2557" s="25"/>
      <c r="E2557" s="25"/>
      <c r="F2557" s="25"/>
      <c r="G2557" s="25"/>
      <c r="H2557" s="25"/>
      <c r="I2557" s="25"/>
      <c r="J2557" s="25"/>
    </row>
    <row r="2558" spans="1:10" ht="14.4">
      <c r="A2558" s="25"/>
      <c r="B2558" s="25"/>
      <c r="C2558" s="25"/>
      <c r="D2558" s="25"/>
      <c r="E2558" s="25"/>
      <c r="F2558" s="25"/>
      <c r="G2558" s="25"/>
      <c r="H2558" s="25"/>
      <c r="I2558" s="25"/>
      <c r="J2558" s="25"/>
    </row>
    <row r="2559" spans="1:10" ht="14.4">
      <c r="A2559" s="25"/>
      <c r="B2559" s="25"/>
      <c r="C2559" s="25"/>
      <c r="D2559" s="25"/>
      <c r="E2559" s="25"/>
      <c r="F2559" s="25"/>
      <c r="G2559" s="25"/>
      <c r="H2559" s="25"/>
      <c r="I2559" s="25"/>
      <c r="J2559" s="25"/>
    </row>
    <row r="2560" spans="1:10" ht="14.4">
      <c r="A2560" s="25"/>
      <c r="B2560" s="25"/>
      <c r="C2560" s="25"/>
      <c r="D2560" s="25"/>
      <c r="E2560" s="25"/>
      <c r="F2560" s="25"/>
      <c r="G2560" s="25"/>
      <c r="H2560" s="25"/>
      <c r="I2560" s="25"/>
      <c r="J2560" s="25"/>
    </row>
    <row r="2561" spans="1:10" ht="14.4">
      <c r="A2561" s="25"/>
      <c r="B2561" s="25"/>
      <c r="C2561" s="25"/>
      <c r="D2561" s="25"/>
      <c r="E2561" s="25"/>
      <c r="F2561" s="25"/>
      <c r="G2561" s="25"/>
      <c r="H2561" s="25"/>
      <c r="I2561" s="25"/>
      <c r="J2561" s="25"/>
    </row>
    <row r="2562" spans="1:10" ht="14.4">
      <c r="A2562" s="25"/>
      <c r="B2562" s="25"/>
      <c r="C2562" s="25"/>
      <c r="D2562" s="25"/>
      <c r="E2562" s="25"/>
      <c r="F2562" s="25"/>
      <c r="G2562" s="25"/>
      <c r="H2562" s="25"/>
      <c r="I2562" s="25"/>
      <c r="J2562" s="25"/>
    </row>
    <row r="2563" spans="1:10" ht="14.4">
      <c r="A2563" s="25"/>
      <c r="B2563" s="25"/>
      <c r="C2563" s="25"/>
      <c r="D2563" s="25"/>
      <c r="E2563" s="25"/>
      <c r="F2563" s="25"/>
      <c r="G2563" s="25"/>
      <c r="H2563" s="25"/>
      <c r="I2563" s="25"/>
      <c r="J2563" s="25"/>
    </row>
    <row r="2564" spans="1:10" ht="14.4">
      <c r="A2564" s="25"/>
      <c r="B2564" s="25"/>
      <c r="C2564" s="25"/>
      <c r="D2564" s="25"/>
      <c r="E2564" s="25"/>
      <c r="F2564" s="25"/>
      <c r="G2564" s="25"/>
      <c r="H2564" s="25"/>
      <c r="I2564" s="25"/>
      <c r="J2564" s="25"/>
    </row>
    <row r="2565" spans="1:10" ht="14.4">
      <c r="A2565" s="25"/>
      <c r="B2565" s="25"/>
      <c r="C2565" s="25"/>
      <c r="D2565" s="25"/>
      <c r="E2565" s="25"/>
      <c r="F2565" s="25"/>
      <c r="G2565" s="25"/>
      <c r="H2565" s="25"/>
      <c r="I2565" s="25"/>
      <c r="J2565" s="25"/>
    </row>
    <row r="2566" spans="1:10" ht="14.4">
      <c r="A2566" s="25"/>
      <c r="B2566" s="25"/>
      <c r="C2566" s="25"/>
      <c r="D2566" s="25"/>
      <c r="E2566" s="25"/>
      <c r="F2566" s="25"/>
      <c r="G2566" s="25"/>
      <c r="H2566" s="25"/>
      <c r="I2566" s="25"/>
      <c r="J2566" s="25"/>
    </row>
    <row r="2567" spans="1:10" ht="14.4">
      <c r="A2567" s="25"/>
      <c r="B2567" s="25"/>
      <c r="C2567" s="25"/>
      <c r="D2567" s="25"/>
      <c r="E2567" s="25"/>
      <c r="F2567" s="25"/>
      <c r="G2567" s="25"/>
      <c r="H2567" s="25"/>
      <c r="I2567" s="25"/>
      <c r="J2567" s="25"/>
    </row>
    <row r="2568" spans="1:10" ht="14.4">
      <c r="A2568" s="25"/>
      <c r="B2568" s="25"/>
      <c r="C2568" s="25"/>
      <c r="D2568" s="25"/>
      <c r="E2568" s="25"/>
      <c r="F2568" s="25"/>
      <c r="G2568" s="25"/>
      <c r="H2568" s="25"/>
      <c r="I2568" s="25"/>
      <c r="J2568" s="25"/>
    </row>
    <row r="2569" spans="1:10" ht="14.4">
      <c r="A2569" s="25"/>
      <c r="B2569" s="25"/>
      <c r="C2569" s="25"/>
      <c r="D2569" s="25"/>
      <c r="E2569" s="25"/>
      <c r="F2569" s="25"/>
      <c r="G2569" s="25"/>
      <c r="H2569" s="25"/>
      <c r="I2569" s="25"/>
      <c r="J2569" s="25"/>
    </row>
    <row r="2570" spans="1:10" ht="14.4">
      <c r="A2570" s="25"/>
      <c r="B2570" s="25"/>
      <c r="C2570" s="25"/>
      <c r="D2570" s="25"/>
      <c r="E2570" s="25"/>
      <c r="F2570" s="25"/>
      <c r="G2570" s="25"/>
      <c r="H2570" s="25"/>
      <c r="I2570" s="25"/>
      <c r="J2570" s="25"/>
    </row>
    <row r="2571" spans="1:10" ht="14.4">
      <c r="A2571" s="25"/>
      <c r="B2571" s="25"/>
      <c r="C2571" s="25"/>
      <c r="D2571" s="25"/>
      <c r="E2571" s="25"/>
      <c r="F2571" s="25"/>
      <c r="G2571" s="25"/>
      <c r="H2571" s="25"/>
      <c r="I2571" s="25"/>
      <c r="J2571" s="25"/>
    </row>
    <row r="2572" spans="1:10" ht="14.4">
      <c r="A2572" s="25"/>
      <c r="B2572" s="25"/>
      <c r="C2572" s="25"/>
      <c r="D2572" s="25"/>
      <c r="E2572" s="25"/>
      <c r="F2572" s="25"/>
      <c r="G2572" s="25"/>
      <c r="H2572" s="25"/>
      <c r="I2572" s="25"/>
      <c r="J2572" s="25"/>
    </row>
    <row r="2573" spans="1:10" ht="14.4">
      <c r="A2573" s="25"/>
      <c r="B2573" s="25"/>
      <c r="C2573" s="25"/>
      <c r="D2573" s="25"/>
      <c r="E2573" s="25"/>
      <c r="F2573" s="25"/>
      <c r="G2573" s="25"/>
      <c r="H2573" s="25"/>
      <c r="I2573" s="25"/>
      <c r="J2573" s="25"/>
    </row>
    <row r="2574" spans="1:10" ht="14.4">
      <c r="A2574" s="25"/>
      <c r="B2574" s="25"/>
      <c r="C2574" s="25"/>
      <c r="D2574" s="25"/>
      <c r="E2574" s="25"/>
      <c r="F2574" s="25"/>
      <c r="G2574" s="25"/>
      <c r="H2574" s="25"/>
      <c r="I2574" s="25"/>
      <c r="J2574" s="25"/>
    </row>
    <row r="2575" spans="1:10" ht="14.4">
      <c r="A2575" s="25"/>
      <c r="B2575" s="25"/>
      <c r="C2575" s="25"/>
      <c r="D2575" s="25"/>
      <c r="E2575" s="25"/>
      <c r="F2575" s="25"/>
      <c r="G2575" s="25"/>
      <c r="H2575" s="25"/>
      <c r="I2575" s="25"/>
      <c r="J2575" s="25"/>
    </row>
    <row r="2576" spans="1:10" ht="14.4">
      <c r="A2576" s="25"/>
      <c r="B2576" s="25"/>
      <c r="C2576" s="25"/>
      <c r="D2576" s="25"/>
      <c r="E2576" s="25"/>
      <c r="F2576" s="25"/>
      <c r="G2576" s="25"/>
      <c r="H2576" s="25"/>
      <c r="I2576" s="25"/>
      <c r="J2576" s="25"/>
    </row>
    <row r="2577" spans="1:10" ht="14.4">
      <c r="A2577" s="25"/>
      <c r="B2577" s="25"/>
      <c r="C2577" s="25"/>
      <c r="D2577" s="25"/>
      <c r="E2577" s="25"/>
      <c r="F2577" s="25"/>
      <c r="G2577" s="25"/>
      <c r="H2577" s="25"/>
      <c r="I2577" s="25"/>
      <c r="J2577" s="25"/>
    </row>
    <row r="2578" spans="1:10" ht="14.4">
      <c r="A2578" s="25"/>
      <c r="B2578" s="25"/>
      <c r="C2578" s="25"/>
      <c r="D2578" s="25"/>
      <c r="E2578" s="25"/>
      <c r="F2578" s="25"/>
      <c r="G2578" s="25"/>
      <c r="H2578" s="25"/>
      <c r="I2578" s="25"/>
      <c r="J2578" s="25"/>
    </row>
    <row r="2579" spans="1:10" ht="14.4">
      <c r="A2579" s="25"/>
      <c r="B2579" s="25"/>
      <c r="C2579" s="25"/>
      <c r="D2579" s="25"/>
      <c r="E2579" s="25"/>
      <c r="F2579" s="25"/>
      <c r="G2579" s="25"/>
      <c r="H2579" s="25"/>
      <c r="I2579" s="25"/>
      <c r="J2579" s="25"/>
    </row>
    <row r="2580" spans="1:10" ht="14.4">
      <c r="A2580" s="25"/>
      <c r="B2580" s="25"/>
      <c r="C2580" s="25"/>
      <c r="D2580" s="25"/>
      <c r="E2580" s="25"/>
      <c r="F2580" s="25"/>
      <c r="G2580" s="25"/>
      <c r="H2580" s="25"/>
      <c r="I2580" s="25"/>
      <c r="J2580" s="25"/>
    </row>
    <row r="2581" spans="1:10" ht="14.4">
      <c r="A2581" s="25"/>
      <c r="B2581" s="25"/>
      <c r="C2581" s="25"/>
      <c r="D2581" s="25"/>
      <c r="E2581" s="25"/>
      <c r="F2581" s="25"/>
      <c r="G2581" s="25"/>
      <c r="H2581" s="25"/>
      <c r="I2581" s="25"/>
      <c r="J2581" s="25"/>
    </row>
    <row r="2582" spans="1:10" ht="14.4">
      <c r="A2582" s="25"/>
      <c r="B2582" s="25"/>
      <c r="C2582" s="25"/>
      <c r="D2582" s="25"/>
      <c r="E2582" s="25"/>
      <c r="F2582" s="25"/>
      <c r="G2582" s="25"/>
      <c r="H2582" s="25"/>
      <c r="I2582" s="25"/>
      <c r="J2582" s="25"/>
    </row>
    <row r="2583" spans="1:10" ht="14.4">
      <c r="A2583" s="25"/>
      <c r="B2583" s="25"/>
      <c r="C2583" s="25"/>
      <c r="D2583" s="25"/>
      <c r="E2583" s="25"/>
      <c r="F2583" s="25"/>
      <c r="G2583" s="25"/>
      <c r="H2583" s="25"/>
      <c r="I2583" s="25"/>
      <c r="J2583" s="25"/>
    </row>
    <row r="2584" spans="1:10" ht="14.4">
      <c r="A2584" s="25"/>
      <c r="B2584" s="25"/>
      <c r="C2584" s="25"/>
      <c r="D2584" s="25"/>
      <c r="E2584" s="25"/>
      <c r="F2584" s="25"/>
      <c r="G2584" s="25"/>
      <c r="H2584" s="25"/>
      <c r="I2584" s="25"/>
      <c r="J2584" s="25"/>
    </row>
    <row r="2585" spans="1:10" ht="14.4">
      <c r="A2585" s="25"/>
      <c r="B2585" s="25"/>
      <c r="C2585" s="25"/>
      <c r="D2585" s="25"/>
      <c r="E2585" s="25"/>
      <c r="F2585" s="25"/>
      <c r="G2585" s="25"/>
      <c r="H2585" s="25"/>
      <c r="I2585" s="25"/>
      <c r="J2585" s="25"/>
    </row>
    <row r="2586" spans="1:10" ht="14.4">
      <c r="A2586" s="25"/>
      <c r="B2586" s="25"/>
      <c r="C2586" s="25"/>
      <c r="D2586" s="25"/>
      <c r="E2586" s="25"/>
      <c r="F2586" s="25"/>
      <c r="G2586" s="25"/>
      <c r="H2586" s="25"/>
      <c r="I2586" s="25"/>
      <c r="J2586" s="25"/>
    </row>
    <row r="2587" spans="1:10" ht="14.4">
      <c r="A2587" s="25"/>
      <c r="B2587" s="25"/>
      <c r="C2587" s="25"/>
      <c r="D2587" s="25"/>
      <c r="E2587" s="25"/>
      <c r="F2587" s="25"/>
      <c r="G2587" s="25"/>
      <c r="H2587" s="25"/>
      <c r="I2587" s="25"/>
      <c r="J2587" s="25"/>
    </row>
    <row r="2588" spans="1:10" ht="14.4">
      <c r="A2588" s="25"/>
      <c r="B2588" s="25"/>
      <c r="C2588" s="25"/>
      <c r="D2588" s="25"/>
      <c r="E2588" s="25"/>
      <c r="F2588" s="25"/>
      <c r="G2588" s="25"/>
      <c r="H2588" s="25"/>
      <c r="I2588" s="25"/>
      <c r="J2588" s="25"/>
    </row>
    <row r="2589" spans="1:10" ht="14.4">
      <c r="A2589" s="25"/>
      <c r="B2589" s="25"/>
      <c r="C2589" s="25"/>
      <c r="D2589" s="25"/>
      <c r="E2589" s="25"/>
      <c r="F2589" s="25"/>
      <c r="G2589" s="25"/>
      <c r="H2589" s="25"/>
      <c r="I2589" s="25"/>
      <c r="J2589" s="25"/>
    </row>
    <row r="2590" spans="1:10" ht="14.4">
      <c r="A2590" s="25"/>
      <c r="B2590" s="25"/>
      <c r="C2590" s="25"/>
      <c r="D2590" s="25"/>
      <c r="E2590" s="25"/>
      <c r="F2590" s="25"/>
      <c r="G2590" s="25"/>
      <c r="H2590" s="25"/>
      <c r="I2590" s="25"/>
      <c r="J2590" s="25"/>
    </row>
    <row r="2591" spans="1:10" ht="14.4">
      <c r="A2591" s="25"/>
      <c r="B2591" s="25"/>
      <c r="C2591" s="25"/>
      <c r="D2591" s="25"/>
      <c r="E2591" s="25"/>
      <c r="F2591" s="25"/>
      <c r="G2591" s="25"/>
      <c r="H2591" s="25"/>
      <c r="I2591" s="25"/>
      <c r="J2591" s="25"/>
    </row>
    <row r="2592" spans="1:10" ht="14.4">
      <c r="A2592" s="25"/>
      <c r="B2592" s="25"/>
      <c r="C2592" s="25"/>
      <c r="D2592" s="25"/>
      <c r="E2592" s="25"/>
      <c r="F2592" s="25"/>
      <c r="G2592" s="25"/>
      <c r="H2592" s="25"/>
      <c r="I2592" s="25"/>
      <c r="J2592" s="25"/>
    </row>
    <row r="2593" spans="1:10" ht="14.4">
      <c r="A2593" s="25"/>
      <c r="B2593" s="25"/>
      <c r="C2593" s="25"/>
      <c r="D2593" s="25"/>
      <c r="E2593" s="25"/>
      <c r="F2593" s="25"/>
      <c r="G2593" s="25"/>
      <c r="H2593" s="25"/>
      <c r="I2593" s="25"/>
      <c r="J2593" s="25"/>
    </row>
    <row r="2594" spans="1:10" ht="14.4">
      <c r="A2594" s="25"/>
      <c r="B2594" s="25"/>
      <c r="C2594" s="25"/>
      <c r="D2594" s="25"/>
      <c r="E2594" s="25"/>
      <c r="F2594" s="25"/>
      <c r="G2594" s="25"/>
      <c r="H2594" s="25"/>
      <c r="I2594" s="25"/>
      <c r="J2594" s="25"/>
    </row>
    <row r="2595" spans="1:10" ht="14.4">
      <c r="A2595" s="25"/>
      <c r="B2595" s="25"/>
      <c r="C2595" s="25"/>
      <c r="D2595" s="25"/>
      <c r="E2595" s="25"/>
      <c r="F2595" s="25"/>
      <c r="G2595" s="25"/>
      <c r="H2595" s="25"/>
      <c r="I2595" s="25"/>
      <c r="J2595" s="25"/>
    </row>
    <row r="2596" spans="1:10" ht="14.4">
      <c r="A2596" s="25"/>
      <c r="B2596" s="25"/>
      <c r="C2596" s="25"/>
      <c r="D2596" s="25"/>
      <c r="E2596" s="25"/>
      <c r="F2596" s="25"/>
      <c r="G2596" s="25"/>
      <c r="H2596" s="25"/>
      <c r="I2596" s="25"/>
      <c r="J2596" s="25"/>
    </row>
    <row r="2597" spans="1:10" ht="14.4">
      <c r="A2597" s="25"/>
      <c r="B2597" s="25"/>
      <c r="C2597" s="25"/>
      <c r="D2597" s="25"/>
      <c r="E2597" s="25"/>
      <c r="F2597" s="25"/>
      <c r="G2597" s="25"/>
      <c r="H2597" s="25"/>
      <c r="I2597" s="25"/>
      <c r="J2597" s="25"/>
    </row>
    <row r="2598" spans="1:10" ht="14.4">
      <c r="A2598" s="25"/>
      <c r="B2598" s="25"/>
      <c r="C2598" s="25"/>
      <c r="D2598" s="25"/>
      <c r="E2598" s="25"/>
      <c r="F2598" s="25"/>
      <c r="G2598" s="25"/>
      <c r="H2598" s="25"/>
      <c r="I2598" s="25"/>
      <c r="J2598" s="25"/>
    </row>
    <row r="2599" spans="1:10" ht="14.4">
      <c r="A2599" s="25"/>
      <c r="B2599" s="25"/>
      <c r="C2599" s="25"/>
      <c r="D2599" s="25"/>
      <c r="E2599" s="25"/>
      <c r="F2599" s="25"/>
      <c r="G2599" s="25"/>
      <c r="H2599" s="25"/>
      <c r="I2599" s="25"/>
      <c r="J2599" s="25"/>
    </row>
    <row r="2600" spans="1:10" ht="14.4">
      <c r="A2600" s="25"/>
      <c r="B2600" s="25"/>
      <c r="C2600" s="25"/>
      <c r="D2600" s="25"/>
      <c r="E2600" s="25"/>
      <c r="F2600" s="25"/>
      <c r="G2600" s="25"/>
      <c r="H2600" s="25"/>
      <c r="I2600" s="25"/>
      <c r="J2600" s="25"/>
    </row>
    <row r="2601" spans="1:10" ht="14.4">
      <c r="A2601" s="25"/>
      <c r="B2601" s="25"/>
      <c r="C2601" s="25"/>
      <c r="D2601" s="25"/>
      <c r="E2601" s="25"/>
      <c r="F2601" s="25"/>
      <c r="G2601" s="25"/>
      <c r="H2601" s="25"/>
      <c r="I2601" s="25"/>
      <c r="J2601" s="25"/>
    </row>
    <row r="2602" spans="1:10" ht="14.4">
      <c r="A2602" s="25"/>
      <c r="B2602" s="25"/>
      <c r="C2602" s="25"/>
      <c r="D2602" s="25"/>
      <c r="E2602" s="25"/>
      <c r="F2602" s="25"/>
      <c r="G2602" s="25"/>
      <c r="H2602" s="25"/>
      <c r="I2602" s="25"/>
      <c r="J2602" s="25"/>
    </row>
    <row r="2603" spans="1:10" ht="14.4">
      <c r="A2603" s="25"/>
      <c r="B2603" s="25"/>
      <c r="C2603" s="25"/>
      <c r="D2603" s="25"/>
      <c r="E2603" s="25"/>
      <c r="F2603" s="25"/>
      <c r="G2603" s="25"/>
      <c r="H2603" s="25"/>
      <c r="I2603" s="25"/>
      <c r="J2603" s="25"/>
    </row>
    <row r="2604" spans="1:10" ht="14.4">
      <c r="A2604" s="25"/>
      <c r="B2604" s="25"/>
      <c r="C2604" s="25"/>
      <c r="D2604" s="25"/>
      <c r="E2604" s="25"/>
      <c r="F2604" s="25"/>
      <c r="G2604" s="25"/>
      <c r="H2604" s="25"/>
      <c r="I2604" s="25"/>
      <c r="J2604" s="25"/>
    </row>
    <row r="2605" spans="1:10" ht="14.4">
      <c r="A2605" s="25"/>
      <c r="B2605" s="25"/>
      <c r="C2605" s="25"/>
      <c r="D2605" s="25"/>
      <c r="E2605" s="25"/>
      <c r="F2605" s="25"/>
      <c r="G2605" s="25"/>
      <c r="H2605" s="25"/>
      <c r="I2605" s="25"/>
      <c r="J2605" s="25"/>
    </row>
    <row r="2606" spans="1:10" ht="14.4">
      <c r="A2606" s="25"/>
      <c r="B2606" s="25"/>
      <c r="C2606" s="25"/>
      <c r="D2606" s="25"/>
      <c r="E2606" s="25"/>
      <c r="F2606" s="25"/>
      <c r="G2606" s="25"/>
      <c r="H2606" s="25"/>
      <c r="I2606" s="25"/>
      <c r="J2606" s="25"/>
    </row>
    <row r="2607" spans="1:10" ht="14.4">
      <c r="A2607" s="25"/>
      <c r="B2607" s="25"/>
      <c r="C2607" s="25"/>
      <c r="D2607" s="25"/>
      <c r="E2607" s="25"/>
      <c r="F2607" s="25"/>
      <c r="G2607" s="25"/>
      <c r="H2607" s="25"/>
      <c r="I2607" s="25"/>
      <c r="J2607" s="25"/>
    </row>
    <row r="2608" spans="1:10" ht="14.4">
      <c r="A2608" s="25"/>
      <c r="B2608" s="25"/>
      <c r="C2608" s="25"/>
      <c r="D2608" s="25"/>
      <c r="E2608" s="25"/>
      <c r="F2608" s="25"/>
      <c r="G2608" s="25"/>
      <c r="H2608" s="25"/>
      <c r="I2608" s="25"/>
      <c r="J2608" s="25"/>
    </row>
    <row r="2609" spans="1:10" ht="14.4">
      <c r="A2609" s="25"/>
      <c r="B2609" s="25"/>
      <c r="C2609" s="25"/>
      <c r="D2609" s="25"/>
      <c r="E2609" s="25"/>
      <c r="F2609" s="25"/>
      <c r="G2609" s="25"/>
      <c r="H2609" s="25"/>
      <c r="I2609" s="25"/>
      <c r="J2609" s="25"/>
    </row>
    <row r="2610" spans="1:10" ht="14.4">
      <c r="A2610" s="25"/>
      <c r="B2610" s="25"/>
      <c r="C2610" s="25"/>
      <c r="D2610" s="25"/>
      <c r="E2610" s="25"/>
      <c r="F2610" s="25"/>
      <c r="G2610" s="25"/>
      <c r="H2610" s="25"/>
      <c r="I2610" s="25"/>
      <c r="J2610" s="25"/>
    </row>
    <row r="2611" spans="1:10" ht="14.4">
      <c r="A2611" s="25"/>
      <c r="B2611" s="25"/>
      <c r="C2611" s="25"/>
      <c r="D2611" s="25"/>
      <c r="E2611" s="25"/>
      <c r="F2611" s="25"/>
      <c r="G2611" s="25"/>
      <c r="H2611" s="25"/>
      <c r="I2611" s="25"/>
      <c r="J2611" s="25"/>
    </row>
    <row r="2612" spans="1:10" ht="14.4">
      <c r="A2612" s="25"/>
      <c r="B2612" s="25"/>
      <c r="C2612" s="25"/>
      <c r="D2612" s="25"/>
      <c r="E2612" s="25"/>
      <c r="F2612" s="25"/>
      <c r="G2612" s="25"/>
      <c r="H2612" s="25"/>
      <c r="I2612" s="25"/>
      <c r="J2612" s="25"/>
    </row>
    <row r="2613" spans="1:10" ht="14.4">
      <c r="A2613" s="25"/>
      <c r="B2613" s="25"/>
      <c r="C2613" s="25"/>
      <c r="D2613" s="25"/>
      <c r="E2613" s="25"/>
      <c r="F2613" s="25"/>
      <c r="G2613" s="25"/>
      <c r="H2613" s="25"/>
      <c r="I2613" s="25"/>
      <c r="J2613" s="25"/>
    </row>
    <row r="2614" spans="1:10" ht="14.4">
      <c r="A2614" s="25"/>
      <c r="B2614" s="25"/>
      <c r="C2614" s="25"/>
      <c r="D2614" s="25"/>
      <c r="E2614" s="25"/>
      <c r="F2614" s="25"/>
      <c r="G2614" s="25"/>
      <c r="H2614" s="25"/>
      <c r="I2614" s="25"/>
      <c r="J2614" s="25"/>
    </row>
    <row r="2615" spans="1:10" ht="14.4">
      <c r="A2615" s="25"/>
      <c r="B2615" s="25"/>
      <c r="C2615" s="25"/>
      <c r="D2615" s="25"/>
      <c r="E2615" s="25"/>
      <c r="F2615" s="25"/>
      <c r="G2615" s="25"/>
      <c r="H2615" s="25"/>
      <c r="I2615" s="25"/>
      <c r="J2615" s="25"/>
    </row>
    <row r="2616" spans="1:10" ht="14.4">
      <c r="A2616" s="25"/>
      <c r="B2616" s="25"/>
      <c r="C2616" s="25"/>
      <c r="D2616" s="25"/>
      <c r="E2616" s="25"/>
      <c r="F2616" s="25"/>
      <c r="G2616" s="25"/>
      <c r="H2616" s="25"/>
      <c r="I2616" s="25"/>
      <c r="J2616" s="25"/>
    </row>
    <row r="2617" spans="1:10" ht="14.4">
      <c r="A2617" s="25"/>
      <c r="B2617" s="25"/>
      <c r="C2617" s="25"/>
      <c r="D2617" s="25"/>
      <c r="E2617" s="25"/>
      <c r="F2617" s="25"/>
      <c r="G2617" s="25"/>
      <c r="H2617" s="25"/>
      <c r="I2617" s="25"/>
      <c r="J2617" s="25"/>
    </row>
    <row r="2618" spans="1:10" ht="14.4">
      <c r="A2618" s="25"/>
      <c r="B2618" s="25"/>
      <c r="C2618" s="25"/>
      <c r="D2618" s="25"/>
      <c r="E2618" s="25"/>
      <c r="F2618" s="25"/>
      <c r="G2618" s="25"/>
      <c r="H2618" s="25"/>
      <c r="I2618" s="25"/>
      <c r="J2618" s="25"/>
    </row>
    <row r="2619" spans="1:10" ht="14.4">
      <c r="A2619" s="25"/>
      <c r="B2619" s="25"/>
      <c r="C2619" s="25"/>
      <c r="D2619" s="25"/>
      <c r="E2619" s="25"/>
      <c r="F2619" s="25"/>
      <c r="G2619" s="25"/>
      <c r="H2619" s="25"/>
      <c r="I2619" s="25"/>
      <c r="J2619" s="25"/>
    </row>
    <row r="2620" spans="1:10" ht="14.4">
      <c r="A2620" s="25"/>
      <c r="B2620" s="25"/>
      <c r="C2620" s="25"/>
      <c r="D2620" s="25"/>
      <c r="E2620" s="25"/>
      <c r="F2620" s="25"/>
      <c r="G2620" s="25"/>
      <c r="H2620" s="25"/>
      <c r="I2620" s="25"/>
      <c r="J2620" s="25"/>
    </row>
    <row r="2621" spans="1:10" ht="14.4">
      <c r="A2621" s="25"/>
      <c r="B2621" s="25"/>
      <c r="C2621" s="25"/>
      <c r="D2621" s="25"/>
      <c r="E2621" s="25"/>
      <c r="F2621" s="25"/>
      <c r="G2621" s="25"/>
      <c r="H2621" s="25"/>
      <c r="I2621" s="25"/>
      <c r="J2621" s="25"/>
    </row>
    <row r="2622" spans="1:10" ht="14.4">
      <c r="A2622" s="25"/>
      <c r="B2622" s="25"/>
      <c r="C2622" s="25"/>
      <c r="D2622" s="25"/>
      <c r="E2622" s="25"/>
      <c r="F2622" s="25"/>
      <c r="G2622" s="25"/>
      <c r="H2622" s="25"/>
      <c r="I2622" s="25"/>
      <c r="J2622" s="25"/>
    </row>
    <row r="2623" spans="1:10" ht="14.4">
      <c r="A2623" s="25"/>
      <c r="B2623" s="25"/>
      <c r="C2623" s="25"/>
      <c r="D2623" s="25"/>
      <c r="E2623" s="25"/>
      <c r="F2623" s="25"/>
      <c r="G2623" s="25"/>
      <c r="H2623" s="25"/>
      <c r="I2623" s="25"/>
      <c r="J2623" s="25"/>
    </row>
    <row r="2624" spans="1:10" ht="14.4">
      <c r="A2624" s="25"/>
      <c r="B2624" s="25"/>
      <c r="C2624" s="25"/>
      <c r="D2624" s="25"/>
      <c r="E2624" s="25"/>
      <c r="F2624" s="25"/>
      <c r="G2624" s="25"/>
      <c r="H2624" s="25"/>
      <c r="I2624" s="25"/>
      <c r="J2624" s="25"/>
    </row>
    <row r="2625" spans="1:10" ht="14.4">
      <c r="A2625" s="25"/>
      <c r="B2625" s="25"/>
      <c r="C2625" s="25"/>
      <c r="D2625" s="25"/>
      <c r="E2625" s="25"/>
      <c r="F2625" s="25"/>
      <c r="G2625" s="25"/>
      <c r="H2625" s="25"/>
      <c r="I2625" s="25"/>
      <c r="J2625" s="25"/>
    </row>
    <row r="2626" spans="1:10" ht="14.4">
      <c r="A2626" s="25"/>
      <c r="B2626" s="25"/>
      <c r="C2626" s="25"/>
      <c r="D2626" s="25"/>
      <c r="E2626" s="25"/>
      <c r="F2626" s="25"/>
      <c r="G2626" s="25"/>
      <c r="H2626" s="25"/>
      <c r="I2626" s="25"/>
      <c r="J2626" s="25"/>
    </row>
    <row r="2627" spans="1:10" ht="14.4">
      <c r="A2627" s="25"/>
      <c r="B2627" s="25"/>
      <c r="C2627" s="25"/>
      <c r="D2627" s="25"/>
      <c r="E2627" s="25"/>
      <c r="F2627" s="25"/>
      <c r="G2627" s="25"/>
      <c r="H2627" s="25"/>
      <c r="I2627" s="25"/>
      <c r="J2627" s="25"/>
    </row>
    <row r="2628" spans="1:10" ht="14.4">
      <c r="A2628" s="25"/>
      <c r="B2628" s="25"/>
      <c r="C2628" s="25"/>
      <c r="D2628" s="25"/>
      <c r="E2628" s="25"/>
      <c r="F2628" s="25"/>
      <c r="G2628" s="25"/>
      <c r="H2628" s="25"/>
      <c r="I2628" s="25"/>
      <c r="J2628" s="25"/>
    </row>
    <row r="2629" spans="1:10" ht="14.4">
      <c r="A2629" s="25"/>
      <c r="B2629" s="25"/>
      <c r="C2629" s="25"/>
      <c r="D2629" s="25"/>
      <c r="E2629" s="25"/>
      <c r="F2629" s="25"/>
      <c r="G2629" s="25"/>
      <c r="H2629" s="25"/>
      <c r="I2629" s="25"/>
      <c r="J2629" s="25"/>
    </row>
    <row r="2630" spans="1:10" ht="14.4">
      <c r="A2630" s="25"/>
      <c r="B2630" s="25"/>
      <c r="C2630" s="25"/>
      <c r="D2630" s="25"/>
      <c r="E2630" s="25"/>
      <c r="F2630" s="25"/>
      <c r="G2630" s="25"/>
      <c r="H2630" s="25"/>
      <c r="I2630" s="25"/>
      <c r="J2630" s="25"/>
    </row>
    <row r="2631" spans="1:10" ht="14.4">
      <c r="A2631" s="25"/>
      <c r="B2631" s="25"/>
      <c r="C2631" s="25"/>
      <c r="D2631" s="25"/>
      <c r="E2631" s="25"/>
      <c r="F2631" s="25"/>
      <c r="G2631" s="25"/>
      <c r="H2631" s="25"/>
      <c r="I2631" s="25"/>
      <c r="J2631" s="25"/>
    </row>
    <row r="2632" spans="1:10" ht="14.4">
      <c r="A2632" s="25"/>
      <c r="B2632" s="25"/>
      <c r="C2632" s="25"/>
      <c r="D2632" s="25"/>
      <c r="E2632" s="25"/>
      <c r="F2632" s="25"/>
      <c r="G2632" s="25"/>
      <c r="H2632" s="25"/>
      <c r="I2632" s="25"/>
      <c r="J2632" s="25"/>
    </row>
    <row r="2633" spans="1:10" ht="14.4">
      <c r="A2633" s="25"/>
      <c r="B2633" s="25"/>
      <c r="C2633" s="25"/>
      <c r="D2633" s="25"/>
      <c r="E2633" s="25"/>
      <c r="F2633" s="25"/>
      <c r="G2633" s="25"/>
      <c r="H2633" s="25"/>
      <c r="I2633" s="25"/>
      <c r="J2633" s="25"/>
    </row>
    <row r="2634" spans="1:10" ht="14.4">
      <c r="A2634" s="25"/>
      <c r="B2634" s="25"/>
      <c r="C2634" s="25"/>
      <c r="D2634" s="25"/>
      <c r="E2634" s="25"/>
      <c r="F2634" s="25"/>
      <c r="G2634" s="25"/>
      <c r="H2634" s="25"/>
      <c r="I2634" s="25"/>
      <c r="J2634" s="25"/>
    </row>
    <row r="2635" spans="1:10" ht="14.4">
      <c r="A2635" s="25"/>
      <c r="B2635" s="25"/>
      <c r="C2635" s="25"/>
      <c r="D2635" s="25"/>
      <c r="E2635" s="25"/>
      <c r="F2635" s="25"/>
      <c r="G2635" s="25"/>
      <c r="H2635" s="25"/>
      <c r="I2635" s="25"/>
      <c r="J2635" s="25"/>
    </row>
    <row r="2636" spans="1:10" ht="14.4">
      <c r="A2636" s="25"/>
      <c r="B2636" s="25"/>
      <c r="C2636" s="25"/>
      <c r="D2636" s="25"/>
      <c r="E2636" s="25"/>
      <c r="F2636" s="25"/>
      <c r="G2636" s="25"/>
      <c r="H2636" s="25"/>
      <c r="I2636" s="25"/>
      <c r="J2636" s="25"/>
    </row>
    <row r="2637" spans="1:10" ht="14.4">
      <c r="A2637" s="25"/>
      <c r="B2637" s="25"/>
      <c r="C2637" s="25"/>
      <c r="D2637" s="25"/>
      <c r="E2637" s="25"/>
      <c r="F2637" s="25"/>
      <c r="G2637" s="25"/>
      <c r="H2637" s="25"/>
      <c r="I2637" s="25"/>
      <c r="J2637" s="25"/>
    </row>
    <row r="2638" spans="1:10" ht="14.4">
      <c r="A2638" s="25"/>
      <c r="B2638" s="25"/>
      <c r="C2638" s="25"/>
      <c r="D2638" s="25"/>
      <c r="E2638" s="25"/>
      <c r="F2638" s="25"/>
      <c r="G2638" s="25"/>
      <c r="H2638" s="25"/>
      <c r="I2638" s="25"/>
      <c r="J2638" s="25"/>
    </row>
    <row r="2639" spans="1:10" ht="14.4">
      <c r="A2639" s="25"/>
      <c r="B2639" s="25"/>
      <c r="C2639" s="25"/>
      <c r="D2639" s="25"/>
      <c r="E2639" s="25"/>
      <c r="F2639" s="25"/>
      <c r="G2639" s="25"/>
      <c r="H2639" s="25"/>
      <c r="I2639" s="25"/>
      <c r="J2639" s="25"/>
    </row>
    <row r="2640" spans="1:10" ht="14.4">
      <c r="A2640" s="25"/>
      <c r="B2640" s="25"/>
      <c r="C2640" s="25"/>
      <c r="D2640" s="25"/>
      <c r="E2640" s="25"/>
      <c r="F2640" s="25"/>
      <c r="G2640" s="25"/>
      <c r="H2640" s="25"/>
      <c r="I2640" s="25"/>
      <c r="J2640" s="25"/>
    </row>
    <row r="2641" spans="1:10" ht="14.4">
      <c r="A2641" s="25"/>
      <c r="B2641" s="25"/>
      <c r="C2641" s="25"/>
      <c r="D2641" s="25"/>
      <c r="E2641" s="25"/>
      <c r="F2641" s="25"/>
      <c r="G2641" s="25"/>
      <c r="H2641" s="25"/>
      <c r="I2641" s="25"/>
      <c r="J2641" s="25"/>
    </row>
    <row r="2642" spans="1:10" ht="14.4">
      <c r="A2642" s="25"/>
      <c r="B2642" s="25"/>
      <c r="C2642" s="25"/>
      <c r="D2642" s="25"/>
      <c r="E2642" s="25"/>
      <c r="F2642" s="25"/>
      <c r="G2642" s="25"/>
      <c r="H2642" s="25"/>
      <c r="I2642" s="25"/>
      <c r="J2642" s="25"/>
    </row>
    <row r="2643" spans="1:10" ht="14.4">
      <c r="A2643" s="25"/>
      <c r="B2643" s="25"/>
      <c r="C2643" s="25"/>
      <c r="D2643" s="25"/>
      <c r="E2643" s="25"/>
      <c r="F2643" s="25"/>
      <c r="G2643" s="25"/>
      <c r="H2643" s="25"/>
      <c r="I2643" s="25"/>
      <c r="J2643" s="25"/>
    </row>
    <row r="2644" spans="1:10" ht="14.4">
      <c r="A2644" s="25"/>
      <c r="B2644" s="25"/>
      <c r="C2644" s="25"/>
      <c r="D2644" s="25"/>
      <c r="E2644" s="25"/>
      <c r="F2644" s="25"/>
      <c r="G2644" s="25"/>
      <c r="H2644" s="25"/>
      <c r="I2644" s="25"/>
      <c r="J2644" s="25"/>
    </row>
    <row r="2645" spans="1:10" ht="14.4">
      <c r="A2645" s="25"/>
      <c r="B2645" s="25"/>
      <c r="C2645" s="25"/>
      <c r="D2645" s="25"/>
      <c r="E2645" s="25"/>
      <c r="F2645" s="25"/>
      <c r="G2645" s="25"/>
      <c r="H2645" s="25"/>
      <c r="I2645" s="25"/>
      <c r="J2645" s="25"/>
    </row>
    <row r="2646" spans="1:10" ht="14.4">
      <c r="A2646" s="25"/>
      <c r="B2646" s="25"/>
      <c r="C2646" s="25"/>
      <c r="D2646" s="25"/>
      <c r="E2646" s="25"/>
      <c r="F2646" s="25"/>
      <c r="G2646" s="25"/>
      <c r="H2646" s="25"/>
      <c r="I2646" s="25"/>
      <c r="J2646" s="25"/>
    </row>
    <row r="2647" spans="1:10" ht="14.4">
      <c r="A2647" s="25"/>
      <c r="B2647" s="25"/>
      <c r="C2647" s="25"/>
      <c r="D2647" s="25"/>
      <c r="E2647" s="25"/>
      <c r="F2647" s="25"/>
      <c r="G2647" s="25"/>
      <c r="H2647" s="25"/>
      <c r="I2647" s="25"/>
      <c r="J2647" s="25"/>
    </row>
    <row r="2648" spans="1:10" ht="14.4">
      <c r="A2648" s="25"/>
      <c r="B2648" s="25"/>
      <c r="C2648" s="25"/>
      <c r="D2648" s="25"/>
      <c r="E2648" s="25"/>
      <c r="F2648" s="25"/>
      <c r="G2648" s="25"/>
      <c r="H2648" s="25"/>
      <c r="I2648" s="25"/>
      <c r="J2648" s="25"/>
    </row>
    <row r="2649" spans="1:10" ht="14.4">
      <c r="A2649" s="25"/>
      <c r="B2649" s="25"/>
      <c r="C2649" s="25"/>
      <c r="D2649" s="25"/>
      <c r="E2649" s="25"/>
      <c r="F2649" s="25"/>
      <c r="G2649" s="25"/>
      <c r="H2649" s="25"/>
      <c r="I2649" s="25"/>
      <c r="J2649" s="25"/>
    </row>
    <row r="2650" spans="1:10" ht="14.4">
      <c r="A2650" s="25"/>
      <c r="B2650" s="25"/>
      <c r="C2650" s="25"/>
      <c r="D2650" s="25"/>
      <c r="E2650" s="25"/>
      <c r="F2650" s="25"/>
      <c r="G2650" s="25"/>
      <c r="H2650" s="25"/>
      <c r="I2650" s="25"/>
      <c r="J2650" s="25"/>
    </row>
    <row r="2651" spans="1:10" ht="14.4">
      <c r="A2651" s="25"/>
      <c r="B2651" s="25"/>
      <c r="C2651" s="25"/>
      <c r="D2651" s="25"/>
      <c r="E2651" s="25"/>
      <c r="F2651" s="25"/>
      <c r="G2651" s="25"/>
      <c r="H2651" s="25"/>
      <c r="I2651" s="25"/>
      <c r="J2651" s="25"/>
    </row>
    <row r="2652" spans="1:10" ht="14.4">
      <c r="A2652" s="25"/>
      <c r="B2652" s="25"/>
      <c r="C2652" s="25"/>
      <c r="D2652" s="25"/>
      <c r="E2652" s="25"/>
      <c r="F2652" s="25"/>
      <c r="G2652" s="25"/>
      <c r="H2652" s="25"/>
      <c r="I2652" s="25"/>
      <c r="J2652" s="25"/>
    </row>
    <row r="2653" spans="1:10" ht="14.4">
      <c r="A2653" s="25"/>
      <c r="B2653" s="25"/>
      <c r="C2653" s="25"/>
      <c r="D2653" s="25"/>
      <c r="E2653" s="25"/>
      <c r="F2653" s="25"/>
      <c r="G2653" s="25"/>
      <c r="H2653" s="25"/>
      <c r="I2653" s="25"/>
      <c r="J2653" s="25"/>
    </row>
    <row r="2654" spans="1:10" ht="14.4">
      <c r="A2654" s="25"/>
      <c r="B2654" s="25"/>
      <c r="C2654" s="25"/>
      <c r="D2654" s="25"/>
      <c r="E2654" s="25"/>
      <c r="F2654" s="25"/>
      <c r="G2654" s="25"/>
      <c r="H2654" s="25"/>
      <c r="I2654" s="25"/>
      <c r="J2654" s="25"/>
    </row>
    <row r="2655" spans="1:10" ht="14.4">
      <c r="A2655" s="25"/>
      <c r="B2655" s="25"/>
      <c r="C2655" s="25"/>
      <c r="D2655" s="25"/>
      <c r="E2655" s="25"/>
      <c r="F2655" s="25"/>
      <c r="G2655" s="25"/>
      <c r="H2655" s="25"/>
      <c r="I2655" s="25"/>
      <c r="J2655" s="25"/>
    </row>
    <row r="2656" spans="1:10" ht="14.4">
      <c r="A2656" s="25"/>
      <c r="B2656" s="25"/>
      <c r="C2656" s="25"/>
      <c r="D2656" s="25"/>
      <c r="E2656" s="25"/>
      <c r="F2656" s="25"/>
      <c r="G2656" s="25"/>
      <c r="H2656" s="25"/>
      <c r="I2656" s="25"/>
      <c r="J2656" s="25"/>
    </row>
    <row r="2657" spans="1:10" ht="14.4">
      <c r="A2657" s="25"/>
      <c r="B2657" s="25"/>
      <c r="C2657" s="25"/>
      <c r="D2657" s="25"/>
      <c r="E2657" s="25"/>
      <c r="F2657" s="25"/>
      <c r="G2657" s="25"/>
      <c r="H2657" s="25"/>
      <c r="I2657" s="25"/>
      <c r="J2657" s="25"/>
    </row>
    <row r="2658" spans="1:10" ht="14.4">
      <c r="A2658" s="25"/>
      <c r="B2658" s="25"/>
      <c r="C2658" s="25"/>
      <c r="D2658" s="25"/>
      <c r="E2658" s="25"/>
      <c r="F2658" s="25"/>
      <c r="G2658" s="25"/>
      <c r="H2658" s="25"/>
      <c r="I2658" s="25"/>
      <c r="J2658" s="25"/>
    </row>
    <row r="2659" spans="1:10" ht="14.4">
      <c r="A2659" s="25"/>
      <c r="B2659" s="25"/>
      <c r="C2659" s="25"/>
      <c r="D2659" s="25"/>
      <c r="E2659" s="25"/>
      <c r="F2659" s="25"/>
      <c r="G2659" s="25"/>
      <c r="H2659" s="25"/>
      <c r="I2659" s="25"/>
      <c r="J2659" s="25"/>
    </row>
    <row r="2660" spans="1:10" ht="14.4">
      <c r="A2660" s="25"/>
      <c r="B2660" s="25"/>
      <c r="C2660" s="25"/>
      <c r="D2660" s="25"/>
      <c r="E2660" s="25"/>
      <c r="F2660" s="25"/>
      <c r="G2660" s="25"/>
      <c r="H2660" s="25"/>
      <c r="I2660" s="25"/>
      <c r="J2660" s="25"/>
    </row>
    <row r="2661" spans="1:10" ht="14.4">
      <c r="A2661" s="25"/>
      <c r="B2661" s="25"/>
      <c r="C2661" s="25"/>
      <c r="D2661" s="25"/>
      <c r="E2661" s="25"/>
      <c r="F2661" s="25"/>
      <c r="G2661" s="25"/>
      <c r="H2661" s="25"/>
      <c r="I2661" s="25"/>
      <c r="J2661" s="25"/>
    </row>
    <row r="2662" spans="1:10" ht="14.4">
      <c r="A2662" s="25"/>
      <c r="B2662" s="25"/>
      <c r="C2662" s="25"/>
      <c r="D2662" s="25"/>
      <c r="E2662" s="25"/>
      <c r="F2662" s="25"/>
      <c r="G2662" s="25"/>
      <c r="H2662" s="25"/>
      <c r="I2662" s="25"/>
      <c r="J2662" s="25"/>
    </row>
    <row r="2663" spans="1:10" ht="14.4">
      <c r="A2663" s="25"/>
      <c r="B2663" s="25"/>
      <c r="C2663" s="25"/>
      <c r="D2663" s="25"/>
      <c r="E2663" s="25"/>
      <c r="F2663" s="25"/>
      <c r="G2663" s="25"/>
      <c r="H2663" s="25"/>
      <c r="I2663" s="25"/>
      <c r="J2663" s="25"/>
    </row>
    <row r="2664" spans="1:10" ht="14.4">
      <c r="A2664" s="25"/>
      <c r="B2664" s="25"/>
      <c r="C2664" s="25"/>
      <c r="D2664" s="25"/>
      <c r="E2664" s="25"/>
      <c r="F2664" s="25"/>
      <c r="G2664" s="25"/>
      <c r="H2664" s="25"/>
      <c r="I2664" s="25"/>
      <c r="J2664" s="25"/>
    </row>
    <row r="2665" spans="1:10" ht="14.4">
      <c r="A2665" s="25"/>
      <c r="B2665" s="25"/>
      <c r="C2665" s="25"/>
      <c r="D2665" s="25"/>
      <c r="E2665" s="25"/>
      <c r="F2665" s="25"/>
      <c r="G2665" s="25"/>
      <c r="H2665" s="25"/>
      <c r="I2665" s="25"/>
      <c r="J2665" s="25"/>
    </row>
    <row r="2666" spans="1:10" ht="14.4">
      <c r="A2666" s="25"/>
      <c r="B2666" s="25"/>
      <c r="C2666" s="25"/>
      <c r="D2666" s="25"/>
      <c r="E2666" s="25"/>
      <c r="F2666" s="25"/>
      <c r="G2666" s="25"/>
      <c r="H2666" s="25"/>
      <c r="I2666" s="25"/>
      <c r="J2666" s="25"/>
    </row>
    <row r="2667" spans="1:10" ht="14.4">
      <c r="A2667" s="25"/>
      <c r="B2667" s="25"/>
      <c r="C2667" s="25"/>
      <c r="D2667" s="25"/>
      <c r="E2667" s="25"/>
      <c r="F2667" s="25"/>
      <c r="G2667" s="25"/>
      <c r="H2667" s="25"/>
      <c r="I2667" s="25"/>
      <c r="J2667" s="25"/>
    </row>
    <row r="2668" spans="1:10" ht="14.4">
      <c r="A2668" s="25"/>
      <c r="B2668" s="25"/>
      <c r="C2668" s="25"/>
      <c r="D2668" s="25"/>
      <c r="E2668" s="25"/>
      <c r="F2668" s="25"/>
      <c r="G2668" s="25"/>
      <c r="H2668" s="25"/>
      <c r="I2668" s="25"/>
      <c r="J2668" s="25"/>
    </row>
    <row r="2669" spans="1:10" ht="14.4">
      <c r="A2669" s="25"/>
      <c r="B2669" s="25"/>
      <c r="C2669" s="25"/>
      <c r="D2669" s="25"/>
      <c r="E2669" s="25"/>
      <c r="F2669" s="25"/>
      <c r="G2669" s="25"/>
      <c r="H2669" s="25"/>
      <c r="I2669" s="25"/>
      <c r="J2669" s="25"/>
    </row>
    <row r="2670" spans="1:10" ht="14.4">
      <c r="A2670" s="25"/>
      <c r="B2670" s="25"/>
      <c r="C2670" s="25"/>
      <c r="D2670" s="25"/>
      <c r="E2670" s="25"/>
      <c r="F2670" s="25"/>
      <c r="G2670" s="25"/>
      <c r="H2670" s="25"/>
      <c r="I2670" s="25"/>
      <c r="J2670" s="25"/>
    </row>
    <row r="2671" spans="1:10" ht="14.4">
      <c r="A2671" s="25"/>
      <c r="B2671" s="25"/>
      <c r="C2671" s="25"/>
      <c r="D2671" s="25"/>
      <c r="E2671" s="25"/>
      <c r="F2671" s="25"/>
      <c r="G2671" s="25"/>
      <c r="H2671" s="25"/>
      <c r="I2671" s="25"/>
      <c r="J2671" s="25"/>
    </row>
    <row r="2672" spans="1:10" ht="14.4">
      <c r="A2672" s="25"/>
      <c r="B2672" s="25"/>
      <c r="C2672" s="25"/>
      <c r="D2672" s="25"/>
      <c r="E2672" s="25"/>
      <c r="F2672" s="25"/>
      <c r="G2672" s="25"/>
      <c r="H2672" s="25"/>
      <c r="I2672" s="25"/>
      <c r="J2672" s="25"/>
    </row>
    <row r="2673" spans="1:10" ht="14.4">
      <c r="A2673" s="25"/>
      <c r="B2673" s="25"/>
      <c r="C2673" s="25"/>
      <c r="D2673" s="25"/>
      <c r="E2673" s="25"/>
      <c r="F2673" s="25"/>
      <c r="G2673" s="25"/>
      <c r="H2673" s="25"/>
      <c r="I2673" s="25"/>
      <c r="J2673" s="25"/>
    </row>
    <row r="2674" spans="1:10" ht="14.4">
      <c r="A2674" s="25"/>
      <c r="B2674" s="25"/>
      <c r="C2674" s="25"/>
      <c r="D2674" s="25"/>
      <c r="E2674" s="25"/>
      <c r="F2674" s="25"/>
      <c r="G2674" s="25"/>
      <c r="H2674" s="25"/>
      <c r="I2674" s="25"/>
      <c r="J2674" s="25"/>
    </row>
    <row r="2675" spans="1:10" ht="14.4">
      <c r="A2675" s="25"/>
      <c r="B2675" s="25"/>
      <c r="C2675" s="25"/>
      <c r="D2675" s="25"/>
      <c r="E2675" s="25"/>
      <c r="F2675" s="25"/>
      <c r="G2675" s="25"/>
      <c r="H2675" s="25"/>
      <c r="I2675" s="25"/>
      <c r="J2675" s="25"/>
    </row>
    <row r="2676" spans="1:10" ht="14.4">
      <c r="A2676" s="25"/>
      <c r="B2676" s="25"/>
      <c r="C2676" s="25"/>
      <c r="D2676" s="25"/>
      <c r="E2676" s="25"/>
      <c r="F2676" s="25"/>
      <c r="G2676" s="25"/>
      <c r="H2676" s="25"/>
      <c r="I2676" s="25"/>
      <c r="J2676" s="25"/>
    </row>
    <row r="2677" spans="1:10" ht="14.4">
      <c r="A2677" s="25"/>
      <c r="B2677" s="25"/>
      <c r="C2677" s="25"/>
      <c r="D2677" s="25"/>
      <c r="E2677" s="25"/>
      <c r="F2677" s="25"/>
      <c r="G2677" s="25"/>
      <c r="H2677" s="25"/>
      <c r="I2677" s="25"/>
      <c r="J2677" s="25"/>
    </row>
    <row r="2678" spans="1:10" ht="14.4">
      <c r="A2678" s="25"/>
      <c r="B2678" s="25"/>
      <c r="C2678" s="25"/>
      <c r="D2678" s="25"/>
      <c r="E2678" s="25"/>
      <c r="F2678" s="25"/>
      <c r="G2678" s="25"/>
      <c r="H2678" s="25"/>
      <c r="I2678" s="25"/>
      <c r="J2678" s="25"/>
    </row>
    <row r="2679" spans="1:10" ht="14.4">
      <c r="A2679" s="25"/>
      <c r="B2679" s="25"/>
      <c r="C2679" s="25"/>
      <c r="D2679" s="25"/>
      <c r="E2679" s="25"/>
      <c r="F2679" s="25"/>
      <c r="G2679" s="25"/>
      <c r="H2679" s="25"/>
      <c r="I2679" s="25"/>
      <c r="J2679" s="25"/>
    </row>
    <row r="2680" spans="1:10" ht="14.4">
      <c r="A2680" s="25"/>
      <c r="B2680" s="25"/>
      <c r="C2680" s="25"/>
      <c r="D2680" s="25"/>
      <c r="E2680" s="25"/>
      <c r="F2680" s="25"/>
      <c r="G2680" s="25"/>
      <c r="H2680" s="25"/>
      <c r="I2680" s="25"/>
      <c r="J2680" s="25"/>
    </row>
    <row r="2681" spans="1:10" ht="14.4">
      <c r="A2681" s="25"/>
      <c r="B2681" s="25"/>
      <c r="C2681" s="25"/>
      <c r="D2681" s="25"/>
      <c r="E2681" s="25"/>
      <c r="F2681" s="25"/>
      <c r="G2681" s="25"/>
      <c r="H2681" s="25"/>
      <c r="I2681" s="25"/>
      <c r="J2681" s="25"/>
    </row>
    <row r="2682" spans="1:10" ht="14.4">
      <c r="A2682" s="25"/>
      <c r="B2682" s="25"/>
      <c r="C2682" s="25"/>
      <c r="D2682" s="25"/>
      <c r="E2682" s="25"/>
      <c r="F2682" s="25"/>
      <c r="G2682" s="25"/>
      <c r="H2682" s="25"/>
      <c r="I2682" s="25"/>
      <c r="J2682" s="25"/>
    </row>
    <row r="2683" spans="1:10" ht="14.4">
      <c r="A2683" s="25"/>
      <c r="B2683" s="25"/>
      <c r="C2683" s="25"/>
      <c r="D2683" s="25"/>
      <c r="E2683" s="25"/>
      <c r="F2683" s="25"/>
      <c r="G2683" s="25"/>
      <c r="H2683" s="25"/>
      <c r="I2683" s="25"/>
      <c r="J2683" s="25"/>
    </row>
    <row r="2684" spans="1:10" ht="14.4">
      <c r="A2684" s="25"/>
      <c r="B2684" s="25"/>
      <c r="C2684" s="25"/>
      <c r="D2684" s="25"/>
      <c r="E2684" s="25"/>
      <c r="F2684" s="25"/>
      <c r="G2684" s="25"/>
      <c r="H2684" s="25"/>
      <c r="I2684" s="25"/>
      <c r="J2684" s="25"/>
    </row>
    <row r="2685" spans="1:10" ht="14.4">
      <c r="A2685" s="25"/>
      <c r="B2685" s="25"/>
      <c r="C2685" s="25"/>
      <c r="D2685" s="25"/>
      <c r="E2685" s="25"/>
      <c r="F2685" s="25"/>
      <c r="G2685" s="25"/>
      <c r="H2685" s="25"/>
      <c r="I2685" s="25"/>
      <c r="J2685" s="25"/>
    </row>
    <row r="2686" spans="1:10" ht="14.4">
      <c r="A2686" s="25"/>
      <c r="B2686" s="25"/>
      <c r="C2686" s="25"/>
      <c r="D2686" s="25"/>
      <c r="E2686" s="25"/>
      <c r="F2686" s="25"/>
      <c r="G2686" s="25"/>
      <c r="H2686" s="25"/>
      <c r="I2686" s="25"/>
      <c r="J2686" s="25"/>
    </row>
    <row r="2687" spans="1:10" ht="14.4">
      <c r="A2687" s="25"/>
      <c r="B2687" s="25"/>
      <c r="C2687" s="25"/>
      <c r="D2687" s="25"/>
      <c r="E2687" s="25"/>
      <c r="F2687" s="25"/>
      <c r="G2687" s="25"/>
      <c r="H2687" s="25"/>
      <c r="I2687" s="25"/>
      <c r="J2687" s="25"/>
    </row>
    <row r="2688" spans="1:10" ht="14.4">
      <c r="A2688" s="25"/>
      <c r="B2688" s="25"/>
      <c r="C2688" s="25"/>
      <c r="D2688" s="25"/>
      <c r="E2688" s="25"/>
      <c r="F2688" s="25"/>
      <c r="G2688" s="25"/>
      <c r="H2688" s="25"/>
      <c r="I2688" s="25"/>
      <c r="J2688" s="25"/>
    </row>
    <row r="2689" spans="1:10" ht="14.4">
      <c r="A2689" s="25"/>
      <c r="B2689" s="25"/>
      <c r="C2689" s="25"/>
      <c r="D2689" s="25"/>
      <c r="E2689" s="25"/>
      <c r="F2689" s="25"/>
      <c r="G2689" s="25"/>
      <c r="H2689" s="25"/>
      <c r="I2689" s="25"/>
      <c r="J2689" s="25"/>
    </row>
    <row r="2690" spans="1:10" ht="14.4">
      <c r="A2690" s="25"/>
      <c r="B2690" s="25"/>
      <c r="C2690" s="25"/>
      <c r="D2690" s="25"/>
      <c r="E2690" s="25"/>
      <c r="F2690" s="25"/>
      <c r="G2690" s="25"/>
      <c r="H2690" s="25"/>
      <c r="I2690" s="25"/>
      <c r="J2690" s="25"/>
    </row>
    <row r="2691" spans="1:10" ht="14.4">
      <c r="A2691" s="25"/>
      <c r="B2691" s="25"/>
      <c r="C2691" s="25"/>
      <c r="D2691" s="25"/>
      <c r="E2691" s="25"/>
      <c r="F2691" s="25"/>
      <c r="G2691" s="25"/>
      <c r="H2691" s="25"/>
      <c r="I2691" s="25"/>
      <c r="J2691" s="25"/>
    </row>
    <row r="2692" spans="1:10" ht="14.4">
      <c r="A2692" s="25"/>
      <c r="B2692" s="25"/>
      <c r="C2692" s="25"/>
      <c r="D2692" s="25"/>
      <c r="E2692" s="25"/>
      <c r="F2692" s="25"/>
      <c r="G2692" s="25"/>
      <c r="H2692" s="25"/>
      <c r="I2692" s="25"/>
      <c r="J2692" s="25"/>
    </row>
    <row r="2693" spans="1:10" ht="14.4">
      <c r="A2693" s="25"/>
      <c r="B2693" s="25"/>
      <c r="C2693" s="25"/>
      <c r="D2693" s="25"/>
      <c r="E2693" s="25"/>
      <c r="F2693" s="25"/>
      <c r="G2693" s="25"/>
      <c r="H2693" s="25"/>
      <c r="I2693" s="25"/>
      <c r="J2693" s="25"/>
    </row>
    <row r="2694" spans="1:10" ht="14.4">
      <c r="A2694" s="25"/>
      <c r="B2694" s="25"/>
      <c r="C2694" s="25"/>
      <c r="D2694" s="25"/>
      <c r="E2694" s="25"/>
      <c r="F2694" s="25"/>
      <c r="G2694" s="25"/>
      <c r="H2694" s="25"/>
      <c r="I2694" s="25"/>
      <c r="J2694" s="25"/>
    </row>
    <row r="2695" spans="1:10" ht="14.4">
      <c r="A2695" s="25"/>
      <c r="B2695" s="25"/>
      <c r="C2695" s="25"/>
      <c r="D2695" s="25"/>
      <c r="E2695" s="25"/>
      <c r="F2695" s="25"/>
      <c r="G2695" s="25"/>
      <c r="H2695" s="25"/>
      <c r="I2695" s="25"/>
      <c r="J2695" s="25"/>
    </row>
    <row r="2696" spans="1:10" ht="14.4">
      <c r="A2696" s="25"/>
      <c r="B2696" s="25"/>
      <c r="C2696" s="25"/>
      <c r="D2696" s="25"/>
      <c r="E2696" s="25"/>
      <c r="F2696" s="25"/>
      <c r="G2696" s="25"/>
      <c r="H2696" s="25"/>
      <c r="I2696" s="25"/>
      <c r="J2696" s="25"/>
    </row>
    <row r="2697" spans="1:10" ht="14.4">
      <c r="A2697" s="25"/>
      <c r="B2697" s="25"/>
      <c r="C2697" s="25"/>
      <c r="D2697" s="25"/>
      <c r="E2697" s="25"/>
      <c r="F2697" s="25"/>
      <c r="G2697" s="25"/>
      <c r="H2697" s="25"/>
      <c r="I2697" s="25"/>
      <c r="J2697" s="25"/>
    </row>
    <row r="2698" spans="1:10" ht="14.4">
      <c r="A2698" s="25"/>
      <c r="B2698" s="25"/>
      <c r="C2698" s="25"/>
      <c r="D2698" s="25"/>
      <c r="E2698" s="25"/>
      <c r="F2698" s="25"/>
      <c r="G2698" s="25"/>
      <c r="H2698" s="25"/>
      <c r="I2698" s="25"/>
      <c r="J2698" s="25"/>
    </row>
    <row r="2699" spans="1:10" ht="14.4">
      <c r="A2699" s="25"/>
      <c r="B2699" s="25"/>
      <c r="C2699" s="25"/>
      <c r="D2699" s="25"/>
      <c r="E2699" s="25"/>
      <c r="F2699" s="25"/>
      <c r="G2699" s="25"/>
      <c r="H2699" s="25"/>
      <c r="I2699" s="25"/>
      <c r="J2699" s="25"/>
    </row>
    <row r="2700" spans="1:10" ht="14.4">
      <c r="A2700" s="25"/>
      <c r="B2700" s="25"/>
      <c r="C2700" s="25"/>
      <c r="D2700" s="25"/>
      <c r="E2700" s="25"/>
      <c r="F2700" s="25"/>
      <c r="G2700" s="25"/>
      <c r="H2700" s="25"/>
      <c r="I2700" s="25"/>
      <c r="J2700" s="25"/>
    </row>
    <row r="2701" spans="1:10" ht="14.4">
      <c r="A2701" s="25"/>
      <c r="B2701" s="25"/>
      <c r="C2701" s="25"/>
      <c r="D2701" s="25"/>
      <c r="E2701" s="25"/>
      <c r="F2701" s="25"/>
      <c r="G2701" s="25"/>
      <c r="H2701" s="25"/>
      <c r="I2701" s="25"/>
      <c r="J2701" s="25"/>
    </row>
    <row r="2702" spans="1:10" ht="14.4">
      <c r="A2702" s="25"/>
      <c r="B2702" s="25"/>
      <c r="C2702" s="25"/>
      <c r="D2702" s="25"/>
      <c r="E2702" s="25"/>
      <c r="F2702" s="25"/>
      <c r="G2702" s="25"/>
      <c r="H2702" s="25"/>
      <c r="I2702" s="25"/>
      <c r="J2702" s="25"/>
    </row>
    <row r="2703" spans="1:10" ht="14.4">
      <c r="A2703" s="25"/>
      <c r="B2703" s="25"/>
      <c r="C2703" s="25"/>
      <c r="D2703" s="25"/>
      <c r="E2703" s="25"/>
      <c r="F2703" s="25"/>
      <c r="G2703" s="25"/>
      <c r="H2703" s="25"/>
      <c r="I2703" s="25"/>
      <c r="J2703" s="25"/>
    </row>
    <row r="2704" spans="1:10" ht="14.4">
      <c r="A2704" s="25"/>
      <c r="B2704" s="25"/>
      <c r="C2704" s="25"/>
      <c r="D2704" s="25"/>
      <c r="E2704" s="25"/>
      <c r="F2704" s="25"/>
      <c r="G2704" s="25"/>
      <c r="H2704" s="25"/>
      <c r="I2704" s="25"/>
      <c r="J2704" s="25"/>
    </row>
    <row r="2705" spans="1:10" ht="14.4">
      <c r="A2705" s="25"/>
      <c r="B2705" s="25"/>
      <c r="C2705" s="25"/>
      <c r="D2705" s="25"/>
      <c r="E2705" s="25"/>
      <c r="F2705" s="25"/>
      <c r="G2705" s="25"/>
      <c r="H2705" s="25"/>
      <c r="I2705" s="25"/>
      <c r="J2705" s="25"/>
    </row>
    <row r="2706" spans="1:10" ht="14.4">
      <c r="A2706" s="25"/>
      <c r="B2706" s="25"/>
      <c r="C2706" s="25"/>
      <c r="D2706" s="25"/>
      <c r="E2706" s="25"/>
      <c r="F2706" s="25"/>
      <c r="G2706" s="25"/>
      <c r="H2706" s="25"/>
      <c r="I2706" s="25"/>
      <c r="J2706" s="25"/>
    </row>
    <row r="2707" spans="1:10" ht="14.4">
      <c r="A2707" s="25"/>
      <c r="B2707" s="25"/>
      <c r="C2707" s="25"/>
      <c r="D2707" s="25"/>
      <c r="E2707" s="25"/>
      <c r="F2707" s="25"/>
      <c r="G2707" s="25"/>
      <c r="H2707" s="25"/>
      <c r="I2707" s="25"/>
      <c r="J2707" s="25"/>
    </row>
    <row r="2708" spans="1:10" ht="14.4">
      <c r="A2708" s="25"/>
      <c r="B2708" s="25"/>
      <c r="C2708" s="25"/>
      <c r="D2708" s="25"/>
      <c r="E2708" s="25"/>
      <c r="F2708" s="25"/>
      <c r="G2708" s="25"/>
      <c r="H2708" s="25"/>
      <c r="I2708" s="25"/>
      <c r="J2708" s="25"/>
    </row>
    <row r="2709" spans="1:10" ht="14.4">
      <c r="A2709" s="25"/>
      <c r="B2709" s="25"/>
      <c r="C2709" s="25"/>
      <c r="D2709" s="25"/>
      <c r="E2709" s="25"/>
      <c r="F2709" s="25"/>
      <c r="G2709" s="25"/>
      <c r="H2709" s="25"/>
      <c r="I2709" s="25"/>
      <c r="J2709" s="25"/>
    </row>
    <row r="2710" spans="1:10" ht="14.4">
      <c r="A2710" s="25"/>
      <c r="B2710" s="25"/>
      <c r="C2710" s="25"/>
      <c r="D2710" s="25"/>
      <c r="E2710" s="25"/>
      <c r="F2710" s="25"/>
      <c r="G2710" s="25"/>
      <c r="H2710" s="25"/>
      <c r="I2710" s="25"/>
      <c r="J2710" s="25"/>
    </row>
    <row r="2711" spans="1:10" ht="14.4">
      <c r="A2711" s="25"/>
      <c r="B2711" s="25"/>
      <c r="C2711" s="25"/>
      <c r="D2711" s="25"/>
      <c r="E2711" s="25"/>
      <c r="F2711" s="25"/>
      <c r="G2711" s="25"/>
      <c r="H2711" s="25"/>
      <c r="I2711" s="25"/>
      <c r="J2711" s="25"/>
    </row>
    <row r="2712" spans="1:10" ht="14.4">
      <c r="A2712" s="25"/>
      <c r="B2712" s="25"/>
      <c r="C2712" s="25"/>
      <c r="D2712" s="25"/>
      <c r="E2712" s="25"/>
      <c r="F2712" s="25"/>
      <c r="G2712" s="25"/>
      <c r="H2712" s="25"/>
      <c r="I2712" s="25"/>
      <c r="J2712" s="25"/>
    </row>
    <row r="2713" spans="1:10" ht="14.4">
      <c r="A2713" s="25"/>
      <c r="B2713" s="25"/>
      <c r="C2713" s="25"/>
      <c r="D2713" s="25"/>
      <c r="E2713" s="25"/>
      <c r="F2713" s="25"/>
      <c r="G2713" s="25"/>
      <c r="H2713" s="25"/>
      <c r="I2713" s="25"/>
      <c r="J2713" s="25"/>
    </row>
    <row r="2714" spans="1:10" ht="14.4">
      <c r="A2714" s="25"/>
      <c r="B2714" s="25"/>
      <c r="C2714" s="25"/>
      <c r="D2714" s="25"/>
      <c r="E2714" s="25"/>
      <c r="F2714" s="25"/>
      <c r="G2714" s="25"/>
      <c r="H2714" s="25"/>
      <c r="I2714" s="25"/>
      <c r="J2714" s="25"/>
    </row>
    <row r="2715" spans="1:10" ht="14.4">
      <c r="A2715" s="25"/>
      <c r="B2715" s="25"/>
      <c r="C2715" s="25"/>
      <c r="D2715" s="25"/>
      <c r="E2715" s="25"/>
      <c r="F2715" s="25"/>
      <c r="G2715" s="25"/>
      <c r="H2715" s="25"/>
      <c r="I2715" s="25"/>
      <c r="J2715" s="25"/>
    </row>
    <row r="2716" spans="1:10" ht="14.4">
      <c r="A2716" s="25"/>
      <c r="B2716" s="25"/>
      <c r="C2716" s="25"/>
      <c r="D2716" s="25"/>
      <c r="E2716" s="25"/>
      <c r="F2716" s="25"/>
      <c r="G2716" s="25"/>
      <c r="H2716" s="25"/>
      <c r="I2716" s="25"/>
      <c r="J2716" s="25"/>
    </row>
    <row r="2717" spans="1:10" ht="14.4">
      <c r="A2717" s="25"/>
      <c r="B2717" s="25"/>
      <c r="C2717" s="25"/>
      <c r="D2717" s="25"/>
      <c r="E2717" s="25"/>
      <c r="F2717" s="25"/>
      <c r="G2717" s="25"/>
      <c r="H2717" s="25"/>
      <c r="I2717" s="25"/>
      <c r="J2717" s="25"/>
    </row>
    <row r="2718" spans="1:10" ht="14.4">
      <c r="A2718" s="25"/>
      <c r="B2718" s="25"/>
      <c r="C2718" s="25"/>
      <c r="D2718" s="25"/>
      <c r="E2718" s="25"/>
      <c r="F2718" s="25"/>
      <c r="G2718" s="25"/>
      <c r="H2718" s="25"/>
      <c r="I2718" s="25"/>
      <c r="J2718" s="25"/>
    </row>
    <row r="2719" spans="1:10" ht="14.4">
      <c r="A2719" s="25"/>
      <c r="B2719" s="25"/>
      <c r="C2719" s="25"/>
      <c r="D2719" s="25"/>
      <c r="E2719" s="25"/>
      <c r="F2719" s="25"/>
      <c r="G2719" s="25"/>
      <c r="H2719" s="25"/>
      <c r="I2719" s="25"/>
      <c r="J2719" s="25"/>
    </row>
    <row r="2720" spans="1:10" ht="14.4">
      <c r="A2720" s="25"/>
      <c r="B2720" s="25"/>
      <c r="C2720" s="25"/>
      <c r="D2720" s="25"/>
      <c r="E2720" s="25"/>
      <c r="F2720" s="25"/>
      <c r="G2720" s="25"/>
      <c r="H2720" s="25"/>
      <c r="I2720" s="25"/>
      <c r="J2720" s="25"/>
    </row>
    <row r="2721" spans="1:10" ht="14.4">
      <c r="A2721" s="25"/>
      <c r="B2721" s="25"/>
      <c r="C2721" s="25"/>
      <c r="D2721" s="25"/>
      <c r="E2721" s="25"/>
      <c r="F2721" s="25"/>
      <c r="G2721" s="25"/>
      <c r="H2721" s="25"/>
      <c r="I2721" s="25"/>
      <c r="J2721" s="25"/>
    </row>
    <row r="2722" spans="1:10" ht="14.4">
      <c r="A2722" s="25"/>
      <c r="B2722" s="25"/>
      <c r="C2722" s="25"/>
      <c r="D2722" s="25"/>
      <c r="E2722" s="25"/>
      <c r="F2722" s="25"/>
      <c r="G2722" s="25"/>
      <c r="H2722" s="25"/>
      <c r="I2722" s="25"/>
      <c r="J2722" s="25"/>
    </row>
    <row r="2723" spans="1:10" ht="14.4">
      <c r="A2723" s="25"/>
      <c r="B2723" s="25"/>
      <c r="C2723" s="25"/>
      <c r="D2723" s="25"/>
      <c r="E2723" s="25"/>
      <c r="F2723" s="25"/>
      <c r="G2723" s="25"/>
      <c r="H2723" s="25"/>
      <c r="I2723" s="25"/>
      <c r="J2723" s="25"/>
    </row>
    <row r="2724" spans="1:10" ht="14.4">
      <c r="A2724" s="25"/>
      <c r="B2724" s="25"/>
      <c r="C2724" s="25"/>
      <c r="D2724" s="25"/>
      <c r="E2724" s="25"/>
      <c r="F2724" s="25"/>
      <c r="G2724" s="25"/>
      <c r="H2724" s="25"/>
      <c r="I2724" s="25"/>
      <c r="J2724" s="25"/>
    </row>
    <row r="2725" spans="1:10" ht="14.4">
      <c r="A2725" s="25"/>
      <c r="B2725" s="25"/>
      <c r="C2725" s="25"/>
      <c r="D2725" s="25"/>
      <c r="E2725" s="25"/>
      <c r="F2725" s="25"/>
      <c r="G2725" s="25"/>
      <c r="H2725" s="25"/>
      <c r="I2725" s="25"/>
      <c r="J2725" s="25"/>
    </row>
    <row r="2726" spans="1:10" ht="14.4">
      <c r="A2726" s="25"/>
      <c r="B2726" s="25"/>
      <c r="C2726" s="25"/>
      <c r="D2726" s="25"/>
      <c r="E2726" s="25"/>
      <c r="F2726" s="25"/>
      <c r="G2726" s="25"/>
      <c r="H2726" s="25"/>
      <c r="I2726" s="25"/>
      <c r="J2726" s="25"/>
    </row>
    <row r="2727" spans="1:10" ht="14.4">
      <c r="A2727" s="25"/>
      <c r="B2727" s="25"/>
      <c r="C2727" s="25"/>
      <c r="D2727" s="25"/>
      <c r="E2727" s="25"/>
      <c r="F2727" s="25"/>
      <c r="G2727" s="25"/>
      <c r="H2727" s="25"/>
      <c r="I2727" s="25"/>
      <c r="J2727" s="25"/>
    </row>
    <row r="2728" spans="1:10" ht="14.4">
      <c r="A2728" s="25"/>
      <c r="B2728" s="25"/>
      <c r="C2728" s="25"/>
      <c r="D2728" s="25"/>
      <c r="E2728" s="25"/>
      <c r="F2728" s="25"/>
      <c r="G2728" s="25"/>
      <c r="H2728" s="25"/>
      <c r="I2728" s="25"/>
      <c r="J2728" s="25"/>
    </row>
    <row r="2729" spans="1:10" ht="14.4">
      <c r="A2729" s="25"/>
      <c r="B2729" s="25"/>
      <c r="C2729" s="25"/>
      <c r="D2729" s="25"/>
      <c r="E2729" s="25"/>
      <c r="F2729" s="25"/>
      <c r="G2729" s="25"/>
      <c r="H2729" s="25"/>
      <c r="I2729" s="25"/>
      <c r="J2729" s="25"/>
    </row>
    <row r="2730" spans="1:10" ht="14.4">
      <c r="A2730" s="25"/>
      <c r="B2730" s="25"/>
      <c r="C2730" s="25"/>
      <c r="D2730" s="25"/>
      <c r="E2730" s="25"/>
      <c r="F2730" s="25"/>
      <c r="G2730" s="25"/>
      <c r="H2730" s="25"/>
      <c r="I2730" s="25"/>
      <c r="J2730" s="25"/>
    </row>
    <row r="2731" spans="1:10" ht="14.4">
      <c r="A2731" s="25"/>
      <c r="B2731" s="25"/>
      <c r="C2731" s="25"/>
      <c r="D2731" s="25"/>
      <c r="E2731" s="25"/>
      <c r="F2731" s="25"/>
      <c r="G2731" s="25"/>
      <c r="H2731" s="25"/>
      <c r="I2731" s="25"/>
      <c r="J2731" s="25"/>
    </row>
    <row r="2732" spans="1:10" ht="14.4">
      <c r="A2732" s="25"/>
      <c r="B2732" s="25"/>
      <c r="C2732" s="25"/>
      <c r="D2732" s="25"/>
      <c r="E2732" s="25"/>
      <c r="F2732" s="25"/>
      <c r="G2732" s="25"/>
      <c r="H2732" s="25"/>
      <c r="I2732" s="25"/>
      <c r="J2732" s="25"/>
    </row>
    <row r="2733" spans="1:10" ht="14.4">
      <c r="A2733" s="25"/>
      <c r="B2733" s="25"/>
      <c r="C2733" s="25"/>
      <c r="D2733" s="25"/>
      <c r="E2733" s="25"/>
      <c r="F2733" s="25"/>
      <c r="G2733" s="25"/>
      <c r="H2733" s="25"/>
      <c r="I2733" s="25"/>
      <c r="J2733" s="25"/>
    </row>
    <row r="2734" spans="1:10" ht="14.4">
      <c r="A2734" s="25"/>
      <c r="B2734" s="25"/>
      <c r="C2734" s="25"/>
      <c r="D2734" s="25"/>
      <c r="E2734" s="25"/>
      <c r="F2734" s="25"/>
      <c r="G2734" s="25"/>
      <c r="H2734" s="25"/>
      <c r="I2734" s="25"/>
      <c r="J2734" s="25"/>
    </row>
    <row r="2735" spans="1:10" ht="14.4">
      <c r="A2735" s="25"/>
      <c r="B2735" s="25"/>
      <c r="C2735" s="25"/>
      <c r="D2735" s="25"/>
      <c r="E2735" s="25"/>
      <c r="F2735" s="25"/>
      <c r="G2735" s="25"/>
      <c r="H2735" s="25"/>
      <c r="I2735" s="25"/>
      <c r="J2735" s="25"/>
    </row>
    <row r="2736" spans="1:10" ht="14.4">
      <c r="A2736" s="25"/>
      <c r="B2736" s="25"/>
      <c r="C2736" s="25"/>
      <c r="D2736" s="25"/>
      <c r="E2736" s="25"/>
      <c r="F2736" s="25"/>
      <c r="G2736" s="25"/>
      <c r="H2736" s="25"/>
      <c r="I2736" s="25"/>
      <c r="J2736" s="25"/>
    </row>
    <row r="2737" spans="1:10" ht="14.4">
      <c r="A2737" s="25"/>
      <c r="B2737" s="25"/>
      <c r="C2737" s="25"/>
      <c r="D2737" s="25"/>
      <c r="E2737" s="25"/>
      <c r="F2737" s="25"/>
      <c r="G2737" s="25"/>
      <c r="H2737" s="25"/>
      <c r="I2737" s="25"/>
      <c r="J2737" s="25"/>
    </row>
    <row r="2738" spans="1:10" ht="14.4">
      <c r="A2738" s="25"/>
      <c r="B2738" s="25"/>
      <c r="C2738" s="25"/>
      <c r="D2738" s="25"/>
      <c r="E2738" s="25"/>
      <c r="F2738" s="25"/>
      <c r="G2738" s="25"/>
      <c r="H2738" s="25"/>
      <c r="I2738" s="25"/>
      <c r="J2738" s="25"/>
    </row>
    <row r="2739" spans="1:10" ht="14.4">
      <c r="A2739" s="25"/>
      <c r="B2739" s="25"/>
      <c r="C2739" s="25"/>
      <c r="D2739" s="25"/>
      <c r="E2739" s="25"/>
      <c r="F2739" s="25"/>
      <c r="G2739" s="25"/>
      <c r="H2739" s="25"/>
      <c r="I2739" s="25"/>
      <c r="J2739" s="25"/>
    </row>
    <row r="2740" spans="1:10" ht="14.4">
      <c r="A2740" s="25"/>
      <c r="B2740" s="25"/>
      <c r="C2740" s="25"/>
      <c r="D2740" s="25"/>
      <c r="E2740" s="25"/>
      <c r="F2740" s="25"/>
      <c r="G2740" s="25"/>
      <c r="H2740" s="25"/>
      <c r="I2740" s="25"/>
      <c r="J2740" s="25"/>
    </row>
    <row r="2741" spans="1:10" ht="14.4">
      <c r="A2741" s="25"/>
      <c r="B2741" s="25"/>
      <c r="C2741" s="25"/>
      <c r="D2741" s="25"/>
      <c r="E2741" s="25"/>
      <c r="F2741" s="25"/>
      <c r="G2741" s="25"/>
      <c r="H2741" s="25"/>
      <c r="I2741" s="25"/>
      <c r="J2741" s="25"/>
    </row>
    <row r="2742" spans="1:10" ht="14.4">
      <c r="A2742" s="25"/>
      <c r="B2742" s="25"/>
      <c r="C2742" s="25"/>
      <c r="D2742" s="25"/>
      <c r="E2742" s="25"/>
      <c r="F2742" s="25"/>
      <c r="G2742" s="25"/>
      <c r="H2742" s="25"/>
      <c r="I2742" s="25"/>
      <c r="J2742" s="25"/>
    </row>
    <row r="2743" spans="1:10" ht="14.4">
      <c r="A2743" s="25"/>
      <c r="B2743" s="25"/>
      <c r="C2743" s="25"/>
      <c r="D2743" s="25"/>
      <c r="E2743" s="25"/>
      <c r="F2743" s="25"/>
      <c r="G2743" s="25"/>
      <c r="H2743" s="25"/>
      <c r="I2743" s="25"/>
      <c r="J2743" s="25"/>
    </row>
    <row r="2744" spans="1:10" ht="14.4">
      <c r="A2744" s="25"/>
      <c r="B2744" s="25"/>
      <c r="C2744" s="25"/>
      <c r="D2744" s="25"/>
      <c r="E2744" s="25"/>
      <c r="F2744" s="25"/>
      <c r="G2744" s="25"/>
      <c r="H2744" s="25"/>
      <c r="I2744" s="25"/>
      <c r="J2744" s="25"/>
    </row>
    <row r="2745" spans="1:10" ht="14.4">
      <c r="A2745" s="25"/>
      <c r="B2745" s="25"/>
      <c r="C2745" s="25"/>
      <c r="D2745" s="25"/>
      <c r="E2745" s="25"/>
      <c r="F2745" s="25"/>
      <c r="G2745" s="25"/>
      <c r="H2745" s="25"/>
      <c r="I2745" s="25"/>
      <c r="J2745" s="25"/>
    </row>
    <row r="2746" spans="1:10" ht="14.4">
      <c r="A2746" s="25"/>
      <c r="B2746" s="25"/>
      <c r="C2746" s="25"/>
      <c r="D2746" s="25"/>
      <c r="E2746" s="25"/>
      <c r="F2746" s="25"/>
      <c r="G2746" s="25"/>
      <c r="H2746" s="25"/>
      <c r="I2746" s="25"/>
      <c r="J2746" s="25"/>
    </row>
    <row r="2747" spans="1:10" ht="14.4">
      <c r="A2747" s="25"/>
      <c r="B2747" s="25"/>
      <c r="C2747" s="25"/>
      <c r="D2747" s="25"/>
      <c r="E2747" s="25"/>
      <c r="F2747" s="25"/>
      <c r="G2747" s="25"/>
      <c r="H2747" s="25"/>
      <c r="I2747" s="25"/>
      <c r="J2747" s="25"/>
    </row>
    <row r="2748" spans="1:10" ht="14.4">
      <c r="A2748" s="25"/>
      <c r="B2748" s="25"/>
      <c r="C2748" s="25"/>
      <c r="D2748" s="25"/>
      <c r="E2748" s="25"/>
      <c r="F2748" s="25"/>
      <c r="G2748" s="25"/>
      <c r="H2748" s="25"/>
      <c r="I2748" s="25"/>
      <c r="J2748" s="25"/>
    </row>
    <row r="2749" spans="1:10" ht="14.4">
      <c r="A2749" s="25"/>
      <c r="B2749" s="25"/>
      <c r="C2749" s="25"/>
      <c r="D2749" s="25"/>
      <c r="E2749" s="25"/>
      <c r="F2749" s="25"/>
      <c r="G2749" s="25"/>
      <c r="H2749" s="25"/>
      <c r="I2749" s="25"/>
      <c r="J2749" s="25"/>
    </row>
    <row r="2750" spans="1:10" ht="14.4">
      <c r="A2750" s="25"/>
      <c r="B2750" s="25"/>
      <c r="C2750" s="25"/>
      <c r="D2750" s="25"/>
      <c r="E2750" s="25"/>
      <c r="F2750" s="25"/>
      <c r="G2750" s="25"/>
      <c r="H2750" s="25"/>
      <c r="I2750" s="25"/>
      <c r="J2750" s="25"/>
    </row>
    <row r="2751" spans="1:10" ht="14.4">
      <c r="A2751" s="25"/>
      <c r="B2751" s="25"/>
      <c r="C2751" s="25"/>
      <c r="D2751" s="25"/>
      <c r="E2751" s="25"/>
      <c r="F2751" s="25"/>
      <c r="G2751" s="25"/>
      <c r="H2751" s="25"/>
      <c r="I2751" s="25"/>
      <c r="J2751" s="25"/>
    </row>
    <row r="2752" spans="1:10" ht="14.4">
      <c r="A2752" s="25"/>
      <c r="B2752" s="25"/>
      <c r="C2752" s="25"/>
      <c r="D2752" s="25"/>
      <c r="E2752" s="25"/>
      <c r="F2752" s="25"/>
      <c r="G2752" s="25"/>
      <c r="H2752" s="25"/>
      <c r="I2752" s="25"/>
      <c r="J2752" s="25"/>
    </row>
    <row r="2753" spans="1:10" ht="14.4">
      <c r="A2753" s="25"/>
      <c r="B2753" s="25"/>
      <c r="C2753" s="25"/>
      <c r="D2753" s="25"/>
      <c r="E2753" s="25"/>
      <c r="F2753" s="25"/>
      <c r="G2753" s="25"/>
      <c r="H2753" s="25"/>
      <c r="I2753" s="25"/>
      <c r="J2753" s="25"/>
    </row>
    <row r="2754" spans="1:10" ht="14.4">
      <c r="A2754" s="25"/>
      <c r="B2754" s="25"/>
      <c r="C2754" s="25"/>
      <c r="D2754" s="25"/>
      <c r="E2754" s="25"/>
      <c r="F2754" s="25"/>
      <c r="G2754" s="25"/>
      <c r="H2754" s="25"/>
      <c r="I2754" s="25"/>
      <c r="J2754" s="25"/>
    </row>
    <row r="2755" spans="1:10" ht="14.4">
      <c r="A2755" s="25"/>
      <c r="B2755" s="25"/>
      <c r="C2755" s="25"/>
      <c r="D2755" s="25"/>
      <c r="E2755" s="25"/>
      <c r="F2755" s="25"/>
      <c r="G2755" s="25"/>
      <c r="H2755" s="25"/>
      <c r="I2755" s="25"/>
      <c r="J2755" s="25"/>
    </row>
    <row r="2756" spans="1:10" ht="14.4">
      <c r="A2756" s="25"/>
      <c r="B2756" s="25"/>
      <c r="C2756" s="25"/>
      <c r="D2756" s="25"/>
      <c r="E2756" s="25"/>
      <c r="F2756" s="25"/>
      <c r="G2756" s="25"/>
      <c r="H2756" s="25"/>
      <c r="I2756" s="25"/>
      <c r="J2756" s="25"/>
    </row>
    <row r="2757" spans="1:10" ht="14.4">
      <c r="A2757" s="25"/>
      <c r="B2757" s="25"/>
      <c r="C2757" s="25"/>
      <c r="D2757" s="25"/>
      <c r="E2757" s="25"/>
      <c r="F2757" s="25"/>
      <c r="G2757" s="25"/>
      <c r="H2757" s="25"/>
      <c r="I2757" s="25"/>
      <c r="J2757" s="25"/>
    </row>
    <row r="2758" spans="1:10" ht="14.4">
      <c r="A2758" s="25"/>
      <c r="B2758" s="25"/>
      <c r="C2758" s="25"/>
      <c r="D2758" s="25"/>
      <c r="E2758" s="25"/>
      <c r="F2758" s="25"/>
      <c r="G2758" s="25"/>
      <c r="H2758" s="25"/>
      <c r="I2758" s="25"/>
      <c r="J2758" s="25"/>
    </row>
    <row r="2759" spans="1:10" ht="14.4">
      <c r="A2759" s="25"/>
      <c r="B2759" s="25"/>
      <c r="C2759" s="25"/>
      <c r="D2759" s="25"/>
      <c r="E2759" s="25"/>
      <c r="F2759" s="25"/>
      <c r="G2759" s="25"/>
      <c r="H2759" s="25"/>
      <c r="I2759" s="25"/>
      <c r="J2759" s="25"/>
    </row>
    <row r="2760" spans="1:10" ht="14.4">
      <c r="A2760" s="25"/>
      <c r="B2760" s="25"/>
      <c r="C2760" s="25"/>
      <c r="D2760" s="25"/>
      <c r="E2760" s="25"/>
      <c r="F2760" s="25"/>
      <c r="G2760" s="25"/>
      <c r="H2760" s="25"/>
      <c r="I2760" s="25"/>
      <c r="J2760" s="25"/>
    </row>
    <row r="2761" spans="1:10" ht="14.4">
      <c r="A2761" s="25"/>
      <c r="B2761" s="25"/>
      <c r="C2761" s="25"/>
      <c r="D2761" s="25"/>
      <c r="E2761" s="25"/>
      <c r="F2761" s="25"/>
      <c r="G2761" s="25"/>
      <c r="H2761" s="25"/>
      <c r="I2761" s="25"/>
      <c r="J2761" s="25"/>
    </row>
    <row r="2762" spans="1:10" ht="14.4">
      <c r="A2762" s="25"/>
      <c r="B2762" s="25"/>
      <c r="C2762" s="25"/>
      <c r="D2762" s="25"/>
      <c r="E2762" s="25"/>
      <c r="F2762" s="25"/>
      <c r="G2762" s="25"/>
      <c r="H2762" s="25"/>
      <c r="I2762" s="25"/>
      <c r="J2762" s="25"/>
    </row>
    <row r="2763" spans="1:10" ht="14.4">
      <c r="A2763" s="25"/>
      <c r="B2763" s="25"/>
      <c r="C2763" s="25"/>
      <c r="D2763" s="25"/>
      <c r="E2763" s="25"/>
      <c r="F2763" s="25"/>
      <c r="G2763" s="25"/>
      <c r="H2763" s="25"/>
      <c r="I2763" s="25"/>
      <c r="J2763" s="25"/>
    </row>
    <row r="2764" spans="1:10" ht="14.4">
      <c r="A2764" s="25"/>
      <c r="B2764" s="25"/>
      <c r="C2764" s="25"/>
      <c r="D2764" s="25"/>
      <c r="E2764" s="25"/>
      <c r="F2764" s="25"/>
      <c r="G2764" s="25"/>
      <c r="H2764" s="25"/>
      <c r="I2764" s="25"/>
      <c r="J2764" s="25"/>
    </row>
    <row r="2765" spans="1:10" ht="14.4">
      <c r="A2765" s="25"/>
      <c r="B2765" s="25"/>
      <c r="C2765" s="25"/>
      <c r="D2765" s="25"/>
      <c r="E2765" s="25"/>
      <c r="F2765" s="25"/>
      <c r="G2765" s="25"/>
      <c r="H2765" s="25"/>
      <c r="I2765" s="25"/>
      <c r="J2765" s="25"/>
    </row>
    <row r="2766" spans="1:10" ht="14.4">
      <c r="A2766" s="25"/>
      <c r="B2766" s="25"/>
      <c r="C2766" s="25"/>
      <c r="D2766" s="25"/>
      <c r="E2766" s="25"/>
      <c r="F2766" s="25"/>
      <c r="G2766" s="25"/>
      <c r="H2766" s="25"/>
      <c r="I2766" s="25"/>
      <c r="J2766" s="25"/>
    </row>
    <row r="2767" spans="1:10" ht="14.4">
      <c r="A2767" s="25"/>
      <c r="B2767" s="25"/>
      <c r="C2767" s="25"/>
      <c r="D2767" s="25"/>
      <c r="E2767" s="25"/>
      <c r="F2767" s="25"/>
      <c r="G2767" s="25"/>
      <c r="H2767" s="25"/>
      <c r="I2767" s="25"/>
      <c r="J2767" s="25"/>
    </row>
    <row r="2768" spans="1:10" ht="14.4">
      <c r="A2768" s="25"/>
      <c r="B2768" s="25"/>
      <c r="C2768" s="25"/>
      <c r="D2768" s="25"/>
      <c r="E2768" s="25"/>
      <c r="F2768" s="25"/>
      <c r="G2768" s="25"/>
      <c r="H2768" s="25"/>
      <c r="I2768" s="25"/>
      <c r="J2768" s="25"/>
    </row>
    <row r="2769" spans="1:10" ht="14.4">
      <c r="A2769" s="25"/>
      <c r="B2769" s="25"/>
      <c r="C2769" s="25"/>
      <c r="D2769" s="25"/>
      <c r="E2769" s="25"/>
      <c r="F2769" s="25"/>
      <c r="G2769" s="25"/>
      <c r="H2769" s="25"/>
      <c r="I2769" s="25"/>
      <c r="J2769" s="25"/>
    </row>
    <row r="2770" spans="1:10" ht="14.4">
      <c r="A2770" s="25"/>
      <c r="B2770" s="25"/>
      <c r="C2770" s="25"/>
      <c r="D2770" s="25"/>
      <c r="E2770" s="25"/>
      <c r="F2770" s="25"/>
      <c r="G2770" s="25"/>
      <c r="H2770" s="25"/>
      <c r="I2770" s="25"/>
      <c r="J2770" s="25"/>
    </row>
    <row r="2771" spans="1:10" ht="14.4">
      <c r="A2771" s="25"/>
      <c r="B2771" s="25"/>
      <c r="C2771" s="25"/>
      <c r="D2771" s="25"/>
      <c r="E2771" s="25"/>
      <c r="F2771" s="25"/>
      <c r="G2771" s="25"/>
      <c r="H2771" s="25"/>
      <c r="I2771" s="25"/>
      <c r="J2771" s="25"/>
    </row>
    <row r="2772" spans="1:10" ht="14.4">
      <c r="A2772" s="25"/>
      <c r="B2772" s="25"/>
      <c r="C2772" s="25"/>
      <c r="D2772" s="25"/>
      <c r="E2772" s="25"/>
      <c r="F2772" s="25"/>
      <c r="G2772" s="25"/>
      <c r="H2772" s="25"/>
      <c r="I2772" s="25"/>
      <c r="J2772" s="25"/>
    </row>
    <row r="2773" spans="1:10" ht="14.4">
      <c r="A2773" s="25"/>
      <c r="B2773" s="25"/>
      <c r="C2773" s="25"/>
      <c r="D2773" s="25"/>
      <c r="E2773" s="25"/>
      <c r="F2773" s="25"/>
      <c r="G2773" s="25"/>
      <c r="H2773" s="25"/>
      <c r="I2773" s="25"/>
      <c r="J2773" s="25"/>
    </row>
    <row r="2774" spans="1:10" ht="14.4">
      <c r="A2774" s="25"/>
      <c r="B2774" s="25"/>
      <c r="C2774" s="25"/>
      <c r="D2774" s="25"/>
      <c r="E2774" s="25"/>
      <c r="F2774" s="25"/>
      <c r="G2774" s="25"/>
      <c r="H2774" s="25"/>
      <c r="I2774" s="25"/>
      <c r="J2774" s="25"/>
    </row>
    <row r="2775" spans="1:10" ht="14.4">
      <c r="A2775" s="25"/>
      <c r="B2775" s="25"/>
      <c r="C2775" s="25"/>
      <c r="D2775" s="25"/>
      <c r="E2775" s="25"/>
      <c r="F2775" s="25"/>
      <c r="G2775" s="25"/>
      <c r="H2775" s="25"/>
      <c r="I2775" s="25"/>
      <c r="J2775" s="25"/>
    </row>
    <row r="2776" spans="1:10" ht="14.4">
      <c r="A2776" s="25"/>
      <c r="B2776" s="25"/>
      <c r="C2776" s="25"/>
      <c r="D2776" s="25"/>
      <c r="E2776" s="25"/>
      <c r="F2776" s="25"/>
      <c r="G2776" s="25"/>
      <c r="H2776" s="25"/>
      <c r="I2776" s="25"/>
      <c r="J2776" s="25"/>
    </row>
    <row r="2777" spans="1:10" ht="14.4">
      <c r="A2777" s="25"/>
      <c r="B2777" s="25"/>
      <c r="C2777" s="25"/>
      <c r="D2777" s="25"/>
      <c r="E2777" s="25"/>
      <c r="F2777" s="25"/>
      <c r="G2777" s="25"/>
      <c r="H2777" s="25"/>
      <c r="I2777" s="25"/>
      <c r="J2777" s="25"/>
    </row>
    <row r="2778" spans="1:10" ht="14.4">
      <c r="A2778" s="25"/>
      <c r="B2778" s="25"/>
      <c r="C2778" s="25"/>
      <c r="D2778" s="25"/>
      <c r="E2778" s="25"/>
      <c r="F2778" s="25"/>
      <c r="G2778" s="25"/>
      <c r="H2778" s="25"/>
      <c r="I2778" s="25"/>
      <c r="J2778" s="25"/>
    </row>
    <row r="2779" spans="1:10" ht="14.4">
      <c r="A2779" s="25"/>
      <c r="B2779" s="25"/>
      <c r="C2779" s="25"/>
      <c r="D2779" s="25"/>
      <c r="E2779" s="25"/>
      <c r="F2779" s="25"/>
      <c r="G2779" s="25"/>
      <c r="H2779" s="25"/>
      <c r="I2779" s="25"/>
      <c r="J2779" s="25"/>
    </row>
    <row r="2780" spans="1:10" ht="14.4">
      <c r="A2780" s="25"/>
      <c r="B2780" s="25"/>
      <c r="C2780" s="25"/>
      <c r="D2780" s="25"/>
      <c r="E2780" s="25"/>
      <c r="F2780" s="25"/>
      <c r="G2780" s="25"/>
      <c r="H2780" s="25"/>
      <c r="I2780" s="25"/>
      <c r="J2780" s="25"/>
    </row>
    <row r="2781" spans="1:10" ht="14.4">
      <c r="A2781" s="25"/>
      <c r="B2781" s="25"/>
      <c r="C2781" s="25"/>
      <c r="D2781" s="25"/>
      <c r="E2781" s="25"/>
      <c r="F2781" s="25"/>
      <c r="G2781" s="25"/>
      <c r="H2781" s="25"/>
      <c r="I2781" s="25"/>
      <c r="J2781" s="25"/>
    </row>
    <row r="2782" spans="1:10" ht="14.4">
      <c r="A2782" s="25"/>
      <c r="B2782" s="25"/>
      <c r="C2782" s="25"/>
      <c r="D2782" s="25"/>
      <c r="E2782" s="25"/>
      <c r="F2782" s="25"/>
      <c r="G2782" s="25"/>
      <c r="H2782" s="25"/>
      <c r="I2782" s="25"/>
      <c r="J2782" s="25"/>
    </row>
    <row r="2783" spans="1:10" ht="14.4">
      <c r="A2783" s="25"/>
      <c r="B2783" s="25"/>
      <c r="C2783" s="25"/>
      <c r="D2783" s="25"/>
      <c r="E2783" s="25"/>
      <c r="F2783" s="25"/>
      <c r="G2783" s="25"/>
      <c r="H2783" s="25"/>
      <c r="I2783" s="25"/>
      <c r="J2783" s="25"/>
    </row>
    <row r="2784" spans="1:10" ht="14.4">
      <c r="A2784" s="25"/>
      <c r="B2784" s="25"/>
      <c r="C2784" s="25"/>
      <c r="D2784" s="25"/>
      <c r="E2784" s="25"/>
      <c r="F2784" s="25"/>
      <c r="G2784" s="25"/>
      <c r="H2784" s="25"/>
      <c r="I2784" s="25"/>
      <c r="J2784" s="25"/>
    </row>
    <row r="2785" spans="1:10" ht="14.4">
      <c r="A2785" s="25"/>
      <c r="B2785" s="25"/>
      <c r="C2785" s="25"/>
      <c r="D2785" s="25"/>
      <c r="E2785" s="25"/>
      <c r="F2785" s="25"/>
      <c r="G2785" s="25"/>
      <c r="H2785" s="25"/>
      <c r="I2785" s="25"/>
      <c r="J2785" s="25"/>
    </row>
    <row r="2786" spans="1:10" ht="14.4">
      <c r="A2786" s="25"/>
      <c r="B2786" s="25"/>
      <c r="C2786" s="25"/>
      <c r="D2786" s="25"/>
      <c r="E2786" s="25"/>
      <c r="F2786" s="25"/>
      <c r="G2786" s="25"/>
      <c r="H2786" s="25"/>
      <c r="I2786" s="25"/>
      <c r="J2786" s="25"/>
    </row>
    <row r="2787" spans="1:10" ht="14.4">
      <c r="A2787" s="25"/>
      <c r="B2787" s="25"/>
      <c r="C2787" s="25"/>
      <c r="D2787" s="25"/>
      <c r="E2787" s="25"/>
      <c r="F2787" s="25"/>
      <c r="G2787" s="25"/>
      <c r="H2787" s="25"/>
      <c r="I2787" s="25"/>
      <c r="J2787" s="25"/>
    </row>
    <row r="2788" spans="1:10" ht="14.4">
      <c r="A2788" s="25"/>
      <c r="B2788" s="25"/>
      <c r="C2788" s="25"/>
      <c r="D2788" s="25"/>
      <c r="E2788" s="25"/>
      <c r="F2788" s="25"/>
      <c r="G2788" s="25"/>
      <c r="H2788" s="25"/>
      <c r="I2788" s="25"/>
      <c r="J2788" s="25"/>
    </row>
    <row r="2789" spans="1:10" ht="14.4">
      <c r="A2789" s="25"/>
      <c r="B2789" s="25"/>
      <c r="C2789" s="25"/>
      <c r="D2789" s="25"/>
      <c r="E2789" s="25"/>
      <c r="F2789" s="25"/>
      <c r="G2789" s="25"/>
      <c r="H2789" s="25"/>
      <c r="I2789" s="25"/>
      <c r="J2789" s="25"/>
    </row>
    <row r="2790" spans="1:10" ht="14.4">
      <c r="A2790" s="25"/>
      <c r="B2790" s="25"/>
      <c r="C2790" s="25"/>
      <c r="D2790" s="25"/>
      <c r="E2790" s="25"/>
      <c r="F2790" s="25"/>
      <c r="G2790" s="25"/>
      <c r="H2790" s="25"/>
      <c r="I2790" s="25"/>
      <c r="J2790" s="25"/>
    </row>
    <row r="2791" spans="1:10" ht="14.4">
      <c r="A2791" s="25"/>
      <c r="B2791" s="25"/>
      <c r="C2791" s="25"/>
      <c r="D2791" s="25"/>
      <c r="E2791" s="25"/>
      <c r="F2791" s="25"/>
      <c r="G2791" s="25"/>
      <c r="H2791" s="25"/>
      <c r="I2791" s="25"/>
      <c r="J2791" s="25"/>
    </row>
    <row r="2792" spans="1:10" ht="14.4">
      <c r="A2792" s="25"/>
      <c r="B2792" s="25"/>
      <c r="C2792" s="25"/>
      <c r="D2792" s="25"/>
      <c r="E2792" s="25"/>
      <c r="F2792" s="25"/>
      <c r="G2792" s="25"/>
      <c r="H2792" s="25"/>
      <c r="I2792" s="25"/>
      <c r="J2792" s="25"/>
    </row>
    <row r="2793" spans="1:10" ht="14.4">
      <c r="A2793" s="25"/>
      <c r="B2793" s="25"/>
      <c r="C2793" s="25"/>
      <c r="D2793" s="25"/>
      <c r="E2793" s="25"/>
      <c r="F2793" s="25"/>
      <c r="G2793" s="25"/>
      <c r="H2793" s="25"/>
      <c r="I2793" s="25"/>
      <c r="J2793" s="25"/>
    </row>
    <row r="2794" spans="1:10" ht="14.4">
      <c r="A2794" s="25"/>
      <c r="B2794" s="25"/>
      <c r="C2794" s="25"/>
      <c r="D2794" s="25"/>
      <c r="E2794" s="25"/>
      <c r="F2794" s="25"/>
      <c r="G2794" s="25"/>
      <c r="H2794" s="25"/>
      <c r="I2794" s="25"/>
      <c r="J2794" s="25"/>
    </row>
    <row r="2795" spans="1:10" ht="14.4">
      <c r="A2795" s="25"/>
      <c r="B2795" s="25"/>
      <c r="C2795" s="25"/>
      <c r="D2795" s="25"/>
      <c r="E2795" s="25"/>
      <c r="F2795" s="25"/>
      <c r="G2795" s="25"/>
      <c r="H2795" s="25"/>
      <c r="I2795" s="25"/>
      <c r="J2795" s="25"/>
    </row>
    <row r="2796" spans="1:10" ht="14.4">
      <c r="A2796" s="25"/>
      <c r="B2796" s="25"/>
      <c r="C2796" s="25"/>
      <c r="D2796" s="25"/>
      <c r="E2796" s="25"/>
      <c r="F2796" s="25"/>
      <c r="G2796" s="25"/>
      <c r="H2796" s="25"/>
      <c r="I2796" s="25"/>
      <c r="J2796" s="25"/>
    </row>
    <row r="2797" spans="1:10" ht="14.4">
      <c r="A2797" s="25"/>
      <c r="B2797" s="25"/>
      <c r="C2797" s="25"/>
      <c r="D2797" s="25"/>
      <c r="E2797" s="25"/>
      <c r="F2797" s="25"/>
      <c r="G2797" s="25"/>
      <c r="H2797" s="25"/>
      <c r="I2797" s="25"/>
      <c r="J2797" s="25"/>
    </row>
    <row r="2798" spans="1:10" ht="14.4">
      <c r="A2798" s="25"/>
      <c r="B2798" s="25"/>
      <c r="C2798" s="25"/>
      <c r="D2798" s="25"/>
      <c r="E2798" s="25"/>
      <c r="F2798" s="25"/>
      <c r="G2798" s="25"/>
      <c r="H2798" s="25"/>
      <c r="I2798" s="25"/>
      <c r="J2798" s="25"/>
    </row>
    <row r="2799" spans="1:10" ht="14.4">
      <c r="A2799" s="25"/>
      <c r="B2799" s="25"/>
      <c r="C2799" s="25"/>
      <c r="D2799" s="25"/>
      <c r="E2799" s="25"/>
      <c r="F2799" s="25"/>
      <c r="G2799" s="25"/>
      <c r="H2799" s="25"/>
      <c r="I2799" s="25"/>
      <c r="J2799" s="25"/>
    </row>
    <row r="2800" spans="1:10" ht="14.4">
      <c r="A2800" s="25"/>
      <c r="B2800" s="25"/>
      <c r="C2800" s="25"/>
      <c r="D2800" s="25"/>
      <c r="E2800" s="25"/>
      <c r="F2800" s="25"/>
      <c r="G2800" s="25"/>
      <c r="H2800" s="25"/>
      <c r="I2800" s="25"/>
      <c r="J2800" s="25"/>
    </row>
    <row r="2801" spans="1:10" ht="14.4">
      <c r="A2801" s="25"/>
      <c r="B2801" s="25"/>
      <c r="C2801" s="25"/>
      <c r="D2801" s="25"/>
      <c r="E2801" s="25"/>
      <c r="F2801" s="25"/>
      <c r="G2801" s="25"/>
      <c r="H2801" s="25"/>
      <c r="I2801" s="25"/>
      <c r="J2801" s="25"/>
    </row>
    <row r="2802" spans="1:10" ht="14.4">
      <c r="A2802" s="25"/>
      <c r="B2802" s="25"/>
      <c r="C2802" s="25"/>
      <c r="D2802" s="25"/>
      <c r="E2802" s="25"/>
      <c r="F2802" s="25"/>
      <c r="G2802" s="25"/>
      <c r="H2802" s="25"/>
      <c r="I2802" s="25"/>
      <c r="J2802" s="25"/>
    </row>
    <row r="2803" spans="1:10" ht="14.4">
      <c r="A2803" s="25"/>
      <c r="B2803" s="25"/>
      <c r="C2803" s="25"/>
      <c r="D2803" s="25"/>
      <c r="E2803" s="25"/>
      <c r="F2803" s="25"/>
      <c r="G2803" s="25"/>
      <c r="H2803" s="25"/>
      <c r="I2803" s="25"/>
      <c r="J2803" s="25"/>
    </row>
    <row r="2804" spans="1:10" ht="14.4">
      <c r="A2804" s="25"/>
      <c r="B2804" s="25"/>
      <c r="C2804" s="25"/>
      <c r="D2804" s="25"/>
      <c r="E2804" s="25"/>
      <c r="F2804" s="25"/>
      <c r="G2804" s="25"/>
      <c r="H2804" s="25"/>
      <c r="I2804" s="25"/>
      <c r="J2804" s="25"/>
    </row>
    <row r="2805" spans="1:10" ht="14.4">
      <c r="A2805" s="25"/>
      <c r="B2805" s="25"/>
      <c r="C2805" s="25"/>
      <c r="D2805" s="25"/>
      <c r="E2805" s="25"/>
      <c r="F2805" s="25"/>
      <c r="G2805" s="25"/>
      <c r="H2805" s="25"/>
      <c r="I2805" s="25"/>
      <c r="J2805" s="25"/>
    </row>
    <row r="2806" spans="1:10" ht="14.4">
      <c r="A2806" s="25"/>
      <c r="B2806" s="25"/>
      <c r="C2806" s="25"/>
      <c r="D2806" s="25"/>
      <c r="E2806" s="25"/>
      <c r="F2806" s="25"/>
      <c r="G2806" s="25"/>
      <c r="H2806" s="25"/>
      <c r="I2806" s="25"/>
      <c r="J2806" s="25"/>
    </row>
    <row r="2807" spans="1:10" ht="14.4">
      <c r="A2807" s="25"/>
      <c r="B2807" s="25"/>
      <c r="C2807" s="25"/>
      <c r="D2807" s="25"/>
      <c r="E2807" s="25"/>
      <c r="F2807" s="25"/>
      <c r="G2807" s="25"/>
      <c r="H2807" s="25"/>
      <c r="I2807" s="25"/>
      <c r="J2807" s="25"/>
    </row>
    <row r="2808" spans="1:10" ht="14.4">
      <c r="A2808" s="25"/>
      <c r="B2808" s="25"/>
      <c r="C2808" s="25"/>
      <c r="D2808" s="25"/>
      <c r="E2808" s="25"/>
      <c r="F2808" s="25"/>
      <c r="G2808" s="25"/>
      <c r="H2808" s="25"/>
      <c r="I2808" s="25"/>
      <c r="J2808" s="25"/>
    </row>
    <row r="2809" spans="1:10" ht="14.4">
      <c r="A2809" s="25"/>
      <c r="B2809" s="25"/>
      <c r="C2809" s="25"/>
      <c r="D2809" s="25"/>
      <c r="E2809" s="25"/>
      <c r="F2809" s="25"/>
      <c r="G2809" s="25"/>
      <c r="H2809" s="25"/>
      <c r="I2809" s="25"/>
      <c r="J2809" s="25"/>
    </row>
    <row r="2810" spans="1:10" ht="14.4">
      <c r="A2810" s="25"/>
      <c r="B2810" s="25"/>
      <c r="C2810" s="25"/>
      <c r="D2810" s="25"/>
      <c r="E2810" s="25"/>
      <c r="F2810" s="25"/>
      <c r="G2810" s="25"/>
      <c r="H2810" s="25"/>
      <c r="I2810" s="25"/>
      <c r="J2810" s="25"/>
    </row>
    <row r="2811" spans="1:10" ht="14.4">
      <c r="A2811" s="25"/>
      <c r="B2811" s="25"/>
      <c r="C2811" s="25"/>
      <c r="D2811" s="25"/>
      <c r="E2811" s="25"/>
      <c r="F2811" s="25"/>
      <c r="G2811" s="25"/>
      <c r="H2811" s="25"/>
      <c r="I2811" s="25"/>
      <c r="J2811" s="25"/>
    </row>
    <row r="2812" spans="1:10" ht="14.4">
      <c r="A2812" s="25"/>
      <c r="B2812" s="25"/>
      <c r="C2812" s="25"/>
      <c r="D2812" s="25"/>
      <c r="E2812" s="25"/>
      <c r="F2812" s="25"/>
      <c r="G2812" s="25"/>
      <c r="H2812" s="25"/>
      <c r="I2812" s="25"/>
      <c r="J2812" s="25"/>
    </row>
    <row r="2813" spans="1:10" ht="14.4">
      <c r="A2813" s="25"/>
      <c r="B2813" s="25"/>
      <c r="C2813" s="25"/>
      <c r="D2813" s="25"/>
      <c r="E2813" s="25"/>
      <c r="F2813" s="25"/>
      <c r="G2813" s="25"/>
      <c r="H2813" s="25"/>
      <c r="I2813" s="25"/>
      <c r="J2813" s="25"/>
    </row>
    <row r="2814" spans="1:10" ht="14.4">
      <c r="A2814" s="25"/>
      <c r="B2814" s="25"/>
      <c r="C2814" s="25"/>
      <c r="D2814" s="25"/>
      <c r="E2814" s="25"/>
      <c r="F2814" s="25"/>
      <c r="G2814" s="25"/>
      <c r="H2814" s="25"/>
      <c r="I2814" s="25"/>
      <c r="J2814" s="25"/>
    </row>
    <row r="2815" spans="1:10" ht="14.4">
      <c r="A2815" s="25"/>
      <c r="B2815" s="25"/>
      <c r="C2815" s="25"/>
      <c r="D2815" s="25"/>
      <c r="E2815" s="25"/>
      <c r="F2815" s="25"/>
      <c r="G2815" s="25"/>
      <c r="H2815" s="25"/>
      <c r="I2815" s="25"/>
      <c r="J2815" s="25"/>
    </row>
    <row r="2816" spans="1:10" ht="14.4">
      <c r="A2816" s="25"/>
      <c r="B2816" s="25"/>
      <c r="C2816" s="25"/>
      <c r="D2816" s="25"/>
      <c r="E2816" s="25"/>
      <c r="F2816" s="25"/>
      <c r="G2816" s="25"/>
      <c r="H2816" s="25"/>
      <c r="I2816" s="25"/>
      <c r="J2816" s="25"/>
    </row>
    <row r="2817" spans="1:10" ht="14.4">
      <c r="A2817" s="25"/>
      <c r="B2817" s="25"/>
      <c r="C2817" s="25"/>
      <c r="D2817" s="25"/>
      <c r="E2817" s="25"/>
      <c r="F2817" s="25"/>
      <c r="G2817" s="25"/>
      <c r="H2817" s="25"/>
      <c r="I2817" s="25"/>
      <c r="J2817" s="25"/>
    </row>
    <row r="2818" spans="1:10" ht="14.4">
      <c r="A2818" s="25"/>
      <c r="B2818" s="25"/>
      <c r="C2818" s="25"/>
      <c r="D2818" s="25"/>
      <c r="E2818" s="25"/>
      <c r="F2818" s="25"/>
      <c r="G2818" s="25"/>
      <c r="H2818" s="25"/>
      <c r="I2818" s="25"/>
      <c r="J2818" s="25"/>
    </row>
    <row r="2819" spans="1:10" ht="14.4">
      <c r="A2819" s="25"/>
      <c r="B2819" s="25"/>
      <c r="C2819" s="25"/>
      <c r="D2819" s="25"/>
      <c r="E2819" s="25"/>
      <c r="F2819" s="25"/>
      <c r="G2819" s="25"/>
      <c r="H2819" s="25"/>
      <c r="I2819" s="25"/>
      <c r="J2819" s="25"/>
    </row>
    <row r="2820" spans="1:10" ht="14.4">
      <c r="A2820" s="25"/>
      <c r="B2820" s="25"/>
      <c r="C2820" s="25"/>
      <c r="D2820" s="25"/>
      <c r="E2820" s="25"/>
      <c r="F2820" s="25"/>
      <c r="G2820" s="25"/>
      <c r="H2820" s="25"/>
      <c r="I2820" s="25"/>
      <c r="J2820" s="25"/>
    </row>
    <row r="2821" spans="1:10" ht="14.4">
      <c r="A2821" s="25"/>
      <c r="B2821" s="25"/>
      <c r="C2821" s="25"/>
      <c r="D2821" s="25"/>
      <c r="E2821" s="25"/>
      <c r="F2821" s="25"/>
      <c r="G2821" s="25"/>
      <c r="H2821" s="25"/>
      <c r="I2821" s="25"/>
      <c r="J2821" s="25"/>
    </row>
    <row r="2822" spans="1:10" ht="14.4">
      <c r="A2822" s="25"/>
      <c r="B2822" s="25"/>
      <c r="C2822" s="25"/>
      <c r="D2822" s="25"/>
      <c r="E2822" s="25"/>
      <c r="F2822" s="25"/>
      <c r="G2822" s="25"/>
      <c r="H2822" s="25"/>
      <c r="I2822" s="25"/>
      <c r="J2822" s="25"/>
    </row>
    <row r="2823" spans="1:10" ht="14.4">
      <c r="A2823" s="25"/>
      <c r="B2823" s="25"/>
      <c r="C2823" s="25"/>
      <c r="D2823" s="25"/>
      <c r="E2823" s="25"/>
      <c r="F2823" s="25"/>
      <c r="G2823" s="25"/>
      <c r="H2823" s="25"/>
      <c r="I2823" s="25"/>
      <c r="J2823" s="25"/>
    </row>
    <row r="2824" spans="1:10" ht="14.4">
      <c r="A2824" s="25"/>
      <c r="B2824" s="25"/>
      <c r="C2824" s="25"/>
      <c r="D2824" s="25"/>
      <c r="E2824" s="25"/>
      <c r="F2824" s="25"/>
      <c r="G2824" s="25"/>
      <c r="H2824" s="25"/>
      <c r="I2824" s="25"/>
      <c r="J2824" s="25"/>
    </row>
    <row r="2825" spans="1:10" ht="14.4">
      <c r="A2825" s="25"/>
      <c r="B2825" s="25"/>
      <c r="C2825" s="25"/>
      <c r="D2825" s="25"/>
      <c r="E2825" s="25"/>
      <c r="F2825" s="25"/>
      <c r="G2825" s="25"/>
      <c r="H2825" s="25"/>
      <c r="I2825" s="25"/>
      <c r="J2825" s="25"/>
    </row>
    <row r="2826" spans="1:10" ht="14.4">
      <c r="A2826" s="25"/>
      <c r="B2826" s="25"/>
      <c r="C2826" s="25"/>
      <c r="D2826" s="25"/>
      <c r="E2826" s="25"/>
      <c r="F2826" s="25"/>
      <c r="G2826" s="25"/>
      <c r="H2826" s="25"/>
      <c r="I2826" s="25"/>
      <c r="J2826" s="25"/>
    </row>
    <row r="2827" spans="1:10" ht="14.4">
      <c r="A2827" s="25"/>
      <c r="B2827" s="25"/>
      <c r="C2827" s="25"/>
      <c r="D2827" s="25"/>
      <c r="E2827" s="25"/>
      <c r="F2827" s="25"/>
      <c r="G2827" s="25"/>
      <c r="H2827" s="25"/>
      <c r="I2827" s="25"/>
      <c r="J2827" s="25"/>
    </row>
    <row r="2828" spans="1:10" ht="14.4">
      <c r="A2828" s="25"/>
      <c r="B2828" s="25"/>
      <c r="C2828" s="25"/>
      <c r="D2828" s="25"/>
      <c r="E2828" s="25"/>
      <c r="F2828" s="25"/>
      <c r="G2828" s="25"/>
      <c r="H2828" s="25"/>
      <c r="I2828" s="25"/>
      <c r="J2828" s="25"/>
    </row>
    <row r="2829" spans="1:10" ht="14.4">
      <c r="A2829" s="25"/>
      <c r="B2829" s="25"/>
      <c r="C2829" s="25"/>
      <c r="D2829" s="25"/>
      <c r="E2829" s="25"/>
      <c r="F2829" s="25"/>
      <c r="G2829" s="25"/>
      <c r="H2829" s="25"/>
      <c r="I2829" s="25"/>
      <c r="J2829" s="25"/>
    </row>
    <row r="2830" spans="1:10" ht="14.4">
      <c r="A2830" s="25"/>
      <c r="B2830" s="25"/>
      <c r="C2830" s="25"/>
      <c r="D2830" s="25"/>
      <c r="E2830" s="25"/>
      <c r="F2830" s="25"/>
      <c r="G2830" s="25"/>
      <c r="H2830" s="25"/>
      <c r="I2830" s="25"/>
      <c r="J2830" s="25"/>
    </row>
    <row r="2831" spans="1:10" ht="14.4">
      <c r="A2831" s="25"/>
      <c r="B2831" s="25"/>
      <c r="C2831" s="25"/>
      <c r="D2831" s="25"/>
      <c r="E2831" s="25"/>
      <c r="F2831" s="25"/>
      <c r="G2831" s="25"/>
      <c r="H2831" s="25"/>
      <c r="I2831" s="25"/>
      <c r="J2831" s="25"/>
    </row>
    <row r="2832" spans="1:10" ht="14.4">
      <c r="A2832" s="25"/>
      <c r="B2832" s="25"/>
      <c r="C2832" s="25"/>
      <c r="D2832" s="25"/>
      <c r="E2832" s="25"/>
      <c r="F2832" s="25"/>
      <c r="G2832" s="25"/>
      <c r="H2832" s="25"/>
      <c r="I2832" s="25"/>
      <c r="J2832" s="25"/>
    </row>
    <row r="2833" spans="1:10" ht="14.4">
      <c r="A2833" s="25"/>
      <c r="B2833" s="25"/>
      <c r="C2833" s="25"/>
      <c r="D2833" s="25"/>
      <c r="E2833" s="25"/>
      <c r="F2833" s="25"/>
      <c r="G2833" s="25"/>
      <c r="H2833" s="25"/>
      <c r="I2833" s="25"/>
      <c r="J2833" s="25"/>
    </row>
    <row r="2834" spans="1:10" ht="14.4">
      <c r="A2834" s="25"/>
      <c r="B2834" s="25"/>
      <c r="C2834" s="25"/>
      <c r="D2834" s="25"/>
      <c r="E2834" s="25"/>
      <c r="F2834" s="25"/>
      <c r="G2834" s="25"/>
      <c r="H2834" s="25"/>
      <c r="I2834" s="25"/>
      <c r="J2834" s="25"/>
    </row>
    <row r="2835" spans="1:10" ht="14.4">
      <c r="A2835" s="25"/>
      <c r="B2835" s="25"/>
      <c r="C2835" s="25"/>
      <c r="D2835" s="25"/>
      <c r="E2835" s="25"/>
      <c r="F2835" s="25"/>
      <c r="G2835" s="25"/>
      <c r="H2835" s="25"/>
      <c r="I2835" s="25"/>
      <c r="J2835" s="25"/>
    </row>
    <row r="2836" spans="1:10" ht="14.4">
      <c r="A2836" s="25"/>
      <c r="B2836" s="25"/>
      <c r="C2836" s="25"/>
      <c r="D2836" s="25"/>
      <c r="E2836" s="25"/>
      <c r="F2836" s="25"/>
      <c r="G2836" s="25"/>
      <c r="H2836" s="25"/>
      <c r="I2836" s="25"/>
      <c r="J2836" s="25"/>
    </row>
    <row r="2837" spans="1:10" ht="14.4">
      <c r="A2837" s="25"/>
      <c r="B2837" s="25"/>
      <c r="C2837" s="25"/>
      <c r="D2837" s="25"/>
      <c r="E2837" s="25"/>
      <c r="F2837" s="25"/>
      <c r="G2837" s="25"/>
      <c r="H2837" s="25"/>
      <c r="I2837" s="25"/>
      <c r="J2837" s="25"/>
    </row>
    <row r="2838" spans="1:10" ht="14.4">
      <c r="A2838" s="25"/>
      <c r="B2838" s="25"/>
      <c r="C2838" s="25"/>
      <c r="D2838" s="25"/>
      <c r="E2838" s="25"/>
      <c r="F2838" s="25"/>
      <c r="G2838" s="25"/>
      <c r="H2838" s="25"/>
      <c r="I2838" s="25"/>
      <c r="J2838" s="25"/>
    </row>
    <row r="2839" spans="1:10" ht="14.4">
      <c r="A2839" s="25"/>
      <c r="B2839" s="25"/>
      <c r="C2839" s="25"/>
      <c r="D2839" s="25"/>
      <c r="E2839" s="25"/>
      <c r="F2839" s="25"/>
      <c r="G2839" s="25"/>
      <c r="H2839" s="25"/>
      <c r="I2839" s="25"/>
      <c r="J2839" s="25"/>
    </row>
    <row r="2840" spans="1:10" ht="14.4">
      <c r="A2840" s="25"/>
      <c r="B2840" s="25"/>
      <c r="C2840" s="25"/>
      <c r="D2840" s="25"/>
      <c r="E2840" s="25"/>
      <c r="F2840" s="25"/>
      <c r="G2840" s="25"/>
      <c r="H2840" s="25"/>
      <c r="I2840" s="25"/>
      <c r="J2840" s="25"/>
    </row>
    <row r="2841" spans="1:10" ht="14.4">
      <c r="A2841" s="25"/>
      <c r="B2841" s="25"/>
      <c r="C2841" s="25"/>
      <c r="D2841" s="25"/>
      <c r="E2841" s="25"/>
      <c r="F2841" s="25"/>
      <c r="G2841" s="25"/>
      <c r="H2841" s="25"/>
      <c r="I2841" s="25"/>
      <c r="J2841" s="25"/>
    </row>
    <row r="2842" spans="1:10" ht="14.4">
      <c r="A2842" s="25"/>
      <c r="B2842" s="25"/>
      <c r="C2842" s="25"/>
      <c r="D2842" s="25"/>
      <c r="E2842" s="25"/>
      <c r="F2842" s="25"/>
      <c r="G2842" s="25"/>
      <c r="H2842" s="25"/>
      <c r="I2842" s="25"/>
      <c r="J2842" s="25"/>
    </row>
    <row r="2843" spans="1:10" ht="14.4">
      <c r="A2843" s="25"/>
      <c r="B2843" s="25"/>
      <c r="C2843" s="25"/>
      <c r="D2843" s="25"/>
      <c r="E2843" s="25"/>
      <c r="F2843" s="25"/>
      <c r="G2843" s="25"/>
      <c r="H2843" s="25"/>
      <c r="I2843" s="25"/>
      <c r="J2843" s="25"/>
    </row>
    <row r="2844" spans="1:10" ht="14.4">
      <c r="A2844" s="25"/>
      <c r="B2844" s="25"/>
      <c r="C2844" s="25"/>
      <c r="D2844" s="25"/>
      <c r="E2844" s="25"/>
      <c r="F2844" s="25"/>
      <c r="G2844" s="25"/>
      <c r="H2844" s="25"/>
      <c r="I2844" s="25"/>
      <c r="J2844" s="25"/>
    </row>
    <row r="2845" spans="1:10" ht="14.4">
      <c r="A2845" s="25"/>
      <c r="B2845" s="25"/>
      <c r="C2845" s="25"/>
      <c r="D2845" s="25"/>
      <c r="E2845" s="25"/>
      <c r="F2845" s="25"/>
      <c r="G2845" s="25"/>
      <c r="H2845" s="25"/>
      <c r="I2845" s="25"/>
      <c r="J2845" s="25"/>
    </row>
    <row r="2846" spans="1:10" ht="14.4">
      <c r="A2846" s="25"/>
      <c r="B2846" s="25"/>
      <c r="C2846" s="25"/>
      <c r="D2846" s="25"/>
      <c r="E2846" s="25"/>
      <c r="F2846" s="25"/>
      <c r="G2846" s="25"/>
      <c r="H2846" s="25"/>
      <c r="I2846" s="25"/>
      <c r="J2846" s="25"/>
    </row>
    <row r="2847" spans="1:10" ht="14.4">
      <c r="A2847" s="25"/>
      <c r="B2847" s="25"/>
      <c r="C2847" s="25"/>
      <c r="D2847" s="25"/>
      <c r="E2847" s="25"/>
      <c r="F2847" s="25"/>
      <c r="G2847" s="25"/>
      <c r="H2847" s="25"/>
      <c r="I2847" s="25"/>
      <c r="J2847" s="25"/>
    </row>
    <row r="2848" spans="1:10" ht="14.4">
      <c r="A2848" s="25"/>
      <c r="B2848" s="25"/>
      <c r="C2848" s="25"/>
      <c r="D2848" s="25"/>
      <c r="E2848" s="25"/>
      <c r="F2848" s="25"/>
      <c r="G2848" s="25"/>
      <c r="H2848" s="25"/>
      <c r="I2848" s="25"/>
      <c r="J2848" s="25"/>
    </row>
    <row r="2849" spans="1:10" ht="14.4">
      <c r="A2849" s="25"/>
      <c r="B2849" s="25"/>
      <c r="C2849" s="25"/>
      <c r="D2849" s="25"/>
      <c r="E2849" s="25"/>
      <c r="F2849" s="25"/>
      <c r="G2849" s="25"/>
      <c r="H2849" s="25"/>
      <c r="I2849" s="25"/>
      <c r="J2849" s="25"/>
    </row>
    <row r="2850" spans="1:10" ht="14.4">
      <c r="A2850" s="25"/>
      <c r="B2850" s="25"/>
      <c r="C2850" s="25"/>
      <c r="D2850" s="25"/>
      <c r="E2850" s="25"/>
      <c r="F2850" s="25"/>
      <c r="G2850" s="25"/>
      <c r="H2850" s="25"/>
      <c r="I2850" s="25"/>
      <c r="J2850" s="25"/>
    </row>
    <row r="2851" spans="1:10" ht="14.4">
      <c r="A2851" s="25"/>
      <c r="B2851" s="25"/>
      <c r="C2851" s="25"/>
      <c r="D2851" s="25"/>
      <c r="E2851" s="25"/>
      <c r="F2851" s="25"/>
      <c r="G2851" s="25"/>
      <c r="H2851" s="25"/>
      <c r="I2851" s="25"/>
      <c r="J2851" s="25"/>
    </row>
    <row r="2852" spans="1:10" ht="14.4">
      <c r="A2852" s="25"/>
      <c r="B2852" s="25"/>
      <c r="C2852" s="25"/>
      <c r="D2852" s="25"/>
      <c r="E2852" s="25"/>
      <c r="F2852" s="25"/>
      <c r="G2852" s="25"/>
      <c r="H2852" s="25"/>
      <c r="I2852" s="25"/>
      <c r="J2852" s="25"/>
    </row>
    <row r="2853" spans="1:10" ht="14.4">
      <c r="A2853" s="25"/>
      <c r="B2853" s="25"/>
      <c r="C2853" s="25"/>
      <c r="D2853" s="25"/>
      <c r="E2853" s="25"/>
      <c r="F2853" s="25"/>
      <c r="G2853" s="25"/>
      <c r="H2853" s="25"/>
      <c r="I2853" s="25"/>
      <c r="J2853" s="25"/>
    </row>
    <row r="2854" spans="1:10" ht="14.4">
      <c r="A2854" s="25"/>
      <c r="B2854" s="25"/>
      <c r="C2854" s="25"/>
      <c r="D2854" s="25"/>
      <c r="E2854" s="25"/>
      <c r="F2854" s="25"/>
      <c r="G2854" s="25"/>
      <c r="H2854" s="25"/>
      <c r="I2854" s="25"/>
      <c r="J2854" s="25"/>
    </row>
    <row r="2855" spans="1:10" ht="14.4">
      <c r="A2855" s="25"/>
      <c r="B2855" s="25"/>
      <c r="C2855" s="25"/>
      <c r="D2855" s="25"/>
      <c r="E2855" s="25"/>
      <c r="F2855" s="25"/>
      <c r="G2855" s="25"/>
      <c r="H2855" s="25"/>
      <c r="I2855" s="25"/>
      <c r="J2855" s="25"/>
    </row>
    <row r="2856" spans="1:10" ht="14.4">
      <c r="A2856" s="25"/>
      <c r="B2856" s="25"/>
      <c r="C2856" s="25"/>
      <c r="D2856" s="25"/>
      <c r="E2856" s="25"/>
      <c r="F2856" s="25"/>
      <c r="G2856" s="25"/>
      <c r="H2856" s="25"/>
      <c r="I2856" s="25"/>
      <c r="J2856" s="25"/>
    </row>
    <row r="2857" spans="1:10" ht="14.4">
      <c r="A2857" s="25"/>
      <c r="B2857" s="25"/>
      <c r="C2857" s="25"/>
      <c r="D2857" s="25"/>
      <c r="E2857" s="25"/>
      <c r="F2857" s="25"/>
      <c r="G2857" s="25"/>
      <c r="H2857" s="25"/>
      <c r="I2857" s="25"/>
      <c r="J2857" s="25"/>
    </row>
    <row r="2858" spans="1:10" ht="14.4">
      <c r="A2858" s="25"/>
      <c r="B2858" s="25"/>
      <c r="C2858" s="25"/>
      <c r="D2858" s="25"/>
      <c r="E2858" s="25"/>
      <c r="F2858" s="25"/>
      <c r="G2858" s="25"/>
      <c r="H2858" s="25"/>
      <c r="I2858" s="25"/>
      <c r="J2858" s="25"/>
    </row>
    <row r="2859" spans="1:10" ht="14.4">
      <c r="A2859" s="25"/>
      <c r="B2859" s="25"/>
      <c r="C2859" s="25"/>
      <c r="D2859" s="25"/>
      <c r="E2859" s="25"/>
      <c r="F2859" s="25"/>
      <c r="G2859" s="25"/>
      <c r="H2859" s="25"/>
      <c r="I2859" s="25"/>
      <c r="J2859" s="25"/>
    </row>
    <row r="2860" spans="1:10" ht="14.4">
      <c r="A2860" s="25"/>
      <c r="B2860" s="25"/>
      <c r="C2860" s="25"/>
      <c r="D2860" s="25"/>
      <c r="E2860" s="25"/>
      <c r="F2860" s="25"/>
      <c r="G2860" s="25"/>
      <c r="H2860" s="25"/>
      <c r="I2860" s="25"/>
      <c r="J2860" s="25"/>
    </row>
    <row r="2861" spans="1:10" ht="14.4">
      <c r="A2861" s="25"/>
      <c r="B2861" s="25"/>
      <c r="C2861" s="25"/>
      <c r="D2861" s="25"/>
      <c r="E2861" s="25"/>
      <c r="F2861" s="25"/>
      <c r="G2861" s="25"/>
      <c r="H2861" s="25"/>
      <c r="I2861" s="25"/>
      <c r="J2861" s="25"/>
    </row>
    <row r="2862" spans="1:10" ht="14.4">
      <c r="A2862" s="25"/>
      <c r="B2862" s="25"/>
      <c r="C2862" s="25"/>
      <c r="D2862" s="25"/>
      <c r="E2862" s="25"/>
      <c r="F2862" s="25"/>
      <c r="G2862" s="25"/>
      <c r="H2862" s="25"/>
      <c r="I2862" s="25"/>
      <c r="J2862" s="25"/>
    </row>
    <row r="2863" spans="1:10" ht="14.4">
      <c r="A2863" s="25"/>
      <c r="B2863" s="25"/>
      <c r="C2863" s="25"/>
      <c r="D2863" s="25"/>
      <c r="E2863" s="25"/>
      <c r="F2863" s="25"/>
      <c r="G2863" s="25"/>
      <c r="H2863" s="25"/>
      <c r="I2863" s="25"/>
      <c r="J2863" s="25"/>
    </row>
    <row r="2864" spans="1:10" ht="14.4">
      <c r="A2864" s="25"/>
      <c r="B2864" s="25"/>
      <c r="C2864" s="25"/>
      <c r="D2864" s="25"/>
      <c r="E2864" s="25"/>
      <c r="F2864" s="25"/>
      <c r="G2864" s="25"/>
      <c r="H2864" s="25"/>
      <c r="I2864" s="25"/>
      <c r="J2864" s="25"/>
    </row>
    <row r="2865" spans="1:10" ht="14.4">
      <c r="A2865" s="25"/>
      <c r="B2865" s="25"/>
      <c r="C2865" s="25"/>
      <c r="D2865" s="25"/>
      <c r="E2865" s="25"/>
      <c r="F2865" s="25"/>
      <c r="G2865" s="25"/>
      <c r="H2865" s="25"/>
      <c r="I2865" s="25"/>
      <c r="J2865" s="25"/>
    </row>
    <row r="2866" spans="1:10" ht="14.4">
      <c r="A2866" s="25"/>
      <c r="B2866" s="25"/>
      <c r="C2866" s="25"/>
      <c r="D2866" s="25"/>
      <c r="E2866" s="25"/>
      <c r="F2866" s="25"/>
      <c r="G2866" s="25"/>
      <c r="H2866" s="25"/>
      <c r="I2866" s="25"/>
      <c r="J2866" s="25"/>
    </row>
    <row r="2867" spans="1:10" ht="14.4">
      <c r="A2867" s="25"/>
      <c r="B2867" s="25"/>
      <c r="C2867" s="25"/>
      <c r="D2867" s="25"/>
      <c r="E2867" s="25"/>
      <c r="F2867" s="25"/>
      <c r="G2867" s="25"/>
      <c r="H2867" s="25"/>
      <c r="I2867" s="25"/>
      <c r="J2867" s="25"/>
    </row>
    <row r="2868" spans="1:10" ht="14.4">
      <c r="A2868" s="25"/>
      <c r="B2868" s="25"/>
      <c r="C2868" s="25"/>
      <c r="D2868" s="25"/>
      <c r="E2868" s="25"/>
      <c r="F2868" s="25"/>
      <c r="G2868" s="25"/>
      <c r="H2868" s="25"/>
      <c r="I2868" s="25"/>
      <c r="J2868" s="25"/>
    </row>
    <row r="2869" spans="1:10" ht="14.4">
      <c r="A2869" s="25"/>
      <c r="B2869" s="25"/>
      <c r="C2869" s="25"/>
      <c r="D2869" s="25"/>
      <c r="E2869" s="25"/>
      <c r="F2869" s="25"/>
      <c r="G2869" s="25"/>
      <c r="H2869" s="25"/>
      <c r="I2869" s="25"/>
      <c r="J2869" s="25"/>
    </row>
    <row r="2870" spans="1:10" ht="14.4">
      <c r="A2870" s="25"/>
      <c r="B2870" s="25"/>
      <c r="C2870" s="25"/>
      <c r="D2870" s="25"/>
      <c r="E2870" s="25"/>
      <c r="F2870" s="25"/>
      <c r="G2870" s="25"/>
      <c r="H2870" s="25"/>
      <c r="I2870" s="25"/>
      <c r="J2870" s="25"/>
    </row>
    <row r="2871" spans="1:10" ht="14.4">
      <c r="A2871" s="25"/>
      <c r="B2871" s="25"/>
      <c r="C2871" s="25"/>
      <c r="D2871" s="25"/>
      <c r="E2871" s="25"/>
      <c r="F2871" s="25"/>
      <c r="G2871" s="25"/>
      <c r="H2871" s="25"/>
      <c r="I2871" s="25"/>
      <c r="J2871" s="25"/>
    </row>
    <row r="2872" spans="1:10" ht="14.4">
      <c r="A2872" s="25"/>
      <c r="B2872" s="25"/>
      <c r="C2872" s="25"/>
      <c r="D2872" s="25"/>
      <c r="E2872" s="25"/>
      <c r="F2872" s="25"/>
      <c r="G2872" s="25"/>
      <c r="H2872" s="25"/>
      <c r="I2872" s="25"/>
      <c r="J2872" s="25"/>
    </row>
    <row r="2873" spans="1:10" ht="14.4">
      <c r="A2873" s="25"/>
      <c r="B2873" s="25"/>
      <c r="C2873" s="25"/>
      <c r="D2873" s="25"/>
      <c r="E2873" s="25"/>
      <c r="F2873" s="25"/>
      <c r="G2873" s="25"/>
      <c r="H2873" s="25"/>
      <c r="I2873" s="25"/>
      <c r="J2873" s="25"/>
    </row>
    <row r="2874" spans="1:10" ht="14.4">
      <c r="A2874" s="25"/>
      <c r="B2874" s="25"/>
      <c r="C2874" s="25"/>
      <c r="D2874" s="25"/>
      <c r="E2874" s="25"/>
      <c r="F2874" s="25"/>
      <c r="G2874" s="25"/>
      <c r="H2874" s="25"/>
      <c r="I2874" s="25"/>
      <c r="J2874" s="25"/>
    </row>
    <row r="2875" spans="1:10" ht="14.4">
      <c r="A2875" s="25"/>
      <c r="B2875" s="25"/>
      <c r="C2875" s="25"/>
      <c r="D2875" s="25"/>
      <c r="E2875" s="25"/>
      <c r="F2875" s="25"/>
      <c r="G2875" s="25"/>
      <c r="H2875" s="25"/>
      <c r="I2875" s="25"/>
      <c r="J2875" s="25"/>
    </row>
    <row r="2876" spans="1:10" ht="14.4">
      <c r="A2876" s="25"/>
      <c r="B2876" s="25"/>
      <c r="C2876" s="25"/>
      <c r="D2876" s="25"/>
      <c r="E2876" s="25"/>
      <c r="F2876" s="25"/>
      <c r="G2876" s="25"/>
      <c r="H2876" s="25"/>
      <c r="I2876" s="25"/>
      <c r="J2876" s="25"/>
    </row>
    <row r="2877" spans="1:10" ht="14.4">
      <c r="A2877" s="25"/>
      <c r="B2877" s="25"/>
      <c r="C2877" s="25"/>
      <c r="D2877" s="25"/>
      <c r="E2877" s="25"/>
      <c r="F2877" s="25"/>
      <c r="G2877" s="25"/>
      <c r="H2877" s="25"/>
      <c r="I2877" s="25"/>
      <c r="J2877" s="25"/>
    </row>
    <row r="2878" spans="1:10" ht="14.4">
      <c r="A2878" s="25"/>
      <c r="B2878" s="25"/>
      <c r="C2878" s="25"/>
      <c r="D2878" s="25"/>
      <c r="E2878" s="25"/>
      <c r="F2878" s="25"/>
      <c r="G2878" s="25"/>
      <c r="H2878" s="25"/>
      <c r="I2878" s="25"/>
      <c r="J2878" s="25"/>
    </row>
    <row r="2879" spans="1:10" ht="14.4">
      <c r="A2879" s="25"/>
      <c r="B2879" s="25"/>
      <c r="C2879" s="25"/>
      <c r="D2879" s="25"/>
      <c r="E2879" s="25"/>
      <c r="F2879" s="25"/>
      <c r="G2879" s="25"/>
      <c r="H2879" s="25"/>
      <c r="I2879" s="25"/>
      <c r="J2879" s="25"/>
    </row>
    <row r="2880" spans="1:10" ht="14.4">
      <c r="A2880" s="25"/>
      <c r="B2880" s="25"/>
      <c r="C2880" s="25"/>
      <c r="D2880" s="25"/>
      <c r="E2880" s="25"/>
      <c r="F2880" s="25"/>
      <c r="G2880" s="25"/>
      <c r="H2880" s="25"/>
      <c r="I2880" s="25"/>
      <c r="J2880" s="25"/>
    </row>
    <row r="2881" spans="1:10" ht="14.4">
      <c r="A2881" s="25"/>
      <c r="B2881" s="25"/>
      <c r="C2881" s="25"/>
      <c r="D2881" s="25"/>
      <c r="E2881" s="25"/>
      <c r="F2881" s="25"/>
      <c r="G2881" s="25"/>
      <c r="H2881" s="25"/>
      <c r="I2881" s="25"/>
      <c r="J2881" s="25"/>
    </row>
    <row r="2882" spans="1:10" ht="14.4">
      <c r="A2882" s="25"/>
      <c r="B2882" s="25"/>
      <c r="C2882" s="25"/>
      <c r="D2882" s="25"/>
      <c r="E2882" s="25"/>
      <c r="F2882" s="25"/>
      <c r="G2882" s="25"/>
      <c r="H2882" s="25"/>
      <c r="I2882" s="25"/>
      <c r="J2882" s="25"/>
    </row>
    <row r="2883" spans="1:10" ht="14.4">
      <c r="A2883" s="25"/>
      <c r="B2883" s="25"/>
      <c r="C2883" s="25"/>
      <c r="D2883" s="25"/>
      <c r="E2883" s="25"/>
      <c r="F2883" s="25"/>
      <c r="G2883" s="25"/>
      <c r="H2883" s="25"/>
      <c r="I2883" s="25"/>
      <c r="J2883" s="25"/>
    </row>
    <row r="2884" spans="1:10" ht="14.4">
      <c r="A2884" s="25"/>
      <c r="B2884" s="25"/>
      <c r="C2884" s="25"/>
      <c r="D2884" s="25"/>
      <c r="E2884" s="25"/>
      <c r="F2884" s="25"/>
      <c r="G2884" s="25"/>
      <c r="H2884" s="25"/>
      <c r="I2884" s="25"/>
      <c r="J2884" s="25"/>
    </row>
    <row r="2885" spans="1:10" ht="14.4">
      <c r="A2885" s="25"/>
      <c r="B2885" s="25"/>
      <c r="C2885" s="25"/>
      <c r="D2885" s="25"/>
      <c r="E2885" s="25"/>
      <c r="F2885" s="25"/>
      <c r="G2885" s="25"/>
      <c r="H2885" s="25"/>
      <c r="I2885" s="25"/>
      <c r="J2885" s="25"/>
    </row>
    <row r="2886" spans="1:10" ht="14.4">
      <c r="A2886" s="25"/>
      <c r="B2886" s="25"/>
      <c r="C2886" s="25"/>
      <c r="D2886" s="25"/>
      <c r="E2886" s="25"/>
      <c r="F2886" s="25"/>
      <c r="G2886" s="25"/>
      <c r="H2886" s="25"/>
      <c r="I2886" s="25"/>
      <c r="J2886" s="25"/>
    </row>
    <row r="2887" spans="1:10" ht="14.4">
      <c r="A2887" s="25"/>
      <c r="B2887" s="25"/>
      <c r="C2887" s="25"/>
      <c r="D2887" s="25"/>
      <c r="E2887" s="25"/>
      <c r="F2887" s="25"/>
      <c r="G2887" s="25"/>
      <c r="H2887" s="25"/>
      <c r="I2887" s="25"/>
      <c r="J2887" s="25"/>
    </row>
    <row r="2888" spans="1:10" ht="14.4">
      <c r="A2888" s="25"/>
      <c r="B2888" s="25"/>
      <c r="C2888" s="25"/>
      <c r="D2888" s="25"/>
      <c r="E2888" s="25"/>
      <c r="F2888" s="25"/>
      <c r="G2888" s="25"/>
      <c r="H2888" s="25"/>
      <c r="I2888" s="25"/>
      <c r="J2888" s="25"/>
    </row>
    <row r="2889" spans="1:10" ht="14.4">
      <c r="A2889" s="25"/>
      <c r="B2889" s="25"/>
      <c r="C2889" s="25"/>
      <c r="D2889" s="25"/>
      <c r="E2889" s="25"/>
      <c r="F2889" s="25"/>
      <c r="G2889" s="25"/>
      <c r="H2889" s="25"/>
      <c r="I2889" s="25"/>
      <c r="J2889" s="25"/>
    </row>
    <row r="2890" spans="1:10" ht="14.4">
      <c r="A2890" s="25"/>
      <c r="B2890" s="25"/>
      <c r="C2890" s="25"/>
      <c r="D2890" s="25"/>
      <c r="E2890" s="25"/>
      <c r="F2890" s="25"/>
      <c r="G2890" s="25"/>
      <c r="H2890" s="25"/>
      <c r="I2890" s="25"/>
      <c r="J2890" s="25"/>
    </row>
    <row r="2891" spans="1:10" ht="14.4">
      <c r="A2891" s="25"/>
      <c r="B2891" s="25"/>
      <c r="C2891" s="25"/>
      <c r="D2891" s="25"/>
      <c r="E2891" s="25"/>
      <c r="F2891" s="25"/>
      <c r="G2891" s="25"/>
      <c r="H2891" s="25"/>
      <c r="I2891" s="25"/>
      <c r="J2891" s="25"/>
    </row>
    <row r="2892" spans="1:10" ht="14.4">
      <c r="A2892" s="25"/>
      <c r="B2892" s="25"/>
      <c r="C2892" s="25"/>
      <c r="D2892" s="25"/>
      <c r="E2892" s="25"/>
      <c r="F2892" s="25"/>
      <c r="G2892" s="25"/>
      <c r="H2892" s="25"/>
      <c r="I2892" s="25"/>
      <c r="J2892" s="25"/>
    </row>
    <row r="2893" spans="1:10" ht="14.4">
      <c r="A2893" s="25"/>
      <c r="B2893" s="25"/>
      <c r="C2893" s="25"/>
      <c r="D2893" s="25"/>
      <c r="E2893" s="25"/>
      <c r="F2893" s="25"/>
      <c r="G2893" s="25"/>
      <c r="H2893" s="25"/>
      <c r="I2893" s="25"/>
      <c r="J2893" s="25"/>
    </row>
    <row r="2894" spans="1:10" ht="14.4">
      <c r="A2894" s="25"/>
      <c r="B2894" s="25"/>
      <c r="C2894" s="25"/>
      <c r="D2894" s="25"/>
      <c r="E2894" s="25"/>
      <c r="F2894" s="25"/>
      <c r="G2894" s="25"/>
      <c r="H2894" s="25"/>
      <c r="I2894" s="25"/>
      <c r="J2894" s="25"/>
    </row>
    <row r="2895" spans="1:10" ht="14.4">
      <c r="A2895" s="25"/>
      <c r="B2895" s="25"/>
      <c r="C2895" s="25"/>
      <c r="D2895" s="25"/>
      <c r="E2895" s="25"/>
      <c r="F2895" s="25"/>
      <c r="G2895" s="25"/>
      <c r="H2895" s="25"/>
      <c r="I2895" s="25"/>
      <c r="J2895" s="25"/>
    </row>
    <row r="2896" spans="1:10" ht="14.4">
      <c r="A2896" s="25"/>
      <c r="B2896" s="25"/>
      <c r="C2896" s="25"/>
      <c r="D2896" s="25"/>
      <c r="E2896" s="25"/>
      <c r="F2896" s="25"/>
      <c r="G2896" s="25"/>
      <c r="H2896" s="25"/>
      <c r="I2896" s="25"/>
      <c r="J2896" s="25"/>
    </row>
    <row r="2897" spans="1:10" ht="14.4">
      <c r="A2897" s="25"/>
      <c r="B2897" s="25"/>
      <c r="C2897" s="25"/>
      <c r="D2897" s="25"/>
      <c r="E2897" s="25"/>
      <c r="F2897" s="25"/>
      <c r="G2897" s="25"/>
      <c r="H2897" s="25"/>
      <c r="I2897" s="25"/>
      <c r="J2897" s="25"/>
    </row>
    <row r="2898" spans="1:10" ht="14.4">
      <c r="A2898" s="25"/>
      <c r="B2898" s="25"/>
      <c r="C2898" s="25"/>
      <c r="D2898" s="25"/>
      <c r="E2898" s="25"/>
      <c r="F2898" s="25"/>
      <c r="G2898" s="25"/>
      <c r="H2898" s="25"/>
      <c r="I2898" s="25"/>
      <c r="J2898" s="25"/>
    </row>
    <row r="2899" spans="1:10" ht="14.4">
      <c r="A2899" s="25"/>
      <c r="B2899" s="25"/>
      <c r="C2899" s="25"/>
      <c r="D2899" s="25"/>
      <c r="E2899" s="25"/>
      <c r="F2899" s="25"/>
      <c r="G2899" s="25"/>
      <c r="H2899" s="25"/>
      <c r="I2899" s="25"/>
      <c r="J2899" s="25"/>
    </row>
    <row r="2900" spans="1:10" ht="14.4">
      <c r="A2900" s="25"/>
      <c r="B2900" s="25"/>
      <c r="C2900" s="25"/>
      <c r="D2900" s="25"/>
      <c r="E2900" s="25"/>
      <c r="F2900" s="25"/>
      <c r="G2900" s="25"/>
      <c r="H2900" s="25"/>
      <c r="I2900" s="25"/>
      <c r="J2900" s="25"/>
    </row>
    <row r="2901" spans="1:10" ht="14.4">
      <c r="A2901" s="25"/>
      <c r="B2901" s="25"/>
      <c r="C2901" s="25"/>
      <c r="D2901" s="25"/>
      <c r="E2901" s="25"/>
      <c r="F2901" s="25"/>
      <c r="G2901" s="25"/>
      <c r="H2901" s="25"/>
      <c r="I2901" s="25"/>
      <c r="J2901" s="25"/>
    </row>
    <row r="2902" spans="1:10" ht="14.4">
      <c r="A2902" s="25"/>
      <c r="B2902" s="25"/>
      <c r="C2902" s="25"/>
      <c r="D2902" s="25"/>
      <c r="E2902" s="25"/>
      <c r="F2902" s="25"/>
      <c r="G2902" s="25"/>
      <c r="H2902" s="25"/>
      <c r="I2902" s="25"/>
      <c r="J2902" s="25"/>
    </row>
    <row r="2903" spans="1:10" ht="14.4">
      <c r="A2903" s="25"/>
      <c r="B2903" s="25"/>
      <c r="C2903" s="25"/>
      <c r="D2903" s="25"/>
      <c r="E2903" s="25"/>
      <c r="F2903" s="25"/>
      <c r="G2903" s="25"/>
      <c r="H2903" s="25"/>
      <c r="I2903" s="25"/>
      <c r="J2903" s="25"/>
    </row>
    <row r="2904" spans="1:10" ht="14.4">
      <c r="A2904" s="25"/>
      <c r="B2904" s="25"/>
      <c r="C2904" s="25"/>
      <c r="D2904" s="25"/>
      <c r="E2904" s="25"/>
      <c r="F2904" s="25"/>
      <c r="G2904" s="25"/>
      <c r="H2904" s="25"/>
      <c r="I2904" s="25"/>
      <c r="J2904" s="25"/>
    </row>
    <row r="2905" spans="1:10" ht="14.4">
      <c r="A2905" s="25"/>
      <c r="B2905" s="25"/>
      <c r="C2905" s="25"/>
      <c r="D2905" s="25"/>
      <c r="E2905" s="25"/>
      <c r="F2905" s="25"/>
      <c r="G2905" s="25"/>
      <c r="H2905" s="25"/>
      <c r="I2905" s="25"/>
      <c r="J2905" s="25"/>
    </row>
    <row r="2906" spans="1:10" ht="14.4">
      <c r="A2906" s="25"/>
      <c r="B2906" s="25"/>
      <c r="C2906" s="25"/>
      <c r="D2906" s="25"/>
      <c r="E2906" s="25"/>
      <c r="F2906" s="25"/>
      <c r="G2906" s="25"/>
      <c r="H2906" s="25"/>
      <c r="I2906" s="25"/>
      <c r="J2906" s="25"/>
    </row>
    <row r="2907" spans="1:10" ht="14.4">
      <c r="A2907" s="25"/>
      <c r="B2907" s="25"/>
      <c r="C2907" s="25"/>
      <c r="D2907" s="25"/>
      <c r="E2907" s="25"/>
      <c r="F2907" s="25"/>
      <c r="G2907" s="25"/>
      <c r="H2907" s="25"/>
      <c r="I2907" s="25"/>
      <c r="J2907" s="25"/>
    </row>
    <row r="2908" spans="1:10" ht="14.4">
      <c r="A2908" s="25"/>
      <c r="B2908" s="25"/>
      <c r="C2908" s="25"/>
      <c r="D2908" s="25"/>
      <c r="E2908" s="25"/>
      <c r="F2908" s="25"/>
      <c r="G2908" s="25"/>
      <c r="H2908" s="25"/>
      <c r="I2908" s="25"/>
      <c r="J2908" s="25"/>
    </row>
    <row r="2909" spans="1:10" ht="14.4">
      <c r="A2909" s="25"/>
      <c r="B2909" s="25"/>
      <c r="C2909" s="25"/>
      <c r="D2909" s="25"/>
      <c r="E2909" s="25"/>
      <c r="F2909" s="25"/>
      <c r="G2909" s="25"/>
      <c r="H2909" s="25"/>
      <c r="I2909" s="25"/>
      <c r="J2909" s="25"/>
    </row>
    <row r="2910" spans="1:10" ht="14.4">
      <c r="A2910" s="25"/>
      <c r="B2910" s="25"/>
      <c r="C2910" s="25"/>
      <c r="D2910" s="25"/>
      <c r="E2910" s="25"/>
      <c r="F2910" s="25"/>
      <c r="G2910" s="25"/>
      <c r="H2910" s="25"/>
      <c r="I2910" s="25"/>
      <c r="J2910" s="25"/>
    </row>
    <row r="2911" spans="1:10" ht="14.4">
      <c r="A2911" s="25"/>
      <c r="B2911" s="25"/>
      <c r="C2911" s="25"/>
      <c r="D2911" s="25"/>
      <c r="E2911" s="25"/>
      <c r="F2911" s="25"/>
      <c r="G2911" s="25"/>
      <c r="H2911" s="25"/>
      <c r="I2911" s="25"/>
      <c r="J2911" s="25"/>
    </row>
    <row r="2912" spans="1:10" ht="14.4">
      <c r="A2912" s="25"/>
      <c r="B2912" s="25"/>
      <c r="C2912" s="25"/>
      <c r="D2912" s="25"/>
      <c r="E2912" s="25"/>
      <c r="F2912" s="25"/>
      <c r="G2912" s="25"/>
      <c r="H2912" s="25"/>
      <c r="I2912" s="25"/>
      <c r="J2912" s="25"/>
    </row>
    <row r="2913" spans="1:10" ht="14.4">
      <c r="A2913" s="25"/>
      <c r="B2913" s="25"/>
      <c r="C2913" s="25"/>
      <c r="D2913" s="25"/>
      <c r="E2913" s="25"/>
      <c r="F2913" s="25"/>
      <c r="G2913" s="25"/>
      <c r="H2913" s="25"/>
      <c r="I2913" s="25"/>
      <c r="J2913" s="25"/>
    </row>
    <row r="2914" spans="1:10" ht="14.4">
      <c r="A2914" s="25"/>
      <c r="B2914" s="25"/>
      <c r="C2914" s="25"/>
      <c r="D2914" s="25"/>
      <c r="E2914" s="25"/>
      <c r="F2914" s="25"/>
      <c r="G2914" s="25"/>
      <c r="H2914" s="25"/>
      <c r="I2914" s="25"/>
      <c r="J2914" s="25"/>
    </row>
    <row r="2915" spans="1:10" ht="14.4">
      <c r="A2915" s="25"/>
      <c r="B2915" s="25"/>
      <c r="C2915" s="25"/>
      <c r="D2915" s="25"/>
      <c r="E2915" s="25"/>
      <c r="F2915" s="25"/>
      <c r="G2915" s="25"/>
      <c r="H2915" s="25"/>
      <c r="I2915" s="25"/>
      <c r="J2915" s="25"/>
    </row>
    <row r="2916" spans="1:10" ht="14.4">
      <c r="A2916" s="25"/>
      <c r="B2916" s="25"/>
      <c r="C2916" s="25"/>
      <c r="D2916" s="25"/>
      <c r="E2916" s="25"/>
      <c r="F2916" s="25"/>
      <c r="G2916" s="25"/>
      <c r="H2916" s="25"/>
      <c r="I2916" s="25"/>
      <c r="J2916" s="25"/>
    </row>
    <row r="2917" spans="1:10" ht="14.4">
      <c r="A2917" s="25"/>
      <c r="B2917" s="25"/>
      <c r="C2917" s="25"/>
      <c r="D2917" s="25"/>
      <c r="E2917" s="25"/>
      <c r="F2917" s="25"/>
      <c r="G2917" s="25"/>
      <c r="H2917" s="25"/>
      <c r="I2917" s="25"/>
      <c r="J2917" s="25"/>
    </row>
    <row r="2918" spans="1:10" ht="14.4">
      <c r="A2918" s="25"/>
      <c r="B2918" s="25"/>
      <c r="C2918" s="25"/>
      <c r="D2918" s="25"/>
      <c r="E2918" s="25"/>
      <c r="F2918" s="25"/>
      <c r="G2918" s="25"/>
      <c r="H2918" s="25"/>
      <c r="I2918" s="25"/>
      <c r="J2918" s="25"/>
    </row>
    <row r="2919" spans="1:10" ht="14.4">
      <c r="A2919" s="25"/>
      <c r="B2919" s="25"/>
      <c r="C2919" s="25"/>
      <c r="D2919" s="25"/>
      <c r="E2919" s="25"/>
      <c r="F2919" s="25"/>
      <c r="G2919" s="25"/>
      <c r="H2919" s="25"/>
      <c r="I2919" s="25"/>
      <c r="J2919" s="25"/>
    </row>
    <row r="2920" spans="1:10" ht="14.4">
      <c r="A2920" s="25"/>
      <c r="B2920" s="25"/>
      <c r="C2920" s="25"/>
      <c r="D2920" s="25"/>
      <c r="E2920" s="25"/>
      <c r="F2920" s="25"/>
      <c r="G2920" s="25"/>
      <c r="H2920" s="25"/>
      <c r="I2920" s="25"/>
      <c r="J2920" s="25"/>
    </row>
    <row r="2921" spans="1:10" ht="14.4">
      <c r="A2921" s="25"/>
      <c r="B2921" s="25"/>
      <c r="C2921" s="25"/>
      <c r="D2921" s="25"/>
      <c r="E2921" s="25"/>
      <c r="F2921" s="25"/>
      <c r="G2921" s="25"/>
      <c r="H2921" s="25"/>
      <c r="I2921" s="25"/>
      <c r="J2921" s="25"/>
    </row>
    <row r="2922" spans="1:10" ht="14.4">
      <c r="A2922" s="25"/>
      <c r="B2922" s="25"/>
      <c r="C2922" s="25"/>
      <c r="D2922" s="25"/>
      <c r="E2922" s="25"/>
      <c r="F2922" s="25"/>
      <c r="G2922" s="25"/>
      <c r="H2922" s="25"/>
      <c r="I2922" s="25"/>
      <c r="J2922" s="25"/>
    </row>
    <row r="2923" spans="1:10" ht="14.4">
      <c r="A2923" s="25"/>
      <c r="B2923" s="25"/>
      <c r="C2923" s="25"/>
      <c r="D2923" s="25"/>
      <c r="E2923" s="25"/>
      <c r="F2923" s="25"/>
      <c r="G2923" s="25"/>
      <c r="H2923" s="25"/>
      <c r="I2923" s="25"/>
      <c r="J2923" s="25"/>
    </row>
    <row r="2924" spans="1:10" ht="14.4">
      <c r="A2924" s="25"/>
      <c r="B2924" s="25"/>
      <c r="C2924" s="25"/>
      <c r="D2924" s="25"/>
      <c r="E2924" s="25"/>
      <c r="F2924" s="25"/>
      <c r="G2924" s="25"/>
      <c r="H2924" s="25"/>
      <c r="I2924" s="25"/>
      <c r="J2924" s="25"/>
    </row>
    <row r="2925" spans="1:10" ht="14.4">
      <c r="A2925" s="25"/>
      <c r="B2925" s="25"/>
      <c r="C2925" s="25"/>
      <c r="D2925" s="25"/>
      <c r="E2925" s="25"/>
      <c r="F2925" s="25"/>
      <c r="G2925" s="25"/>
      <c r="H2925" s="25"/>
      <c r="I2925" s="25"/>
      <c r="J2925" s="25"/>
    </row>
    <row r="2926" spans="1:10" ht="14.4">
      <c r="A2926" s="25"/>
      <c r="B2926" s="25"/>
      <c r="C2926" s="25"/>
      <c r="D2926" s="25"/>
      <c r="E2926" s="25"/>
      <c r="F2926" s="25"/>
      <c r="G2926" s="25"/>
      <c r="H2926" s="25"/>
      <c r="I2926" s="25"/>
      <c r="J2926" s="25"/>
    </row>
    <row r="2927" spans="1:10" ht="14.4">
      <c r="A2927" s="25"/>
      <c r="B2927" s="25"/>
      <c r="C2927" s="25"/>
      <c r="D2927" s="25"/>
      <c r="E2927" s="25"/>
      <c r="F2927" s="25"/>
      <c r="G2927" s="25"/>
      <c r="H2927" s="25"/>
      <c r="I2927" s="25"/>
      <c r="J2927" s="25"/>
    </row>
    <row r="2928" spans="1:10" ht="14.4">
      <c r="A2928" s="25"/>
      <c r="B2928" s="25"/>
      <c r="C2928" s="25"/>
      <c r="D2928" s="25"/>
      <c r="E2928" s="25"/>
      <c r="F2928" s="25"/>
      <c r="G2928" s="25"/>
      <c r="H2928" s="25"/>
      <c r="I2928" s="25"/>
      <c r="J2928" s="25"/>
    </row>
    <row r="2929" spans="1:10" ht="14.4">
      <c r="A2929" s="25"/>
      <c r="B2929" s="25"/>
      <c r="C2929" s="25"/>
      <c r="D2929" s="25"/>
      <c r="E2929" s="25"/>
      <c r="F2929" s="25"/>
      <c r="G2929" s="25"/>
      <c r="H2929" s="25"/>
      <c r="I2929" s="25"/>
      <c r="J2929" s="25"/>
    </row>
    <row r="2930" spans="1:10" ht="14.4">
      <c r="A2930" s="25"/>
      <c r="B2930" s="25"/>
      <c r="C2930" s="25"/>
      <c r="D2930" s="25"/>
      <c r="E2930" s="25"/>
      <c r="F2930" s="25"/>
      <c r="G2930" s="25"/>
      <c r="H2930" s="25"/>
      <c r="I2930" s="25"/>
      <c r="J2930" s="25"/>
    </row>
    <row r="2931" spans="1:10" ht="14.4">
      <c r="A2931" s="25"/>
      <c r="B2931" s="25"/>
      <c r="C2931" s="25"/>
      <c r="D2931" s="25"/>
      <c r="E2931" s="25"/>
      <c r="F2931" s="25"/>
      <c r="G2931" s="25"/>
      <c r="H2931" s="25"/>
      <c r="I2931" s="25"/>
      <c r="J2931" s="25"/>
    </row>
    <row r="2932" spans="1:10" ht="14.4">
      <c r="A2932" s="25"/>
      <c r="B2932" s="25"/>
      <c r="C2932" s="25"/>
      <c r="D2932" s="25"/>
      <c r="E2932" s="25"/>
      <c r="F2932" s="25"/>
      <c r="G2932" s="25"/>
      <c r="H2932" s="25"/>
      <c r="I2932" s="25"/>
      <c r="J2932" s="25"/>
    </row>
    <row r="2933" spans="1:10" ht="14.4">
      <c r="A2933" s="25"/>
      <c r="B2933" s="25"/>
      <c r="C2933" s="25"/>
      <c r="D2933" s="25"/>
      <c r="E2933" s="25"/>
      <c r="F2933" s="25"/>
      <c r="G2933" s="25"/>
      <c r="H2933" s="25"/>
      <c r="I2933" s="25"/>
      <c r="J2933" s="25"/>
    </row>
    <row r="2934" spans="1:10" ht="14.4">
      <c r="A2934" s="25"/>
      <c r="B2934" s="25"/>
      <c r="C2934" s="25"/>
      <c r="D2934" s="25"/>
      <c r="E2934" s="25"/>
      <c r="F2934" s="25"/>
      <c r="G2934" s="25"/>
      <c r="H2934" s="25"/>
      <c r="I2934" s="25"/>
      <c r="J2934" s="25"/>
    </row>
    <row r="2935" spans="1:10" ht="14.4">
      <c r="A2935" s="25"/>
      <c r="B2935" s="25"/>
      <c r="C2935" s="25"/>
      <c r="D2935" s="25"/>
      <c r="E2935" s="25"/>
      <c r="F2935" s="25"/>
      <c r="G2935" s="25"/>
      <c r="H2935" s="25"/>
      <c r="I2935" s="25"/>
      <c r="J2935" s="25"/>
    </row>
    <row r="2936" spans="1:10" ht="14.4">
      <c r="A2936" s="25"/>
      <c r="B2936" s="25"/>
      <c r="C2936" s="25"/>
      <c r="D2936" s="25"/>
      <c r="E2936" s="25"/>
      <c r="F2936" s="25"/>
      <c r="G2936" s="25"/>
      <c r="H2936" s="25"/>
      <c r="I2936" s="25"/>
      <c r="J2936" s="25"/>
    </row>
    <row r="2937" spans="1:10" ht="14.4">
      <c r="A2937" s="25"/>
      <c r="B2937" s="25"/>
      <c r="C2937" s="25"/>
      <c r="D2937" s="25"/>
      <c r="E2937" s="25"/>
      <c r="F2937" s="25"/>
      <c r="G2937" s="25"/>
      <c r="H2937" s="25"/>
      <c r="I2937" s="25"/>
      <c r="J2937" s="25"/>
    </row>
    <row r="2938" spans="1:10" ht="14.4">
      <c r="A2938" s="25"/>
      <c r="B2938" s="25"/>
      <c r="C2938" s="25"/>
      <c r="D2938" s="25"/>
      <c r="E2938" s="25"/>
      <c r="F2938" s="25"/>
      <c r="G2938" s="25"/>
      <c r="H2938" s="25"/>
      <c r="I2938" s="25"/>
      <c r="J2938" s="25"/>
    </row>
    <row r="2939" spans="1:10" ht="14.4">
      <c r="A2939" s="25"/>
      <c r="B2939" s="25"/>
      <c r="C2939" s="25"/>
      <c r="D2939" s="25"/>
      <c r="E2939" s="25"/>
      <c r="F2939" s="25"/>
      <c r="G2939" s="25"/>
      <c r="H2939" s="25"/>
      <c r="I2939" s="25"/>
      <c r="J2939" s="25"/>
    </row>
    <row r="2940" spans="1:10" ht="14.4">
      <c r="A2940" s="25"/>
      <c r="B2940" s="25"/>
      <c r="C2940" s="25"/>
      <c r="D2940" s="25"/>
      <c r="E2940" s="25"/>
      <c r="F2940" s="25"/>
      <c r="G2940" s="25"/>
      <c r="H2940" s="25"/>
      <c r="I2940" s="25"/>
      <c r="J2940" s="25"/>
    </row>
    <row r="2941" spans="1:10" ht="14.4">
      <c r="A2941" s="25"/>
      <c r="B2941" s="25"/>
      <c r="C2941" s="25"/>
      <c r="D2941" s="25"/>
      <c r="E2941" s="25"/>
      <c r="F2941" s="25"/>
      <c r="G2941" s="25"/>
      <c r="H2941" s="25"/>
      <c r="I2941" s="25"/>
      <c r="J2941" s="25"/>
    </row>
    <row r="2942" spans="1:10" ht="14.4">
      <c r="A2942" s="25"/>
      <c r="B2942" s="25"/>
      <c r="C2942" s="25"/>
      <c r="D2942" s="25"/>
      <c r="E2942" s="25"/>
      <c r="F2942" s="25"/>
      <c r="G2942" s="25"/>
      <c r="H2942" s="25"/>
      <c r="I2942" s="25"/>
      <c r="J2942" s="25"/>
    </row>
    <row r="2943" spans="1:10" ht="14.4">
      <c r="A2943" s="25"/>
      <c r="B2943" s="25"/>
      <c r="C2943" s="25"/>
      <c r="D2943" s="25"/>
      <c r="E2943" s="25"/>
      <c r="F2943" s="25"/>
      <c r="G2943" s="25"/>
      <c r="H2943" s="25"/>
      <c r="I2943" s="25"/>
      <c r="J2943" s="25"/>
    </row>
    <row r="2944" spans="1:10" ht="14.4">
      <c r="A2944" s="25"/>
      <c r="B2944" s="25"/>
      <c r="C2944" s="25"/>
      <c r="D2944" s="25"/>
      <c r="E2944" s="25"/>
      <c r="F2944" s="25"/>
      <c r="G2944" s="25"/>
      <c r="H2944" s="25"/>
      <c r="I2944" s="25"/>
      <c r="J2944" s="25"/>
    </row>
    <row r="2945" spans="1:10" ht="14.4">
      <c r="A2945" s="25"/>
      <c r="B2945" s="25"/>
      <c r="C2945" s="25"/>
      <c r="D2945" s="25"/>
      <c r="E2945" s="25"/>
      <c r="F2945" s="25"/>
      <c r="G2945" s="25"/>
      <c r="H2945" s="25"/>
      <c r="I2945" s="25"/>
      <c r="J2945" s="25"/>
    </row>
    <row r="2946" spans="1:10" ht="14.4">
      <c r="A2946" s="25"/>
      <c r="B2946" s="25"/>
      <c r="C2946" s="25"/>
      <c r="D2946" s="25"/>
      <c r="E2946" s="25"/>
      <c r="F2946" s="25"/>
      <c r="G2946" s="25"/>
      <c r="H2946" s="25"/>
      <c r="I2946" s="25"/>
      <c r="J2946" s="25"/>
    </row>
    <row r="2947" spans="1:10" ht="14.4">
      <c r="A2947" s="25"/>
      <c r="B2947" s="25"/>
      <c r="C2947" s="25"/>
      <c r="D2947" s="25"/>
      <c r="E2947" s="25"/>
      <c r="F2947" s="25"/>
      <c r="G2947" s="25"/>
      <c r="H2947" s="25"/>
      <c r="I2947" s="25"/>
      <c r="J2947" s="25"/>
    </row>
    <row r="2948" spans="1:10" ht="14.4">
      <c r="A2948" s="25"/>
      <c r="B2948" s="25"/>
      <c r="C2948" s="25"/>
      <c r="D2948" s="25"/>
      <c r="E2948" s="25"/>
      <c r="F2948" s="25"/>
      <c r="G2948" s="25"/>
      <c r="H2948" s="25"/>
      <c r="I2948" s="25"/>
      <c r="J2948" s="25"/>
    </row>
    <row r="2949" spans="1:10" ht="14.4">
      <c r="A2949" s="25"/>
      <c r="B2949" s="25"/>
      <c r="C2949" s="25"/>
      <c r="D2949" s="25"/>
      <c r="E2949" s="25"/>
      <c r="F2949" s="25"/>
      <c r="G2949" s="25"/>
      <c r="H2949" s="25"/>
      <c r="I2949" s="25"/>
      <c r="J2949" s="25"/>
    </row>
    <row r="2950" spans="1:10" ht="14.4">
      <c r="A2950" s="25"/>
      <c r="B2950" s="25"/>
      <c r="C2950" s="25"/>
      <c r="D2950" s="25"/>
      <c r="E2950" s="25"/>
      <c r="F2950" s="25"/>
      <c r="G2950" s="25"/>
      <c r="H2950" s="25"/>
      <c r="I2950" s="25"/>
      <c r="J2950" s="25"/>
    </row>
    <row r="2951" spans="1:10" ht="14.4">
      <c r="A2951" s="25"/>
      <c r="B2951" s="25"/>
      <c r="C2951" s="25"/>
      <c r="D2951" s="25"/>
      <c r="E2951" s="25"/>
      <c r="F2951" s="25"/>
      <c r="G2951" s="25"/>
      <c r="H2951" s="25"/>
      <c r="I2951" s="25"/>
      <c r="J2951" s="25"/>
    </row>
    <row r="2952" spans="1:10" ht="14.4">
      <c r="A2952" s="25"/>
      <c r="B2952" s="25"/>
      <c r="C2952" s="25"/>
      <c r="D2952" s="25"/>
      <c r="E2952" s="25"/>
      <c r="F2952" s="25"/>
      <c r="G2952" s="25"/>
      <c r="H2952" s="25"/>
      <c r="I2952" s="25"/>
      <c r="J2952" s="25"/>
    </row>
    <row r="2953" spans="1:10" ht="14.4">
      <c r="A2953" s="25"/>
      <c r="B2953" s="25"/>
      <c r="C2953" s="25"/>
      <c r="D2953" s="25"/>
      <c r="E2953" s="25"/>
      <c r="F2953" s="25"/>
      <c r="G2953" s="25"/>
      <c r="H2953" s="25"/>
      <c r="I2953" s="25"/>
      <c r="J2953" s="25"/>
    </row>
    <row r="2954" spans="1:10" ht="14.4">
      <c r="A2954" s="25"/>
      <c r="B2954" s="25"/>
      <c r="C2954" s="25"/>
      <c r="D2954" s="25"/>
      <c r="E2954" s="25"/>
      <c r="F2954" s="25"/>
      <c r="G2954" s="25"/>
      <c r="H2954" s="25"/>
      <c r="I2954" s="25"/>
      <c r="J2954" s="25"/>
    </row>
    <row r="2955" spans="1:10" ht="14.4">
      <c r="A2955" s="25"/>
      <c r="B2955" s="25"/>
      <c r="C2955" s="25"/>
      <c r="D2955" s="25"/>
      <c r="E2955" s="25"/>
      <c r="F2955" s="25"/>
      <c r="G2955" s="25"/>
      <c r="H2955" s="25"/>
      <c r="I2955" s="25"/>
      <c r="J2955" s="25"/>
    </row>
    <row r="2956" spans="1:10" ht="14.4">
      <c r="A2956" s="25"/>
      <c r="B2956" s="25"/>
      <c r="C2956" s="25"/>
      <c r="D2956" s="25"/>
      <c r="E2956" s="25"/>
      <c r="F2956" s="25"/>
      <c r="G2956" s="25"/>
      <c r="H2956" s="25"/>
      <c r="I2956" s="25"/>
      <c r="J2956" s="25"/>
    </row>
    <row r="2957" spans="1:10" ht="14.4">
      <c r="A2957" s="25"/>
      <c r="B2957" s="25"/>
      <c r="C2957" s="25"/>
      <c r="D2957" s="25"/>
      <c r="E2957" s="25"/>
      <c r="F2957" s="25"/>
      <c r="G2957" s="25"/>
      <c r="H2957" s="25"/>
      <c r="I2957" s="25"/>
      <c r="J2957" s="25"/>
    </row>
    <row r="2958" spans="1:10" ht="14.4">
      <c r="A2958" s="25"/>
      <c r="B2958" s="25"/>
      <c r="C2958" s="25"/>
      <c r="D2958" s="25"/>
      <c r="E2958" s="25"/>
      <c r="F2958" s="25"/>
      <c r="G2958" s="25"/>
      <c r="H2958" s="25"/>
      <c r="I2958" s="25"/>
      <c r="J2958" s="25"/>
    </row>
    <row r="2959" spans="1:10" ht="14.4">
      <c r="A2959" s="25"/>
      <c r="B2959" s="25"/>
      <c r="C2959" s="25"/>
      <c r="D2959" s="25"/>
      <c r="E2959" s="25"/>
      <c r="F2959" s="25"/>
      <c r="G2959" s="25"/>
      <c r="H2959" s="25"/>
      <c r="I2959" s="25"/>
      <c r="J2959" s="25"/>
    </row>
    <row r="2960" spans="1:10" ht="14.4">
      <c r="A2960" s="25"/>
      <c r="B2960" s="25"/>
      <c r="C2960" s="25"/>
      <c r="D2960" s="25"/>
      <c r="E2960" s="25"/>
      <c r="F2960" s="25"/>
      <c r="G2960" s="25"/>
      <c r="H2960" s="25"/>
      <c r="I2960" s="25"/>
      <c r="J2960" s="25"/>
    </row>
    <row r="2961" spans="1:10" ht="14.4">
      <c r="A2961" s="25"/>
      <c r="B2961" s="25"/>
      <c r="C2961" s="25"/>
      <c r="D2961" s="25"/>
      <c r="E2961" s="25"/>
      <c r="F2961" s="25"/>
      <c r="G2961" s="25"/>
      <c r="H2961" s="25"/>
      <c r="I2961" s="25"/>
      <c r="J2961" s="25"/>
    </row>
    <row r="2962" spans="1:10" ht="14.4">
      <c r="A2962" s="25"/>
      <c r="B2962" s="25"/>
      <c r="C2962" s="25"/>
      <c r="D2962" s="25"/>
      <c r="E2962" s="25"/>
      <c r="F2962" s="25"/>
      <c r="G2962" s="25"/>
      <c r="H2962" s="25"/>
      <c r="I2962" s="25"/>
      <c r="J2962" s="25"/>
    </row>
    <row r="2963" spans="1:10" ht="14.4">
      <c r="A2963" s="25"/>
      <c r="B2963" s="25"/>
      <c r="C2963" s="25"/>
      <c r="D2963" s="25"/>
      <c r="E2963" s="25"/>
      <c r="F2963" s="25"/>
      <c r="G2963" s="25"/>
      <c r="H2963" s="25"/>
      <c r="I2963" s="25"/>
      <c r="J2963" s="25"/>
    </row>
    <row r="2964" spans="1:10" ht="14.4">
      <c r="A2964" s="25"/>
      <c r="B2964" s="25"/>
      <c r="C2964" s="25"/>
      <c r="D2964" s="25"/>
      <c r="E2964" s="25"/>
      <c r="F2964" s="25"/>
      <c r="G2964" s="25"/>
      <c r="H2964" s="25"/>
      <c r="I2964" s="25"/>
      <c r="J2964" s="25"/>
    </row>
    <row r="2965" spans="1:10" ht="14.4">
      <c r="A2965" s="25"/>
      <c r="B2965" s="25"/>
      <c r="C2965" s="25"/>
      <c r="D2965" s="25"/>
      <c r="E2965" s="25"/>
      <c r="F2965" s="25"/>
      <c r="G2965" s="25"/>
      <c r="H2965" s="25"/>
      <c r="I2965" s="25"/>
      <c r="J2965" s="25"/>
    </row>
    <row r="2966" spans="1:10" ht="14.4">
      <c r="A2966" s="25"/>
      <c r="B2966" s="25"/>
      <c r="C2966" s="25"/>
      <c r="D2966" s="25"/>
      <c r="E2966" s="25"/>
      <c r="F2966" s="25"/>
      <c r="G2966" s="25"/>
      <c r="H2966" s="25"/>
      <c r="I2966" s="25"/>
      <c r="J2966" s="25"/>
    </row>
    <row r="2967" spans="1:10" ht="14.4">
      <c r="A2967" s="25"/>
      <c r="B2967" s="25"/>
      <c r="C2967" s="25"/>
      <c r="D2967" s="25"/>
      <c r="E2967" s="25"/>
      <c r="F2967" s="25"/>
      <c r="G2967" s="25"/>
      <c r="H2967" s="25"/>
      <c r="I2967" s="25"/>
      <c r="J2967" s="25"/>
    </row>
    <row r="2968" spans="1:10" ht="14.4">
      <c r="A2968" s="25"/>
      <c r="B2968" s="25"/>
      <c r="C2968" s="25"/>
      <c r="D2968" s="25"/>
      <c r="E2968" s="25"/>
      <c r="F2968" s="25"/>
      <c r="G2968" s="25"/>
      <c r="H2968" s="25"/>
      <c r="I2968" s="25"/>
      <c r="J2968" s="25"/>
    </row>
    <row r="2969" spans="1:10" ht="14.4">
      <c r="A2969" s="25"/>
      <c r="B2969" s="25"/>
      <c r="C2969" s="25"/>
      <c r="D2969" s="25"/>
      <c r="E2969" s="25"/>
      <c r="F2969" s="25"/>
      <c r="G2969" s="25"/>
      <c r="H2969" s="25"/>
      <c r="I2969" s="25"/>
      <c r="J2969" s="25"/>
    </row>
    <row r="2970" spans="1:10" ht="14.4">
      <c r="A2970" s="25"/>
      <c r="B2970" s="25"/>
      <c r="C2970" s="25"/>
      <c r="D2970" s="25"/>
      <c r="E2970" s="25"/>
      <c r="F2970" s="25"/>
      <c r="G2970" s="25"/>
      <c r="H2970" s="25"/>
      <c r="I2970" s="25"/>
      <c r="J2970" s="25"/>
    </row>
    <row r="2971" spans="1:10" ht="14.4">
      <c r="A2971" s="25"/>
      <c r="B2971" s="25"/>
      <c r="C2971" s="25"/>
      <c r="D2971" s="25"/>
      <c r="E2971" s="25"/>
      <c r="F2971" s="25"/>
      <c r="G2971" s="25"/>
      <c r="H2971" s="25"/>
      <c r="I2971" s="25"/>
      <c r="J2971" s="25"/>
    </row>
    <row r="2972" spans="1:10" ht="14.4">
      <c r="A2972" s="25"/>
      <c r="B2972" s="25"/>
      <c r="C2972" s="25"/>
      <c r="D2972" s="25"/>
      <c r="E2972" s="25"/>
      <c r="F2972" s="25"/>
      <c r="G2972" s="25"/>
      <c r="H2972" s="25"/>
      <c r="I2972" s="25"/>
      <c r="J2972" s="25"/>
    </row>
    <row r="2973" spans="1:10" ht="14.4">
      <c r="A2973" s="25"/>
      <c r="B2973" s="25"/>
      <c r="C2973" s="25"/>
      <c r="D2973" s="25"/>
      <c r="E2973" s="25"/>
      <c r="F2973" s="25"/>
      <c r="G2973" s="25"/>
      <c r="H2973" s="25"/>
      <c r="I2973" s="25"/>
      <c r="J2973" s="25"/>
    </row>
    <row r="2974" spans="1:10" ht="14.4">
      <c r="A2974" s="25"/>
      <c r="B2974" s="25"/>
      <c r="C2974" s="25"/>
      <c r="D2974" s="25"/>
      <c r="E2974" s="25"/>
      <c r="F2974" s="25"/>
      <c r="G2974" s="25"/>
      <c r="H2974" s="25"/>
      <c r="I2974" s="25"/>
      <c r="J2974" s="25"/>
    </row>
    <row r="2975" spans="1:10" ht="14.4">
      <c r="A2975" s="25"/>
      <c r="B2975" s="25"/>
      <c r="C2975" s="25"/>
      <c r="D2975" s="25"/>
      <c r="E2975" s="25"/>
      <c r="F2975" s="25"/>
      <c r="G2975" s="25"/>
      <c r="H2975" s="25"/>
      <c r="I2975" s="25"/>
      <c r="J2975" s="25"/>
    </row>
    <row r="2976" spans="1:10" ht="14.4">
      <c r="A2976" s="25"/>
      <c r="B2976" s="25"/>
      <c r="C2976" s="25"/>
      <c r="D2976" s="25"/>
      <c r="E2976" s="25"/>
      <c r="F2976" s="25"/>
      <c r="G2976" s="25"/>
      <c r="H2976" s="25"/>
      <c r="I2976" s="25"/>
      <c r="J2976" s="25"/>
    </row>
    <row r="2977" spans="1:10" ht="14.4">
      <c r="A2977" s="25"/>
      <c r="B2977" s="25"/>
      <c r="C2977" s="25"/>
      <c r="D2977" s="25"/>
      <c r="E2977" s="25"/>
      <c r="F2977" s="25"/>
      <c r="G2977" s="25"/>
      <c r="H2977" s="25"/>
      <c r="I2977" s="25"/>
      <c r="J2977" s="25"/>
    </row>
    <row r="2978" spans="1:10" ht="14.4">
      <c r="A2978" s="25"/>
      <c r="B2978" s="25"/>
      <c r="C2978" s="25"/>
      <c r="D2978" s="25"/>
      <c r="E2978" s="25"/>
      <c r="F2978" s="25"/>
      <c r="G2978" s="25"/>
      <c r="H2978" s="25"/>
      <c r="I2978" s="25"/>
      <c r="J2978" s="25"/>
    </row>
    <row r="2979" spans="1:10" ht="14.4">
      <c r="A2979" s="25"/>
      <c r="B2979" s="25"/>
      <c r="C2979" s="25"/>
      <c r="D2979" s="25"/>
      <c r="E2979" s="25"/>
      <c r="F2979" s="25"/>
      <c r="G2979" s="25"/>
      <c r="H2979" s="25"/>
      <c r="I2979" s="25"/>
      <c r="J2979" s="25"/>
    </row>
    <row r="2980" spans="1:10" ht="14.4">
      <c r="A2980" s="25"/>
      <c r="B2980" s="25"/>
      <c r="C2980" s="25"/>
      <c r="D2980" s="25"/>
      <c r="E2980" s="25"/>
      <c r="F2980" s="25"/>
      <c r="G2980" s="25"/>
      <c r="H2980" s="25"/>
      <c r="I2980" s="25"/>
      <c r="J2980" s="25"/>
    </row>
    <row r="2981" spans="1:10" ht="14.4">
      <c r="A2981" s="25"/>
      <c r="B2981" s="25"/>
      <c r="C2981" s="25"/>
      <c r="D2981" s="25"/>
      <c r="E2981" s="25"/>
      <c r="F2981" s="25"/>
      <c r="G2981" s="25"/>
      <c r="H2981" s="25"/>
      <c r="I2981" s="25"/>
      <c r="J2981" s="25"/>
    </row>
    <row r="2982" spans="1:10" ht="14.4">
      <c r="A2982" s="25"/>
      <c r="B2982" s="25"/>
      <c r="C2982" s="25"/>
      <c r="D2982" s="25"/>
      <c r="E2982" s="25"/>
      <c r="F2982" s="25"/>
      <c r="G2982" s="25"/>
      <c r="H2982" s="25"/>
      <c r="I2982" s="25"/>
      <c r="J2982" s="25"/>
    </row>
    <row r="2983" spans="1:10" ht="14.4">
      <c r="A2983" s="25"/>
      <c r="B2983" s="25"/>
      <c r="C2983" s="25"/>
      <c r="D2983" s="25"/>
      <c r="E2983" s="25"/>
      <c r="F2983" s="25"/>
      <c r="G2983" s="25"/>
      <c r="H2983" s="25"/>
      <c r="I2983" s="25"/>
      <c r="J2983" s="25"/>
    </row>
    <row r="2984" spans="1:10" ht="14.4">
      <c r="A2984" s="25"/>
      <c r="B2984" s="25"/>
      <c r="C2984" s="25"/>
      <c r="D2984" s="25"/>
      <c r="E2984" s="25"/>
      <c r="F2984" s="25"/>
      <c r="G2984" s="25"/>
      <c r="H2984" s="25"/>
      <c r="I2984" s="25"/>
      <c r="J2984" s="25"/>
    </row>
    <row r="2985" spans="1:10" ht="14.4">
      <c r="A2985" s="25"/>
      <c r="B2985" s="25"/>
      <c r="C2985" s="25"/>
      <c r="D2985" s="25"/>
      <c r="E2985" s="25"/>
      <c r="F2985" s="25"/>
      <c r="G2985" s="25"/>
      <c r="H2985" s="25"/>
      <c r="I2985" s="25"/>
      <c r="J2985" s="25"/>
    </row>
    <row r="2986" spans="1:10" ht="14.4">
      <c r="A2986" s="25"/>
      <c r="B2986" s="25"/>
      <c r="C2986" s="25"/>
      <c r="D2986" s="25"/>
      <c r="E2986" s="25"/>
      <c r="F2986" s="25"/>
      <c r="G2986" s="25"/>
      <c r="H2986" s="25"/>
      <c r="I2986" s="25"/>
      <c r="J2986" s="25"/>
    </row>
    <row r="2987" spans="1:10" ht="14.4">
      <c r="A2987" s="25"/>
      <c r="B2987" s="25"/>
      <c r="C2987" s="25"/>
      <c r="D2987" s="25"/>
      <c r="E2987" s="25"/>
      <c r="F2987" s="25"/>
      <c r="G2987" s="25"/>
      <c r="H2987" s="25"/>
      <c r="I2987" s="25"/>
      <c r="J2987" s="25"/>
    </row>
    <row r="2988" spans="1:10" ht="14.4">
      <c r="A2988" s="25"/>
      <c r="B2988" s="25"/>
      <c r="C2988" s="25"/>
      <c r="D2988" s="25"/>
      <c r="E2988" s="25"/>
      <c r="F2988" s="25"/>
      <c r="G2988" s="25"/>
      <c r="H2988" s="25"/>
      <c r="I2988" s="25"/>
      <c r="J2988" s="25"/>
    </row>
    <row r="2989" spans="1:10" ht="14.4">
      <c r="A2989" s="25"/>
      <c r="B2989" s="25"/>
      <c r="C2989" s="25"/>
      <c r="D2989" s="25"/>
      <c r="E2989" s="25"/>
      <c r="F2989" s="25"/>
      <c r="G2989" s="25"/>
      <c r="H2989" s="25"/>
      <c r="I2989" s="25"/>
      <c r="J2989" s="25"/>
    </row>
    <row r="2990" spans="1:10" ht="14.4">
      <c r="A2990" s="25"/>
      <c r="B2990" s="25"/>
      <c r="C2990" s="25"/>
      <c r="D2990" s="25"/>
      <c r="E2990" s="25"/>
      <c r="F2990" s="25"/>
      <c r="G2990" s="25"/>
      <c r="H2990" s="25"/>
      <c r="I2990" s="25"/>
      <c r="J2990" s="25"/>
    </row>
    <row r="2991" spans="1:10" ht="14.4">
      <c r="A2991" s="25"/>
      <c r="B2991" s="25"/>
      <c r="C2991" s="25"/>
      <c r="D2991" s="25"/>
      <c r="E2991" s="25"/>
      <c r="F2991" s="25"/>
      <c r="G2991" s="25"/>
      <c r="H2991" s="25"/>
      <c r="I2991" s="25"/>
      <c r="J2991" s="25"/>
    </row>
    <row r="2992" spans="1:10" ht="14.4">
      <c r="A2992" s="25"/>
      <c r="B2992" s="25"/>
      <c r="C2992" s="25"/>
      <c r="D2992" s="25"/>
      <c r="E2992" s="25"/>
      <c r="F2992" s="25"/>
      <c r="G2992" s="25"/>
      <c r="H2992" s="25"/>
      <c r="I2992" s="25"/>
      <c r="J2992" s="25"/>
    </row>
    <row r="2993" spans="1:10" ht="14.4">
      <c r="A2993" s="25"/>
      <c r="B2993" s="25"/>
      <c r="C2993" s="25"/>
      <c r="D2993" s="25"/>
      <c r="E2993" s="25"/>
      <c r="F2993" s="25"/>
      <c r="G2993" s="25"/>
      <c r="H2993" s="25"/>
      <c r="I2993" s="25"/>
      <c r="J2993" s="25"/>
    </row>
    <row r="2994" spans="1:10" ht="14.4">
      <c r="A2994" s="25"/>
      <c r="B2994" s="25"/>
      <c r="C2994" s="25"/>
      <c r="D2994" s="25"/>
      <c r="E2994" s="25"/>
      <c r="F2994" s="25"/>
      <c r="G2994" s="25"/>
      <c r="H2994" s="25"/>
      <c r="I2994" s="25"/>
      <c r="J2994" s="25"/>
    </row>
    <row r="2995" spans="1:10" ht="14.4">
      <c r="A2995" s="25"/>
      <c r="B2995" s="25"/>
      <c r="C2995" s="25"/>
      <c r="D2995" s="25"/>
      <c r="E2995" s="25"/>
      <c r="F2995" s="25"/>
      <c r="G2995" s="25"/>
      <c r="H2995" s="25"/>
      <c r="I2995" s="25"/>
      <c r="J2995" s="25"/>
    </row>
    <row r="2996" spans="1:10" ht="14.4">
      <c r="A2996" s="25"/>
      <c r="B2996" s="25"/>
      <c r="C2996" s="25"/>
      <c r="D2996" s="25"/>
      <c r="E2996" s="25"/>
      <c r="F2996" s="25"/>
      <c r="G2996" s="25"/>
      <c r="H2996" s="25"/>
      <c r="I2996" s="25"/>
      <c r="J2996" s="25"/>
    </row>
    <row r="2997" spans="1:10" ht="14.4">
      <c r="A2997" s="25"/>
      <c r="B2997" s="25"/>
      <c r="C2997" s="25"/>
      <c r="D2997" s="25"/>
      <c r="E2997" s="25"/>
      <c r="F2997" s="25"/>
      <c r="G2997" s="25"/>
      <c r="H2997" s="25"/>
      <c r="I2997" s="25"/>
      <c r="J2997" s="25"/>
    </row>
    <row r="2998" spans="1:10" ht="14.4">
      <c r="A2998" s="25"/>
      <c r="B2998" s="25"/>
      <c r="C2998" s="25"/>
      <c r="D2998" s="25"/>
      <c r="E2998" s="25"/>
      <c r="F2998" s="25"/>
      <c r="G2998" s="25"/>
      <c r="H2998" s="25"/>
      <c r="I2998" s="25"/>
      <c r="J2998" s="25"/>
    </row>
    <row r="2999" spans="1:10" ht="14.4">
      <c r="A2999" s="25"/>
      <c r="B2999" s="25"/>
      <c r="C2999" s="25"/>
      <c r="D2999" s="25"/>
      <c r="E2999" s="25"/>
      <c r="F2999" s="25"/>
      <c r="G2999" s="25"/>
      <c r="H2999" s="25"/>
      <c r="I2999" s="25"/>
      <c r="J2999" s="25"/>
    </row>
    <row r="3000" spans="1:10" ht="14.4">
      <c r="A3000" s="25"/>
      <c r="B3000" s="25"/>
      <c r="C3000" s="25"/>
      <c r="D3000" s="25"/>
      <c r="E3000" s="25"/>
      <c r="F3000" s="25"/>
      <c r="G3000" s="25"/>
      <c r="H3000" s="25"/>
      <c r="I3000" s="25"/>
      <c r="J3000" s="25"/>
    </row>
    <row r="3001" spans="1:10" ht="14.4">
      <c r="A3001" s="25"/>
      <c r="B3001" s="25"/>
      <c r="C3001" s="25"/>
      <c r="D3001" s="25"/>
      <c r="E3001" s="25"/>
      <c r="F3001" s="25"/>
      <c r="G3001" s="25"/>
      <c r="H3001" s="25"/>
      <c r="I3001" s="25"/>
      <c r="J3001" s="25"/>
    </row>
    <row r="3002" spans="1:10" ht="14.4">
      <c r="A3002" s="25"/>
      <c r="B3002" s="25"/>
      <c r="C3002" s="25"/>
      <c r="D3002" s="25"/>
      <c r="E3002" s="25"/>
      <c r="F3002" s="25"/>
      <c r="G3002" s="25"/>
      <c r="H3002" s="25"/>
      <c r="I3002" s="25"/>
      <c r="J3002" s="25"/>
    </row>
    <row r="3003" spans="1:10" ht="14.4">
      <c r="A3003" s="25"/>
      <c r="B3003" s="25"/>
      <c r="C3003" s="25"/>
      <c r="D3003" s="25"/>
      <c r="E3003" s="25"/>
      <c r="F3003" s="25"/>
      <c r="G3003" s="25"/>
      <c r="H3003" s="25"/>
      <c r="I3003" s="25"/>
      <c r="J3003" s="25"/>
    </row>
    <row r="3004" spans="1:10" ht="14.4">
      <c r="A3004" s="25"/>
      <c r="B3004" s="25"/>
      <c r="C3004" s="25"/>
      <c r="D3004" s="25"/>
      <c r="E3004" s="25"/>
      <c r="F3004" s="25"/>
      <c r="G3004" s="25"/>
      <c r="H3004" s="25"/>
      <c r="I3004" s="25"/>
      <c r="J3004" s="25"/>
    </row>
    <row r="3005" spans="1:10" ht="14.4">
      <c r="A3005" s="25"/>
      <c r="B3005" s="25"/>
      <c r="C3005" s="25"/>
      <c r="D3005" s="25"/>
      <c r="E3005" s="25"/>
      <c r="F3005" s="25"/>
      <c r="G3005" s="25"/>
      <c r="H3005" s="25"/>
      <c r="I3005" s="25"/>
      <c r="J3005" s="25"/>
    </row>
    <row r="3006" spans="1:10" ht="14.4">
      <c r="A3006" s="25"/>
      <c r="B3006" s="25"/>
      <c r="C3006" s="25"/>
      <c r="D3006" s="25"/>
      <c r="E3006" s="25"/>
      <c r="F3006" s="25"/>
      <c r="G3006" s="25"/>
      <c r="H3006" s="25"/>
      <c r="I3006" s="25"/>
      <c r="J3006" s="25"/>
    </row>
    <row r="3007" spans="1:10" ht="14.4">
      <c r="A3007" s="25"/>
      <c r="B3007" s="25"/>
      <c r="C3007" s="25"/>
      <c r="D3007" s="25"/>
      <c r="E3007" s="25"/>
      <c r="F3007" s="25"/>
      <c r="G3007" s="25"/>
      <c r="H3007" s="25"/>
      <c r="I3007" s="25"/>
      <c r="J3007" s="25"/>
    </row>
    <row r="3008" spans="1:10" ht="14.4">
      <c r="A3008" s="25"/>
      <c r="B3008" s="25"/>
      <c r="C3008" s="25"/>
      <c r="D3008" s="25"/>
      <c r="E3008" s="25"/>
      <c r="F3008" s="25"/>
      <c r="G3008" s="25"/>
      <c r="H3008" s="25"/>
      <c r="I3008" s="25"/>
      <c r="J3008" s="25"/>
    </row>
    <row r="3009" spans="1:10" ht="14.4">
      <c r="A3009" s="25"/>
      <c r="B3009" s="25"/>
      <c r="C3009" s="25"/>
      <c r="D3009" s="25"/>
      <c r="E3009" s="25"/>
      <c r="F3009" s="25"/>
      <c r="G3009" s="25"/>
      <c r="H3009" s="25"/>
      <c r="I3009" s="25"/>
      <c r="J3009" s="25"/>
    </row>
    <row r="3010" spans="1:10" ht="14.4">
      <c r="A3010" s="25"/>
      <c r="B3010" s="25"/>
      <c r="C3010" s="25"/>
      <c r="D3010" s="25"/>
      <c r="E3010" s="25"/>
      <c r="F3010" s="25"/>
      <c r="G3010" s="25"/>
      <c r="H3010" s="25"/>
      <c r="I3010" s="25"/>
      <c r="J3010" s="25"/>
    </row>
    <row r="3011" spans="1:10" ht="14.4">
      <c r="A3011" s="25"/>
      <c r="B3011" s="25"/>
      <c r="C3011" s="25"/>
      <c r="D3011" s="25"/>
      <c r="E3011" s="25"/>
      <c r="F3011" s="25"/>
      <c r="G3011" s="25"/>
      <c r="H3011" s="25"/>
      <c r="I3011" s="25"/>
      <c r="J3011" s="25"/>
    </row>
    <row r="3012" spans="1:10" ht="14.4">
      <c r="A3012" s="25"/>
      <c r="B3012" s="25"/>
      <c r="C3012" s="25"/>
      <c r="D3012" s="25"/>
      <c r="E3012" s="25"/>
      <c r="F3012" s="25"/>
      <c r="G3012" s="25"/>
      <c r="H3012" s="25"/>
      <c r="I3012" s="25"/>
      <c r="J3012" s="25"/>
    </row>
    <row r="3013" spans="1:10" ht="14.4">
      <c r="A3013" s="25"/>
      <c r="B3013" s="25"/>
      <c r="C3013" s="25"/>
      <c r="D3013" s="25"/>
      <c r="E3013" s="25"/>
      <c r="F3013" s="25"/>
      <c r="G3013" s="25"/>
      <c r="H3013" s="25"/>
      <c r="I3013" s="25"/>
      <c r="J3013" s="25"/>
    </row>
    <row r="3014" spans="1:10" ht="14.4">
      <c r="A3014" s="25"/>
      <c r="B3014" s="25"/>
      <c r="C3014" s="25"/>
      <c r="D3014" s="25"/>
      <c r="E3014" s="25"/>
      <c r="F3014" s="25"/>
      <c r="G3014" s="25"/>
      <c r="H3014" s="25"/>
      <c r="I3014" s="25"/>
      <c r="J3014" s="25"/>
    </row>
    <row r="3015" spans="1:10" ht="14.4">
      <c r="A3015" s="25"/>
      <c r="B3015" s="25"/>
      <c r="C3015" s="25"/>
      <c r="D3015" s="25"/>
      <c r="E3015" s="25"/>
      <c r="F3015" s="25"/>
      <c r="G3015" s="25"/>
      <c r="H3015" s="25"/>
      <c r="I3015" s="25"/>
      <c r="J3015" s="25"/>
    </row>
    <row r="3016" spans="1:10" ht="14.4">
      <c r="A3016" s="25"/>
      <c r="B3016" s="25"/>
      <c r="C3016" s="25"/>
      <c r="D3016" s="25"/>
      <c r="E3016" s="25"/>
      <c r="F3016" s="25"/>
      <c r="G3016" s="25"/>
      <c r="H3016" s="25"/>
      <c r="I3016" s="25"/>
      <c r="J3016" s="25"/>
    </row>
    <row r="3017" spans="1:10" ht="14.4">
      <c r="A3017" s="25"/>
      <c r="B3017" s="25"/>
      <c r="C3017" s="25"/>
      <c r="D3017" s="25"/>
      <c r="E3017" s="25"/>
      <c r="F3017" s="25"/>
      <c r="G3017" s="25"/>
      <c r="H3017" s="25"/>
      <c r="I3017" s="25"/>
      <c r="J3017" s="25"/>
    </row>
    <row r="3018" spans="1:10" ht="14.4">
      <c r="A3018" s="25"/>
      <c r="B3018" s="25"/>
      <c r="C3018" s="25"/>
      <c r="D3018" s="25"/>
      <c r="E3018" s="25"/>
      <c r="F3018" s="25"/>
      <c r="G3018" s="25"/>
      <c r="H3018" s="25"/>
      <c r="I3018" s="25"/>
      <c r="J3018" s="25"/>
    </row>
    <row r="3019" spans="1:10" ht="14.4">
      <c r="A3019" s="25"/>
      <c r="B3019" s="25"/>
      <c r="C3019" s="25"/>
      <c r="D3019" s="25"/>
      <c r="E3019" s="25"/>
      <c r="F3019" s="25"/>
      <c r="G3019" s="25"/>
      <c r="H3019" s="25"/>
      <c r="I3019" s="25"/>
      <c r="J3019" s="25"/>
    </row>
    <row r="3020" spans="1:10" ht="14.4">
      <c r="A3020" s="25"/>
      <c r="B3020" s="25"/>
      <c r="C3020" s="25"/>
      <c r="D3020" s="25"/>
      <c r="E3020" s="25"/>
      <c r="F3020" s="25"/>
      <c r="G3020" s="25"/>
      <c r="H3020" s="25"/>
      <c r="I3020" s="25"/>
      <c r="J3020" s="25"/>
    </row>
    <row r="3021" spans="1:10" ht="14.4">
      <c r="A3021" s="25"/>
      <c r="B3021" s="25"/>
      <c r="C3021" s="25"/>
      <c r="D3021" s="25"/>
      <c r="E3021" s="25"/>
      <c r="F3021" s="25"/>
      <c r="G3021" s="25"/>
      <c r="H3021" s="25"/>
      <c r="I3021" s="25"/>
      <c r="J3021" s="25"/>
    </row>
    <row r="3022" spans="1:10" ht="14.4">
      <c r="A3022" s="25"/>
      <c r="B3022" s="25"/>
      <c r="C3022" s="25"/>
      <c r="D3022" s="25"/>
      <c r="E3022" s="25"/>
      <c r="F3022" s="25"/>
      <c r="G3022" s="25"/>
      <c r="H3022" s="25"/>
      <c r="I3022" s="25"/>
      <c r="J3022" s="25"/>
    </row>
    <row r="3023" spans="1:10" ht="14.4">
      <c r="A3023" s="25"/>
      <c r="B3023" s="25"/>
      <c r="C3023" s="25"/>
      <c r="D3023" s="25"/>
      <c r="E3023" s="25"/>
      <c r="F3023" s="25"/>
      <c r="G3023" s="25"/>
      <c r="H3023" s="25"/>
      <c r="I3023" s="25"/>
      <c r="J3023" s="25"/>
    </row>
    <row r="3024" spans="1:10" ht="14.4">
      <c r="A3024" s="25"/>
      <c r="B3024" s="25"/>
      <c r="C3024" s="25"/>
      <c r="D3024" s="25"/>
      <c r="E3024" s="25"/>
      <c r="F3024" s="25"/>
      <c r="G3024" s="25"/>
      <c r="H3024" s="25"/>
      <c r="I3024" s="25"/>
      <c r="J3024" s="25"/>
    </row>
    <row r="3025" spans="1:10" ht="14.4">
      <c r="A3025" s="25"/>
      <c r="B3025" s="25"/>
      <c r="C3025" s="25"/>
      <c r="D3025" s="25"/>
      <c r="E3025" s="25"/>
      <c r="F3025" s="25"/>
      <c r="G3025" s="25"/>
      <c r="H3025" s="25"/>
      <c r="I3025" s="25"/>
      <c r="J3025" s="25"/>
    </row>
    <row r="3026" spans="1:10" ht="14.4">
      <c r="A3026" s="25"/>
      <c r="B3026" s="25"/>
      <c r="C3026" s="25"/>
      <c r="D3026" s="25"/>
      <c r="E3026" s="25"/>
      <c r="F3026" s="25"/>
      <c r="G3026" s="25"/>
      <c r="H3026" s="25"/>
      <c r="I3026" s="25"/>
      <c r="J3026" s="25"/>
    </row>
    <row r="3027" spans="1:10" ht="14.4">
      <c r="A3027" s="25"/>
      <c r="B3027" s="25"/>
      <c r="C3027" s="25"/>
      <c r="D3027" s="25"/>
      <c r="E3027" s="25"/>
      <c r="F3027" s="25"/>
      <c r="G3027" s="25"/>
      <c r="H3027" s="25"/>
      <c r="I3027" s="25"/>
      <c r="J3027" s="25"/>
    </row>
    <row r="3028" spans="1:10" ht="14.4">
      <c r="A3028" s="25"/>
      <c r="B3028" s="25"/>
      <c r="C3028" s="25"/>
      <c r="D3028" s="25"/>
      <c r="E3028" s="25"/>
      <c r="F3028" s="25"/>
      <c r="G3028" s="25"/>
      <c r="H3028" s="25"/>
      <c r="I3028" s="25"/>
      <c r="J3028" s="25"/>
    </row>
    <row r="3029" spans="1:10" ht="14.4">
      <c r="A3029" s="25"/>
      <c r="B3029" s="25"/>
      <c r="C3029" s="25"/>
      <c r="D3029" s="25"/>
      <c r="E3029" s="25"/>
      <c r="F3029" s="25"/>
      <c r="G3029" s="25"/>
      <c r="H3029" s="25"/>
      <c r="I3029" s="25"/>
      <c r="J3029" s="25"/>
    </row>
    <row r="3030" spans="1:10" ht="14.4">
      <c r="A3030" s="25"/>
      <c r="B3030" s="25"/>
      <c r="C3030" s="25"/>
      <c r="D3030" s="25"/>
      <c r="E3030" s="25"/>
      <c r="F3030" s="25"/>
      <c r="G3030" s="25"/>
      <c r="H3030" s="25"/>
      <c r="I3030" s="25"/>
      <c r="J3030" s="25"/>
    </row>
    <row r="3031" spans="1:10" ht="14.4">
      <c r="A3031" s="25"/>
      <c r="B3031" s="25"/>
      <c r="C3031" s="25"/>
      <c r="D3031" s="25"/>
      <c r="E3031" s="25"/>
      <c r="F3031" s="25"/>
      <c r="G3031" s="25"/>
      <c r="H3031" s="25"/>
      <c r="I3031" s="25"/>
      <c r="J3031" s="25"/>
    </row>
    <row r="3032" spans="1:10" ht="14.4">
      <c r="A3032" s="25"/>
      <c r="B3032" s="25"/>
      <c r="C3032" s="25"/>
      <c r="D3032" s="25"/>
      <c r="E3032" s="25"/>
      <c r="F3032" s="25"/>
      <c r="G3032" s="25"/>
      <c r="H3032" s="25"/>
      <c r="I3032" s="25"/>
      <c r="J3032" s="25"/>
    </row>
    <row r="3033" spans="1:10" ht="14.4">
      <c r="A3033" s="25"/>
      <c r="B3033" s="25"/>
      <c r="C3033" s="25"/>
      <c r="D3033" s="25"/>
      <c r="E3033" s="25"/>
      <c r="F3033" s="25"/>
      <c r="G3033" s="25"/>
      <c r="H3033" s="25"/>
      <c r="I3033" s="25"/>
      <c r="J3033" s="25"/>
    </row>
    <row r="3034" spans="1:10" ht="14.4">
      <c r="A3034" s="25"/>
      <c r="B3034" s="25"/>
      <c r="C3034" s="25"/>
      <c r="D3034" s="25"/>
      <c r="E3034" s="25"/>
      <c r="F3034" s="25"/>
      <c r="G3034" s="25"/>
      <c r="H3034" s="25"/>
      <c r="I3034" s="25"/>
      <c r="J3034" s="25"/>
    </row>
    <row r="3035" spans="1:10" ht="14.4">
      <c r="A3035" s="25"/>
      <c r="B3035" s="25"/>
      <c r="C3035" s="25"/>
      <c r="D3035" s="25"/>
      <c r="E3035" s="25"/>
      <c r="F3035" s="25"/>
      <c r="G3035" s="25"/>
      <c r="H3035" s="25"/>
      <c r="I3035" s="25"/>
      <c r="J3035" s="25"/>
    </row>
    <row r="3036" spans="1:10" ht="14.4">
      <c r="A3036" s="25"/>
      <c r="B3036" s="25"/>
      <c r="C3036" s="25"/>
      <c r="D3036" s="25"/>
      <c r="E3036" s="25"/>
      <c r="F3036" s="25"/>
      <c r="G3036" s="25"/>
      <c r="H3036" s="25"/>
      <c r="I3036" s="25"/>
      <c r="J3036" s="25"/>
    </row>
    <row r="3037" spans="1:10" ht="14.4">
      <c r="A3037" s="25"/>
      <c r="B3037" s="25"/>
      <c r="C3037" s="25"/>
      <c r="D3037" s="25"/>
      <c r="E3037" s="25"/>
      <c r="F3037" s="25"/>
      <c r="G3037" s="25"/>
      <c r="H3037" s="25"/>
      <c r="I3037" s="25"/>
      <c r="J3037" s="25"/>
    </row>
    <row r="3038" spans="1:10" ht="14.4">
      <c r="A3038" s="25"/>
      <c r="B3038" s="25"/>
      <c r="C3038" s="25"/>
      <c r="D3038" s="25"/>
      <c r="E3038" s="25"/>
      <c r="F3038" s="25"/>
      <c r="G3038" s="25"/>
      <c r="H3038" s="25"/>
      <c r="I3038" s="25"/>
      <c r="J3038" s="25"/>
    </row>
    <row r="3039" spans="1:10" ht="14.4">
      <c r="A3039" s="25"/>
      <c r="B3039" s="25"/>
      <c r="C3039" s="25"/>
      <c r="D3039" s="25"/>
      <c r="E3039" s="25"/>
      <c r="F3039" s="25"/>
      <c r="G3039" s="25"/>
      <c r="H3039" s="25"/>
      <c r="I3039" s="25"/>
      <c r="J3039" s="25"/>
    </row>
    <row r="3040" spans="1:10" ht="14.4">
      <c r="A3040" s="25"/>
      <c r="B3040" s="25"/>
      <c r="C3040" s="25"/>
      <c r="D3040" s="25"/>
      <c r="E3040" s="25"/>
      <c r="F3040" s="25"/>
      <c r="G3040" s="25"/>
      <c r="H3040" s="25"/>
      <c r="I3040" s="25"/>
      <c r="J3040" s="25"/>
    </row>
    <row r="3041" spans="1:10" ht="14.4">
      <c r="A3041" s="25"/>
      <c r="B3041" s="25"/>
      <c r="C3041" s="25"/>
      <c r="D3041" s="25"/>
      <c r="E3041" s="25"/>
      <c r="F3041" s="25"/>
      <c r="G3041" s="25"/>
      <c r="H3041" s="25"/>
      <c r="I3041" s="25"/>
      <c r="J3041" s="25"/>
    </row>
    <row r="3042" spans="1:10" ht="14.4">
      <c r="A3042" s="25"/>
      <c r="B3042" s="25"/>
      <c r="C3042" s="25"/>
      <c r="D3042" s="25"/>
      <c r="E3042" s="25"/>
      <c r="F3042" s="25"/>
      <c r="G3042" s="25"/>
      <c r="H3042" s="25"/>
      <c r="I3042" s="25"/>
      <c r="J3042" s="25"/>
    </row>
    <row r="3043" spans="1:10" ht="14.4">
      <c r="A3043" s="25"/>
      <c r="B3043" s="25"/>
      <c r="C3043" s="25"/>
      <c r="D3043" s="25"/>
      <c r="E3043" s="25"/>
      <c r="F3043" s="25"/>
      <c r="G3043" s="25"/>
      <c r="H3043" s="25"/>
      <c r="I3043" s="25"/>
      <c r="J3043" s="25"/>
    </row>
    <row r="3044" spans="1:10" ht="14.4">
      <c r="A3044" s="25"/>
      <c r="B3044" s="25"/>
      <c r="C3044" s="25"/>
      <c r="D3044" s="25"/>
      <c r="E3044" s="25"/>
      <c r="F3044" s="25"/>
      <c r="G3044" s="25"/>
      <c r="H3044" s="25"/>
      <c r="I3044" s="25"/>
      <c r="J3044" s="25"/>
    </row>
    <row r="3045" spans="1:10" ht="14.4">
      <c r="A3045" s="25"/>
      <c r="B3045" s="25"/>
      <c r="C3045" s="25"/>
      <c r="D3045" s="25"/>
      <c r="E3045" s="25"/>
      <c r="F3045" s="25"/>
      <c r="G3045" s="25"/>
      <c r="H3045" s="25"/>
      <c r="I3045" s="25"/>
      <c r="J3045" s="25"/>
    </row>
    <row r="3046" spans="1:10" ht="14.4">
      <c r="A3046" s="25"/>
      <c r="B3046" s="25"/>
      <c r="C3046" s="25"/>
      <c r="D3046" s="25"/>
      <c r="E3046" s="25"/>
      <c r="F3046" s="25"/>
      <c r="G3046" s="25"/>
      <c r="H3046" s="25"/>
      <c r="I3046" s="25"/>
      <c r="J3046" s="25"/>
    </row>
    <row r="3047" spans="1:10" ht="14.4">
      <c r="A3047" s="25"/>
      <c r="B3047" s="25"/>
      <c r="C3047" s="25"/>
      <c r="D3047" s="25"/>
      <c r="E3047" s="25"/>
      <c r="F3047" s="25"/>
      <c r="G3047" s="25"/>
      <c r="H3047" s="25"/>
      <c r="I3047" s="25"/>
      <c r="J3047" s="25"/>
    </row>
    <row r="3048" spans="1:10" ht="14.4">
      <c r="A3048" s="25"/>
      <c r="B3048" s="25"/>
      <c r="C3048" s="25"/>
      <c r="D3048" s="25"/>
      <c r="E3048" s="25"/>
      <c r="F3048" s="25"/>
      <c r="G3048" s="25"/>
      <c r="H3048" s="25"/>
      <c r="I3048" s="25"/>
      <c r="J3048" s="25"/>
    </row>
    <row r="3049" spans="1:10" ht="14.4">
      <c r="A3049" s="25"/>
      <c r="B3049" s="25"/>
      <c r="C3049" s="25"/>
      <c r="D3049" s="25"/>
      <c r="E3049" s="25"/>
      <c r="F3049" s="25"/>
      <c r="G3049" s="25"/>
      <c r="H3049" s="25"/>
      <c r="I3049" s="25"/>
      <c r="J3049" s="25"/>
    </row>
    <row r="3050" spans="1:10" ht="14.4">
      <c r="A3050" s="25"/>
      <c r="B3050" s="25"/>
      <c r="C3050" s="25"/>
      <c r="D3050" s="25"/>
      <c r="E3050" s="25"/>
      <c r="F3050" s="25"/>
      <c r="G3050" s="25"/>
      <c r="H3050" s="25"/>
      <c r="I3050" s="25"/>
      <c r="J3050" s="25"/>
    </row>
    <row r="3051" spans="1:10" ht="14.4">
      <c r="A3051" s="25"/>
      <c r="B3051" s="25"/>
      <c r="C3051" s="25"/>
      <c r="D3051" s="25"/>
      <c r="E3051" s="25"/>
      <c r="F3051" s="25"/>
      <c r="G3051" s="25"/>
      <c r="H3051" s="25"/>
      <c r="I3051" s="25"/>
      <c r="J3051" s="25"/>
    </row>
    <row r="3052" spans="1:10" ht="14.4">
      <c r="A3052" s="25"/>
      <c r="B3052" s="25"/>
      <c r="C3052" s="25"/>
      <c r="D3052" s="25"/>
      <c r="E3052" s="25"/>
      <c r="F3052" s="25"/>
      <c r="G3052" s="25"/>
      <c r="H3052" s="25"/>
      <c r="I3052" s="25"/>
      <c r="J3052" s="25"/>
    </row>
    <row r="3053" spans="1:10" ht="14.4">
      <c r="A3053" s="25"/>
      <c r="B3053" s="25"/>
      <c r="C3053" s="25"/>
      <c r="D3053" s="25"/>
      <c r="E3053" s="25"/>
      <c r="F3053" s="25"/>
      <c r="G3053" s="25"/>
      <c r="H3053" s="25"/>
      <c r="I3053" s="25"/>
      <c r="J3053" s="25"/>
    </row>
    <row r="3054" spans="1:10" ht="14.4">
      <c r="A3054" s="25"/>
      <c r="B3054" s="25"/>
      <c r="C3054" s="25"/>
      <c r="D3054" s="25"/>
      <c r="E3054" s="25"/>
      <c r="F3054" s="25"/>
      <c r="G3054" s="25"/>
      <c r="H3054" s="25"/>
      <c r="I3054" s="25"/>
      <c r="J3054" s="25"/>
    </row>
    <row r="3055" spans="1:10" ht="14.4">
      <c r="A3055" s="25"/>
      <c r="B3055" s="25"/>
      <c r="C3055" s="25"/>
      <c r="D3055" s="25"/>
      <c r="E3055" s="25"/>
      <c r="F3055" s="25"/>
      <c r="G3055" s="25"/>
      <c r="H3055" s="25"/>
      <c r="I3055" s="25"/>
      <c r="J3055" s="25"/>
    </row>
    <row r="3056" spans="1:10" ht="14.4">
      <c r="A3056" s="25"/>
      <c r="B3056" s="25"/>
      <c r="C3056" s="25"/>
      <c r="D3056" s="25"/>
      <c r="E3056" s="25"/>
      <c r="F3056" s="25"/>
      <c r="G3056" s="25"/>
      <c r="H3056" s="25"/>
      <c r="I3056" s="25"/>
      <c r="J3056" s="25"/>
    </row>
    <row r="3057" spans="1:10" ht="14.4">
      <c r="A3057" s="25"/>
      <c r="B3057" s="25"/>
      <c r="C3057" s="25"/>
      <c r="D3057" s="25"/>
      <c r="E3057" s="25"/>
      <c r="F3057" s="25"/>
      <c r="G3057" s="25"/>
      <c r="H3057" s="25"/>
      <c r="I3057" s="25"/>
      <c r="J3057" s="25"/>
    </row>
    <row r="3058" spans="1:10" ht="14.4">
      <c r="A3058" s="25"/>
      <c r="B3058" s="25"/>
      <c r="C3058" s="25"/>
      <c r="D3058" s="25"/>
      <c r="E3058" s="25"/>
      <c r="F3058" s="25"/>
      <c r="G3058" s="25"/>
      <c r="H3058" s="25"/>
      <c r="I3058" s="25"/>
      <c r="J3058" s="25"/>
    </row>
    <row r="3059" spans="1:10" ht="14.4">
      <c r="A3059" s="25"/>
      <c r="B3059" s="25"/>
      <c r="C3059" s="25"/>
      <c r="D3059" s="25"/>
      <c r="E3059" s="25"/>
      <c r="F3059" s="25"/>
      <c r="G3059" s="25"/>
      <c r="H3059" s="25"/>
      <c r="I3059" s="25"/>
      <c r="J3059" s="25"/>
    </row>
    <row r="3060" spans="1:10" ht="14.4">
      <c r="A3060" s="25"/>
      <c r="B3060" s="25"/>
      <c r="C3060" s="25"/>
      <c r="D3060" s="25"/>
      <c r="E3060" s="25"/>
      <c r="F3060" s="25"/>
      <c r="G3060" s="25"/>
      <c r="H3060" s="25"/>
      <c r="I3060" s="25"/>
      <c r="J3060" s="25"/>
    </row>
    <row r="3061" spans="1:10" ht="14.4">
      <c r="A3061" s="25"/>
      <c r="B3061" s="25"/>
      <c r="C3061" s="25"/>
      <c r="D3061" s="25"/>
      <c r="E3061" s="25"/>
      <c r="F3061" s="25"/>
      <c r="G3061" s="25"/>
      <c r="H3061" s="25"/>
      <c r="I3061" s="25"/>
      <c r="J3061" s="25"/>
    </row>
    <row r="3062" spans="1:10" ht="14.4">
      <c r="A3062" s="25"/>
      <c r="B3062" s="25"/>
      <c r="C3062" s="25"/>
      <c r="D3062" s="25"/>
      <c r="E3062" s="25"/>
      <c r="F3062" s="25"/>
      <c r="G3062" s="25"/>
      <c r="H3062" s="25"/>
      <c r="I3062" s="25"/>
      <c r="J3062" s="25"/>
    </row>
    <row r="3063" spans="1:10" ht="14.4">
      <c r="A3063" s="25"/>
      <c r="B3063" s="25"/>
      <c r="C3063" s="25"/>
      <c r="D3063" s="25"/>
      <c r="E3063" s="25"/>
      <c r="F3063" s="25"/>
      <c r="G3063" s="25"/>
      <c r="H3063" s="25"/>
      <c r="I3063" s="25"/>
      <c r="J3063" s="25"/>
    </row>
    <row r="3064" spans="1:10" ht="14.4">
      <c r="A3064" s="25"/>
      <c r="B3064" s="25"/>
      <c r="C3064" s="25"/>
      <c r="D3064" s="25"/>
      <c r="E3064" s="25"/>
      <c r="F3064" s="25"/>
      <c r="G3064" s="25"/>
      <c r="H3064" s="25"/>
      <c r="I3064" s="25"/>
      <c r="J3064" s="25"/>
    </row>
    <row r="3065" spans="1:10" ht="14.4">
      <c r="A3065" s="25"/>
      <c r="B3065" s="25"/>
      <c r="C3065" s="25"/>
      <c r="D3065" s="25"/>
      <c r="E3065" s="25"/>
      <c r="F3065" s="25"/>
      <c r="G3065" s="25"/>
      <c r="H3065" s="25"/>
      <c r="I3065" s="25"/>
      <c r="J3065" s="25"/>
    </row>
    <row r="3066" spans="1:10" ht="14.4">
      <c r="A3066" s="25"/>
      <c r="B3066" s="25"/>
      <c r="C3066" s="25"/>
      <c r="D3066" s="25"/>
      <c r="E3066" s="25"/>
      <c r="F3066" s="25"/>
      <c r="G3066" s="25"/>
      <c r="H3066" s="25"/>
      <c r="I3066" s="25"/>
      <c r="J3066" s="25"/>
    </row>
    <row r="3067" spans="1:10" ht="14.4">
      <c r="A3067" s="25"/>
      <c r="B3067" s="25"/>
      <c r="C3067" s="25"/>
      <c r="D3067" s="25"/>
      <c r="E3067" s="25"/>
      <c r="F3067" s="25"/>
      <c r="G3067" s="25"/>
      <c r="H3067" s="25"/>
      <c r="I3067" s="25"/>
      <c r="J3067" s="25"/>
    </row>
    <row r="3068" spans="1:10" ht="14.4">
      <c r="A3068" s="25"/>
      <c r="B3068" s="25"/>
      <c r="C3068" s="25"/>
      <c r="D3068" s="25"/>
      <c r="E3068" s="25"/>
      <c r="F3068" s="25"/>
      <c r="G3068" s="25"/>
      <c r="H3068" s="25"/>
      <c r="I3068" s="25"/>
      <c r="J3068" s="25"/>
    </row>
    <row r="3069" spans="1:10" ht="14.4">
      <c r="A3069" s="25"/>
      <c r="B3069" s="25"/>
      <c r="C3069" s="25"/>
      <c r="D3069" s="25"/>
      <c r="E3069" s="25"/>
      <c r="F3069" s="25"/>
      <c r="G3069" s="25"/>
      <c r="H3069" s="25"/>
      <c r="I3069" s="25"/>
      <c r="J3069" s="25"/>
    </row>
    <row r="3070" spans="1:10" ht="14.4">
      <c r="A3070" s="25"/>
      <c r="B3070" s="25"/>
      <c r="C3070" s="25"/>
      <c r="D3070" s="25"/>
      <c r="E3070" s="25"/>
      <c r="F3070" s="25"/>
      <c r="G3070" s="25"/>
      <c r="H3070" s="25"/>
      <c r="I3070" s="25"/>
      <c r="J3070" s="25"/>
    </row>
    <row r="3071" spans="1:10" ht="14.4">
      <c r="A3071" s="25"/>
      <c r="B3071" s="25"/>
      <c r="C3071" s="25"/>
      <c r="D3071" s="25"/>
      <c r="E3071" s="25"/>
      <c r="F3071" s="25"/>
      <c r="G3071" s="25"/>
      <c r="H3071" s="25"/>
      <c r="I3071" s="25"/>
      <c r="J3071" s="25"/>
    </row>
    <row r="3072" spans="1:10" ht="14.4">
      <c r="A3072" s="25"/>
      <c r="B3072" s="25"/>
      <c r="C3072" s="25"/>
      <c r="D3072" s="25"/>
      <c r="E3072" s="25"/>
      <c r="F3072" s="25"/>
      <c r="G3072" s="25"/>
      <c r="H3072" s="25"/>
      <c r="I3072" s="25"/>
      <c r="J3072" s="25"/>
    </row>
    <row r="3073" spans="1:10" ht="14.4">
      <c r="A3073" s="25"/>
      <c r="B3073" s="25"/>
      <c r="C3073" s="25"/>
      <c r="D3073" s="25"/>
      <c r="E3073" s="25"/>
      <c r="F3073" s="25"/>
      <c r="G3073" s="25"/>
      <c r="H3073" s="25"/>
      <c r="I3073" s="25"/>
      <c r="J3073" s="25"/>
    </row>
    <row r="3074" spans="1:10" ht="14.4">
      <c r="A3074" s="25"/>
      <c r="B3074" s="25"/>
      <c r="C3074" s="25"/>
      <c r="D3074" s="25"/>
      <c r="E3074" s="25"/>
      <c r="F3074" s="25"/>
      <c r="G3074" s="25"/>
      <c r="H3074" s="25"/>
      <c r="I3074" s="25"/>
      <c r="J3074" s="25"/>
    </row>
    <row r="3075" spans="1:10" ht="14.4">
      <c r="A3075" s="25"/>
      <c r="B3075" s="25"/>
      <c r="C3075" s="25"/>
      <c r="D3075" s="25"/>
      <c r="E3075" s="25"/>
      <c r="F3075" s="25"/>
      <c r="G3075" s="25"/>
      <c r="H3075" s="25"/>
      <c r="I3075" s="25"/>
      <c r="J3075" s="25"/>
    </row>
    <row r="3076" spans="1:10" ht="14.4">
      <c r="A3076" s="25"/>
      <c r="B3076" s="25"/>
      <c r="C3076" s="25"/>
      <c r="D3076" s="25"/>
      <c r="E3076" s="25"/>
      <c r="F3076" s="25"/>
      <c r="G3076" s="25"/>
      <c r="H3076" s="25"/>
      <c r="I3076" s="25"/>
      <c r="J3076" s="25"/>
    </row>
    <row r="3077" spans="1:10" ht="14.4">
      <c r="A3077" s="25"/>
      <c r="B3077" s="25"/>
      <c r="C3077" s="25"/>
      <c r="D3077" s="25"/>
      <c r="E3077" s="25"/>
      <c r="F3077" s="25"/>
      <c r="G3077" s="25"/>
      <c r="H3077" s="25"/>
      <c r="I3077" s="25"/>
      <c r="J3077" s="25"/>
    </row>
    <row r="3078" spans="1:10" ht="14.4">
      <c r="A3078" s="25"/>
      <c r="B3078" s="25"/>
      <c r="C3078" s="25"/>
      <c r="D3078" s="25"/>
      <c r="E3078" s="25"/>
      <c r="F3078" s="25"/>
      <c r="G3078" s="25"/>
      <c r="H3078" s="25"/>
      <c r="I3078" s="25"/>
      <c r="J3078" s="25"/>
    </row>
    <row r="3079" spans="1:10" ht="14.4">
      <c r="A3079" s="25"/>
      <c r="B3079" s="25"/>
      <c r="C3079" s="25"/>
      <c r="D3079" s="25"/>
      <c r="E3079" s="25"/>
      <c r="F3079" s="25"/>
      <c r="G3079" s="25"/>
      <c r="H3079" s="25"/>
      <c r="I3079" s="25"/>
      <c r="J3079" s="25"/>
    </row>
    <row r="3080" spans="1:10" ht="14.4">
      <c r="A3080" s="25"/>
      <c r="B3080" s="25"/>
      <c r="C3080" s="25"/>
      <c r="D3080" s="25"/>
      <c r="E3080" s="25"/>
      <c r="F3080" s="25"/>
      <c r="G3080" s="25"/>
      <c r="H3080" s="25"/>
      <c r="I3080" s="25"/>
      <c r="J3080" s="25"/>
    </row>
    <row r="3081" spans="1:10" ht="14.4">
      <c r="A3081" s="25"/>
      <c r="B3081" s="25"/>
      <c r="C3081" s="25"/>
      <c r="D3081" s="25"/>
      <c r="E3081" s="25"/>
      <c r="F3081" s="25"/>
      <c r="G3081" s="25"/>
      <c r="H3081" s="25"/>
      <c r="I3081" s="25"/>
      <c r="J3081" s="25"/>
    </row>
    <row r="3082" spans="1:10" ht="14.4">
      <c r="A3082" s="25"/>
      <c r="B3082" s="25"/>
      <c r="C3082" s="25"/>
      <c r="D3082" s="25"/>
      <c r="E3082" s="25"/>
      <c r="F3082" s="25"/>
      <c r="G3082" s="25"/>
      <c r="H3082" s="25"/>
      <c r="I3082" s="25"/>
      <c r="J3082" s="25"/>
    </row>
    <row r="3083" spans="1:10" ht="14.4">
      <c r="A3083" s="25"/>
      <c r="B3083" s="25"/>
      <c r="C3083" s="25"/>
      <c r="D3083" s="25"/>
      <c r="E3083" s="25"/>
      <c r="F3083" s="25"/>
      <c r="G3083" s="25"/>
      <c r="H3083" s="25"/>
      <c r="I3083" s="25"/>
      <c r="J3083" s="25"/>
    </row>
    <row r="3084" spans="1:10" ht="14.4">
      <c r="A3084" s="25"/>
      <c r="B3084" s="25"/>
      <c r="C3084" s="25"/>
      <c r="D3084" s="25"/>
      <c r="E3084" s="25"/>
      <c r="F3084" s="25"/>
      <c r="G3084" s="25"/>
      <c r="H3084" s="25"/>
      <c r="I3084" s="25"/>
      <c r="J3084" s="25"/>
    </row>
    <row r="3085" spans="1:10" ht="14.4">
      <c r="A3085" s="25"/>
      <c r="B3085" s="25"/>
      <c r="C3085" s="25"/>
      <c r="D3085" s="25"/>
      <c r="E3085" s="25"/>
      <c r="F3085" s="25"/>
      <c r="G3085" s="25"/>
      <c r="H3085" s="25"/>
      <c r="I3085" s="25"/>
      <c r="J3085" s="25"/>
    </row>
    <row r="3086" spans="1:10" ht="14.4">
      <c r="A3086" s="25"/>
      <c r="B3086" s="25"/>
      <c r="C3086" s="25"/>
      <c r="D3086" s="25"/>
      <c r="E3086" s="25"/>
      <c r="F3086" s="25"/>
      <c r="G3086" s="25"/>
      <c r="H3086" s="25"/>
      <c r="I3086" s="25"/>
      <c r="J3086" s="25"/>
    </row>
    <row r="3087" spans="1:10" ht="14.4">
      <c r="A3087" s="25"/>
      <c r="B3087" s="25"/>
      <c r="C3087" s="25"/>
      <c r="D3087" s="25"/>
      <c r="E3087" s="25"/>
      <c r="F3087" s="25"/>
      <c r="G3087" s="25"/>
      <c r="H3087" s="25"/>
      <c r="I3087" s="25"/>
      <c r="J3087" s="25"/>
    </row>
    <row r="3088" spans="1:10" ht="14.4">
      <c r="A3088" s="25"/>
      <c r="B3088" s="25"/>
      <c r="C3088" s="25"/>
      <c r="D3088" s="25"/>
      <c r="E3088" s="25"/>
      <c r="F3088" s="25"/>
      <c r="G3088" s="25"/>
      <c r="H3088" s="25"/>
      <c r="I3088" s="25"/>
      <c r="J3088" s="25"/>
    </row>
    <row r="3089" spans="1:10" ht="14.4">
      <c r="A3089" s="25"/>
      <c r="B3089" s="25"/>
      <c r="C3089" s="25"/>
      <c r="D3089" s="25"/>
      <c r="E3089" s="25"/>
      <c r="F3089" s="25"/>
      <c r="G3089" s="25"/>
      <c r="H3089" s="25"/>
      <c r="I3089" s="25"/>
      <c r="J3089" s="25"/>
    </row>
    <row r="3090" spans="1:10" ht="14.4">
      <c r="A3090" s="25"/>
      <c r="B3090" s="25"/>
      <c r="C3090" s="25"/>
      <c r="D3090" s="25"/>
      <c r="E3090" s="25"/>
      <c r="F3090" s="25"/>
      <c r="G3090" s="25"/>
      <c r="H3090" s="25"/>
      <c r="I3090" s="25"/>
      <c r="J3090" s="25"/>
    </row>
    <row r="3091" spans="1:10" ht="14.4">
      <c r="A3091" s="25"/>
      <c r="B3091" s="25"/>
      <c r="C3091" s="25"/>
      <c r="D3091" s="25"/>
      <c r="E3091" s="25"/>
      <c r="F3091" s="25"/>
      <c r="G3091" s="25"/>
      <c r="H3091" s="25"/>
      <c r="I3091" s="25"/>
      <c r="J3091" s="25"/>
    </row>
    <row r="3092" spans="1:10" ht="14.4">
      <c r="A3092" s="25"/>
      <c r="B3092" s="25"/>
      <c r="C3092" s="25"/>
      <c r="D3092" s="25"/>
      <c r="E3092" s="25"/>
      <c r="F3092" s="25"/>
      <c r="G3092" s="25"/>
      <c r="H3092" s="25"/>
      <c r="I3092" s="25"/>
      <c r="J3092" s="25"/>
    </row>
    <row r="3093" spans="1:10" ht="14.4">
      <c r="A3093" s="25"/>
      <c r="B3093" s="25"/>
      <c r="C3093" s="25"/>
      <c r="D3093" s="25"/>
      <c r="E3093" s="25"/>
      <c r="F3093" s="25"/>
      <c r="G3093" s="25"/>
      <c r="H3093" s="25"/>
      <c r="I3093" s="25"/>
      <c r="J3093" s="25"/>
    </row>
    <row r="3094" spans="1:10" ht="14.4">
      <c r="A3094" s="25"/>
      <c r="B3094" s="25"/>
      <c r="C3094" s="25"/>
      <c r="D3094" s="25"/>
      <c r="E3094" s="25"/>
      <c r="F3094" s="25"/>
      <c r="G3094" s="25"/>
      <c r="H3094" s="25"/>
      <c r="I3094" s="25"/>
      <c r="J3094" s="25"/>
    </row>
    <row r="3095" spans="1:10" ht="14.4">
      <c r="A3095" s="25"/>
      <c r="B3095" s="25"/>
      <c r="C3095" s="25"/>
      <c r="D3095" s="25"/>
      <c r="E3095" s="25"/>
      <c r="F3095" s="25"/>
      <c r="G3095" s="25"/>
      <c r="H3095" s="25"/>
      <c r="I3095" s="25"/>
      <c r="J3095" s="25"/>
    </row>
    <row r="3096" spans="1:10" ht="14.4">
      <c r="A3096" s="25"/>
      <c r="B3096" s="25"/>
      <c r="C3096" s="25"/>
      <c r="D3096" s="25"/>
      <c r="E3096" s="25"/>
      <c r="F3096" s="25"/>
      <c r="G3096" s="25"/>
      <c r="H3096" s="25"/>
      <c r="I3096" s="25"/>
      <c r="J3096" s="25"/>
    </row>
    <row r="3097" spans="1:10" ht="14.4">
      <c r="A3097" s="25"/>
      <c r="B3097" s="25"/>
      <c r="C3097" s="25"/>
      <c r="D3097" s="25"/>
      <c r="E3097" s="25"/>
      <c r="F3097" s="25"/>
      <c r="G3097" s="25"/>
      <c r="H3097" s="25"/>
      <c r="I3097" s="25"/>
      <c r="J3097" s="25"/>
    </row>
    <row r="3098" spans="1:10" ht="14.4">
      <c r="A3098" s="25"/>
      <c r="B3098" s="25"/>
      <c r="C3098" s="25"/>
      <c r="D3098" s="25"/>
      <c r="E3098" s="25"/>
      <c r="F3098" s="25"/>
      <c r="G3098" s="25"/>
      <c r="H3098" s="25"/>
      <c r="I3098" s="25"/>
      <c r="J3098" s="25"/>
    </row>
    <row r="3099" spans="1:10" ht="14.4">
      <c r="A3099" s="25"/>
      <c r="B3099" s="25"/>
      <c r="C3099" s="25"/>
      <c r="D3099" s="25"/>
      <c r="E3099" s="25"/>
      <c r="F3099" s="25"/>
      <c r="G3099" s="25"/>
      <c r="H3099" s="25"/>
      <c r="I3099" s="25"/>
      <c r="J3099" s="25"/>
    </row>
    <row r="3100" spans="1:10" ht="14.4">
      <c r="A3100" s="25"/>
      <c r="B3100" s="25"/>
      <c r="C3100" s="25"/>
      <c r="D3100" s="25"/>
      <c r="E3100" s="25"/>
      <c r="F3100" s="25"/>
      <c r="G3100" s="25"/>
      <c r="H3100" s="25"/>
      <c r="I3100" s="25"/>
      <c r="J3100" s="25"/>
    </row>
    <row r="3101" spans="1:10" ht="14.4">
      <c r="A3101" s="25"/>
      <c r="B3101" s="25"/>
      <c r="C3101" s="25"/>
      <c r="D3101" s="25"/>
      <c r="E3101" s="25"/>
      <c r="F3101" s="25"/>
      <c r="G3101" s="25"/>
      <c r="H3101" s="25"/>
      <c r="I3101" s="25"/>
      <c r="J3101" s="25"/>
    </row>
    <row r="3102" spans="1:10" ht="14.4">
      <c r="A3102" s="25"/>
      <c r="B3102" s="25"/>
      <c r="C3102" s="25"/>
      <c r="D3102" s="25"/>
      <c r="E3102" s="25"/>
      <c r="F3102" s="25"/>
      <c r="G3102" s="25"/>
      <c r="H3102" s="25"/>
      <c r="I3102" s="25"/>
      <c r="J3102" s="25"/>
    </row>
    <row r="3103" spans="1:10" ht="14.4">
      <c r="A3103" s="25"/>
      <c r="B3103" s="25"/>
      <c r="C3103" s="25"/>
      <c r="D3103" s="25"/>
      <c r="E3103" s="25"/>
      <c r="F3103" s="25"/>
      <c r="G3103" s="25"/>
      <c r="H3103" s="25"/>
      <c r="I3103" s="25"/>
      <c r="J3103" s="25"/>
    </row>
    <row r="3104" spans="1:10" ht="14.4">
      <c r="A3104" s="25"/>
      <c r="B3104" s="25"/>
      <c r="C3104" s="25"/>
      <c r="D3104" s="25"/>
      <c r="E3104" s="25"/>
      <c r="F3104" s="25"/>
      <c r="G3104" s="25"/>
      <c r="H3104" s="25"/>
      <c r="I3104" s="25"/>
      <c r="J3104" s="25"/>
    </row>
    <row r="3105" spans="1:10" ht="14.4">
      <c r="A3105" s="25"/>
      <c r="B3105" s="25"/>
      <c r="C3105" s="25"/>
      <c r="D3105" s="25"/>
      <c r="E3105" s="25"/>
      <c r="F3105" s="25"/>
      <c r="G3105" s="25"/>
      <c r="H3105" s="25"/>
      <c r="I3105" s="25"/>
      <c r="J3105" s="25"/>
    </row>
    <row r="3106" spans="1:10" ht="14.4">
      <c r="A3106" s="25"/>
      <c r="B3106" s="25"/>
      <c r="C3106" s="25"/>
      <c r="D3106" s="25"/>
      <c r="E3106" s="25"/>
      <c r="F3106" s="25"/>
      <c r="G3106" s="25"/>
      <c r="H3106" s="25"/>
      <c r="I3106" s="25"/>
      <c r="J3106" s="25"/>
    </row>
    <row r="3107" spans="1:10" ht="14.4">
      <c r="A3107" s="25"/>
      <c r="B3107" s="25"/>
      <c r="C3107" s="25"/>
      <c r="D3107" s="25"/>
      <c r="E3107" s="25"/>
      <c r="F3107" s="25"/>
      <c r="G3107" s="25"/>
      <c r="H3107" s="25"/>
      <c r="I3107" s="25"/>
      <c r="J3107" s="25"/>
    </row>
    <row r="3108" spans="1:10" ht="14.4">
      <c r="A3108" s="25"/>
      <c r="B3108" s="25"/>
      <c r="C3108" s="25"/>
      <c r="D3108" s="25"/>
      <c r="E3108" s="25"/>
      <c r="F3108" s="25"/>
      <c r="G3108" s="25"/>
      <c r="H3108" s="25"/>
      <c r="I3108" s="25"/>
      <c r="J3108" s="25"/>
    </row>
    <row r="3109" spans="1:10" ht="14.4">
      <c r="A3109" s="25"/>
      <c r="B3109" s="25"/>
      <c r="C3109" s="25"/>
      <c r="D3109" s="25"/>
      <c r="E3109" s="25"/>
      <c r="F3109" s="25"/>
      <c r="G3109" s="25"/>
      <c r="H3109" s="25"/>
      <c r="I3109" s="25"/>
      <c r="J3109" s="25"/>
    </row>
    <row r="3110" spans="1:10" ht="14.4">
      <c r="A3110" s="25"/>
      <c r="B3110" s="25"/>
      <c r="C3110" s="25"/>
      <c r="D3110" s="25"/>
      <c r="E3110" s="25"/>
      <c r="F3110" s="25"/>
      <c r="G3110" s="25"/>
      <c r="H3110" s="25"/>
      <c r="I3110" s="25"/>
      <c r="J3110" s="25"/>
    </row>
    <row r="3111" spans="1:10" ht="14.4">
      <c r="A3111" s="25"/>
      <c r="B3111" s="25"/>
      <c r="C3111" s="25"/>
      <c r="D3111" s="25"/>
      <c r="E3111" s="25"/>
      <c r="F3111" s="25"/>
      <c r="G3111" s="25"/>
      <c r="H3111" s="25"/>
      <c r="I3111" s="25"/>
      <c r="J3111" s="25"/>
    </row>
    <row r="3112" spans="1:10" ht="14.4">
      <c r="A3112" s="25"/>
      <c r="B3112" s="25"/>
      <c r="C3112" s="25"/>
      <c r="D3112" s="25"/>
      <c r="E3112" s="25"/>
      <c r="F3112" s="25"/>
      <c r="G3112" s="25"/>
      <c r="H3112" s="25"/>
      <c r="I3112" s="25"/>
      <c r="J3112" s="25"/>
    </row>
    <row r="3113" spans="1:10" ht="14.4">
      <c r="A3113" s="25"/>
      <c r="B3113" s="25"/>
      <c r="C3113" s="25"/>
      <c r="D3113" s="25"/>
      <c r="E3113" s="25"/>
      <c r="F3113" s="25"/>
      <c r="G3113" s="25"/>
      <c r="H3113" s="25"/>
      <c r="I3113" s="25"/>
      <c r="J3113" s="25"/>
    </row>
    <row r="3114" spans="1:10" ht="14.4">
      <c r="A3114" s="25"/>
      <c r="B3114" s="25"/>
      <c r="C3114" s="25"/>
      <c r="D3114" s="25"/>
      <c r="E3114" s="25"/>
      <c r="F3114" s="25"/>
      <c r="G3114" s="25"/>
      <c r="H3114" s="25"/>
      <c r="I3114" s="25"/>
      <c r="J3114" s="25"/>
    </row>
    <row r="3115" spans="1:10" ht="14.4">
      <c r="A3115" s="25"/>
      <c r="B3115" s="25"/>
      <c r="C3115" s="25"/>
      <c r="D3115" s="25"/>
      <c r="E3115" s="25"/>
      <c r="F3115" s="25"/>
      <c r="G3115" s="25"/>
      <c r="H3115" s="25"/>
      <c r="I3115" s="25"/>
      <c r="J3115" s="25"/>
    </row>
    <row r="3116" spans="1:10" ht="14.4">
      <c r="A3116" s="25"/>
      <c r="B3116" s="25"/>
      <c r="C3116" s="25"/>
      <c r="D3116" s="25"/>
      <c r="E3116" s="25"/>
      <c r="F3116" s="25"/>
      <c r="G3116" s="25"/>
      <c r="H3116" s="25"/>
      <c r="I3116" s="25"/>
      <c r="J3116" s="25"/>
    </row>
    <row r="3117" spans="1:10" ht="14.4">
      <c r="A3117" s="25"/>
      <c r="B3117" s="25"/>
      <c r="C3117" s="25"/>
      <c r="D3117" s="25"/>
      <c r="E3117" s="25"/>
      <c r="F3117" s="25"/>
      <c r="G3117" s="25"/>
      <c r="H3117" s="25"/>
      <c r="I3117" s="25"/>
      <c r="J3117" s="25"/>
    </row>
    <row r="3118" spans="1:10" ht="14.4">
      <c r="A3118" s="25"/>
      <c r="B3118" s="25"/>
      <c r="C3118" s="25"/>
      <c r="D3118" s="25"/>
      <c r="E3118" s="25"/>
      <c r="F3118" s="25"/>
      <c r="G3118" s="25"/>
      <c r="H3118" s="25"/>
      <c r="I3118" s="25"/>
      <c r="J3118" s="25"/>
    </row>
    <row r="3119" spans="1:10" ht="14.4">
      <c r="A3119" s="25"/>
      <c r="B3119" s="25"/>
      <c r="C3119" s="25"/>
      <c r="D3119" s="25"/>
      <c r="E3119" s="25"/>
      <c r="F3119" s="25"/>
      <c r="G3119" s="25"/>
      <c r="H3119" s="25"/>
      <c r="I3119" s="25"/>
      <c r="J3119" s="25"/>
    </row>
    <row r="3120" spans="1:10" ht="14.4">
      <c r="A3120" s="25"/>
      <c r="B3120" s="25"/>
      <c r="C3120" s="25"/>
      <c r="D3120" s="25"/>
      <c r="E3120" s="25"/>
      <c r="F3120" s="25"/>
      <c r="G3120" s="25"/>
      <c r="H3120" s="25"/>
      <c r="I3120" s="25"/>
      <c r="J3120" s="25"/>
    </row>
    <row r="3121" spans="1:10" ht="14.4">
      <c r="A3121" s="25"/>
      <c r="B3121" s="25"/>
      <c r="C3121" s="25"/>
      <c r="D3121" s="25"/>
      <c r="E3121" s="25"/>
      <c r="F3121" s="25"/>
      <c r="G3121" s="25"/>
      <c r="H3121" s="25"/>
      <c r="I3121" s="25"/>
      <c r="J3121" s="25"/>
    </row>
    <row r="3122" spans="1:10" ht="14.4">
      <c r="A3122" s="25"/>
      <c r="B3122" s="25"/>
      <c r="C3122" s="25"/>
      <c r="D3122" s="25"/>
      <c r="E3122" s="25"/>
      <c r="F3122" s="25"/>
      <c r="G3122" s="25"/>
      <c r="H3122" s="25"/>
      <c r="I3122" s="25"/>
      <c r="J3122" s="25"/>
    </row>
    <row r="3123" spans="1:10" ht="14.4">
      <c r="A3123" s="25"/>
      <c r="B3123" s="25"/>
      <c r="C3123" s="25"/>
      <c r="D3123" s="25"/>
      <c r="E3123" s="25"/>
      <c r="F3123" s="25"/>
      <c r="G3123" s="25"/>
      <c r="H3123" s="25"/>
      <c r="I3123" s="25"/>
      <c r="J3123" s="25"/>
    </row>
    <row r="3124" spans="1:10" ht="14.4">
      <c r="A3124" s="25"/>
      <c r="B3124" s="25"/>
      <c r="C3124" s="25"/>
      <c r="D3124" s="25"/>
      <c r="E3124" s="25"/>
      <c r="F3124" s="25"/>
      <c r="G3124" s="25"/>
      <c r="H3124" s="25"/>
      <c r="I3124" s="25"/>
      <c r="J3124" s="25"/>
    </row>
    <row r="3125" spans="1:10" ht="14.4">
      <c r="A3125" s="25"/>
      <c r="B3125" s="25"/>
      <c r="C3125" s="25"/>
      <c r="D3125" s="25"/>
      <c r="E3125" s="25"/>
      <c r="F3125" s="25"/>
      <c r="G3125" s="25"/>
      <c r="H3125" s="25"/>
      <c r="I3125" s="25"/>
      <c r="J3125" s="25"/>
    </row>
    <row r="3126" spans="1:10" ht="14.4">
      <c r="A3126" s="25"/>
      <c r="B3126" s="25"/>
      <c r="C3126" s="25"/>
      <c r="D3126" s="25"/>
      <c r="E3126" s="25"/>
      <c r="F3126" s="25"/>
      <c r="G3126" s="25"/>
      <c r="H3126" s="25"/>
      <c r="I3126" s="25"/>
      <c r="J3126" s="25"/>
    </row>
    <row r="3127" spans="1:10" ht="14.4">
      <c r="A3127" s="25"/>
      <c r="B3127" s="25"/>
      <c r="C3127" s="25"/>
      <c r="D3127" s="25"/>
      <c r="E3127" s="25"/>
      <c r="F3127" s="25"/>
      <c r="G3127" s="25"/>
      <c r="H3127" s="25"/>
      <c r="I3127" s="25"/>
      <c r="J3127" s="25"/>
    </row>
    <row r="3128" spans="1:10" ht="14.4">
      <c r="A3128" s="25"/>
      <c r="B3128" s="25"/>
      <c r="C3128" s="25"/>
      <c r="D3128" s="25"/>
      <c r="E3128" s="25"/>
      <c r="F3128" s="25"/>
      <c r="G3128" s="25"/>
      <c r="H3128" s="25"/>
      <c r="I3128" s="25"/>
      <c r="J3128" s="25"/>
    </row>
    <row r="3129" spans="1:10" ht="14.4">
      <c r="A3129" s="25"/>
      <c r="B3129" s="25"/>
      <c r="C3129" s="25"/>
      <c r="D3129" s="25"/>
      <c r="E3129" s="25"/>
      <c r="F3129" s="25"/>
      <c r="G3129" s="25"/>
      <c r="H3129" s="25"/>
      <c r="I3129" s="25"/>
      <c r="J3129" s="25"/>
    </row>
    <row r="3130" spans="1:10" ht="14.4">
      <c r="A3130" s="25"/>
      <c r="B3130" s="25"/>
      <c r="C3130" s="25"/>
      <c r="D3130" s="25"/>
      <c r="E3130" s="25"/>
      <c r="F3130" s="25"/>
      <c r="G3130" s="25"/>
      <c r="H3130" s="25"/>
      <c r="I3130" s="25"/>
      <c r="J3130" s="25"/>
    </row>
    <row r="3131" spans="1:10" ht="14.4">
      <c r="A3131" s="25"/>
      <c r="B3131" s="25"/>
      <c r="C3131" s="25"/>
      <c r="D3131" s="25"/>
      <c r="E3131" s="25"/>
      <c r="F3131" s="25"/>
      <c r="G3131" s="25"/>
      <c r="H3131" s="25"/>
      <c r="I3131" s="25"/>
      <c r="J3131" s="25"/>
    </row>
    <row r="3132" spans="1:10" ht="14.4">
      <c r="A3132" s="25"/>
      <c r="B3132" s="25"/>
      <c r="C3132" s="25"/>
      <c r="D3132" s="25"/>
      <c r="E3132" s="25"/>
      <c r="F3132" s="25"/>
      <c r="G3132" s="25"/>
      <c r="H3132" s="25"/>
      <c r="I3132" s="25"/>
      <c r="J3132" s="25"/>
    </row>
    <row r="3133" spans="1:10" ht="14.4">
      <c r="A3133" s="25"/>
      <c r="B3133" s="25"/>
      <c r="C3133" s="25"/>
      <c r="D3133" s="25"/>
      <c r="E3133" s="25"/>
      <c r="F3133" s="25"/>
      <c r="G3133" s="25"/>
      <c r="H3133" s="25"/>
      <c r="I3133" s="25"/>
      <c r="J3133" s="25"/>
    </row>
    <row r="3134" spans="1:10" ht="14.4">
      <c r="A3134" s="25"/>
      <c r="B3134" s="25"/>
      <c r="C3134" s="25"/>
      <c r="D3134" s="25"/>
      <c r="E3134" s="25"/>
      <c r="F3134" s="25"/>
      <c r="G3134" s="25"/>
      <c r="H3134" s="25"/>
      <c r="I3134" s="25"/>
      <c r="J3134" s="25"/>
    </row>
    <row r="3135" spans="1:10" ht="14.4">
      <c r="A3135" s="25"/>
      <c r="B3135" s="25"/>
      <c r="C3135" s="25"/>
      <c r="D3135" s="25"/>
      <c r="E3135" s="25"/>
      <c r="F3135" s="25"/>
      <c r="G3135" s="25"/>
      <c r="H3135" s="25"/>
      <c r="I3135" s="25"/>
      <c r="J3135" s="25"/>
    </row>
    <row r="3136" spans="1:10" ht="14.4">
      <c r="A3136" s="25"/>
      <c r="B3136" s="25"/>
      <c r="C3136" s="25"/>
      <c r="D3136" s="25"/>
      <c r="E3136" s="25"/>
      <c r="F3136" s="25"/>
      <c r="G3136" s="25"/>
      <c r="H3136" s="25"/>
      <c r="I3136" s="25"/>
      <c r="J3136" s="25"/>
    </row>
    <row r="3137" spans="1:10" ht="14.4">
      <c r="A3137" s="25"/>
      <c r="B3137" s="25"/>
      <c r="C3137" s="25"/>
      <c r="D3137" s="25"/>
      <c r="E3137" s="25"/>
      <c r="F3137" s="25"/>
      <c r="G3137" s="25"/>
      <c r="H3137" s="25"/>
      <c r="I3137" s="25"/>
      <c r="J3137" s="25"/>
    </row>
    <row r="3138" spans="1:10" ht="14.4">
      <c r="A3138" s="25"/>
      <c r="B3138" s="25"/>
      <c r="C3138" s="25"/>
      <c r="D3138" s="25"/>
      <c r="E3138" s="25"/>
      <c r="F3138" s="25"/>
      <c r="G3138" s="25"/>
      <c r="H3138" s="25"/>
      <c r="I3138" s="25"/>
      <c r="J3138" s="25"/>
    </row>
    <row r="3139" spans="1:10" ht="14.4">
      <c r="A3139" s="25"/>
      <c r="B3139" s="25"/>
      <c r="C3139" s="25"/>
      <c r="D3139" s="25"/>
      <c r="E3139" s="25"/>
      <c r="F3139" s="25"/>
      <c r="G3139" s="25"/>
      <c r="H3139" s="25"/>
      <c r="I3139" s="25"/>
      <c r="J3139" s="25"/>
    </row>
    <row r="3140" spans="1:10" ht="14.4">
      <c r="A3140" s="25"/>
      <c r="B3140" s="25"/>
      <c r="C3140" s="25"/>
      <c r="D3140" s="25"/>
      <c r="E3140" s="25"/>
      <c r="F3140" s="25"/>
      <c r="G3140" s="25"/>
      <c r="H3140" s="25"/>
      <c r="I3140" s="25"/>
      <c r="J3140" s="25"/>
    </row>
    <row r="3141" spans="1:10" ht="14.4">
      <c r="A3141" s="25"/>
      <c r="B3141" s="25"/>
      <c r="C3141" s="25"/>
      <c r="D3141" s="25"/>
      <c r="E3141" s="25"/>
      <c r="F3141" s="25"/>
      <c r="G3141" s="25"/>
      <c r="H3141" s="25"/>
      <c r="I3141" s="25"/>
      <c r="J3141" s="25"/>
    </row>
    <row r="3142" spans="1:10" ht="14.4">
      <c r="A3142" s="25"/>
      <c r="B3142" s="25"/>
      <c r="C3142" s="25"/>
      <c r="D3142" s="25"/>
      <c r="E3142" s="25"/>
      <c r="F3142" s="25"/>
      <c r="G3142" s="25"/>
      <c r="H3142" s="25"/>
      <c r="I3142" s="25"/>
      <c r="J3142" s="25"/>
    </row>
    <row r="3143" spans="1:10" ht="14.4">
      <c r="A3143" s="25"/>
      <c r="B3143" s="25"/>
      <c r="C3143" s="25"/>
      <c r="D3143" s="25"/>
      <c r="E3143" s="25"/>
      <c r="F3143" s="25"/>
      <c r="G3143" s="25"/>
      <c r="H3143" s="25"/>
      <c r="I3143" s="25"/>
      <c r="J3143" s="25"/>
    </row>
    <row r="3144" spans="1:10" ht="14.4">
      <c r="A3144" s="25"/>
      <c r="B3144" s="25"/>
      <c r="C3144" s="25"/>
      <c r="D3144" s="25"/>
      <c r="E3144" s="25"/>
      <c r="F3144" s="25"/>
      <c r="G3144" s="25"/>
      <c r="H3144" s="25"/>
      <c r="I3144" s="25"/>
      <c r="J3144" s="25"/>
    </row>
    <row r="3145" spans="1:10" ht="14.4">
      <c r="A3145" s="25"/>
      <c r="B3145" s="25"/>
      <c r="C3145" s="25"/>
      <c r="D3145" s="25"/>
      <c r="E3145" s="25"/>
      <c r="F3145" s="25"/>
      <c r="G3145" s="25"/>
      <c r="H3145" s="25"/>
      <c r="I3145" s="25"/>
      <c r="J3145" s="25"/>
    </row>
    <row r="3146" spans="1:10" ht="14.4">
      <c r="A3146" s="25"/>
      <c r="B3146" s="25"/>
      <c r="C3146" s="25"/>
      <c r="D3146" s="25"/>
      <c r="E3146" s="25"/>
      <c r="F3146" s="25"/>
      <c r="G3146" s="25"/>
      <c r="H3146" s="25"/>
      <c r="I3146" s="25"/>
      <c r="J3146" s="25"/>
    </row>
    <row r="3147" spans="1:10" ht="14.4">
      <c r="A3147" s="25"/>
      <c r="B3147" s="25"/>
      <c r="C3147" s="25"/>
      <c r="D3147" s="25"/>
      <c r="E3147" s="25"/>
      <c r="F3147" s="25"/>
      <c r="G3147" s="25"/>
      <c r="H3147" s="25"/>
      <c r="I3147" s="25"/>
      <c r="J3147" s="25"/>
    </row>
    <row r="3148" spans="1:10" ht="14.4">
      <c r="A3148" s="25"/>
      <c r="B3148" s="25"/>
      <c r="C3148" s="25"/>
      <c r="D3148" s="25"/>
      <c r="E3148" s="25"/>
      <c r="F3148" s="25"/>
      <c r="G3148" s="25"/>
      <c r="H3148" s="25"/>
      <c r="I3148" s="25"/>
      <c r="J3148" s="25"/>
    </row>
    <row r="3149" spans="1:10" ht="14.4">
      <c r="A3149" s="25"/>
      <c r="B3149" s="25"/>
      <c r="C3149" s="25"/>
      <c r="D3149" s="25"/>
      <c r="E3149" s="25"/>
      <c r="F3149" s="25"/>
      <c r="G3149" s="25"/>
      <c r="H3149" s="25"/>
      <c r="I3149" s="25"/>
      <c r="J3149" s="25"/>
    </row>
    <row r="3150" spans="1:10" ht="14.4">
      <c r="A3150" s="25"/>
      <c r="B3150" s="25"/>
      <c r="C3150" s="25"/>
      <c r="D3150" s="25"/>
      <c r="E3150" s="25"/>
      <c r="F3150" s="25"/>
      <c r="G3150" s="25"/>
      <c r="H3150" s="25"/>
      <c r="I3150" s="25"/>
      <c r="J3150" s="25"/>
    </row>
    <row r="3151" spans="1:10" ht="14.4">
      <c r="A3151" s="25"/>
      <c r="B3151" s="25"/>
      <c r="C3151" s="25"/>
      <c r="D3151" s="25"/>
      <c r="E3151" s="25"/>
      <c r="F3151" s="25"/>
      <c r="G3151" s="25"/>
      <c r="H3151" s="25"/>
      <c r="I3151" s="25"/>
      <c r="J3151" s="25"/>
    </row>
    <row r="3152" spans="1:10" ht="14.4">
      <c r="A3152" s="25"/>
      <c r="B3152" s="25"/>
      <c r="C3152" s="25"/>
      <c r="D3152" s="25"/>
      <c r="E3152" s="25"/>
      <c r="F3152" s="25"/>
      <c r="G3152" s="25"/>
      <c r="H3152" s="25"/>
      <c r="I3152" s="25"/>
      <c r="J3152" s="25"/>
    </row>
    <row r="3153" spans="1:10" ht="14.4">
      <c r="A3153" s="25"/>
      <c r="B3153" s="25"/>
      <c r="C3153" s="25"/>
      <c r="D3153" s="25"/>
      <c r="E3153" s="25"/>
      <c r="F3153" s="25"/>
      <c r="G3153" s="25"/>
      <c r="H3153" s="25"/>
      <c r="I3153" s="25"/>
      <c r="J3153" s="25"/>
    </row>
    <row r="3154" spans="1:10" ht="14.4">
      <c r="A3154" s="25"/>
      <c r="B3154" s="25"/>
      <c r="C3154" s="25"/>
      <c r="D3154" s="25"/>
      <c r="E3154" s="25"/>
      <c r="F3154" s="25"/>
      <c r="G3154" s="25"/>
      <c r="H3154" s="25"/>
      <c r="I3154" s="25"/>
      <c r="J3154" s="25"/>
    </row>
    <row r="3155" spans="1:10" ht="14.4">
      <c r="A3155" s="25"/>
      <c r="B3155" s="25"/>
      <c r="C3155" s="25"/>
      <c r="D3155" s="25"/>
      <c r="E3155" s="25"/>
      <c r="F3155" s="25"/>
      <c r="G3155" s="25"/>
      <c r="H3155" s="25"/>
      <c r="I3155" s="25"/>
      <c r="J3155" s="25"/>
    </row>
    <row r="3156" spans="1:10" ht="14.4">
      <c r="A3156" s="25"/>
      <c r="B3156" s="25"/>
      <c r="C3156" s="25"/>
      <c r="D3156" s="25"/>
      <c r="E3156" s="25"/>
      <c r="F3156" s="25"/>
      <c r="G3156" s="25"/>
      <c r="H3156" s="25"/>
      <c r="I3156" s="25"/>
      <c r="J3156" s="25"/>
    </row>
    <row r="3157" spans="1:10" ht="14.4">
      <c r="A3157" s="25"/>
      <c r="B3157" s="25"/>
      <c r="C3157" s="25"/>
      <c r="D3157" s="25"/>
      <c r="E3157" s="25"/>
      <c r="F3157" s="25"/>
      <c r="G3157" s="25"/>
      <c r="H3157" s="25"/>
      <c r="I3157" s="25"/>
      <c r="J3157" s="25"/>
    </row>
    <row r="3158" spans="1:10" ht="14.4">
      <c r="A3158" s="25"/>
      <c r="B3158" s="25"/>
      <c r="C3158" s="25"/>
      <c r="D3158" s="25"/>
      <c r="E3158" s="25"/>
      <c r="F3158" s="25"/>
      <c r="G3158" s="25"/>
      <c r="H3158" s="25"/>
      <c r="I3158" s="25"/>
      <c r="J3158" s="25"/>
    </row>
    <row r="3159" spans="1:10" ht="14.4">
      <c r="A3159" s="25"/>
      <c r="B3159" s="25"/>
      <c r="C3159" s="25"/>
      <c r="D3159" s="25"/>
      <c r="E3159" s="25"/>
      <c r="F3159" s="25"/>
      <c r="G3159" s="25"/>
      <c r="H3159" s="25"/>
      <c r="I3159" s="25"/>
      <c r="J3159" s="25"/>
    </row>
    <row r="3160" spans="1:10" ht="14.4">
      <c r="A3160" s="25"/>
      <c r="B3160" s="25"/>
      <c r="C3160" s="25"/>
      <c r="D3160" s="25"/>
      <c r="E3160" s="25"/>
      <c r="F3160" s="25"/>
      <c r="G3160" s="25"/>
      <c r="H3160" s="25"/>
      <c r="I3160" s="25"/>
      <c r="J3160" s="25"/>
    </row>
    <row r="3161" spans="1:10" ht="14.4">
      <c r="A3161" s="25"/>
      <c r="B3161" s="25"/>
      <c r="C3161" s="25"/>
      <c r="D3161" s="25"/>
      <c r="E3161" s="25"/>
      <c r="F3161" s="25"/>
      <c r="G3161" s="25"/>
      <c r="H3161" s="25"/>
      <c r="I3161" s="25"/>
      <c r="J3161" s="25"/>
    </row>
    <row r="3162" spans="1:10" ht="14.4">
      <c r="A3162" s="25"/>
      <c r="B3162" s="25"/>
      <c r="C3162" s="25"/>
      <c r="D3162" s="25"/>
      <c r="E3162" s="25"/>
      <c r="F3162" s="25"/>
      <c r="G3162" s="25"/>
      <c r="H3162" s="25"/>
      <c r="I3162" s="25"/>
      <c r="J3162" s="25"/>
    </row>
    <row r="3163" spans="1:10" ht="14.4">
      <c r="A3163" s="25"/>
      <c r="B3163" s="25"/>
      <c r="C3163" s="25"/>
      <c r="D3163" s="25"/>
      <c r="E3163" s="25"/>
      <c r="F3163" s="25"/>
      <c r="G3163" s="25"/>
      <c r="H3163" s="25"/>
      <c r="I3163" s="25"/>
      <c r="J3163" s="25"/>
    </row>
    <row r="3164" spans="1:10" ht="14.4">
      <c r="A3164" s="25"/>
      <c r="B3164" s="25"/>
      <c r="C3164" s="25"/>
      <c r="D3164" s="25"/>
      <c r="E3164" s="25"/>
      <c r="F3164" s="25"/>
      <c r="G3164" s="25"/>
      <c r="H3164" s="25"/>
      <c r="I3164" s="25"/>
      <c r="J3164" s="25"/>
    </row>
    <row r="3165" spans="1:10" ht="14.4">
      <c r="A3165" s="25"/>
      <c r="B3165" s="25"/>
      <c r="C3165" s="25"/>
      <c r="D3165" s="25"/>
      <c r="E3165" s="25"/>
      <c r="F3165" s="25"/>
      <c r="G3165" s="25"/>
      <c r="H3165" s="25"/>
      <c r="I3165" s="25"/>
      <c r="J3165" s="25"/>
    </row>
    <row r="3166" spans="1:10" ht="14.4">
      <c r="A3166" s="25"/>
      <c r="B3166" s="25"/>
      <c r="C3166" s="25"/>
      <c r="D3166" s="25"/>
      <c r="E3166" s="25"/>
      <c r="F3166" s="25"/>
      <c r="G3166" s="25"/>
      <c r="H3166" s="25"/>
      <c r="I3166" s="25"/>
      <c r="J3166" s="25"/>
    </row>
    <row r="3167" spans="1:10" ht="14.4">
      <c r="A3167" s="25"/>
      <c r="B3167" s="25"/>
      <c r="C3167" s="25"/>
      <c r="D3167" s="25"/>
      <c r="E3167" s="25"/>
      <c r="F3167" s="25"/>
      <c r="G3167" s="25"/>
      <c r="H3167" s="25"/>
      <c r="I3167" s="25"/>
      <c r="J3167" s="25"/>
    </row>
    <row r="3168" spans="1:10" ht="14.4">
      <c r="A3168" s="25"/>
      <c r="B3168" s="25"/>
      <c r="C3168" s="25"/>
      <c r="D3168" s="25"/>
      <c r="E3168" s="25"/>
      <c r="F3168" s="25"/>
      <c r="G3168" s="25"/>
      <c r="H3168" s="25"/>
      <c r="I3168" s="25"/>
      <c r="J3168" s="25"/>
    </row>
    <row r="3169" spans="1:10" ht="14.4">
      <c r="A3169" s="25"/>
      <c r="B3169" s="25"/>
      <c r="C3169" s="25"/>
      <c r="D3169" s="25"/>
      <c r="E3169" s="25"/>
      <c r="F3169" s="25"/>
      <c r="G3169" s="25"/>
      <c r="H3169" s="25"/>
      <c r="I3169" s="25"/>
      <c r="J3169" s="25"/>
    </row>
    <row r="3170" spans="1:10" ht="14.4">
      <c r="A3170" s="25"/>
      <c r="B3170" s="25"/>
      <c r="C3170" s="25"/>
      <c r="D3170" s="25"/>
      <c r="E3170" s="25"/>
      <c r="F3170" s="25"/>
      <c r="G3170" s="25"/>
      <c r="H3170" s="25"/>
      <c r="I3170" s="25"/>
      <c r="J3170" s="25"/>
    </row>
    <row r="3171" spans="1:10" ht="14.4">
      <c r="A3171" s="25"/>
      <c r="B3171" s="25"/>
      <c r="C3171" s="25"/>
      <c r="D3171" s="25"/>
      <c r="E3171" s="25"/>
      <c r="F3171" s="25"/>
      <c r="G3171" s="25"/>
      <c r="H3171" s="25"/>
      <c r="I3171" s="25"/>
      <c r="J3171" s="25"/>
    </row>
    <row r="3172" spans="1:10" ht="14.4">
      <c r="A3172" s="25"/>
      <c r="B3172" s="25"/>
      <c r="C3172" s="25"/>
      <c r="D3172" s="25"/>
      <c r="E3172" s="25"/>
      <c r="F3172" s="25"/>
      <c r="G3172" s="25"/>
      <c r="H3172" s="25"/>
      <c r="I3172" s="25"/>
      <c r="J3172" s="25"/>
    </row>
    <row r="3173" spans="1:10" ht="14.4">
      <c r="A3173" s="25"/>
      <c r="B3173" s="25"/>
      <c r="C3173" s="25"/>
      <c r="D3173" s="25"/>
      <c r="E3173" s="25"/>
      <c r="F3173" s="25"/>
      <c r="G3173" s="25"/>
      <c r="H3173" s="25"/>
      <c r="I3173" s="25"/>
      <c r="J3173" s="25"/>
    </row>
    <row r="3174" spans="1:10" ht="14.4">
      <c r="A3174" s="25"/>
      <c r="B3174" s="25"/>
      <c r="C3174" s="25"/>
      <c r="D3174" s="25"/>
      <c r="E3174" s="25"/>
      <c r="F3174" s="25"/>
      <c r="G3174" s="25"/>
      <c r="H3174" s="25"/>
      <c r="I3174" s="25"/>
      <c r="J3174" s="25"/>
    </row>
    <row r="3175" spans="1:10" ht="14.4">
      <c r="A3175" s="25"/>
      <c r="B3175" s="25"/>
      <c r="C3175" s="25"/>
      <c r="D3175" s="25"/>
      <c r="E3175" s="25"/>
      <c r="F3175" s="25"/>
      <c r="G3175" s="25"/>
      <c r="H3175" s="25"/>
      <c r="I3175" s="25"/>
      <c r="J3175" s="25"/>
    </row>
    <row r="3176" spans="1:10" ht="14.4">
      <c r="A3176" s="25"/>
      <c r="B3176" s="25"/>
      <c r="C3176" s="25"/>
      <c r="D3176" s="25"/>
      <c r="E3176" s="25"/>
      <c r="F3176" s="25"/>
      <c r="G3176" s="25"/>
      <c r="H3176" s="25"/>
      <c r="I3176" s="25"/>
      <c r="J3176" s="25"/>
    </row>
    <row r="3177" spans="1:10" ht="14.4">
      <c r="A3177" s="25"/>
      <c r="B3177" s="25"/>
      <c r="C3177" s="25"/>
      <c r="D3177" s="25"/>
      <c r="E3177" s="25"/>
      <c r="F3177" s="25"/>
      <c r="G3177" s="25"/>
      <c r="H3177" s="25"/>
      <c r="I3177" s="25"/>
      <c r="J3177" s="25"/>
    </row>
    <row r="3178" spans="1:10" ht="14.4">
      <c r="A3178" s="25"/>
      <c r="B3178" s="25"/>
      <c r="C3178" s="25"/>
      <c r="D3178" s="25"/>
      <c r="E3178" s="25"/>
      <c r="F3178" s="25"/>
      <c r="G3178" s="25"/>
      <c r="H3178" s="25"/>
      <c r="I3178" s="25"/>
      <c r="J3178" s="25"/>
    </row>
    <row r="3179" spans="1:10" ht="14.4">
      <c r="A3179" s="25"/>
      <c r="B3179" s="25"/>
      <c r="C3179" s="25"/>
      <c r="D3179" s="25"/>
      <c r="E3179" s="25"/>
      <c r="F3179" s="25"/>
      <c r="G3179" s="25"/>
      <c r="H3179" s="25"/>
      <c r="I3179" s="25"/>
      <c r="J3179" s="25"/>
    </row>
    <row r="3180" spans="1:10" ht="14.4">
      <c r="A3180" s="25"/>
      <c r="B3180" s="25"/>
      <c r="C3180" s="25"/>
      <c r="D3180" s="25"/>
      <c r="E3180" s="25"/>
      <c r="F3180" s="25"/>
      <c r="G3180" s="25"/>
      <c r="H3180" s="25"/>
      <c r="I3180" s="25"/>
      <c r="J3180" s="25"/>
    </row>
    <row r="3181" spans="1:10" ht="14.4">
      <c r="A3181" s="25"/>
      <c r="B3181" s="25"/>
      <c r="C3181" s="25"/>
      <c r="D3181" s="25"/>
      <c r="E3181" s="25"/>
      <c r="F3181" s="25"/>
      <c r="G3181" s="25"/>
      <c r="H3181" s="25"/>
      <c r="I3181" s="25"/>
      <c r="J3181" s="25"/>
    </row>
    <row r="3182" spans="1:10" ht="14.4">
      <c r="A3182" s="25"/>
      <c r="B3182" s="25"/>
      <c r="C3182" s="25"/>
      <c r="D3182" s="25"/>
      <c r="E3182" s="25"/>
      <c r="F3182" s="25"/>
      <c r="G3182" s="25"/>
      <c r="H3182" s="25"/>
      <c r="I3182" s="25"/>
      <c r="J3182" s="25"/>
    </row>
    <row r="3183" spans="1:10" ht="14.4">
      <c r="A3183" s="25"/>
      <c r="B3183" s="25"/>
      <c r="C3183" s="25"/>
      <c r="D3183" s="25"/>
      <c r="E3183" s="25"/>
      <c r="F3183" s="25"/>
      <c r="G3183" s="25"/>
      <c r="H3183" s="25"/>
      <c r="I3183" s="25"/>
      <c r="J3183" s="25"/>
    </row>
    <row r="3184" spans="1:10" ht="14.4">
      <c r="A3184" s="25"/>
      <c r="B3184" s="25"/>
      <c r="C3184" s="25"/>
      <c r="D3184" s="25"/>
      <c r="E3184" s="25"/>
      <c r="F3184" s="25"/>
      <c r="G3184" s="25"/>
      <c r="H3184" s="25"/>
      <c r="I3184" s="25"/>
      <c r="J3184" s="25"/>
    </row>
    <row r="3185" spans="1:10" ht="14.4">
      <c r="A3185" s="25"/>
      <c r="B3185" s="25"/>
      <c r="C3185" s="25"/>
      <c r="D3185" s="25"/>
      <c r="E3185" s="25"/>
      <c r="F3185" s="25"/>
      <c r="G3185" s="25"/>
      <c r="H3185" s="25"/>
      <c r="I3185" s="25"/>
      <c r="J3185" s="25"/>
    </row>
    <row r="3186" spans="1:10" ht="14.4">
      <c r="A3186" s="25"/>
      <c r="B3186" s="25"/>
      <c r="C3186" s="25"/>
      <c r="D3186" s="25"/>
      <c r="E3186" s="25"/>
      <c r="F3186" s="25"/>
      <c r="G3186" s="25"/>
      <c r="H3186" s="25"/>
      <c r="I3186" s="25"/>
      <c r="J3186" s="25"/>
    </row>
    <row r="3187" spans="1:10" ht="14.4">
      <c r="A3187" s="25"/>
      <c r="B3187" s="25"/>
      <c r="C3187" s="25"/>
      <c r="D3187" s="25"/>
      <c r="E3187" s="25"/>
      <c r="F3187" s="25"/>
      <c r="G3187" s="25"/>
      <c r="H3187" s="25"/>
      <c r="I3187" s="25"/>
      <c r="J3187" s="25"/>
    </row>
    <row r="3188" spans="1:10" ht="14.4">
      <c r="A3188" s="25"/>
      <c r="B3188" s="25"/>
      <c r="C3188" s="25"/>
      <c r="D3188" s="25"/>
      <c r="E3188" s="25"/>
      <c r="F3188" s="25"/>
      <c r="G3188" s="25"/>
      <c r="H3188" s="25"/>
      <c r="I3188" s="25"/>
      <c r="J3188" s="25"/>
    </row>
    <row r="3189" spans="1:10" ht="14.4">
      <c r="A3189" s="25"/>
      <c r="B3189" s="25"/>
      <c r="C3189" s="25"/>
      <c r="D3189" s="25"/>
      <c r="E3189" s="25"/>
      <c r="F3189" s="25"/>
      <c r="G3189" s="25"/>
      <c r="H3189" s="25"/>
      <c r="I3189" s="25"/>
      <c r="J3189" s="25"/>
    </row>
    <row r="3190" spans="1:10" ht="14.4">
      <c r="A3190" s="25"/>
      <c r="B3190" s="25"/>
      <c r="C3190" s="25"/>
      <c r="D3190" s="25"/>
      <c r="E3190" s="25"/>
      <c r="F3190" s="25"/>
      <c r="G3190" s="25"/>
      <c r="H3190" s="25"/>
      <c r="I3190" s="25"/>
      <c r="J3190" s="25"/>
    </row>
    <row r="3191" spans="1:10" ht="14.4">
      <c r="A3191" s="25"/>
      <c r="B3191" s="25"/>
      <c r="C3191" s="25"/>
      <c r="D3191" s="25"/>
      <c r="E3191" s="25"/>
      <c r="F3191" s="25"/>
      <c r="G3191" s="25"/>
      <c r="H3191" s="25"/>
      <c r="I3191" s="25"/>
      <c r="J3191" s="25"/>
    </row>
    <row r="3192" spans="1:10" ht="14.4">
      <c r="A3192" s="25"/>
      <c r="B3192" s="25"/>
      <c r="C3192" s="25"/>
      <c r="D3192" s="25"/>
      <c r="E3192" s="25"/>
      <c r="F3192" s="25"/>
      <c r="G3192" s="25"/>
      <c r="H3192" s="25"/>
      <c r="I3192" s="25"/>
      <c r="J3192" s="25"/>
    </row>
    <row r="3193" spans="1:10" ht="14.4">
      <c r="A3193" s="25"/>
      <c r="B3193" s="25"/>
      <c r="C3193" s="25"/>
      <c r="D3193" s="25"/>
      <c r="E3193" s="25"/>
      <c r="F3193" s="25"/>
      <c r="G3193" s="25"/>
      <c r="H3193" s="25"/>
      <c r="I3193" s="25"/>
      <c r="J3193" s="25"/>
    </row>
    <row r="3194" spans="1:10" ht="14.4">
      <c r="A3194" s="25"/>
      <c r="B3194" s="25"/>
      <c r="C3194" s="25"/>
      <c r="D3194" s="25"/>
      <c r="E3194" s="25"/>
      <c r="F3194" s="25"/>
      <c r="G3194" s="25"/>
      <c r="H3194" s="25"/>
      <c r="I3194" s="25"/>
      <c r="J3194" s="25"/>
    </row>
    <row r="3195" spans="1:10" ht="14.4">
      <c r="A3195" s="25"/>
      <c r="B3195" s="25"/>
      <c r="C3195" s="25"/>
      <c r="D3195" s="25"/>
      <c r="E3195" s="25"/>
      <c r="F3195" s="25"/>
      <c r="G3195" s="25"/>
      <c r="H3195" s="25"/>
      <c r="I3195" s="25"/>
      <c r="J3195" s="25"/>
    </row>
    <row r="3196" spans="1:10" ht="14.4">
      <c r="A3196" s="25"/>
      <c r="B3196" s="25"/>
      <c r="C3196" s="25"/>
      <c r="D3196" s="25"/>
      <c r="E3196" s="25"/>
      <c r="F3196" s="25"/>
      <c r="G3196" s="25"/>
      <c r="H3196" s="25"/>
      <c r="I3196" s="25"/>
      <c r="J3196" s="25"/>
    </row>
    <row r="3197" spans="1:10" ht="14.4">
      <c r="A3197" s="25"/>
      <c r="B3197" s="25"/>
      <c r="C3197" s="25"/>
      <c r="D3197" s="25"/>
      <c r="E3197" s="25"/>
      <c r="F3197" s="25"/>
      <c r="G3197" s="25"/>
      <c r="H3197" s="25"/>
      <c r="I3197" s="25"/>
      <c r="J3197" s="25"/>
    </row>
    <row r="3198" spans="1:10" ht="14.4">
      <c r="A3198" s="25"/>
      <c r="B3198" s="25"/>
      <c r="C3198" s="25"/>
      <c r="D3198" s="25"/>
      <c r="E3198" s="25"/>
      <c r="F3198" s="25"/>
      <c r="G3198" s="25"/>
      <c r="H3198" s="25"/>
      <c r="I3198" s="25"/>
      <c r="J3198" s="25"/>
    </row>
    <row r="3199" spans="1:10" ht="14.4">
      <c r="A3199" s="25"/>
      <c r="B3199" s="25"/>
      <c r="C3199" s="25"/>
      <c r="D3199" s="25"/>
      <c r="E3199" s="25"/>
      <c r="F3199" s="25"/>
      <c r="G3199" s="25"/>
      <c r="H3199" s="25"/>
      <c r="I3199" s="25"/>
      <c r="J3199" s="25"/>
    </row>
    <row r="3200" spans="1:10" ht="14.4">
      <c r="A3200" s="25"/>
      <c r="B3200" s="25"/>
      <c r="C3200" s="25"/>
      <c r="D3200" s="25"/>
      <c r="E3200" s="25"/>
      <c r="F3200" s="25"/>
      <c r="G3200" s="25"/>
      <c r="H3200" s="25"/>
      <c r="I3200" s="25"/>
      <c r="J3200" s="25"/>
    </row>
    <row r="3201" spans="1:10" ht="14.4">
      <c r="A3201" s="25"/>
      <c r="B3201" s="25"/>
      <c r="C3201" s="25"/>
      <c r="D3201" s="25"/>
      <c r="E3201" s="25"/>
      <c r="F3201" s="25"/>
      <c r="G3201" s="25"/>
      <c r="H3201" s="25"/>
      <c r="I3201" s="25"/>
      <c r="J3201" s="25"/>
    </row>
    <row r="3202" spans="1:10" ht="14.4">
      <c r="A3202" s="25"/>
      <c r="B3202" s="25"/>
      <c r="C3202" s="25"/>
      <c r="D3202" s="25"/>
      <c r="E3202" s="25"/>
      <c r="F3202" s="25"/>
      <c r="G3202" s="25"/>
      <c r="H3202" s="25"/>
      <c r="I3202" s="25"/>
      <c r="J3202" s="25"/>
    </row>
    <row r="3203" spans="1:10" ht="14.4">
      <c r="A3203" s="25"/>
      <c r="B3203" s="25"/>
      <c r="C3203" s="25"/>
      <c r="D3203" s="25"/>
      <c r="E3203" s="25"/>
      <c r="F3203" s="25"/>
      <c r="G3203" s="25"/>
      <c r="H3203" s="25"/>
      <c r="I3203" s="25"/>
      <c r="J3203" s="25"/>
    </row>
    <row r="3204" spans="1:10" ht="14.4">
      <c r="A3204" s="25"/>
      <c r="B3204" s="25"/>
      <c r="C3204" s="25"/>
      <c r="D3204" s="25"/>
      <c r="E3204" s="25"/>
      <c r="F3204" s="25"/>
      <c r="G3204" s="25"/>
      <c r="H3204" s="25"/>
      <c r="I3204" s="25"/>
      <c r="J3204" s="25"/>
    </row>
    <row r="3205" spans="1:10" ht="14.4">
      <c r="A3205" s="25"/>
      <c r="B3205" s="25"/>
      <c r="C3205" s="25"/>
      <c r="D3205" s="25"/>
      <c r="E3205" s="25"/>
      <c r="F3205" s="25"/>
      <c r="G3205" s="25"/>
      <c r="H3205" s="25"/>
      <c r="I3205" s="25"/>
      <c r="J3205" s="25"/>
    </row>
    <row r="3206" spans="1:10" ht="14.4">
      <c r="A3206" s="25"/>
      <c r="B3206" s="25"/>
      <c r="C3206" s="25"/>
      <c r="D3206" s="25"/>
      <c r="E3206" s="25"/>
      <c r="F3206" s="25"/>
      <c r="G3206" s="25"/>
      <c r="H3206" s="25"/>
      <c r="I3206" s="25"/>
      <c r="J3206" s="25"/>
    </row>
    <row r="3207" spans="1:10" ht="14.4">
      <c r="A3207" s="25"/>
      <c r="B3207" s="25"/>
      <c r="C3207" s="25"/>
      <c r="D3207" s="25"/>
      <c r="E3207" s="25"/>
      <c r="F3207" s="25"/>
      <c r="G3207" s="25"/>
      <c r="H3207" s="25"/>
      <c r="I3207" s="25"/>
      <c r="J3207" s="25"/>
    </row>
    <row r="3208" spans="1:10" ht="14.4">
      <c r="A3208" s="25"/>
      <c r="B3208" s="25"/>
      <c r="C3208" s="25"/>
      <c r="D3208" s="25"/>
      <c r="E3208" s="25"/>
      <c r="F3208" s="25"/>
      <c r="G3208" s="25"/>
      <c r="H3208" s="25"/>
      <c r="I3208" s="25"/>
      <c r="J3208" s="25"/>
    </row>
    <row r="3209" spans="1:10" ht="14.4">
      <c r="A3209" s="25"/>
      <c r="B3209" s="25"/>
      <c r="C3209" s="25"/>
      <c r="D3209" s="25"/>
      <c r="E3209" s="25"/>
      <c r="F3209" s="25"/>
      <c r="G3209" s="25"/>
      <c r="H3209" s="25"/>
      <c r="I3209" s="25"/>
      <c r="J3209" s="25"/>
    </row>
    <row r="3210" spans="1:10" ht="14.4">
      <c r="A3210" s="25"/>
      <c r="B3210" s="25"/>
      <c r="C3210" s="25"/>
      <c r="D3210" s="25"/>
      <c r="E3210" s="25"/>
      <c r="F3210" s="25"/>
      <c r="G3210" s="25"/>
      <c r="H3210" s="25"/>
      <c r="I3210" s="25"/>
      <c r="J3210" s="25"/>
    </row>
    <row r="3211" spans="1:10" ht="14.4">
      <c r="A3211" s="25"/>
      <c r="B3211" s="25"/>
      <c r="C3211" s="25"/>
      <c r="D3211" s="25"/>
      <c r="E3211" s="25"/>
      <c r="F3211" s="25"/>
      <c r="G3211" s="25"/>
      <c r="H3211" s="25"/>
      <c r="I3211" s="25"/>
      <c r="J3211" s="25"/>
    </row>
    <row r="3212" spans="1:10" ht="14.4">
      <c r="A3212" s="25"/>
      <c r="B3212" s="25"/>
      <c r="C3212" s="25"/>
      <c r="D3212" s="25"/>
      <c r="E3212" s="25"/>
      <c r="F3212" s="25"/>
      <c r="G3212" s="25"/>
      <c r="H3212" s="25"/>
      <c r="I3212" s="25"/>
      <c r="J3212" s="25"/>
    </row>
    <row r="3213" spans="1:10" ht="14.4">
      <c r="A3213" s="25"/>
      <c r="B3213" s="25"/>
      <c r="C3213" s="25"/>
      <c r="D3213" s="25"/>
      <c r="E3213" s="25"/>
      <c r="F3213" s="25"/>
      <c r="G3213" s="25"/>
      <c r="H3213" s="25"/>
      <c r="I3213" s="25"/>
      <c r="J3213" s="25"/>
    </row>
    <row r="3214" spans="1:10" ht="14.4">
      <c r="A3214" s="25"/>
      <c r="B3214" s="25"/>
      <c r="C3214" s="25"/>
      <c r="D3214" s="25"/>
      <c r="E3214" s="25"/>
      <c r="F3214" s="25"/>
      <c r="G3214" s="25"/>
      <c r="H3214" s="25"/>
      <c r="I3214" s="25"/>
      <c r="J3214" s="25"/>
    </row>
    <row r="3215" spans="1:10" ht="14.4">
      <c r="A3215" s="25"/>
      <c r="B3215" s="25"/>
      <c r="C3215" s="25"/>
      <c r="D3215" s="25"/>
      <c r="E3215" s="25"/>
      <c r="F3215" s="25"/>
      <c r="G3215" s="25"/>
      <c r="H3215" s="25"/>
      <c r="I3215" s="25"/>
      <c r="J3215" s="25"/>
    </row>
    <row r="3216" spans="1:10" ht="14.4">
      <c r="A3216" s="25"/>
      <c r="B3216" s="25"/>
      <c r="C3216" s="25"/>
      <c r="D3216" s="25"/>
      <c r="E3216" s="25"/>
      <c r="F3216" s="25"/>
      <c r="G3216" s="25"/>
      <c r="H3216" s="25"/>
      <c r="I3216" s="25"/>
      <c r="J3216" s="25"/>
    </row>
    <row r="3217" spans="1:10" ht="14.4">
      <c r="A3217" s="25"/>
      <c r="B3217" s="25"/>
      <c r="C3217" s="25"/>
      <c r="D3217" s="25"/>
      <c r="E3217" s="25"/>
      <c r="F3217" s="25"/>
      <c r="G3217" s="25"/>
      <c r="H3217" s="25"/>
      <c r="I3217" s="25"/>
      <c r="J3217" s="25"/>
    </row>
    <row r="3218" spans="1:10" ht="14.4">
      <c r="A3218" s="25"/>
      <c r="B3218" s="25"/>
      <c r="C3218" s="25"/>
      <c r="D3218" s="25"/>
      <c r="E3218" s="25"/>
      <c r="F3218" s="25"/>
      <c r="G3218" s="25"/>
      <c r="H3218" s="25"/>
      <c r="I3218" s="25"/>
      <c r="J3218" s="25"/>
    </row>
    <row r="3219" spans="1:10" ht="14.4">
      <c r="A3219" s="25"/>
      <c r="B3219" s="25"/>
      <c r="C3219" s="25"/>
      <c r="D3219" s="25"/>
      <c r="E3219" s="25"/>
      <c r="F3219" s="25"/>
      <c r="G3219" s="25"/>
      <c r="H3219" s="25"/>
      <c r="I3219" s="25"/>
      <c r="J3219" s="25"/>
    </row>
    <row r="3220" spans="1:10" ht="14.4">
      <c r="A3220" s="25"/>
      <c r="B3220" s="25"/>
      <c r="C3220" s="25"/>
      <c r="D3220" s="25"/>
      <c r="E3220" s="25"/>
      <c r="F3220" s="25"/>
      <c r="G3220" s="25"/>
      <c r="H3220" s="25"/>
      <c r="I3220" s="25"/>
      <c r="J3220" s="25"/>
    </row>
    <row r="3221" spans="1:10" ht="14.4">
      <c r="A3221" s="25"/>
      <c r="B3221" s="25"/>
      <c r="C3221" s="25"/>
      <c r="D3221" s="25"/>
      <c r="E3221" s="25"/>
      <c r="F3221" s="25"/>
      <c r="G3221" s="25"/>
      <c r="H3221" s="25"/>
      <c r="I3221" s="25"/>
      <c r="J3221" s="25"/>
    </row>
    <row r="3222" spans="1:10" ht="14.4">
      <c r="A3222" s="25"/>
      <c r="B3222" s="25"/>
      <c r="C3222" s="25"/>
      <c r="D3222" s="25"/>
      <c r="E3222" s="25"/>
      <c r="F3222" s="25"/>
      <c r="G3222" s="25"/>
      <c r="H3222" s="25"/>
      <c r="I3222" s="25"/>
      <c r="J3222" s="25"/>
    </row>
    <row r="3223" spans="1:10" ht="14.4">
      <c r="A3223" s="25"/>
      <c r="B3223" s="25"/>
      <c r="C3223" s="25"/>
      <c r="D3223" s="25"/>
      <c r="E3223" s="25"/>
      <c r="F3223" s="25"/>
      <c r="G3223" s="25"/>
      <c r="H3223" s="25"/>
      <c r="I3223" s="25"/>
      <c r="J3223" s="25"/>
    </row>
    <row r="3224" spans="1:10" ht="14.4">
      <c r="A3224" s="25"/>
      <c r="B3224" s="25"/>
      <c r="C3224" s="25"/>
      <c r="D3224" s="25"/>
      <c r="E3224" s="25"/>
      <c r="F3224" s="25"/>
      <c r="G3224" s="25"/>
      <c r="H3224" s="25"/>
      <c r="I3224" s="25"/>
      <c r="J3224" s="25"/>
    </row>
    <row r="3225" spans="1:10" ht="14.4">
      <c r="A3225" s="25"/>
      <c r="B3225" s="25"/>
      <c r="C3225" s="25"/>
      <c r="D3225" s="25"/>
      <c r="E3225" s="25"/>
      <c r="F3225" s="25"/>
      <c r="G3225" s="25"/>
      <c r="H3225" s="25"/>
      <c r="I3225" s="25"/>
      <c r="J3225" s="25"/>
    </row>
    <row r="3226" spans="1:10" ht="14.4">
      <c r="A3226" s="25"/>
      <c r="B3226" s="25"/>
      <c r="C3226" s="25"/>
      <c r="D3226" s="25"/>
      <c r="E3226" s="25"/>
      <c r="F3226" s="25"/>
      <c r="G3226" s="25"/>
      <c r="H3226" s="25"/>
      <c r="I3226" s="25"/>
      <c r="J3226" s="25"/>
    </row>
    <row r="3227" spans="1:10" ht="14.4">
      <c r="A3227" s="25"/>
      <c r="B3227" s="25"/>
      <c r="C3227" s="25"/>
      <c r="D3227" s="25"/>
      <c r="E3227" s="25"/>
      <c r="F3227" s="25"/>
      <c r="G3227" s="25"/>
      <c r="H3227" s="25"/>
      <c r="I3227" s="25"/>
      <c r="J3227" s="25"/>
    </row>
    <row r="3228" spans="1:10" ht="14.4">
      <c r="A3228" s="25"/>
      <c r="B3228" s="25"/>
      <c r="C3228" s="25"/>
      <c r="D3228" s="25"/>
      <c r="E3228" s="25"/>
      <c r="F3228" s="25"/>
      <c r="G3228" s="25"/>
      <c r="H3228" s="25"/>
      <c r="I3228" s="25"/>
      <c r="J3228" s="25"/>
    </row>
    <row r="3229" spans="1:10" ht="14.4">
      <c r="A3229" s="25"/>
      <c r="B3229" s="25"/>
      <c r="C3229" s="25"/>
      <c r="D3229" s="25"/>
      <c r="E3229" s="25"/>
      <c r="F3229" s="25"/>
      <c r="G3229" s="25"/>
      <c r="H3229" s="25"/>
      <c r="I3229" s="25"/>
      <c r="J3229" s="25"/>
    </row>
    <row r="3230" spans="1:10" ht="14.4">
      <c r="A3230" s="25"/>
      <c r="B3230" s="25"/>
      <c r="C3230" s="25"/>
      <c r="D3230" s="25"/>
      <c r="E3230" s="25"/>
      <c r="F3230" s="25"/>
      <c r="G3230" s="25"/>
      <c r="H3230" s="25"/>
      <c r="I3230" s="25"/>
      <c r="J3230" s="25"/>
    </row>
    <row r="3231" spans="1:10" ht="14.4">
      <c r="A3231" s="25"/>
      <c r="B3231" s="25"/>
      <c r="C3231" s="25"/>
      <c r="D3231" s="25"/>
      <c r="E3231" s="25"/>
      <c r="F3231" s="25"/>
      <c r="G3231" s="25"/>
      <c r="H3231" s="25"/>
      <c r="I3231" s="25"/>
      <c r="J3231" s="25"/>
    </row>
    <row r="3232" spans="1:10" ht="14.4">
      <c r="A3232" s="25"/>
      <c r="B3232" s="25"/>
      <c r="C3232" s="25"/>
      <c r="D3232" s="25"/>
      <c r="E3232" s="25"/>
      <c r="F3232" s="25"/>
      <c r="G3232" s="25"/>
      <c r="H3232" s="25"/>
      <c r="I3232" s="25"/>
      <c r="J3232" s="25"/>
    </row>
    <row r="3233" spans="1:10" ht="14.4">
      <c r="A3233" s="25"/>
      <c r="B3233" s="25"/>
      <c r="C3233" s="25"/>
      <c r="D3233" s="25"/>
      <c r="E3233" s="25"/>
      <c r="F3233" s="25"/>
      <c r="G3233" s="25"/>
      <c r="H3233" s="25"/>
      <c r="I3233" s="25"/>
      <c r="J3233" s="25"/>
    </row>
    <row r="3234" spans="1:10" ht="14.4">
      <c r="A3234" s="25"/>
      <c r="B3234" s="25"/>
      <c r="C3234" s="25"/>
      <c r="D3234" s="25"/>
      <c r="E3234" s="25"/>
      <c r="F3234" s="25"/>
      <c r="G3234" s="25"/>
      <c r="H3234" s="25"/>
      <c r="I3234" s="25"/>
      <c r="J3234" s="25"/>
    </row>
    <row r="3235" spans="1:10" ht="14.4">
      <c r="A3235" s="25"/>
      <c r="B3235" s="25"/>
      <c r="C3235" s="25"/>
      <c r="D3235" s="25"/>
      <c r="E3235" s="25"/>
      <c r="F3235" s="25"/>
      <c r="G3235" s="25"/>
      <c r="H3235" s="25"/>
      <c r="I3235" s="25"/>
      <c r="J3235" s="25"/>
    </row>
    <row r="3236" spans="1:10" ht="14.4">
      <c r="A3236" s="25"/>
      <c r="B3236" s="25"/>
      <c r="C3236" s="25"/>
      <c r="D3236" s="25"/>
      <c r="E3236" s="25"/>
      <c r="F3236" s="25"/>
      <c r="G3236" s="25"/>
      <c r="H3236" s="25"/>
      <c r="I3236" s="25"/>
      <c r="J3236" s="25"/>
    </row>
    <row r="3237" spans="1:10" ht="14.4">
      <c r="A3237" s="25"/>
      <c r="B3237" s="25"/>
      <c r="C3237" s="25"/>
      <c r="D3237" s="25"/>
      <c r="E3237" s="25"/>
      <c r="F3237" s="25"/>
      <c r="G3237" s="25"/>
      <c r="H3237" s="25"/>
      <c r="I3237" s="25"/>
      <c r="J3237" s="25"/>
    </row>
    <row r="3238" spans="1:10" ht="14.4">
      <c r="A3238" s="25"/>
      <c r="B3238" s="25"/>
      <c r="C3238" s="25"/>
      <c r="D3238" s="25"/>
      <c r="E3238" s="25"/>
      <c r="F3238" s="25"/>
      <c r="G3238" s="25"/>
      <c r="H3238" s="25"/>
      <c r="I3238" s="25"/>
      <c r="J3238" s="25"/>
    </row>
    <row r="3239" spans="1:10" ht="14.4">
      <c r="A3239" s="25"/>
      <c r="B3239" s="25"/>
      <c r="C3239" s="25"/>
      <c r="D3239" s="25"/>
      <c r="E3239" s="25"/>
      <c r="F3239" s="25"/>
      <c r="G3239" s="25"/>
      <c r="H3239" s="25"/>
      <c r="I3239" s="25"/>
      <c r="J3239" s="25"/>
    </row>
    <row r="3240" spans="1:10" ht="14.4">
      <c r="A3240" s="25"/>
      <c r="B3240" s="25"/>
      <c r="C3240" s="25"/>
      <c r="D3240" s="25"/>
      <c r="E3240" s="25"/>
      <c r="F3240" s="25"/>
      <c r="G3240" s="25"/>
      <c r="H3240" s="25"/>
      <c r="I3240" s="25"/>
      <c r="J3240" s="25"/>
    </row>
    <row r="3241" spans="1:10" ht="14.4">
      <c r="A3241" s="25"/>
      <c r="B3241" s="25"/>
      <c r="C3241" s="25"/>
      <c r="D3241" s="25"/>
      <c r="E3241" s="25"/>
      <c r="F3241" s="25"/>
      <c r="G3241" s="25"/>
      <c r="H3241" s="25"/>
      <c r="I3241" s="25"/>
      <c r="J3241" s="25"/>
    </row>
    <row r="3242" spans="1:10" ht="14.4">
      <c r="A3242" s="25"/>
      <c r="B3242" s="25"/>
      <c r="C3242" s="25"/>
      <c r="D3242" s="25"/>
      <c r="E3242" s="25"/>
      <c r="F3242" s="25"/>
      <c r="G3242" s="25"/>
      <c r="H3242" s="25"/>
      <c r="I3242" s="25"/>
      <c r="J3242" s="25"/>
    </row>
    <row r="3243" spans="1:10" ht="14.4">
      <c r="A3243" s="25"/>
      <c r="B3243" s="25"/>
      <c r="C3243" s="25"/>
      <c r="D3243" s="25"/>
      <c r="E3243" s="25"/>
      <c r="F3243" s="25"/>
      <c r="G3243" s="25"/>
      <c r="H3243" s="25"/>
      <c r="I3243" s="25"/>
      <c r="J3243" s="25"/>
    </row>
    <row r="3244" spans="1:10" ht="14.4">
      <c r="A3244" s="25"/>
      <c r="B3244" s="25"/>
      <c r="C3244" s="25"/>
      <c r="D3244" s="25"/>
      <c r="E3244" s="25"/>
      <c r="F3244" s="25"/>
      <c r="G3244" s="25"/>
      <c r="H3244" s="25"/>
      <c r="I3244" s="25"/>
      <c r="J3244" s="25"/>
    </row>
    <row r="3245" spans="1:10" ht="14.4">
      <c r="A3245" s="25"/>
      <c r="B3245" s="25"/>
      <c r="C3245" s="25"/>
      <c r="D3245" s="25"/>
      <c r="E3245" s="25"/>
      <c r="F3245" s="25"/>
      <c r="G3245" s="25"/>
      <c r="H3245" s="25"/>
      <c r="I3245" s="25"/>
      <c r="J3245" s="25"/>
    </row>
    <row r="3246" spans="1:10" ht="14.4">
      <c r="A3246" s="25"/>
      <c r="B3246" s="25"/>
      <c r="C3246" s="25"/>
      <c r="D3246" s="25"/>
      <c r="E3246" s="25"/>
      <c r="F3246" s="25"/>
      <c r="G3246" s="25"/>
      <c r="H3246" s="25"/>
      <c r="I3246" s="25"/>
      <c r="J3246" s="25"/>
    </row>
    <row r="3247" spans="1:10" ht="14.4">
      <c r="A3247" s="25"/>
      <c r="B3247" s="25"/>
      <c r="C3247" s="25"/>
      <c r="D3247" s="25"/>
      <c r="E3247" s="25"/>
      <c r="F3247" s="25"/>
      <c r="G3247" s="25"/>
      <c r="H3247" s="25"/>
      <c r="I3247" s="25"/>
      <c r="J3247" s="25"/>
    </row>
    <row r="3248" spans="1:10" ht="14.4">
      <c r="A3248" s="25"/>
      <c r="B3248" s="25"/>
      <c r="C3248" s="25"/>
      <c r="D3248" s="25"/>
      <c r="E3248" s="25"/>
      <c r="F3248" s="25"/>
      <c r="G3248" s="25"/>
      <c r="H3248" s="25"/>
      <c r="I3248" s="25"/>
      <c r="J3248" s="25"/>
    </row>
    <row r="3249" spans="1:10" ht="14.4">
      <c r="A3249" s="25"/>
      <c r="B3249" s="25"/>
      <c r="C3249" s="25"/>
      <c r="D3249" s="25"/>
      <c r="E3249" s="25"/>
      <c r="F3249" s="25"/>
      <c r="G3249" s="25"/>
      <c r="H3249" s="25"/>
      <c r="I3249" s="25"/>
      <c r="J3249" s="25"/>
    </row>
    <row r="3250" spans="1:10" ht="14.4">
      <c r="A3250" s="25"/>
      <c r="B3250" s="25"/>
      <c r="C3250" s="25"/>
      <c r="D3250" s="25"/>
      <c r="E3250" s="25"/>
      <c r="F3250" s="25"/>
      <c r="G3250" s="25"/>
      <c r="H3250" s="25"/>
      <c r="I3250" s="25"/>
      <c r="J3250" s="25"/>
    </row>
    <row r="3251" spans="1:10" ht="14.4">
      <c r="A3251" s="25"/>
      <c r="B3251" s="25"/>
      <c r="C3251" s="25"/>
      <c r="D3251" s="25"/>
      <c r="E3251" s="25"/>
      <c r="F3251" s="25"/>
      <c r="G3251" s="25"/>
      <c r="H3251" s="25"/>
      <c r="I3251" s="25"/>
      <c r="J3251" s="25"/>
    </row>
    <row r="3252" spans="1:10" ht="14.4">
      <c r="A3252" s="25"/>
      <c r="B3252" s="25"/>
      <c r="C3252" s="25"/>
      <c r="D3252" s="25"/>
      <c r="E3252" s="25"/>
      <c r="F3252" s="25"/>
      <c r="G3252" s="25"/>
      <c r="H3252" s="25"/>
      <c r="I3252" s="25"/>
      <c r="J3252" s="25"/>
    </row>
    <row r="3253" spans="1:10" ht="14.4">
      <c r="A3253" s="25"/>
      <c r="B3253" s="25"/>
      <c r="C3253" s="25"/>
      <c r="D3253" s="25"/>
      <c r="E3253" s="25"/>
      <c r="F3253" s="25"/>
      <c r="G3253" s="25"/>
      <c r="H3253" s="25"/>
      <c r="I3253" s="25"/>
      <c r="J3253" s="25"/>
    </row>
    <row r="3254" spans="1:10" ht="14.4">
      <c r="A3254" s="25"/>
      <c r="B3254" s="25"/>
      <c r="C3254" s="25"/>
      <c r="D3254" s="25"/>
      <c r="E3254" s="25"/>
      <c r="F3254" s="25"/>
      <c r="G3254" s="25"/>
      <c r="H3254" s="25"/>
      <c r="I3254" s="25"/>
      <c r="J3254" s="25"/>
    </row>
    <row r="3255" spans="1:10" ht="14.4">
      <c r="A3255" s="25"/>
      <c r="B3255" s="25"/>
      <c r="C3255" s="25"/>
      <c r="D3255" s="25"/>
      <c r="E3255" s="25"/>
      <c r="F3255" s="25"/>
      <c r="G3255" s="25"/>
      <c r="H3255" s="25"/>
      <c r="I3255" s="25"/>
      <c r="J3255" s="25"/>
    </row>
    <row r="3256" spans="1:10" ht="14.4">
      <c r="A3256" s="25"/>
      <c r="B3256" s="25"/>
      <c r="C3256" s="25"/>
      <c r="D3256" s="25"/>
      <c r="E3256" s="25"/>
      <c r="F3256" s="25"/>
      <c r="G3256" s="25"/>
      <c r="H3256" s="25"/>
      <c r="I3256" s="25"/>
      <c r="J3256" s="25"/>
    </row>
    <row r="3257" spans="1:10" ht="14.4">
      <c r="A3257" s="25"/>
      <c r="B3257" s="25"/>
      <c r="C3257" s="25"/>
      <c r="D3257" s="25"/>
      <c r="E3257" s="25"/>
      <c r="F3257" s="25"/>
      <c r="G3257" s="25"/>
      <c r="H3257" s="25"/>
      <c r="I3257" s="25"/>
      <c r="J3257" s="25"/>
    </row>
    <row r="3258" spans="1:10" ht="14.4">
      <c r="A3258" s="25"/>
      <c r="B3258" s="25"/>
      <c r="C3258" s="25"/>
      <c r="D3258" s="25"/>
      <c r="E3258" s="25"/>
      <c r="F3258" s="25"/>
      <c r="G3258" s="25"/>
      <c r="H3258" s="25"/>
      <c r="I3258" s="25"/>
      <c r="J3258" s="25"/>
    </row>
    <row r="3259" spans="1:10" ht="14.4">
      <c r="A3259" s="25"/>
      <c r="B3259" s="25"/>
      <c r="C3259" s="25"/>
      <c r="D3259" s="25"/>
      <c r="E3259" s="25"/>
      <c r="F3259" s="25"/>
      <c r="G3259" s="25"/>
      <c r="H3259" s="25"/>
      <c r="I3259" s="25"/>
      <c r="J3259" s="25"/>
    </row>
    <row r="3260" spans="1:10" ht="14.4">
      <c r="A3260" s="25"/>
      <c r="B3260" s="25"/>
      <c r="C3260" s="25"/>
      <c r="D3260" s="25"/>
      <c r="E3260" s="25"/>
      <c r="F3260" s="25"/>
      <c r="G3260" s="25"/>
      <c r="H3260" s="25"/>
      <c r="I3260" s="25"/>
      <c r="J3260" s="25"/>
    </row>
    <row r="3261" spans="1:10" ht="14.4">
      <c r="A3261" s="25"/>
      <c r="B3261" s="25"/>
      <c r="C3261" s="25"/>
      <c r="D3261" s="25"/>
      <c r="E3261" s="25"/>
      <c r="F3261" s="25"/>
      <c r="G3261" s="25"/>
      <c r="H3261" s="25"/>
      <c r="I3261" s="25"/>
      <c r="J3261" s="25"/>
    </row>
    <row r="3262" spans="1:10" ht="14.4">
      <c r="A3262" s="25"/>
      <c r="B3262" s="25"/>
      <c r="C3262" s="25"/>
      <c r="D3262" s="25"/>
      <c r="E3262" s="25"/>
      <c r="F3262" s="25"/>
      <c r="G3262" s="25"/>
      <c r="H3262" s="25"/>
      <c r="I3262" s="25"/>
      <c r="J3262" s="25"/>
    </row>
    <row r="3263" spans="1:10" ht="14.4">
      <c r="A3263" s="25"/>
      <c r="B3263" s="25"/>
      <c r="C3263" s="25"/>
      <c r="D3263" s="25"/>
      <c r="E3263" s="25"/>
      <c r="F3263" s="25"/>
      <c r="G3263" s="25"/>
      <c r="H3263" s="25"/>
      <c r="I3263" s="25"/>
      <c r="J3263" s="25"/>
    </row>
    <row r="3264" spans="1:10" ht="14.4">
      <c r="A3264" s="25"/>
      <c r="B3264" s="25"/>
      <c r="C3264" s="25"/>
      <c r="D3264" s="25"/>
      <c r="E3264" s="25"/>
      <c r="F3264" s="25"/>
      <c r="G3264" s="25"/>
      <c r="H3264" s="25"/>
      <c r="I3264" s="25"/>
      <c r="J3264" s="25"/>
    </row>
    <row r="3265" spans="1:10" ht="14.4">
      <c r="A3265" s="25"/>
      <c r="B3265" s="25"/>
      <c r="C3265" s="25"/>
      <c r="D3265" s="25"/>
      <c r="E3265" s="25"/>
      <c r="F3265" s="25"/>
      <c r="G3265" s="25"/>
      <c r="H3265" s="25"/>
      <c r="I3265" s="25"/>
      <c r="J3265" s="25"/>
    </row>
    <row r="3266" spans="1:10" ht="14.4">
      <c r="A3266" s="25"/>
      <c r="B3266" s="25"/>
      <c r="C3266" s="25"/>
      <c r="D3266" s="25"/>
      <c r="E3266" s="25"/>
      <c r="F3266" s="25"/>
      <c r="G3266" s="25"/>
      <c r="H3266" s="25"/>
      <c r="I3266" s="25"/>
      <c r="J3266" s="25"/>
    </row>
    <row r="3267" spans="1:10" ht="14.4">
      <c r="A3267" s="25"/>
      <c r="B3267" s="25"/>
      <c r="C3267" s="25"/>
      <c r="D3267" s="25"/>
      <c r="E3267" s="25"/>
      <c r="F3267" s="25"/>
      <c r="G3267" s="25"/>
      <c r="H3267" s="25"/>
      <c r="I3267" s="25"/>
      <c r="J3267" s="25"/>
    </row>
    <row r="3268" spans="1:10" ht="14.4">
      <c r="A3268" s="25"/>
      <c r="B3268" s="25"/>
      <c r="C3268" s="25"/>
      <c r="D3268" s="25"/>
      <c r="E3268" s="25"/>
      <c r="F3268" s="25"/>
      <c r="G3268" s="25"/>
      <c r="H3268" s="25"/>
      <c r="I3268" s="25"/>
      <c r="J3268" s="25"/>
    </row>
    <row r="3269" spans="1:10" ht="14.4">
      <c r="A3269" s="25"/>
      <c r="B3269" s="25"/>
      <c r="C3269" s="25"/>
      <c r="D3269" s="25"/>
      <c r="E3269" s="25"/>
      <c r="F3269" s="25"/>
      <c r="G3269" s="25"/>
      <c r="H3269" s="25"/>
      <c r="I3269" s="25"/>
      <c r="J3269" s="25"/>
    </row>
    <row r="3270" spans="1:10" ht="14.4">
      <c r="A3270" s="25"/>
      <c r="B3270" s="25"/>
      <c r="C3270" s="25"/>
      <c r="D3270" s="25"/>
      <c r="E3270" s="25"/>
      <c r="F3270" s="25"/>
      <c r="G3270" s="25"/>
      <c r="H3270" s="25"/>
      <c r="I3270" s="25"/>
      <c r="J3270" s="25"/>
    </row>
    <row r="3271" spans="1:10" ht="14.4">
      <c r="A3271" s="25"/>
      <c r="B3271" s="25"/>
      <c r="C3271" s="25"/>
      <c r="D3271" s="25"/>
      <c r="E3271" s="25"/>
      <c r="F3271" s="25"/>
      <c r="G3271" s="25"/>
      <c r="H3271" s="25"/>
      <c r="I3271" s="25"/>
      <c r="J3271" s="25"/>
    </row>
    <row r="3272" spans="1:10" ht="14.4">
      <c r="A3272" s="25"/>
      <c r="B3272" s="25"/>
      <c r="C3272" s="25"/>
      <c r="D3272" s="25"/>
      <c r="E3272" s="25"/>
      <c r="F3272" s="25"/>
      <c r="G3272" s="25"/>
      <c r="H3272" s="25"/>
      <c r="I3272" s="25"/>
      <c r="J3272" s="25"/>
    </row>
    <row r="3273" spans="1:10" ht="14.4">
      <c r="A3273" s="25"/>
      <c r="B3273" s="25"/>
      <c r="C3273" s="25"/>
      <c r="D3273" s="25"/>
      <c r="E3273" s="25"/>
      <c r="F3273" s="25"/>
      <c r="G3273" s="25"/>
      <c r="H3273" s="25"/>
      <c r="I3273" s="25"/>
      <c r="J3273" s="25"/>
    </row>
    <row r="3274" spans="1:10" ht="14.4">
      <c r="A3274" s="25"/>
      <c r="B3274" s="25"/>
      <c r="C3274" s="25"/>
      <c r="D3274" s="25"/>
      <c r="E3274" s="25"/>
      <c r="F3274" s="25"/>
      <c r="G3274" s="25"/>
      <c r="H3274" s="25"/>
      <c r="I3274" s="25"/>
      <c r="J3274" s="25"/>
    </row>
    <row r="3275" spans="1:10" ht="14.4">
      <c r="A3275" s="25"/>
      <c r="B3275" s="25"/>
      <c r="C3275" s="25"/>
      <c r="D3275" s="25"/>
      <c r="E3275" s="25"/>
      <c r="F3275" s="25"/>
      <c r="G3275" s="25"/>
      <c r="H3275" s="25"/>
      <c r="I3275" s="25"/>
      <c r="J3275" s="25"/>
    </row>
    <row r="3276" spans="1:10" ht="14.4">
      <c r="A3276" s="25"/>
      <c r="B3276" s="25"/>
      <c r="C3276" s="25"/>
      <c r="D3276" s="25"/>
      <c r="E3276" s="25"/>
      <c r="F3276" s="25"/>
      <c r="G3276" s="25"/>
      <c r="H3276" s="25"/>
      <c r="I3276" s="25"/>
      <c r="J3276" s="25"/>
    </row>
    <row r="3277" spans="1:10" ht="14.4">
      <c r="A3277" s="25"/>
      <c r="B3277" s="25"/>
      <c r="C3277" s="25"/>
      <c r="D3277" s="25"/>
      <c r="E3277" s="25"/>
      <c r="F3277" s="25"/>
      <c r="G3277" s="25"/>
      <c r="H3277" s="25"/>
      <c r="I3277" s="25"/>
      <c r="J3277" s="25"/>
    </row>
    <row r="3278" spans="1:10" ht="14.4">
      <c r="A3278" s="25"/>
      <c r="B3278" s="25"/>
      <c r="C3278" s="25"/>
      <c r="D3278" s="25"/>
      <c r="E3278" s="25"/>
      <c r="F3278" s="25"/>
      <c r="G3278" s="25"/>
      <c r="H3278" s="25"/>
      <c r="I3278" s="25"/>
      <c r="J3278" s="25"/>
    </row>
    <row r="3279" spans="1:10" ht="14.4">
      <c r="A3279" s="25"/>
      <c r="B3279" s="25"/>
      <c r="C3279" s="25"/>
      <c r="D3279" s="25"/>
      <c r="E3279" s="25"/>
      <c r="F3279" s="25"/>
      <c r="G3279" s="25"/>
      <c r="H3279" s="25"/>
      <c r="I3279" s="25"/>
      <c r="J3279" s="25"/>
    </row>
    <row r="3280" spans="1:10" ht="14.4">
      <c r="A3280" s="25"/>
      <c r="B3280" s="25"/>
      <c r="C3280" s="25"/>
      <c r="D3280" s="25"/>
      <c r="E3280" s="25"/>
      <c r="F3280" s="25"/>
      <c r="G3280" s="25"/>
      <c r="H3280" s="25"/>
      <c r="I3280" s="25"/>
      <c r="J3280" s="25"/>
    </row>
    <row r="3281" spans="1:10" ht="14.4">
      <c r="A3281" s="25"/>
      <c r="B3281" s="25"/>
      <c r="C3281" s="25"/>
      <c r="D3281" s="25"/>
      <c r="E3281" s="25"/>
      <c r="F3281" s="25"/>
      <c r="G3281" s="25"/>
      <c r="H3281" s="25"/>
      <c r="I3281" s="25"/>
      <c r="J3281" s="25"/>
    </row>
    <row r="3282" spans="1:10" ht="14.4">
      <c r="A3282" s="25"/>
      <c r="B3282" s="25"/>
      <c r="C3282" s="25"/>
      <c r="D3282" s="25"/>
      <c r="E3282" s="25"/>
      <c r="F3282" s="25"/>
      <c r="G3282" s="25"/>
      <c r="H3282" s="25"/>
      <c r="I3282" s="25"/>
      <c r="J3282" s="25"/>
    </row>
    <row r="3283" spans="1:10" ht="14.4">
      <c r="A3283" s="25"/>
      <c r="B3283" s="25"/>
      <c r="C3283" s="25"/>
      <c r="D3283" s="25"/>
      <c r="E3283" s="25"/>
      <c r="F3283" s="25"/>
      <c r="G3283" s="25"/>
      <c r="H3283" s="25"/>
      <c r="I3283" s="25"/>
      <c r="J3283" s="25"/>
    </row>
    <row r="3284" spans="1:10" ht="14.4">
      <c r="A3284" s="25"/>
      <c r="B3284" s="25"/>
      <c r="C3284" s="25"/>
      <c r="D3284" s="25"/>
      <c r="E3284" s="25"/>
      <c r="F3284" s="25"/>
      <c r="G3284" s="25"/>
      <c r="H3284" s="25"/>
      <c r="I3284" s="25"/>
      <c r="J3284" s="25"/>
    </row>
    <row r="3285" spans="1:10" ht="14.4">
      <c r="A3285" s="25"/>
      <c r="B3285" s="25"/>
      <c r="C3285" s="25"/>
      <c r="D3285" s="25"/>
      <c r="E3285" s="25"/>
      <c r="F3285" s="25"/>
      <c r="G3285" s="25"/>
      <c r="H3285" s="25"/>
      <c r="I3285" s="25"/>
      <c r="J3285" s="25"/>
    </row>
    <row r="3286" spans="1:10" ht="14.4">
      <c r="A3286" s="25"/>
      <c r="B3286" s="25"/>
      <c r="C3286" s="25"/>
      <c r="D3286" s="25"/>
      <c r="E3286" s="25"/>
      <c r="F3286" s="25"/>
      <c r="G3286" s="25"/>
      <c r="H3286" s="25"/>
      <c r="I3286" s="25"/>
      <c r="J3286" s="25"/>
    </row>
    <row r="3287" spans="1:10" ht="14.4">
      <c r="A3287" s="25"/>
      <c r="B3287" s="25"/>
      <c r="C3287" s="25"/>
      <c r="D3287" s="25"/>
      <c r="E3287" s="25"/>
      <c r="F3287" s="25"/>
      <c r="G3287" s="25"/>
      <c r="H3287" s="25"/>
      <c r="I3287" s="25"/>
      <c r="J3287" s="25"/>
    </row>
    <row r="3288" spans="1:10" ht="14.4">
      <c r="A3288" s="25"/>
      <c r="B3288" s="25"/>
      <c r="C3288" s="25"/>
      <c r="D3288" s="25"/>
      <c r="E3288" s="25"/>
      <c r="F3288" s="25"/>
      <c r="G3288" s="25"/>
      <c r="H3288" s="25"/>
      <c r="I3288" s="25"/>
      <c r="J3288" s="25"/>
    </row>
    <row r="3289" spans="1:10" ht="14.4">
      <c r="A3289" s="25"/>
      <c r="B3289" s="25"/>
      <c r="C3289" s="25"/>
      <c r="D3289" s="25"/>
      <c r="E3289" s="25"/>
      <c r="F3289" s="25"/>
      <c r="G3289" s="25"/>
      <c r="H3289" s="25"/>
      <c r="I3289" s="25"/>
      <c r="J3289" s="25"/>
    </row>
    <row r="3290" spans="1:10" ht="14.4">
      <c r="A3290" s="25"/>
      <c r="B3290" s="25"/>
      <c r="C3290" s="25"/>
      <c r="D3290" s="25"/>
      <c r="E3290" s="25"/>
      <c r="F3290" s="25"/>
      <c r="G3290" s="25"/>
      <c r="H3290" s="25"/>
      <c r="I3290" s="25"/>
      <c r="J3290" s="25"/>
    </row>
    <row r="3291" spans="1:10" ht="14.4">
      <c r="A3291" s="25"/>
      <c r="B3291" s="25"/>
      <c r="C3291" s="25"/>
      <c r="D3291" s="25"/>
      <c r="E3291" s="25"/>
      <c r="F3291" s="25"/>
      <c r="G3291" s="25"/>
      <c r="H3291" s="25"/>
      <c r="I3291" s="25"/>
      <c r="J3291" s="25"/>
    </row>
    <row r="3292" spans="1:10" ht="14.4">
      <c r="A3292" s="25"/>
      <c r="B3292" s="25"/>
      <c r="C3292" s="25"/>
      <c r="D3292" s="25"/>
      <c r="E3292" s="25"/>
      <c r="F3292" s="25"/>
      <c r="G3292" s="25"/>
      <c r="H3292" s="25"/>
      <c r="I3292" s="25"/>
      <c r="J3292" s="25"/>
    </row>
    <row r="3293" spans="1:10" ht="14.4">
      <c r="A3293" s="25"/>
      <c r="B3293" s="25"/>
      <c r="C3293" s="25"/>
      <c r="D3293" s="25"/>
      <c r="E3293" s="25"/>
      <c r="F3293" s="25"/>
      <c r="G3293" s="25"/>
      <c r="H3293" s="25"/>
      <c r="I3293" s="25"/>
      <c r="J3293" s="25"/>
    </row>
    <row r="3294" spans="1:10" ht="14.4">
      <c r="A3294" s="25"/>
      <c r="B3294" s="25"/>
      <c r="C3294" s="25"/>
      <c r="D3294" s="25"/>
      <c r="E3294" s="25"/>
      <c r="F3294" s="25"/>
      <c r="G3294" s="25"/>
      <c r="H3294" s="25"/>
      <c r="I3294" s="25"/>
      <c r="J3294" s="25"/>
    </row>
    <row r="3295" spans="1:10" ht="14.4">
      <c r="A3295" s="25"/>
      <c r="B3295" s="25"/>
      <c r="C3295" s="25"/>
      <c r="D3295" s="25"/>
      <c r="E3295" s="25"/>
      <c r="F3295" s="25"/>
      <c r="G3295" s="25"/>
      <c r="H3295" s="25"/>
      <c r="I3295" s="25"/>
      <c r="J3295" s="25"/>
    </row>
    <row r="3296" spans="1:10" ht="14.4">
      <c r="A3296" s="25"/>
      <c r="B3296" s="25"/>
      <c r="C3296" s="25"/>
      <c r="D3296" s="25"/>
      <c r="E3296" s="25"/>
      <c r="F3296" s="25"/>
      <c r="G3296" s="25"/>
      <c r="H3296" s="25"/>
      <c r="I3296" s="25"/>
      <c r="J3296" s="25"/>
    </row>
    <row r="3297" spans="1:10" ht="14.4">
      <c r="A3297" s="25"/>
      <c r="B3297" s="25"/>
      <c r="C3297" s="25"/>
      <c r="D3297" s="25"/>
      <c r="E3297" s="25"/>
      <c r="F3297" s="25"/>
      <c r="G3297" s="25"/>
      <c r="H3297" s="25"/>
      <c r="I3297" s="25"/>
      <c r="J3297" s="25"/>
    </row>
    <row r="3298" spans="1:10" ht="14.4">
      <c r="A3298" s="25"/>
      <c r="B3298" s="25"/>
      <c r="C3298" s="25"/>
      <c r="D3298" s="25"/>
      <c r="E3298" s="25"/>
      <c r="F3298" s="25"/>
      <c r="G3298" s="25"/>
      <c r="H3298" s="25"/>
      <c r="I3298" s="25"/>
      <c r="J3298" s="25"/>
    </row>
    <row r="3299" spans="1:10" ht="14.4">
      <c r="A3299" s="25"/>
      <c r="B3299" s="25"/>
      <c r="C3299" s="25"/>
      <c r="D3299" s="25"/>
      <c r="E3299" s="25"/>
      <c r="F3299" s="25"/>
      <c r="G3299" s="25"/>
      <c r="H3299" s="25"/>
      <c r="I3299" s="25"/>
      <c r="J3299" s="25"/>
    </row>
    <row r="3300" spans="1:10" ht="14.4">
      <c r="A3300" s="25"/>
      <c r="B3300" s="25"/>
      <c r="C3300" s="25"/>
      <c r="D3300" s="25"/>
      <c r="E3300" s="25"/>
      <c r="F3300" s="25"/>
      <c r="G3300" s="25"/>
      <c r="H3300" s="25"/>
      <c r="I3300" s="25"/>
      <c r="J3300" s="25"/>
    </row>
    <row r="3301" spans="1:10" ht="14.4">
      <c r="A3301" s="25"/>
      <c r="B3301" s="25"/>
      <c r="C3301" s="25"/>
      <c r="D3301" s="25"/>
      <c r="E3301" s="25"/>
      <c r="F3301" s="25"/>
      <c r="G3301" s="25"/>
      <c r="H3301" s="25"/>
      <c r="I3301" s="25"/>
      <c r="J3301" s="25"/>
    </row>
    <row r="3302" spans="1:10" ht="14.4">
      <c r="A3302" s="25"/>
      <c r="B3302" s="25"/>
      <c r="C3302" s="25"/>
      <c r="D3302" s="25"/>
      <c r="E3302" s="25"/>
      <c r="F3302" s="25"/>
      <c r="G3302" s="25"/>
      <c r="H3302" s="25"/>
      <c r="I3302" s="25"/>
      <c r="J3302" s="25"/>
    </row>
    <row r="3303" spans="1:10" ht="14.4">
      <c r="A3303" s="25"/>
      <c r="B3303" s="25"/>
      <c r="C3303" s="25"/>
      <c r="D3303" s="25"/>
      <c r="E3303" s="25"/>
      <c r="F3303" s="25"/>
      <c r="G3303" s="25"/>
      <c r="H3303" s="25"/>
      <c r="I3303" s="25"/>
      <c r="J3303" s="25"/>
    </row>
    <row r="3304" spans="1:10" ht="14.4">
      <c r="A3304" s="25"/>
      <c r="B3304" s="25"/>
      <c r="C3304" s="25"/>
      <c r="D3304" s="25"/>
      <c r="E3304" s="25"/>
      <c r="F3304" s="25"/>
      <c r="G3304" s="25"/>
      <c r="H3304" s="25"/>
      <c r="I3304" s="25"/>
      <c r="J3304" s="25"/>
    </row>
    <row r="3305" spans="1:10" ht="14.4">
      <c r="A3305" s="25"/>
      <c r="B3305" s="25"/>
      <c r="C3305" s="25"/>
      <c r="D3305" s="25"/>
      <c r="E3305" s="25"/>
      <c r="F3305" s="25"/>
      <c r="G3305" s="25"/>
      <c r="H3305" s="25"/>
      <c r="I3305" s="25"/>
      <c r="J3305" s="25"/>
    </row>
    <row r="3306" spans="1:10" ht="14.4">
      <c r="A3306" s="25"/>
      <c r="B3306" s="25"/>
      <c r="C3306" s="25"/>
      <c r="D3306" s="25"/>
      <c r="E3306" s="25"/>
      <c r="F3306" s="25"/>
      <c r="G3306" s="25"/>
      <c r="H3306" s="25"/>
      <c r="I3306" s="25"/>
      <c r="J3306" s="25"/>
    </row>
    <row r="3307" spans="1:10" ht="14.4">
      <c r="A3307" s="25"/>
      <c r="B3307" s="25"/>
      <c r="C3307" s="25"/>
      <c r="D3307" s="25"/>
      <c r="E3307" s="25"/>
      <c r="F3307" s="25"/>
      <c r="G3307" s="25"/>
      <c r="H3307" s="25"/>
      <c r="I3307" s="25"/>
      <c r="J3307" s="25"/>
    </row>
    <row r="3308" spans="1:10" ht="14.4">
      <c r="A3308" s="25"/>
      <c r="B3308" s="25"/>
      <c r="C3308" s="25"/>
      <c r="D3308" s="25"/>
      <c r="E3308" s="25"/>
      <c r="F3308" s="25"/>
      <c r="G3308" s="25"/>
      <c r="H3308" s="25"/>
      <c r="I3308" s="25"/>
      <c r="J3308" s="25"/>
    </row>
    <row r="3309" spans="1:10" ht="14.4">
      <c r="A3309" s="25"/>
      <c r="B3309" s="25"/>
      <c r="C3309" s="25"/>
      <c r="D3309" s="25"/>
      <c r="E3309" s="25"/>
      <c r="F3309" s="25"/>
      <c r="G3309" s="25"/>
      <c r="H3309" s="25"/>
      <c r="I3309" s="25"/>
      <c r="J3309" s="25"/>
    </row>
    <row r="3310" spans="1:10" ht="14.4">
      <c r="A3310" s="25"/>
      <c r="B3310" s="25"/>
      <c r="C3310" s="25"/>
      <c r="D3310" s="25"/>
      <c r="E3310" s="25"/>
      <c r="F3310" s="25"/>
      <c r="G3310" s="25"/>
      <c r="H3310" s="25"/>
      <c r="I3310" s="25"/>
      <c r="J3310" s="25"/>
    </row>
    <row r="3311" spans="1:10" ht="14.4">
      <c r="A3311" s="25"/>
      <c r="B3311" s="25"/>
      <c r="C3311" s="25"/>
      <c r="D3311" s="25"/>
      <c r="E3311" s="25"/>
      <c r="F3311" s="25"/>
      <c r="G3311" s="25"/>
      <c r="H3311" s="25"/>
      <c r="I3311" s="25"/>
      <c r="J3311" s="25"/>
    </row>
    <row r="3312" spans="1:10" ht="14.4">
      <c r="A3312" s="25"/>
      <c r="B3312" s="25"/>
      <c r="C3312" s="25"/>
      <c r="D3312" s="25"/>
      <c r="E3312" s="25"/>
      <c r="F3312" s="25"/>
      <c r="G3312" s="25"/>
      <c r="H3312" s="25"/>
      <c r="I3312" s="25"/>
      <c r="J3312" s="25"/>
    </row>
    <row r="3313" spans="1:10" ht="14.4">
      <c r="A3313" s="25"/>
      <c r="B3313" s="25"/>
      <c r="C3313" s="25"/>
      <c r="D3313" s="25"/>
      <c r="E3313" s="25"/>
      <c r="F3313" s="25"/>
      <c r="G3313" s="25"/>
      <c r="H3313" s="25"/>
      <c r="I3313" s="25"/>
      <c r="J3313" s="25"/>
    </row>
    <row r="3314" spans="1:10" ht="14.4">
      <c r="A3314" s="25"/>
      <c r="B3314" s="25"/>
      <c r="C3314" s="25"/>
      <c r="D3314" s="25"/>
      <c r="E3314" s="25"/>
      <c r="F3314" s="25"/>
      <c r="G3314" s="25"/>
      <c r="H3314" s="25"/>
      <c r="I3314" s="25"/>
      <c r="J3314" s="25"/>
    </row>
    <row r="3315" spans="1:10" ht="14.4">
      <c r="A3315" s="25"/>
      <c r="B3315" s="25"/>
      <c r="C3315" s="25"/>
      <c r="D3315" s="25"/>
      <c r="E3315" s="25"/>
      <c r="F3315" s="25"/>
      <c r="G3315" s="25"/>
      <c r="H3315" s="25"/>
      <c r="I3315" s="25"/>
      <c r="J3315" s="25"/>
    </row>
    <row r="3316" spans="1:10" ht="14.4">
      <c r="A3316" s="25"/>
      <c r="B3316" s="25"/>
      <c r="C3316" s="25"/>
      <c r="D3316" s="25"/>
      <c r="E3316" s="25"/>
      <c r="F3316" s="25"/>
      <c r="G3316" s="25"/>
      <c r="H3316" s="25"/>
      <c r="I3316" s="25"/>
      <c r="J3316" s="25"/>
    </row>
    <row r="3317" spans="1:10" ht="14.4">
      <c r="A3317" s="25"/>
      <c r="B3317" s="25"/>
      <c r="C3317" s="25"/>
      <c r="D3317" s="25"/>
      <c r="E3317" s="25"/>
      <c r="F3317" s="25"/>
      <c r="G3317" s="25"/>
      <c r="H3317" s="25"/>
      <c r="I3317" s="25"/>
      <c r="J3317" s="25"/>
    </row>
    <row r="3318" spans="1:10" ht="14.4">
      <c r="A3318" s="25"/>
      <c r="B3318" s="25"/>
      <c r="C3318" s="25"/>
      <c r="D3318" s="25"/>
      <c r="E3318" s="25"/>
      <c r="F3318" s="25"/>
      <c r="G3318" s="25"/>
      <c r="H3318" s="25"/>
      <c r="I3318" s="25"/>
      <c r="J3318" s="25"/>
    </row>
    <row r="3319" spans="1:10" ht="14.4">
      <c r="A3319" s="25"/>
      <c r="B3319" s="25"/>
      <c r="C3319" s="25"/>
      <c r="D3319" s="25"/>
      <c r="E3319" s="25"/>
      <c r="F3319" s="25"/>
      <c r="G3319" s="25"/>
      <c r="H3319" s="25"/>
      <c r="I3319" s="25"/>
      <c r="J3319" s="25"/>
    </row>
    <row r="3320" spans="1:10" ht="14.4">
      <c r="A3320" s="25"/>
      <c r="B3320" s="25"/>
      <c r="C3320" s="25"/>
      <c r="D3320" s="25"/>
      <c r="E3320" s="25"/>
      <c r="F3320" s="25"/>
      <c r="G3320" s="25"/>
      <c r="H3320" s="25"/>
      <c r="I3320" s="25"/>
      <c r="J3320" s="25"/>
    </row>
    <row r="3321" spans="1:10" ht="14.4">
      <c r="A3321" s="25"/>
      <c r="B3321" s="25"/>
      <c r="C3321" s="25"/>
      <c r="D3321" s="25"/>
      <c r="E3321" s="25"/>
      <c r="F3321" s="25"/>
      <c r="G3321" s="25"/>
      <c r="H3321" s="25"/>
      <c r="I3321" s="25"/>
      <c r="J3321" s="25"/>
    </row>
    <row r="3322" spans="1:10" ht="14.4">
      <c r="A3322" s="25"/>
      <c r="B3322" s="25"/>
      <c r="C3322" s="25"/>
      <c r="D3322" s="25"/>
      <c r="E3322" s="25"/>
      <c r="F3322" s="25"/>
      <c r="G3322" s="25"/>
      <c r="H3322" s="25"/>
      <c r="I3322" s="25"/>
      <c r="J3322" s="25"/>
    </row>
    <row r="3323" spans="1:10" ht="14.4">
      <c r="A3323" s="25"/>
      <c r="B3323" s="25"/>
      <c r="C3323" s="25"/>
      <c r="D3323" s="25"/>
      <c r="E3323" s="25"/>
      <c r="F3323" s="25"/>
      <c r="G3323" s="25"/>
      <c r="H3323" s="25"/>
      <c r="I3323" s="25"/>
      <c r="J3323" s="25"/>
    </row>
    <row r="3324" spans="1:10" ht="14.4">
      <c r="A3324" s="25"/>
      <c r="B3324" s="25"/>
      <c r="C3324" s="25"/>
      <c r="D3324" s="25"/>
      <c r="E3324" s="25"/>
      <c r="F3324" s="25"/>
      <c r="G3324" s="25"/>
      <c r="H3324" s="25"/>
      <c r="I3324" s="25"/>
      <c r="J3324" s="25"/>
    </row>
    <row r="3325" spans="1:10" ht="14.4">
      <c r="A3325" s="25"/>
      <c r="B3325" s="25"/>
      <c r="C3325" s="25"/>
      <c r="D3325" s="25"/>
      <c r="E3325" s="25"/>
      <c r="F3325" s="25"/>
      <c r="G3325" s="25"/>
      <c r="H3325" s="25"/>
      <c r="I3325" s="25"/>
      <c r="J3325" s="25"/>
    </row>
    <row r="3326" spans="1:10" ht="14.4">
      <c r="A3326" s="25"/>
      <c r="B3326" s="25"/>
      <c r="C3326" s="25"/>
      <c r="D3326" s="25"/>
      <c r="E3326" s="25"/>
      <c r="F3326" s="25"/>
      <c r="G3326" s="25"/>
      <c r="H3326" s="25"/>
      <c r="I3326" s="25"/>
      <c r="J3326" s="25"/>
    </row>
    <row r="3327" spans="1:10" ht="14.4">
      <c r="A3327" s="25"/>
      <c r="B3327" s="25"/>
      <c r="C3327" s="25"/>
      <c r="D3327" s="25"/>
      <c r="E3327" s="25"/>
      <c r="F3327" s="25"/>
      <c r="G3327" s="25"/>
      <c r="H3327" s="25"/>
      <c r="I3327" s="25"/>
      <c r="J3327" s="25"/>
    </row>
    <row r="3328" spans="1:10" ht="14.4">
      <c r="A3328" s="25"/>
      <c r="B3328" s="25"/>
      <c r="C3328" s="25"/>
      <c r="D3328" s="25"/>
      <c r="E3328" s="25"/>
      <c r="F3328" s="25"/>
      <c r="G3328" s="25"/>
      <c r="H3328" s="25"/>
      <c r="I3328" s="25"/>
      <c r="J3328" s="25"/>
    </row>
    <row r="3329" spans="1:10" ht="14.4">
      <c r="A3329" s="25"/>
      <c r="B3329" s="25"/>
      <c r="C3329" s="25"/>
      <c r="D3329" s="25"/>
      <c r="E3329" s="25"/>
      <c r="F3329" s="25"/>
      <c r="G3329" s="25"/>
      <c r="H3329" s="25"/>
      <c r="I3329" s="25"/>
      <c r="J3329" s="25"/>
    </row>
    <row r="3330" spans="1:10" ht="14.4">
      <c r="A3330" s="25"/>
      <c r="B3330" s="25"/>
      <c r="C3330" s="25"/>
      <c r="D3330" s="25"/>
      <c r="E3330" s="25"/>
      <c r="F3330" s="25"/>
      <c r="G3330" s="25"/>
      <c r="H3330" s="25"/>
      <c r="I3330" s="25"/>
      <c r="J3330" s="25"/>
    </row>
    <row r="3331" spans="1:10" ht="14.4">
      <c r="A3331" s="25"/>
      <c r="B3331" s="25"/>
      <c r="C3331" s="25"/>
      <c r="D3331" s="25"/>
      <c r="E3331" s="25"/>
      <c r="F3331" s="25"/>
      <c r="G3331" s="25"/>
      <c r="H3331" s="25"/>
      <c r="I3331" s="25"/>
      <c r="J3331" s="25"/>
    </row>
    <row r="3332" spans="1:10" ht="14.4">
      <c r="A3332" s="25"/>
      <c r="B3332" s="25"/>
      <c r="C3332" s="25"/>
      <c r="D3332" s="25"/>
      <c r="E3332" s="25"/>
      <c r="F3332" s="25"/>
      <c r="G3332" s="25"/>
      <c r="H3332" s="25"/>
      <c r="I3332" s="25"/>
      <c r="J3332" s="25"/>
    </row>
    <row r="3333" spans="1:10" ht="14.4">
      <c r="A3333" s="25"/>
      <c r="B3333" s="25"/>
      <c r="C3333" s="25"/>
      <c r="D3333" s="25"/>
      <c r="E3333" s="25"/>
      <c r="F3333" s="25"/>
      <c r="G3333" s="25"/>
      <c r="H3333" s="25"/>
      <c r="I3333" s="25"/>
      <c r="J3333" s="25"/>
    </row>
    <row r="3334" spans="1:10" ht="14.4">
      <c r="A3334" s="25"/>
      <c r="B3334" s="25"/>
      <c r="C3334" s="25"/>
      <c r="D3334" s="25"/>
      <c r="E3334" s="25"/>
      <c r="F3334" s="25"/>
      <c r="G3334" s="25"/>
      <c r="H3334" s="25"/>
      <c r="I3334" s="25"/>
      <c r="J3334" s="25"/>
    </row>
    <row r="3335" spans="1:10" ht="14.4">
      <c r="A3335" s="25"/>
      <c r="B3335" s="25"/>
      <c r="C3335" s="25"/>
      <c r="D3335" s="25"/>
      <c r="E3335" s="25"/>
      <c r="F3335" s="25"/>
      <c r="G3335" s="25"/>
      <c r="H3335" s="25"/>
      <c r="I3335" s="25"/>
      <c r="J3335" s="25"/>
    </row>
    <row r="3336" spans="1:10" ht="14.4">
      <c r="A3336" s="25"/>
      <c r="B3336" s="25"/>
      <c r="C3336" s="25"/>
      <c r="D3336" s="25"/>
      <c r="E3336" s="25"/>
      <c r="F3336" s="25"/>
      <c r="G3336" s="25"/>
      <c r="H3336" s="25"/>
      <c r="I3336" s="25"/>
      <c r="J3336" s="25"/>
    </row>
    <row r="3337" spans="1:10" ht="14.4">
      <c r="A3337" s="25"/>
      <c r="B3337" s="25"/>
      <c r="C3337" s="25"/>
      <c r="D3337" s="25"/>
      <c r="E3337" s="25"/>
      <c r="F3337" s="25"/>
      <c r="G3337" s="25"/>
      <c r="H3337" s="25"/>
      <c r="I3337" s="25"/>
      <c r="J3337" s="25"/>
    </row>
    <row r="3338" spans="1:10" ht="14.4">
      <c r="A3338" s="25"/>
      <c r="B3338" s="25"/>
      <c r="C3338" s="25"/>
      <c r="D3338" s="25"/>
      <c r="E3338" s="25"/>
      <c r="F3338" s="25"/>
      <c r="G3338" s="25"/>
      <c r="H3338" s="25"/>
      <c r="I3338" s="25"/>
      <c r="J3338" s="25"/>
    </row>
    <row r="3339" spans="1:10" ht="14.4">
      <c r="A3339" s="25"/>
      <c r="B3339" s="25"/>
      <c r="C3339" s="25"/>
      <c r="D3339" s="25"/>
      <c r="E3339" s="25"/>
      <c r="F3339" s="25"/>
      <c r="G3339" s="25"/>
      <c r="H3339" s="25"/>
      <c r="I3339" s="25"/>
      <c r="J3339" s="25"/>
    </row>
    <row r="3340" spans="1:10" ht="14.4">
      <c r="A3340" s="25"/>
      <c r="B3340" s="25"/>
      <c r="C3340" s="25"/>
      <c r="D3340" s="25"/>
      <c r="E3340" s="25"/>
      <c r="F3340" s="25"/>
      <c r="G3340" s="25"/>
      <c r="H3340" s="25"/>
      <c r="I3340" s="25"/>
      <c r="J3340" s="25"/>
    </row>
    <row r="3341" spans="1:10" ht="14.4">
      <c r="A3341" s="25"/>
      <c r="B3341" s="25"/>
      <c r="C3341" s="25"/>
      <c r="D3341" s="25"/>
      <c r="E3341" s="25"/>
      <c r="F3341" s="25"/>
      <c r="G3341" s="25"/>
      <c r="H3341" s="25"/>
      <c r="I3341" s="25"/>
      <c r="J3341" s="25"/>
    </row>
    <row r="3342" spans="1:10" ht="14.4">
      <c r="A3342" s="25"/>
      <c r="B3342" s="25"/>
      <c r="C3342" s="25"/>
      <c r="D3342" s="25"/>
      <c r="E3342" s="25"/>
      <c r="F3342" s="25"/>
      <c r="G3342" s="25"/>
      <c r="H3342" s="25"/>
      <c r="I3342" s="25"/>
      <c r="J3342" s="25"/>
    </row>
    <row r="3343" spans="1:10" ht="14.4">
      <c r="A3343" s="25"/>
      <c r="B3343" s="25"/>
      <c r="C3343" s="25"/>
      <c r="D3343" s="25"/>
      <c r="E3343" s="25"/>
      <c r="F3343" s="25"/>
      <c r="G3343" s="25"/>
      <c r="H3343" s="25"/>
      <c r="I3343" s="25"/>
      <c r="J3343" s="25"/>
    </row>
    <row r="3344" spans="1:10" ht="14.4">
      <c r="A3344" s="25"/>
      <c r="B3344" s="25"/>
      <c r="C3344" s="25"/>
      <c r="D3344" s="25"/>
      <c r="E3344" s="25"/>
      <c r="F3344" s="25"/>
      <c r="G3344" s="25"/>
      <c r="H3344" s="25"/>
      <c r="I3344" s="25"/>
      <c r="J3344" s="25"/>
    </row>
    <row r="3345" spans="1:10" ht="14.4">
      <c r="A3345" s="25"/>
      <c r="B3345" s="25"/>
      <c r="C3345" s="25"/>
      <c r="D3345" s="25"/>
      <c r="E3345" s="25"/>
      <c r="F3345" s="25"/>
      <c r="G3345" s="25"/>
      <c r="H3345" s="25"/>
      <c r="I3345" s="25"/>
      <c r="J3345" s="25"/>
    </row>
    <row r="3346" spans="1:10" ht="14.4">
      <c r="A3346" s="25"/>
      <c r="B3346" s="25"/>
      <c r="C3346" s="25"/>
      <c r="D3346" s="25"/>
      <c r="E3346" s="25"/>
      <c r="F3346" s="25"/>
      <c r="G3346" s="25"/>
      <c r="H3346" s="25"/>
      <c r="I3346" s="25"/>
      <c r="J3346" s="25"/>
    </row>
    <row r="3347" spans="1:10" ht="14.4">
      <c r="A3347" s="25"/>
      <c r="B3347" s="25"/>
      <c r="C3347" s="25"/>
      <c r="D3347" s="25"/>
      <c r="E3347" s="25"/>
      <c r="F3347" s="25"/>
      <c r="G3347" s="25"/>
      <c r="H3347" s="25"/>
      <c r="I3347" s="25"/>
      <c r="J3347" s="25"/>
    </row>
    <row r="3348" spans="1:10" ht="14.4">
      <c r="A3348" s="25"/>
      <c r="B3348" s="25"/>
      <c r="C3348" s="25"/>
      <c r="D3348" s="25"/>
      <c r="E3348" s="25"/>
      <c r="F3348" s="25"/>
      <c r="G3348" s="25"/>
      <c r="H3348" s="25"/>
      <c r="I3348" s="25"/>
      <c r="J3348" s="25"/>
    </row>
    <row r="3349" spans="1:10" ht="14.4">
      <c r="A3349" s="25"/>
      <c r="B3349" s="25"/>
      <c r="C3349" s="25"/>
      <c r="D3349" s="25"/>
      <c r="E3349" s="25"/>
      <c r="F3349" s="25"/>
      <c r="G3349" s="25"/>
      <c r="H3349" s="25"/>
      <c r="I3349" s="25"/>
      <c r="J3349" s="25"/>
    </row>
    <row r="3350" spans="1:10" ht="14.4">
      <c r="A3350" s="25"/>
      <c r="B3350" s="25"/>
      <c r="C3350" s="25"/>
      <c r="D3350" s="25"/>
      <c r="E3350" s="25"/>
      <c r="F3350" s="25"/>
      <c r="G3350" s="25"/>
      <c r="H3350" s="25"/>
      <c r="I3350" s="25"/>
      <c r="J3350" s="25"/>
    </row>
    <row r="3351" spans="1:10" ht="14.4">
      <c r="A3351" s="25"/>
      <c r="B3351" s="25"/>
      <c r="C3351" s="25"/>
      <c r="D3351" s="25"/>
      <c r="E3351" s="25"/>
      <c r="F3351" s="25"/>
      <c r="G3351" s="25"/>
      <c r="H3351" s="25"/>
      <c r="I3351" s="25"/>
      <c r="J3351" s="25"/>
    </row>
    <row r="3352" spans="1:10" ht="14.4">
      <c r="A3352" s="25"/>
      <c r="B3352" s="25"/>
      <c r="C3352" s="25"/>
      <c r="D3352" s="25"/>
      <c r="E3352" s="25"/>
      <c r="F3352" s="25"/>
      <c r="G3352" s="25"/>
      <c r="H3352" s="25"/>
      <c r="I3352" s="25"/>
      <c r="J3352" s="25"/>
    </row>
    <row r="3353" spans="1:10" ht="14.4">
      <c r="A3353" s="25"/>
      <c r="B3353" s="25"/>
      <c r="C3353" s="25"/>
      <c r="D3353" s="25"/>
      <c r="E3353" s="25"/>
      <c r="F3353" s="25"/>
      <c r="G3353" s="25"/>
      <c r="H3353" s="25"/>
      <c r="I3353" s="25"/>
      <c r="J3353" s="25"/>
    </row>
    <row r="3354" spans="1:10" ht="14.4">
      <c r="A3354" s="25"/>
      <c r="B3354" s="25"/>
      <c r="C3354" s="25"/>
      <c r="D3354" s="25"/>
      <c r="E3354" s="25"/>
      <c r="F3354" s="25"/>
      <c r="G3354" s="25"/>
      <c r="H3354" s="25"/>
      <c r="I3354" s="25"/>
      <c r="J3354" s="25"/>
    </row>
    <row r="3355" spans="1:10" ht="14.4">
      <c r="A3355" s="25"/>
      <c r="B3355" s="25"/>
      <c r="C3355" s="25"/>
      <c r="D3355" s="25"/>
      <c r="E3355" s="25"/>
      <c r="F3355" s="25"/>
      <c r="G3355" s="25"/>
      <c r="H3355" s="25"/>
      <c r="I3355" s="25"/>
      <c r="J3355" s="25"/>
    </row>
    <row r="3356" spans="1:10" ht="14.4">
      <c r="A3356" s="25"/>
      <c r="B3356" s="25"/>
      <c r="C3356" s="25"/>
      <c r="D3356" s="25"/>
      <c r="E3356" s="25"/>
      <c r="F3356" s="25"/>
      <c r="G3356" s="25"/>
      <c r="H3356" s="25"/>
      <c r="I3356" s="25"/>
      <c r="J3356" s="25"/>
    </row>
    <row r="3357" spans="1:10" ht="14.4">
      <c r="A3357" s="25"/>
      <c r="B3357" s="25"/>
      <c r="C3357" s="25"/>
      <c r="D3357" s="25"/>
      <c r="E3357" s="25"/>
      <c r="F3357" s="25"/>
      <c r="G3357" s="25"/>
      <c r="H3357" s="25"/>
      <c r="I3357" s="25"/>
      <c r="J3357" s="25"/>
    </row>
    <row r="3358" spans="1:10" ht="14.4">
      <c r="A3358" s="25"/>
      <c r="B3358" s="25"/>
      <c r="C3358" s="25"/>
      <c r="D3358" s="25"/>
      <c r="E3358" s="25"/>
      <c r="F3358" s="25"/>
      <c r="G3358" s="25"/>
      <c r="H3358" s="25"/>
      <c r="I3358" s="25"/>
      <c r="J3358" s="25"/>
    </row>
    <row r="3359" spans="1:10" ht="14.4">
      <c r="A3359" s="25"/>
      <c r="B3359" s="25"/>
      <c r="C3359" s="25"/>
      <c r="D3359" s="25"/>
      <c r="E3359" s="25"/>
      <c r="F3359" s="25"/>
      <c r="G3359" s="25"/>
      <c r="H3359" s="25"/>
      <c r="I3359" s="25"/>
      <c r="J3359" s="25"/>
    </row>
    <row r="3360" spans="1:10" ht="14.4">
      <c r="A3360" s="25"/>
      <c r="B3360" s="25"/>
      <c r="C3360" s="25"/>
      <c r="D3360" s="25"/>
      <c r="E3360" s="25"/>
      <c r="F3360" s="25"/>
      <c r="G3360" s="25"/>
      <c r="H3360" s="25"/>
      <c r="I3360" s="25"/>
      <c r="J3360" s="25"/>
    </row>
    <row r="3361" spans="1:10" ht="14.4">
      <c r="A3361" s="25"/>
      <c r="B3361" s="25"/>
      <c r="C3361" s="25"/>
      <c r="D3361" s="25"/>
      <c r="E3361" s="25"/>
      <c r="F3361" s="25"/>
      <c r="G3361" s="25"/>
      <c r="H3361" s="25"/>
      <c r="I3361" s="25"/>
      <c r="J3361" s="25"/>
    </row>
    <row r="3362" spans="1:10" ht="14.4">
      <c r="A3362" s="25"/>
      <c r="B3362" s="25"/>
      <c r="C3362" s="25"/>
      <c r="D3362" s="25"/>
      <c r="E3362" s="25"/>
      <c r="F3362" s="25"/>
      <c r="G3362" s="25"/>
      <c r="H3362" s="25"/>
      <c r="I3362" s="25"/>
      <c r="J3362" s="25"/>
    </row>
    <row r="3363" spans="1:10" ht="14.4">
      <c r="A3363" s="25"/>
      <c r="B3363" s="25"/>
      <c r="C3363" s="25"/>
      <c r="D3363" s="25"/>
      <c r="E3363" s="25"/>
      <c r="F3363" s="25"/>
      <c r="G3363" s="25"/>
      <c r="H3363" s="25"/>
      <c r="I3363" s="25"/>
      <c r="J3363" s="25"/>
    </row>
    <row r="3364" spans="1:10" ht="14.4">
      <c r="A3364" s="25"/>
      <c r="B3364" s="25"/>
      <c r="C3364" s="25"/>
      <c r="D3364" s="25"/>
      <c r="E3364" s="25"/>
      <c r="F3364" s="25"/>
      <c r="G3364" s="25"/>
      <c r="H3364" s="25"/>
      <c r="I3364" s="25"/>
      <c r="J3364" s="25"/>
    </row>
    <row r="3365" spans="1:10" ht="14.4">
      <c r="A3365" s="25"/>
      <c r="B3365" s="25"/>
      <c r="C3365" s="25"/>
      <c r="D3365" s="25"/>
      <c r="E3365" s="25"/>
      <c r="F3365" s="25"/>
      <c r="G3365" s="25"/>
      <c r="H3365" s="25"/>
      <c r="I3365" s="25"/>
      <c r="J3365" s="25"/>
    </row>
    <row r="3366" spans="1:10" ht="14.4">
      <c r="A3366" s="25"/>
      <c r="B3366" s="25"/>
      <c r="C3366" s="25"/>
      <c r="D3366" s="25"/>
      <c r="E3366" s="25"/>
      <c r="F3366" s="25"/>
      <c r="G3366" s="25"/>
      <c r="H3366" s="25"/>
      <c r="I3366" s="25"/>
      <c r="J3366" s="25"/>
    </row>
    <row r="3367" spans="1:10" ht="14.4">
      <c r="A3367" s="25"/>
      <c r="B3367" s="25"/>
      <c r="C3367" s="25"/>
      <c r="D3367" s="25"/>
      <c r="E3367" s="25"/>
      <c r="F3367" s="25"/>
      <c r="G3367" s="25"/>
      <c r="H3367" s="25"/>
      <c r="I3367" s="25"/>
      <c r="J3367" s="25"/>
    </row>
    <row r="3368" spans="1:10" ht="14.4">
      <c r="A3368" s="25"/>
      <c r="B3368" s="25"/>
      <c r="C3368" s="25"/>
      <c r="D3368" s="25"/>
      <c r="E3368" s="25"/>
      <c r="F3368" s="25"/>
      <c r="G3368" s="25"/>
      <c r="H3368" s="25"/>
      <c r="I3368" s="25"/>
      <c r="J3368" s="25"/>
    </row>
    <row r="3369" spans="1:10" ht="14.4">
      <c r="A3369" s="25"/>
      <c r="B3369" s="25"/>
      <c r="C3369" s="25"/>
      <c r="D3369" s="25"/>
      <c r="E3369" s="25"/>
      <c r="F3369" s="25"/>
      <c r="G3369" s="25"/>
      <c r="H3369" s="25"/>
      <c r="I3369" s="25"/>
      <c r="J3369" s="25"/>
    </row>
    <row r="3370" spans="1:10" ht="14.4">
      <c r="A3370" s="25"/>
      <c r="B3370" s="25"/>
      <c r="C3370" s="25"/>
      <c r="D3370" s="25"/>
      <c r="E3370" s="25"/>
      <c r="F3370" s="25"/>
      <c r="G3370" s="25"/>
      <c r="H3370" s="25"/>
      <c r="I3370" s="25"/>
      <c r="J3370" s="25"/>
    </row>
    <row r="3371" spans="1:10" ht="14.4">
      <c r="A3371" s="25"/>
      <c r="B3371" s="25"/>
      <c r="C3371" s="25"/>
      <c r="D3371" s="25"/>
      <c r="E3371" s="25"/>
      <c r="F3371" s="25"/>
      <c r="G3371" s="25"/>
      <c r="H3371" s="25"/>
      <c r="I3371" s="25"/>
      <c r="J3371" s="25"/>
    </row>
    <row r="3372" spans="1:10" ht="14.4">
      <c r="A3372" s="25"/>
      <c r="B3372" s="25"/>
      <c r="C3372" s="25"/>
      <c r="D3372" s="25"/>
      <c r="E3372" s="25"/>
      <c r="F3372" s="25"/>
      <c r="G3372" s="25"/>
      <c r="H3372" s="25"/>
      <c r="I3372" s="25"/>
      <c r="J3372" s="25"/>
    </row>
    <row r="3373" spans="1:10" ht="14.4">
      <c r="A3373" s="25"/>
      <c r="B3373" s="25"/>
      <c r="C3373" s="25"/>
      <c r="D3373" s="25"/>
      <c r="E3373" s="25"/>
      <c r="F3373" s="25"/>
      <c r="G3373" s="25"/>
      <c r="H3373" s="25"/>
      <c r="I3373" s="25"/>
      <c r="J3373" s="25"/>
    </row>
    <row r="3374" spans="1:10" ht="14.4">
      <c r="A3374" s="25"/>
      <c r="B3374" s="25"/>
      <c r="C3374" s="25"/>
      <c r="D3374" s="25"/>
      <c r="E3374" s="25"/>
      <c r="F3374" s="25"/>
      <c r="G3374" s="25"/>
      <c r="H3374" s="25"/>
      <c r="I3374" s="25"/>
      <c r="J3374" s="25"/>
    </row>
    <row r="3375" spans="1:10" ht="14.4">
      <c r="A3375" s="25"/>
      <c r="B3375" s="25"/>
      <c r="C3375" s="25"/>
      <c r="D3375" s="25"/>
      <c r="E3375" s="25"/>
      <c r="F3375" s="25"/>
      <c r="G3375" s="25"/>
      <c r="H3375" s="25"/>
      <c r="I3375" s="25"/>
      <c r="J3375" s="25"/>
    </row>
    <row r="3376" spans="1:10" ht="14.4">
      <c r="A3376" s="25"/>
      <c r="B3376" s="25"/>
      <c r="C3376" s="25"/>
      <c r="D3376" s="25"/>
      <c r="E3376" s="25"/>
      <c r="F3376" s="25"/>
      <c r="G3376" s="25"/>
      <c r="H3376" s="25"/>
      <c r="I3376" s="25"/>
      <c r="J3376" s="25"/>
    </row>
    <row r="3377" spans="1:10" ht="14.4">
      <c r="A3377" s="25"/>
      <c r="B3377" s="25"/>
      <c r="C3377" s="25"/>
      <c r="D3377" s="25"/>
      <c r="E3377" s="25"/>
      <c r="F3377" s="25"/>
      <c r="G3377" s="25"/>
      <c r="H3377" s="25"/>
      <c r="I3377" s="25"/>
      <c r="J3377" s="25"/>
    </row>
    <row r="3378" spans="1:10" ht="14.4">
      <c r="A3378" s="25"/>
      <c r="B3378" s="25"/>
      <c r="C3378" s="25"/>
      <c r="D3378" s="25"/>
      <c r="E3378" s="25"/>
      <c r="F3378" s="25"/>
      <c r="G3378" s="25"/>
      <c r="H3378" s="25"/>
      <c r="I3378" s="25"/>
      <c r="J3378" s="25"/>
    </row>
    <row r="3379" spans="1:10" ht="14.4">
      <c r="A3379" s="25"/>
      <c r="B3379" s="25"/>
      <c r="C3379" s="25"/>
      <c r="D3379" s="25"/>
      <c r="E3379" s="25"/>
      <c r="F3379" s="25"/>
      <c r="G3379" s="25"/>
      <c r="H3379" s="25"/>
      <c r="I3379" s="25"/>
      <c r="J3379" s="25"/>
    </row>
    <row r="3380" spans="1:10" ht="14.4">
      <c r="A3380" s="25"/>
      <c r="B3380" s="25"/>
      <c r="C3380" s="25"/>
      <c r="D3380" s="25"/>
      <c r="E3380" s="25"/>
      <c r="F3380" s="25"/>
      <c r="G3380" s="25"/>
      <c r="H3380" s="25"/>
      <c r="I3380" s="25"/>
      <c r="J3380" s="25"/>
    </row>
    <row r="3381" spans="1:10" ht="14.4">
      <c r="A3381" s="25"/>
      <c r="B3381" s="25"/>
      <c r="C3381" s="25"/>
      <c r="D3381" s="25"/>
      <c r="E3381" s="25"/>
      <c r="F3381" s="25"/>
      <c r="G3381" s="25"/>
      <c r="H3381" s="25"/>
      <c r="I3381" s="25"/>
      <c r="J3381" s="25"/>
    </row>
    <row r="3382" spans="1:10" ht="14.4">
      <c r="A3382" s="25"/>
      <c r="B3382" s="25"/>
      <c r="C3382" s="25"/>
      <c r="D3382" s="25"/>
      <c r="E3382" s="25"/>
      <c r="F3382" s="25"/>
      <c r="G3382" s="25"/>
      <c r="H3382" s="25"/>
      <c r="I3382" s="25"/>
      <c r="J3382" s="25"/>
    </row>
    <row r="3383" spans="1:10" ht="14.4">
      <c r="A3383" s="25"/>
      <c r="B3383" s="25"/>
      <c r="C3383" s="25"/>
      <c r="D3383" s="25"/>
      <c r="E3383" s="25"/>
      <c r="F3383" s="25"/>
      <c r="G3383" s="25"/>
      <c r="H3383" s="25"/>
      <c r="I3383" s="25"/>
      <c r="J3383" s="25"/>
    </row>
    <row r="3384" spans="1:10" ht="14.4">
      <c r="A3384" s="25"/>
      <c r="B3384" s="25"/>
      <c r="C3384" s="25"/>
      <c r="D3384" s="25"/>
      <c r="E3384" s="25"/>
      <c r="F3384" s="25"/>
      <c r="G3384" s="25"/>
      <c r="H3384" s="25"/>
      <c r="I3384" s="25"/>
      <c r="J3384" s="25"/>
    </row>
    <row r="3385" spans="1:10" ht="14.4">
      <c r="A3385" s="25"/>
      <c r="B3385" s="25"/>
      <c r="C3385" s="25"/>
      <c r="D3385" s="25"/>
      <c r="E3385" s="25"/>
      <c r="F3385" s="25"/>
      <c r="G3385" s="25"/>
      <c r="H3385" s="25"/>
      <c r="I3385" s="25"/>
      <c r="J3385" s="25"/>
    </row>
    <row r="3386" spans="1:10" ht="14.4">
      <c r="A3386" s="25"/>
      <c r="B3386" s="25"/>
      <c r="C3386" s="25"/>
      <c r="D3386" s="25"/>
      <c r="E3386" s="25"/>
      <c r="F3386" s="25"/>
      <c r="G3386" s="25"/>
      <c r="H3386" s="25"/>
      <c r="I3386" s="25"/>
      <c r="J3386" s="25"/>
    </row>
    <row r="3387" spans="1:10" ht="14.4">
      <c r="A3387" s="25"/>
      <c r="B3387" s="25"/>
      <c r="C3387" s="25"/>
      <c r="D3387" s="25"/>
      <c r="E3387" s="25"/>
      <c r="F3387" s="25"/>
      <c r="G3387" s="25"/>
      <c r="H3387" s="25"/>
      <c r="I3387" s="25"/>
      <c r="J3387" s="25"/>
    </row>
    <row r="3388" spans="1:10" ht="14.4">
      <c r="A3388" s="25"/>
      <c r="B3388" s="25"/>
      <c r="C3388" s="25"/>
      <c r="D3388" s="25"/>
      <c r="E3388" s="25"/>
      <c r="F3388" s="25"/>
      <c r="G3388" s="25"/>
      <c r="H3388" s="25"/>
      <c r="I3388" s="25"/>
      <c r="J3388" s="25"/>
    </row>
    <row r="3389" spans="1:10" ht="14.4">
      <c r="A3389" s="25"/>
      <c r="B3389" s="25"/>
      <c r="C3389" s="25"/>
      <c r="D3389" s="25"/>
      <c r="E3389" s="25"/>
      <c r="F3389" s="25"/>
      <c r="G3389" s="25"/>
      <c r="H3389" s="25"/>
      <c r="I3389" s="25"/>
      <c r="J3389" s="25"/>
    </row>
    <row r="3390" spans="1:10" ht="14.4">
      <c r="A3390" s="25"/>
      <c r="B3390" s="25"/>
      <c r="C3390" s="25"/>
      <c r="D3390" s="25"/>
      <c r="E3390" s="25"/>
      <c r="F3390" s="25"/>
      <c r="G3390" s="25"/>
      <c r="H3390" s="25"/>
      <c r="I3390" s="25"/>
      <c r="J3390" s="25"/>
    </row>
    <row r="3391" spans="1:10" ht="14.4">
      <c r="A3391" s="25"/>
      <c r="B3391" s="25"/>
      <c r="C3391" s="25"/>
      <c r="D3391" s="25"/>
      <c r="E3391" s="25"/>
      <c r="F3391" s="25"/>
      <c r="G3391" s="25"/>
      <c r="H3391" s="25"/>
      <c r="I3391" s="25"/>
      <c r="J3391" s="25"/>
    </row>
    <row r="3392" spans="1:10" ht="14.4">
      <c r="A3392" s="25"/>
      <c r="B3392" s="25"/>
      <c r="C3392" s="25"/>
      <c r="D3392" s="25"/>
      <c r="E3392" s="25"/>
      <c r="F3392" s="25"/>
      <c r="G3392" s="25"/>
      <c r="H3392" s="25"/>
      <c r="I3392" s="25"/>
      <c r="J3392" s="25"/>
    </row>
    <row r="3393" spans="1:10" ht="14.4">
      <c r="A3393" s="25"/>
      <c r="B3393" s="25"/>
      <c r="C3393" s="25"/>
      <c r="D3393" s="25"/>
      <c r="E3393" s="25"/>
      <c r="F3393" s="25"/>
      <c r="G3393" s="25"/>
      <c r="H3393" s="25"/>
      <c r="I3393" s="25"/>
      <c r="J3393" s="25"/>
    </row>
    <row r="3394" spans="1:10" ht="14.4">
      <c r="A3394" s="25"/>
      <c r="B3394" s="25"/>
      <c r="C3394" s="25"/>
      <c r="D3394" s="25"/>
      <c r="E3394" s="25"/>
      <c r="F3394" s="25"/>
      <c r="G3394" s="25"/>
      <c r="H3394" s="25"/>
      <c r="I3394" s="25"/>
      <c r="J3394" s="25"/>
    </row>
    <row r="3395" spans="1:10" ht="14.4">
      <c r="A3395" s="25"/>
      <c r="B3395" s="25"/>
      <c r="C3395" s="25"/>
      <c r="D3395" s="25"/>
      <c r="E3395" s="25"/>
      <c r="F3395" s="25"/>
      <c r="G3395" s="25"/>
      <c r="H3395" s="25"/>
      <c r="I3395" s="25"/>
      <c r="J3395" s="25"/>
    </row>
    <row r="3396" spans="1:10" ht="14.4">
      <c r="A3396" s="25"/>
      <c r="B3396" s="25"/>
      <c r="C3396" s="25"/>
      <c r="D3396" s="25"/>
      <c r="E3396" s="25"/>
      <c r="F3396" s="25"/>
      <c r="G3396" s="25"/>
      <c r="H3396" s="25"/>
      <c r="I3396" s="25"/>
      <c r="J3396" s="25"/>
    </row>
    <row r="3397" spans="1:10" ht="14.4">
      <c r="A3397" s="25"/>
      <c r="B3397" s="25"/>
      <c r="C3397" s="25"/>
      <c r="D3397" s="25"/>
      <c r="E3397" s="25"/>
      <c r="F3397" s="25"/>
      <c r="G3397" s="25"/>
      <c r="H3397" s="25"/>
      <c r="I3397" s="25"/>
      <c r="J3397" s="25"/>
    </row>
    <row r="3398" spans="1:10" ht="14.4">
      <c r="A3398" s="25"/>
      <c r="B3398" s="25"/>
      <c r="C3398" s="25"/>
      <c r="D3398" s="25"/>
      <c r="E3398" s="25"/>
      <c r="F3398" s="25"/>
      <c r="G3398" s="25"/>
      <c r="H3398" s="25"/>
      <c r="I3398" s="25"/>
      <c r="J3398" s="25"/>
    </row>
    <row r="3399" spans="1:10" ht="14.4">
      <c r="A3399" s="25"/>
      <c r="B3399" s="25"/>
      <c r="C3399" s="25"/>
      <c r="D3399" s="25"/>
      <c r="E3399" s="25"/>
      <c r="F3399" s="25"/>
      <c r="G3399" s="25"/>
      <c r="H3399" s="25"/>
      <c r="I3399" s="25"/>
      <c r="J3399" s="25"/>
    </row>
    <row r="3400" spans="1:10" ht="14.4">
      <c r="A3400" s="25"/>
      <c r="B3400" s="25"/>
      <c r="C3400" s="25"/>
      <c r="D3400" s="25"/>
      <c r="E3400" s="25"/>
      <c r="F3400" s="25"/>
      <c r="G3400" s="25"/>
      <c r="H3400" s="25"/>
      <c r="I3400" s="25"/>
      <c r="J3400" s="25"/>
    </row>
    <row r="3401" spans="1:10" ht="14.4">
      <c r="A3401" s="25"/>
      <c r="B3401" s="25"/>
      <c r="C3401" s="25"/>
      <c r="D3401" s="25"/>
      <c r="E3401" s="25"/>
      <c r="F3401" s="25"/>
      <c r="G3401" s="25"/>
      <c r="H3401" s="25"/>
      <c r="I3401" s="25"/>
      <c r="J3401" s="25"/>
    </row>
    <row r="3402" spans="1:10" ht="14.4">
      <c r="A3402" s="25"/>
      <c r="B3402" s="25"/>
      <c r="C3402" s="25"/>
      <c r="D3402" s="25"/>
      <c r="E3402" s="25"/>
      <c r="F3402" s="25"/>
      <c r="G3402" s="25"/>
      <c r="H3402" s="25"/>
      <c r="I3402" s="25"/>
      <c r="J3402" s="25"/>
    </row>
    <row r="3403" spans="1:10" ht="14.4">
      <c r="A3403" s="25"/>
      <c r="B3403" s="25"/>
      <c r="C3403" s="25"/>
      <c r="D3403" s="25"/>
      <c r="E3403" s="25"/>
      <c r="F3403" s="25"/>
      <c r="G3403" s="25"/>
      <c r="H3403" s="25"/>
      <c r="I3403" s="25"/>
      <c r="J3403" s="25"/>
    </row>
    <row r="3404" spans="1:10" ht="14.4">
      <c r="A3404" s="25"/>
      <c r="B3404" s="25"/>
      <c r="C3404" s="25"/>
      <c r="D3404" s="25"/>
      <c r="E3404" s="25"/>
      <c r="F3404" s="25"/>
      <c r="G3404" s="25"/>
      <c r="H3404" s="25"/>
      <c r="I3404" s="25"/>
      <c r="J3404" s="25"/>
    </row>
    <row r="3405" spans="1:10" ht="14.4">
      <c r="A3405" s="25"/>
      <c r="B3405" s="25"/>
      <c r="C3405" s="25"/>
      <c r="D3405" s="25"/>
      <c r="E3405" s="25"/>
      <c r="F3405" s="25"/>
      <c r="G3405" s="25"/>
      <c r="H3405" s="25"/>
      <c r="I3405" s="25"/>
      <c r="J3405" s="25"/>
    </row>
    <row r="3406" spans="1:10" ht="14.4">
      <c r="A3406" s="25"/>
      <c r="B3406" s="25"/>
      <c r="C3406" s="25"/>
      <c r="D3406" s="25"/>
      <c r="E3406" s="25"/>
      <c r="F3406" s="25"/>
      <c r="G3406" s="25"/>
      <c r="H3406" s="25"/>
      <c r="I3406" s="25"/>
      <c r="J3406" s="25"/>
    </row>
    <row r="3407" spans="1:10" ht="14.4">
      <c r="A3407" s="25"/>
      <c r="B3407" s="25"/>
      <c r="C3407" s="25"/>
      <c r="D3407" s="25"/>
      <c r="E3407" s="25"/>
      <c r="F3407" s="25"/>
      <c r="G3407" s="25"/>
      <c r="H3407" s="25"/>
      <c r="I3407" s="25"/>
      <c r="J3407" s="25"/>
    </row>
    <row r="3408" spans="1:10" ht="14.4">
      <c r="A3408" s="25"/>
      <c r="B3408" s="25"/>
      <c r="C3408" s="25"/>
      <c r="D3408" s="25"/>
      <c r="E3408" s="25"/>
      <c r="F3408" s="25"/>
      <c r="G3408" s="25"/>
      <c r="H3408" s="25"/>
      <c r="I3408" s="25"/>
      <c r="J3408" s="25"/>
    </row>
    <row r="3409" spans="1:10" ht="14.4">
      <c r="A3409" s="25"/>
      <c r="B3409" s="25"/>
      <c r="C3409" s="25"/>
      <c r="D3409" s="25"/>
      <c r="E3409" s="25"/>
      <c r="F3409" s="25"/>
      <c r="G3409" s="25"/>
      <c r="H3409" s="25"/>
      <c r="I3409" s="25"/>
      <c r="J3409" s="25"/>
    </row>
    <row r="3410" spans="1:10" ht="14.4">
      <c r="A3410" s="25"/>
      <c r="B3410" s="25"/>
      <c r="C3410" s="25"/>
      <c r="D3410" s="25"/>
      <c r="E3410" s="25"/>
      <c r="F3410" s="25"/>
      <c r="G3410" s="25"/>
      <c r="H3410" s="25"/>
      <c r="I3410" s="25"/>
      <c r="J3410" s="25"/>
    </row>
    <row r="3411" spans="1:10" ht="14.4">
      <c r="A3411" s="25"/>
      <c r="B3411" s="25"/>
      <c r="C3411" s="25"/>
      <c r="D3411" s="25"/>
      <c r="E3411" s="25"/>
      <c r="F3411" s="25"/>
      <c r="G3411" s="25"/>
      <c r="H3411" s="25"/>
      <c r="I3411" s="25"/>
      <c r="J3411" s="25"/>
    </row>
    <row r="3412" spans="1:10" ht="14.4">
      <c r="A3412" s="25"/>
      <c r="B3412" s="25"/>
      <c r="C3412" s="25"/>
      <c r="D3412" s="25"/>
      <c r="E3412" s="25"/>
      <c r="F3412" s="25"/>
      <c r="G3412" s="25"/>
      <c r="H3412" s="25"/>
      <c r="I3412" s="25"/>
      <c r="J3412" s="25"/>
    </row>
    <row r="3413" spans="1:10" ht="14.4">
      <c r="A3413" s="25"/>
      <c r="B3413" s="25"/>
      <c r="C3413" s="25"/>
      <c r="D3413" s="25"/>
      <c r="E3413" s="25"/>
      <c r="F3413" s="25"/>
      <c r="G3413" s="25"/>
      <c r="H3413" s="25"/>
      <c r="I3413" s="25"/>
      <c r="J3413" s="25"/>
    </row>
    <row r="3414" spans="1:10" ht="14.4">
      <c r="A3414" s="25"/>
      <c r="B3414" s="25"/>
      <c r="C3414" s="25"/>
      <c r="D3414" s="25"/>
      <c r="E3414" s="25"/>
      <c r="F3414" s="25"/>
      <c r="G3414" s="25"/>
      <c r="H3414" s="25"/>
      <c r="I3414" s="25"/>
      <c r="J3414" s="25"/>
    </row>
    <row r="3415" spans="1:10" ht="14.4">
      <c r="A3415" s="25"/>
      <c r="B3415" s="25"/>
      <c r="C3415" s="25"/>
      <c r="D3415" s="25"/>
      <c r="E3415" s="25"/>
      <c r="F3415" s="25"/>
      <c r="G3415" s="25"/>
      <c r="H3415" s="25"/>
      <c r="I3415" s="25"/>
      <c r="J3415" s="25"/>
    </row>
    <row r="3416" spans="1:10" ht="14.4">
      <c r="A3416" s="25"/>
      <c r="B3416" s="25"/>
      <c r="C3416" s="25"/>
      <c r="D3416" s="25"/>
      <c r="E3416" s="25"/>
      <c r="F3416" s="25"/>
      <c r="G3416" s="25"/>
      <c r="H3416" s="25"/>
      <c r="I3416" s="25"/>
      <c r="J3416" s="25"/>
    </row>
    <row r="3417" spans="1:10" ht="14.4">
      <c r="A3417" s="25"/>
      <c r="B3417" s="25"/>
      <c r="C3417" s="25"/>
      <c r="D3417" s="25"/>
      <c r="E3417" s="25"/>
      <c r="F3417" s="25"/>
      <c r="G3417" s="25"/>
      <c r="H3417" s="25"/>
      <c r="I3417" s="25"/>
      <c r="J3417" s="25"/>
    </row>
    <row r="3418" spans="1:10" ht="14.4">
      <c r="A3418" s="25"/>
      <c r="B3418" s="25"/>
      <c r="C3418" s="25"/>
      <c r="D3418" s="25"/>
      <c r="E3418" s="25"/>
      <c r="F3418" s="25"/>
      <c r="G3418" s="25"/>
      <c r="H3418" s="25"/>
      <c r="I3418" s="25"/>
      <c r="J3418" s="25"/>
    </row>
    <row r="3419" spans="1:10" ht="14.4">
      <c r="A3419" s="25"/>
      <c r="B3419" s="25"/>
      <c r="C3419" s="25"/>
      <c r="D3419" s="25"/>
      <c r="E3419" s="25"/>
      <c r="F3419" s="25"/>
      <c r="G3419" s="25"/>
      <c r="H3419" s="25"/>
      <c r="I3419" s="25"/>
      <c r="J3419" s="25"/>
    </row>
    <row r="3420" spans="1:10" ht="14.4">
      <c r="A3420" s="25"/>
      <c r="B3420" s="25"/>
      <c r="C3420" s="25"/>
      <c r="D3420" s="25"/>
      <c r="E3420" s="25"/>
      <c r="F3420" s="25"/>
      <c r="G3420" s="25"/>
      <c r="H3420" s="25"/>
      <c r="I3420" s="25"/>
      <c r="J3420" s="25"/>
    </row>
    <row r="3421" spans="1:10" ht="14.4">
      <c r="A3421" s="25"/>
      <c r="B3421" s="25"/>
      <c r="C3421" s="25"/>
      <c r="D3421" s="25"/>
      <c r="E3421" s="25"/>
      <c r="F3421" s="25"/>
      <c r="G3421" s="25"/>
      <c r="H3421" s="25"/>
      <c r="I3421" s="25"/>
      <c r="J3421" s="25"/>
    </row>
    <row r="3422" spans="1:10" ht="14.4">
      <c r="A3422" s="25"/>
      <c r="B3422" s="25"/>
      <c r="C3422" s="25"/>
      <c r="D3422" s="25"/>
      <c r="E3422" s="25"/>
      <c r="F3422" s="25"/>
      <c r="G3422" s="25"/>
      <c r="H3422" s="25"/>
      <c r="I3422" s="25"/>
      <c r="J3422" s="25"/>
    </row>
    <row r="3423" spans="1:10" ht="14.4">
      <c r="A3423" s="25"/>
      <c r="B3423" s="25"/>
      <c r="C3423" s="25"/>
      <c r="D3423" s="25"/>
      <c r="E3423" s="25"/>
      <c r="F3423" s="25"/>
      <c r="G3423" s="25"/>
      <c r="H3423" s="25"/>
      <c r="I3423" s="25"/>
      <c r="J3423" s="25"/>
    </row>
    <row r="3424" spans="1:10" ht="14.4">
      <c r="A3424" s="25"/>
      <c r="B3424" s="25"/>
      <c r="C3424" s="25"/>
      <c r="D3424" s="25"/>
      <c r="E3424" s="25"/>
      <c r="F3424" s="25"/>
      <c r="G3424" s="25"/>
      <c r="H3424" s="25"/>
      <c r="I3424" s="25"/>
      <c r="J3424" s="25"/>
    </row>
    <row r="3425" spans="1:10" ht="14.4">
      <c r="A3425" s="25"/>
      <c r="B3425" s="25"/>
      <c r="C3425" s="25"/>
      <c r="D3425" s="25"/>
      <c r="E3425" s="25"/>
      <c r="F3425" s="25"/>
      <c r="G3425" s="25"/>
      <c r="H3425" s="25"/>
      <c r="I3425" s="25"/>
      <c r="J3425" s="25"/>
    </row>
    <row r="3426" spans="1:10" ht="14.4">
      <c r="A3426" s="25"/>
      <c r="B3426" s="25"/>
      <c r="C3426" s="25"/>
      <c r="D3426" s="25"/>
      <c r="E3426" s="25"/>
      <c r="F3426" s="25"/>
      <c r="G3426" s="25"/>
      <c r="H3426" s="25"/>
      <c r="I3426" s="25"/>
      <c r="J3426" s="25"/>
    </row>
    <row r="3427" spans="1:10" ht="14.4">
      <c r="A3427" s="25"/>
      <c r="B3427" s="25"/>
      <c r="C3427" s="25"/>
      <c r="D3427" s="25"/>
      <c r="E3427" s="25"/>
      <c r="F3427" s="25"/>
      <c r="G3427" s="25"/>
      <c r="H3427" s="25"/>
      <c r="I3427" s="25"/>
      <c r="J3427" s="25"/>
    </row>
    <row r="3428" spans="1:10" ht="14.4">
      <c r="A3428" s="25"/>
      <c r="B3428" s="25"/>
      <c r="C3428" s="25"/>
      <c r="D3428" s="25"/>
      <c r="E3428" s="25"/>
      <c r="F3428" s="25"/>
      <c r="G3428" s="25"/>
      <c r="H3428" s="25"/>
      <c r="I3428" s="25"/>
      <c r="J3428" s="25"/>
    </row>
    <row r="3429" spans="1:10" ht="14.4">
      <c r="A3429" s="25"/>
      <c r="B3429" s="25"/>
      <c r="C3429" s="25"/>
      <c r="D3429" s="25"/>
      <c r="E3429" s="25"/>
      <c r="F3429" s="25"/>
      <c r="G3429" s="25"/>
      <c r="H3429" s="25"/>
      <c r="I3429" s="25"/>
      <c r="J3429" s="25"/>
    </row>
    <row r="3430" spans="1:10" ht="14.4">
      <c r="A3430" s="25"/>
      <c r="B3430" s="25"/>
      <c r="C3430" s="25"/>
      <c r="D3430" s="25"/>
      <c r="E3430" s="25"/>
      <c r="F3430" s="25"/>
      <c r="G3430" s="25"/>
      <c r="H3430" s="25"/>
      <c r="I3430" s="25"/>
      <c r="J3430" s="25"/>
    </row>
    <row r="3431" spans="1:10" ht="14.4">
      <c r="A3431" s="25"/>
      <c r="B3431" s="25"/>
      <c r="C3431" s="25"/>
      <c r="D3431" s="25"/>
      <c r="E3431" s="25"/>
      <c r="F3431" s="25"/>
      <c r="G3431" s="25"/>
      <c r="H3431" s="25"/>
      <c r="I3431" s="25"/>
      <c r="J3431" s="25"/>
    </row>
    <row r="3432" spans="1:10" ht="14.4">
      <c r="A3432" s="25"/>
      <c r="B3432" s="25"/>
      <c r="C3432" s="25"/>
      <c r="D3432" s="25"/>
      <c r="E3432" s="25"/>
      <c r="F3432" s="25"/>
      <c r="G3432" s="25"/>
      <c r="H3432" s="25"/>
      <c r="I3432" s="25"/>
      <c r="J3432" s="25"/>
    </row>
    <row r="3433" spans="1:10" ht="14.4">
      <c r="A3433" s="25"/>
      <c r="B3433" s="25"/>
      <c r="C3433" s="25"/>
      <c r="D3433" s="25"/>
      <c r="E3433" s="25"/>
      <c r="F3433" s="25"/>
      <c r="G3433" s="25"/>
      <c r="H3433" s="25"/>
      <c r="I3433" s="25"/>
      <c r="J3433" s="25"/>
    </row>
    <row r="3434" spans="1:10" ht="14.4">
      <c r="A3434" s="25"/>
      <c r="B3434" s="25"/>
      <c r="C3434" s="25"/>
      <c r="D3434" s="25"/>
      <c r="E3434" s="25"/>
      <c r="F3434" s="25"/>
      <c r="G3434" s="25"/>
      <c r="H3434" s="25"/>
      <c r="I3434" s="25"/>
      <c r="J3434" s="25"/>
    </row>
    <row r="3435" spans="1:10" ht="14.4">
      <c r="A3435" s="25"/>
      <c r="B3435" s="25"/>
      <c r="C3435" s="25"/>
      <c r="D3435" s="25"/>
      <c r="E3435" s="25"/>
      <c r="F3435" s="25"/>
      <c r="G3435" s="25"/>
      <c r="H3435" s="25"/>
      <c r="I3435" s="25"/>
      <c r="J3435" s="25"/>
    </row>
    <row r="3436" spans="1:10" ht="14.4">
      <c r="A3436" s="25"/>
      <c r="B3436" s="25"/>
      <c r="C3436" s="25"/>
      <c r="D3436" s="25"/>
      <c r="E3436" s="25"/>
      <c r="F3436" s="25"/>
      <c r="G3436" s="25"/>
      <c r="H3436" s="25"/>
      <c r="I3436" s="25"/>
      <c r="J3436" s="25"/>
    </row>
    <row r="3437" spans="1:10" ht="14.4">
      <c r="A3437" s="25"/>
      <c r="B3437" s="25"/>
      <c r="C3437" s="25"/>
      <c r="D3437" s="25"/>
      <c r="E3437" s="25"/>
      <c r="F3437" s="25"/>
      <c r="G3437" s="25"/>
      <c r="H3437" s="25"/>
      <c r="I3437" s="25"/>
      <c r="J3437" s="25"/>
    </row>
    <row r="3438" spans="1:10" ht="14.4">
      <c r="A3438" s="25"/>
      <c r="B3438" s="25"/>
      <c r="C3438" s="25"/>
      <c r="D3438" s="25"/>
      <c r="E3438" s="25"/>
      <c r="F3438" s="25"/>
      <c r="G3438" s="25"/>
      <c r="H3438" s="25"/>
      <c r="I3438" s="25"/>
      <c r="J3438" s="25"/>
    </row>
    <row r="3439" spans="1:10" ht="14.4">
      <c r="A3439" s="25"/>
      <c r="B3439" s="25"/>
      <c r="C3439" s="25"/>
      <c r="D3439" s="25"/>
      <c r="E3439" s="25"/>
      <c r="F3439" s="25"/>
      <c r="G3439" s="25"/>
      <c r="H3439" s="25"/>
      <c r="I3439" s="25"/>
      <c r="J3439" s="25"/>
    </row>
    <row r="3440" spans="1:10" ht="14.4">
      <c r="A3440" s="25"/>
      <c r="B3440" s="25"/>
      <c r="C3440" s="25"/>
      <c r="D3440" s="25"/>
      <c r="E3440" s="25"/>
      <c r="F3440" s="25"/>
      <c r="G3440" s="25"/>
      <c r="H3440" s="25"/>
      <c r="I3440" s="25"/>
      <c r="J3440" s="25"/>
    </row>
    <row r="3441" spans="1:10" ht="14.4">
      <c r="A3441" s="25"/>
      <c r="B3441" s="25"/>
      <c r="C3441" s="25"/>
      <c r="D3441" s="25"/>
      <c r="E3441" s="25"/>
      <c r="F3441" s="25"/>
      <c r="G3441" s="25"/>
      <c r="H3441" s="25"/>
      <c r="I3441" s="25"/>
      <c r="J3441" s="25"/>
    </row>
    <row r="3442" spans="1:10" ht="14.4">
      <c r="A3442" s="25"/>
      <c r="B3442" s="25"/>
      <c r="C3442" s="25"/>
      <c r="D3442" s="25"/>
      <c r="E3442" s="25"/>
      <c r="F3442" s="25"/>
      <c r="G3442" s="25"/>
      <c r="H3442" s="25"/>
      <c r="I3442" s="25"/>
      <c r="J3442" s="25"/>
    </row>
    <row r="3443" spans="1:10" ht="14.4">
      <c r="A3443" s="25"/>
      <c r="B3443" s="25"/>
      <c r="C3443" s="25"/>
      <c r="D3443" s="25"/>
      <c r="E3443" s="25"/>
      <c r="F3443" s="25"/>
      <c r="G3443" s="25"/>
      <c r="H3443" s="25"/>
      <c r="I3443" s="25"/>
      <c r="J3443" s="25"/>
    </row>
    <row r="3444" spans="1:10" ht="14.4">
      <c r="A3444" s="25"/>
      <c r="B3444" s="25"/>
      <c r="C3444" s="25"/>
      <c r="D3444" s="25"/>
      <c r="E3444" s="25"/>
      <c r="F3444" s="25"/>
      <c r="G3444" s="25"/>
      <c r="H3444" s="25"/>
      <c r="I3444" s="25"/>
      <c r="J3444" s="25"/>
    </row>
    <row r="3445" spans="1:10" ht="14.4">
      <c r="A3445" s="25"/>
      <c r="B3445" s="25"/>
      <c r="C3445" s="25"/>
      <c r="D3445" s="25"/>
      <c r="E3445" s="25"/>
      <c r="F3445" s="25"/>
      <c r="G3445" s="25"/>
      <c r="H3445" s="25"/>
      <c r="I3445" s="25"/>
      <c r="J3445" s="25"/>
    </row>
    <row r="3446" spans="1:10" ht="14.4">
      <c r="A3446" s="25"/>
      <c r="B3446" s="25"/>
      <c r="C3446" s="25"/>
      <c r="D3446" s="25"/>
      <c r="E3446" s="25"/>
      <c r="F3446" s="25"/>
      <c r="G3446" s="25"/>
      <c r="H3446" s="25"/>
      <c r="I3446" s="25"/>
      <c r="J3446" s="25"/>
    </row>
    <row r="3447" spans="1:10" ht="14.4">
      <c r="A3447" s="25"/>
      <c r="B3447" s="25"/>
      <c r="C3447" s="25"/>
      <c r="D3447" s="25"/>
      <c r="E3447" s="25"/>
      <c r="F3447" s="25"/>
      <c r="G3447" s="25"/>
      <c r="H3447" s="25"/>
      <c r="I3447" s="25"/>
      <c r="J3447" s="25"/>
    </row>
    <row r="3448" spans="1:10" ht="14.4">
      <c r="A3448" s="25"/>
      <c r="B3448" s="25"/>
      <c r="C3448" s="25"/>
      <c r="D3448" s="25"/>
      <c r="E3448" s="25"/>
      <c r="F3448" s="25"/>
      <c r="G3448" s="25"/>
      <c r="H3448" s="25"/>
      <c r="I3448" s="25"/>
      <c r="J3448" s="25"/>
    </row>
    <row r="3449" spans="1:10" ht="14.4">
      <c r="A3449" s="25"/>
      <c r="B3449" s="25"/>
      <c r="C3449" s="25"/>
      <c r="D3449" s="25"/>
      <c r="E3449" s="25"/>
      <c r="F3449" s="25"/>
      <c r="G3449" s="25"/>
      <c r="H3449" s="25"/>
      <c r="I3449" s="25"/>
      <c r="J3449" s="25"/>
    </row>
    <row r="3450" spans="1:10" ht="14.4">
      <c r="A3450" s="25"/>
      <c r="B3450" s="25"/>
      <c r="C3450" s="25"/>
      <c r="D3450" s="25"/>
      <c r="E3450" s="25"/>
      <c r="F3450" s="25"/>
      <c r="G3450" s="25"/>
      <c r="H3450" s="25"/>
      <c r="I3450" s="25"/>
      <c r="J3450" s="25"/>
    </row>
    <row r="3451" spans="1:10" ht="14.4">
      <c r="A3451" s="25"/>
      <c r="B3451" s="25"/>
      <c r="C3451" s="25"/>
      <c r="D3451" s="25"/>
      <c r="E3451" s="25"/>
      <c r="F3451" s="25"/>
      <c r="G3451" s="25"/>
      <c r="H3451" s="25"/>
      <c r="I3451" s="25"/>
      <c r="J3451" s="25"/>
    </row>
    <row r="3452" spans="1:10" ht="14.4">
      <c r="A3452" s="25"/>
      <c r="B3452" s="25"/>
      <c r="C3452" s="25"/>
      <c r="D3452" s="25"/>
      <c r="E3452" s="25"/>
      <c r="F3452" s="25"/>
      <c r="G3452" s="25"/>
      <c r="H3452" s="25"/>
      <c r="I3452" s="25"/>
      <c r="J3452" s="25"/>
    </row>
    <row r="3453" spans="1:10" ht="14.4">
      <c r="A3453" s="25"/>
      <c r="B3453" s="25"/>
      <c r="C3453" s="25"/>
      <c r="D3453" s="25"/>
      <c r="E3453" s="25"/>
      <c r="F3453" s="25"/>
      <c r="G3453" s="25"/>
      <c r="H3453" s="25"/>
      <c r="I3453" s="25"/>
      <c r="J3453" s="25"/>
    </row>
    <row r="3454" spans="1:10" ht="14.4">
      <c r="A3454" s="25"/>
      <c r="B3454" s="25"/>
      <c r="C3454" s="25"/>
      <c r="D3454" s="25"/>
      <c r="E3454" s="25"/>
      <c r="F3454" s="25"/>
      <c r="G3454" s="25"/>
      <c r="H3454" s="25"/>
      <c r="I3454" s="25"/>
      <c r="J3454" s="25"/>
    </row>
    <row r="3455" spans="1:10" ht="14.4">
      <c r="A3455" s="25"/>
      <c r="B3455" s="25"/>
      <c r="C3455" s="25"/>
      <c r="D3455" s="25"/>
      <c r="E3455" s="25"/>
      <c r="F3455" s="25"/>
      <c r="G3455" s="25"/>
      <c r="H3455" s="25"/>
      <c r="I3455" s="25"/>
      <c r="J3455" s="25"/>
    </row>
    <row r="3456" spans="1:10" ht="14.4">
      <c r="A3456" s="25"/>
      <c r="B3456" s="25"/>
      <c r="C3456" s="25"/>
      <c r="D3456" s="25"/>
      <c r="E3456" s="25"/>
      <c r="F3456" s="25"/>
      <c r="G3456" s="25"/>
      <c r="H3456" s="25"/>
      <c r="I3456" s="25"/>
      <c r="J3456" s="25"/>
    </row>
    <row r="3457" spans="1:10" ht="14.4">
      <c r="A3457" s="25"/>
      <c r="B3457" s="25"/>
      <c r="C3457" s="25"/>
      <c r="D3457" s="25"/>
      <c r="E3457" s="25"/>
      <c r="F3457" s="25"/>
      <c r="G3457" s="25"/>
      <c r="H3457" s="25"/>
      <c r="I3457" s="25"/>
      <c r="J3457" s="25"/>
    </row>
    <row r="3458" spans="1:10" ht="14.4">
      <c r="A3458" s="25"/>
      <c r="B3458" s="25"/>
      <c r="C3458" s="25"/>
      <c r="D3458" s="25"/>
      <c r="E3458" s="25"/>
      <c r="F3458" s="25"/>
      <c r="G3458" s="25"/>
      <c r="H3458" s="25"/>
      <c r="I3458" s="25"/>
      <c r="J3458" s="25"/>
    </row>
    <row r="3459" spans="1:10" ht="14.4">
      <c r="A3459" s="25"/>
      <c r="B3459" s="25"/>
      <c r="C3459" s="25"/>
      <c r="D3459" s="25"/>
      <c r="E3459" s="25"/>
      <c r="F3459" s="25"/>
      <c r="G3459" s="25"/>
      <c r="H3459" s="25"/>
      <c r="I3459" s="25"/>
      <c r="J3459" s="25"/>
    </row>
    <row r="3460" spans="1:10" ht="14.4">
      <c r="A3460" s="25"/>
      <c r="B3460" s="25"/>
      <c r="C3460" s="25"/>
      <c r="D3460" s="25"/>
      <c r="E3460" s="25"/>
      <c r="F3460" s="25"/>
      <c r="G3460" s="25"/>
      <c r="H3460" s="25"/>
      <c r="I3460" s="25"/>
      <c r="J3460" s="25"/>
    </row>
    <row r="3461" spans="1:10" ht="14.4">
      <c r="A3461" s="25"/>
      <c r="B3461" s="25"/>
      <c r="C3461" s="25"/>
      <c r="D3461" s="25"/>
      <c r="E3461" s="25"/>
      <c r="F3461" s="25"/>
      <c r="G3461" s="25"/>
      <c r="H3461" s="25"/>
      <c r="I3461" s="25"/>
      <c r="J3461" s="25"/>
    </row>
    <row r="3462" spans="1:10" ht="14.4">
      <c r="A3462" s="25"/>
      <c r="B3462" s="25"/>
      <c r="C3462" s="25"/>
      <c r="D3462" s="25"/>
      <c r="E3462" s="25"/>
      <c r="F3462" s="25"/>
      <c r="G3462" s="25"/>
      <c r="H3462" s="25"/>
      <c r="I3462" s="25"/>
      <c r="J3462" s="25"/>
    </row>
    <row r="3463" spans="1:10" ht="14.4">
      <c r="A3463" s="25"/>
      <c r="B3463" s="25"/>
      <c r="C3463" s="25"/>
      <c r="D3463" s="25"/>
      <c r="E3463" s="25"/>
      <c r="F3463" s="25"/>
      <c r="G3463" s="25"/>
      <c r="H3463" s="25"/>
      <c r="I3463" s="25"/>
      <c r="J3463" s="25"/>
    </row>
    <row r="3464" spans="1:10" ht="14.4">
      <c r="A3464" s="25"/>
      <c r="B3464" s="25"/>
      <c r="C3464" s="25"/>
      <c r="D3464" s="25"/>
      <c r="E3464" s="25"/>
      <c r="F3464" s="25"/>
      <c r="G3464" s="25"/>
      <c r="H3464" s="25"/>
      <c r="I3464" s="25"/>
      <c r="J3464" s="25"/>
    </row>
    <row r="3465" spans="1:10" ht="14.4">
      <c r="A3465" s="25"/>
      <c r="B3465" s="25"/>
      <c r="C3465" s="25"/>
      <c r="D3465" s="25"/>
      <c r="E3465" s="25"/>
      <c r="F3465" s="25"/>
      <c r="G3465" s="25"/>
      <c r="H3465" s="25"/>
      <c r="I3465" s="25"/>
      <c r="J3465" s="25"/>
    </row>
    <row r="3466" spans="1:10" ht="14.4">
      <c r="A3466" s="25"/>
      <c r="B3466" s="25"/>
      <c r="C3466" s="25"/>
      <c r="D3466" s="25"/>
      <c r="E3466" s="25"/>
      <c r="F3466" s="25"/>
      <c r="G3466" s="25"/>
      <c r="H3466" s="25"/>
      <c r="I3466" s="25"/>
      <c r="J3466" s="25"/>
    </row>
    <row r="3467" spans="1:10" ht="14.4">
      <c r="A3467" s="25"/>
      <c r="B3467" s="25"/>
      <c r="C3467" s="25"/>
      <c r="D3467" s="25"/>
      <c r="E3467" s="25"/>
      <c r="F3467" s="25"/>
      <c r="G3467" s="25"/>
      <c r="H3467" s="25"/>
      <c r="I3467" s="25"/>
      <c r="J3467" s="25"/>
    </row>
    <row r="3468" spans="1:10" ht="14.4">
      <c r="A3468" s="25"/>
      <c r="B3468" s="25"/>
      <c r="C3468" s="25"/>
      <c r="D3468" s="25"/>
      <c r="E3468" s="25"/>
      <c r="F3468" s="25"/>
      <c r="G3468" s="25"/>
      <c r="H3468" s="25"/>
      <c r="I3468" s="25"/>
      <c r="J3468" s="25"/>
    </row>
    <row r="3469" spans="1:10" ht="14.4">
      <c r="A3469" s="25"/>
      <c r="B3469" s="25"/>
      <c r="C3469" s="25"/>
      <c r="D3469" s="25"/>
      <c r="E3469" s="25"/>
      <c r="F3469" s="25"/>
      <c r="G3469" s="25"/>
      <c r="H3469" s="25"/>
      <c r="I3469" s="25"/>
      <c r="J3469" s="25"/>
    </row>
    <row r="3470" spans="1:10" ht="14.4">
      <c r="A3470" s="25"/>
      <c r="B3470" s="25"/>
      <c r="C3470" s="25"/>
      <c r="D3470" s="25"/>
      <c r="E3470" s="25"/>
      <c r="F3470" s="25"/>
      <c r="G3470" s="25"/>
      <c r="H3470" s="25"/>
      <c r="I3470" s="25"/>
      <c r="J3470" s="25"/>
    </row>
    <row r="3471" spans="1:10" ht="14.4">
      <c r="A3471" s="25"/>
      <c r="B3471" s="25"/>
      <c r="C3471" s="25"/>
      <c r="D3471" s="25"/>
      <c r="E3471" s="25"/>
      <c r="F3471" s="25"/>
      <c r="G3471" s="25"/>
      <c r="H3471" s="25"/>
      <c r="I3471" s="25"/>
      <c r="J3471" s="25"/>
    </row>
    <row r="3472" spans="1:10" ht="14.4">
      <c r="A3472" s="25"/>
      <c r="B3472" s="25"/>
      <c r="C3472" s="25"/>
      <c r="D3472" s="25"/>
      <c r="E3472" s="25"/>
      <c r="F3472" s="25"/>
      <c r="G3472" s="25"/>
      <c r="H3472" s="25"/>
      <c r="I3472" s="25"/>
      <c r="J3472" s="25"/>
    </row>
    <row r="3473" spans="1:10" ht="14.4">
      <c r="A3473" s="25"/>
      <c r="B3473" s="25"/>
      <c r="C3473" s="25"/>
      <c r="D3473" s="25"/>
      <c r="E3473" s="25"/>
      <c r="F3473" s="25"/>
      <c r="G3473" s="25"/>
      <c r="H3473" s="25"/>
      <c r="I3473" s="25"/>
      <c r="J3473" s="25"/>
    </row>
    <row r="3474" spans="1:10" ht="14.4">
      <c r="A3474" s="25"/>
      <c r="B3474" s="25"/>
      <c r="C3474" s="25"/>
      <c r="D3474" s="25"/>
      <c r="E3474" s="25"/>
      <c r="F3474" s="25"/>
      <c r="G3474" s="25"/>
      <c r="H3474" s="25"/>
      <c r="I3474" s="25"/>
      <c r="J3474" s="25"/>
    </row>
    <row r="3475" spans="1:10" ht="14.4">
      <c r="A3475" s="25"/>
      <c r="B3475" s="25"/>
      <c r="C3475" s="25"/>
      <c r="D3475" s="25"/>
      <c r="E3475" s="25"/>
      <c r="F3475" s="25"/>
      <c r="G3475" s="25"/>
      <c r="H3475" s="25"/>
      <c r="I3475" s="25"/>
      <c r="J3475" s="25"/>
    </row>
    <row r="3476" spans="1:10" ht="14.4">
      <c r="A3476" s="25"/>
      <c r="B3476" s="25"/>
      <c r="C3476" s="25"/>
      <c r="D3476" s="25"/>
      <c r="E3476" s="25"/>
      <c r="F3476" s="25"/>
      <c r="G3476" s="25"/>
      <c r="H3476" s="25"/>
      <c r="I3476" s="25"/>
      <c r="J3476" s="25"/>
    </row>
    <row r="3477" spans="1:10" ht="14.4">
      <c r="A3477" s="25"/>
      <c r="B3477" s="25"/>
      <c r="C3477" s="25"/>
      <c r="D3477" s="25"/>
      <c r="E3477" s="25"/>
      <c r="F3477" s="25"/>
      <c r="G3477" s="25"/>
      <c r="H3477" s="25"/>
      <c r="I3477" s="25"/>
      <c r="J3477" s="25"/>
    </row>
    <row r="3478" spans="1:10" ht="14.4">
      <c r="A3478" s="25"/>
      <c r="B3478" s="25"/>
      <c r="C3478" s="25"/>
      <c r="D3478" s="25"/>
      <c r="E3478" s="25"/>
      <c r="F3478" s="25"/>
      <c r="G3478" s="25"/>
      <c r="H3478" s="25"/>
      <c r="I3478" s="25"/>
      <c r="J3478" s="25"/>
    </row>
    <row r="3479" spans="1:10" ht="14.4">
      <c r="A3479" s="25"/>
      <c r="B3479" s="25"/>
      <c r="C3479" s="25"/>
      <c r="D3479" s="25"/>
      <c r="E3479" s="25"/>
      <c r="F3479" s="25"/>
      <c r="G3479" s="25"/>
      <c r="H3479" s="25"/>
      <c r="I3479" s="25"/>
      <c r="J3479" s="25"/>
    </row>
    <row r="3480" spans="1:10" ht="14.4">
      <c r="A3480" s="25"/>
      <c r="B3480" s="25"/>
      <c r="C3480" s="25"/>
      <c r="D3480" s="25"/>
      <c r="E3480" s="25"/>
      <c r="F3480" s="25"/>
      <c r="G3480" s="25"/>
      <c r="H3480" s="25"/>
      <c r="I3480" s="25"/>
      <c r="J3480" s="25"/>
    </row>
    <row r="3481" spans="1:10" ht="14.4">
      <c r="A3481" s="25"/>
      <c r="B3481" s="25"/>
      <c r="C3481" s="25"/>
      <c r="D3481" s="25"/>
      <c r="E3481" s="25"/>
      <c r="F3481" s="25"/>
      <c r="G3481" s="25"/>
      <c r="H3481" s="25"/>
      <c r="I3481" s="25"/>
      <c r="J3481" s="25"/>
    </row>
    <row r="3482" spans="1:10" ht="14.4">
      <c r="A3482" s="25"/>
      <c r="B3482" s="25"/>
      <c r="C3482" s="25"/>
      <c r="D3482" s="25"/>
      <c r="E3482" s="25"/>
      <c r="F3482" s="25"/>
      <c r="G3482" s="25"/>
      <c r="H3482" s="25"/>
      <c r="I3482" s="25"/>
      <c r="J3482" s="25"/>
    </row>
    <row r="3483" spans="1:10" ht="14.4">
      <c r="A3483" s="25"/>
      <c r="B3483" s="25"/>
      <c r="C3483" s="25"/>
      <c r="D3483" s="25"/>
      <c r="E3483" s="25"/>
      <c r="F3483" s="25"/>
      <c r="G3483" s="25"/>
      <c r="H3483" s="25"/>
      <c r="I3483" s="25"/>
      <c r="J3483" s="25"/>
    </row>
    <row r="3484" spans="1:10" ht="14.4">
      <c r="A3484" s="25"/>
      <c r="B3484" s="25"/>
      <c r="C3484" s="25"/>
      <c r="D3484" s="25"/>
      <c r="E3484" s="25"/>
      <c r="F3484" s="25"/>
      <c r="G3484" s="25"/>
      <c r="H3484" s="25"/>
      <c r="I3484" s="25"/>
      <c r="J3484" s="25"/>
    </row>
    <row r="3485" spans="1:10" ht="14.4">
      <c r="A3485" s="25"/>
      <c r="B3485" s="25"/>
      <c r="C3485" s="25"/>
      <c r="D3485" s="25"/>
      <c r="E3485" s="25"/>
      <c r="F3485" s="25"/>
      <c r="G3485" s="25"/>
      <c r="H3485" s="25"/>
      <c r="I3485" s="25"/>
      <c r="J3485" s="25"/>
    </row>
    <row r="3486" spans="1:10" ht="14.4">
      <c r="A3486" s="25"/>
      <c r="B3486" s="25"/>
      <c r="C3486" s="25"/>
      <c r="D3486" s="25"/>
      <c r="E3486" s="25"/>
      <c r="F3486" s="25"/>
      <c r="G3486" s="25"/>
      <c r="H3486" s="25"/>
      <c r="I3486" s="25"/>
      <c r="J3486" s="25"/>
    </row>
    <row r="3487" spans="1:10" ht="14.4">
      <c r="A3487" s="25"/>
      <c r="B3487" s="25"/>
      <c r="C3487" s="25"/>
      <c r="D3487" s="25"/>
      <c r="E3487" s="25"/>
      <c r="F3487" s="25"/>
      <c r="G3487" s="25"/>
      <c r="H3487" s="25"/>
      <c r="I3487" s="25"/>
      <c r="J3487" s="25"/>
    </row>
    <row r="3488" spans="1:10" ht="14.4">
      <c r="A3488" s="25"/>
      <c r="B3488" s="25"/>
      <c r="C3488" s="25"/>
      <c r="D3488" s="25"/>
      <c r="E3488" s="25"/>
      <c r="F3488" s="25"/>
      <c r="G3488" s="25"/>
      <c r="H3488" s="25"/>
      <c r="I3488" s="25"/>
      <c r="J3488" s="25"/>
    </row>
    <row r="3489" spans="1:10" ht="14.4">
      <c r="A3489" s="25"/>
      <c r="B3489" s="25"/>
      <c r="C3489" s="25"/>
      <c r="D3489" s="25"/>
      <c r="E3489" s="25"/>
      <c r="F3489" s="25"/>
      <c r="G3489" s="25"/>
      <c r="H3489" s="25"/>
      <c r="I3489" s="25"/>
      <c r="J3489" s="25"/>
    </row>
    <row r="3490" spans="1:10" ht="14.4">
      <c r="A3490" s="25"/>
      <c r="B3490" s="25"/>
      <c r="C3490" s="25"/>
      <c r="D3490" s="25"/>
      <c r="E3490" s="25"/>
      <c r="F3490" s="25"/>
      <c r="G3490" s="25"/>
      <c r="H3490" s="25"/>
      <c r="I3490" s="25"/>
      <c r="J3490" s="25"/>
    </row>
    <row r="3491" spans="1:10" ht="14.4">
      <c r="A3491" s="25"/>
      <c r="B3491" s="25"/>
      <c r="C3491" s="25"/>
      <c r="D3491" s="25"/>
      <c r="E3491" s="25"/>
      <c r="F3491" s="25"/>
      <c r="G3491" s="25"/>
      <c r="H3491" s="25"/>
      <c r="I3491" s="25"/>
      <c r="J3491" s="25"/>
    </row>
    <row r="3492" spans="1:10" ht="14.4">
      <c r="A3492" s="25"/>
      <c r="B3492" s="25"/>
      <c r="C3492" s="25"/>
      <c r="D3492" s="25"/>
      <c r="E3492" s="25"/>
      <c r="F3492" s="25"/>
      <c r="G3492" s="25"/>
      <c r="H3492" s="25"/>
      <c r="I3492" s="25"/>
      <c r="J3492" s="25"/>
    </row>
    <row r="3493" spans="1:10" ht="14.4">
      <c r="A3493" s="25"/>
      <c r="B3493" s="25"/>
      <c r="C3493" s="25"/>
      <c r="D3493" s="25"/>
      <c r="E3493" s="25"/>
      <c r="F3493" s="25"/>
      <c r="G3493" s="25"/>
      <c r="H3493" s="25"/>
      <c r="I3493" s="25"/>
      <c r="J3493" s="25"/>
    </row>
    <row r="3494" spans="1:10" ht="14.4">
      <c r="A3494" s="25"/>
      <c r="B3494" s="25"/>
      <c r="C3494" s="25"/>
      <c r="D3494" s="25"/>
      <c r="E3494" s="25"/>
      <c r="F3494" s="25"/>
      <c r="G3494" s="25"/>
      <c r="H3494" s="25"/>
      <c r="I3494" s="25"/>
      <c r="J3494" s="25"/>
    </row>
    <row r="3495" spans="1:10" ht="14.4">
      <c r="A3495" s="25"/>
      <c r="B3495" s="25"/>
      <c r="C3495" s="25"/>
      <c r="D3495" s="25"/>
      <c r="E3495" s="25"/>
      <c r="F3495" s="25"/>
      <c r="G3495" s="25"/>
      <c r="H3495" s="25"/>
      <c r="I3495" s="25"/>
      <c r="J3495" s="25"/>
    </row>
    <row r="3496" spans="1:10" ht="14.4">
      <c r="A3496" s="25"/>
      <c r="B3496" s="25"/>
      <c r="C3496" s="25"/>
      <c r="D3496" s="25"/>
      <c r="E3496" s="25"/>
      <c r="F3496" s="25"/>
      <c r="G3496" s="25"/>
      <c r="H3496" s="25"/>
      <c r="I3496" s="25"/>
      <c r="J3496" s="25"/>
    </row>
    <row r="3497" spans="1:10" ht="14.4">
      <c r="A3497" s="25"/>
      <c r="B3497" s="25"/>
      <c r="C3497" s="25"/>
      <c r="D3497" s="25"/>
      <c r="E3497" s="25"/>
      <c r="F3497" s="25"/>
      <c r="G3497" s="25"/>
      <c r="H3497" s="25"/>
      <c r="I3497" s="25"/>
      <c r="J3497" s="25"/>
    </row>
    <row r="3498" spans="1:10" ht="14.4">
      <c r="A3498" s="25"/>
      <c r="B3498" s="25"/>
      <c r="C3498" s="25"/>
      <c r="D3498" s="25"/>
      <c r="E3498" s="25"/>
      <c r="F3498" s="25"/>
      <c r="G3498" s="25"/>
      <c r="H3498" s="25"/>
      <c r="I3498" s="25"/>
      <c r="J3498" s="25"/>
    </row>
    <row r="3499" spans="1:10" ht="14.4">
      <c r="A3499" s="25"/>
      <c r="B3499" s="25"/>
      <c r="C3499" s="25"/>
      <c r="D3499" s="25"/>
      <c r="E3499" s="25"/>
      <c r="F3499" s="25"/>
      <c r="G3499" s="25"/>
      <c r="H3499" s="25"/>
      <c r="I3499" s="25"/>
      <c r="J3499" s="25"/>
    </row>
    <row r="3500" spans="1:10" ht="14.4">
      <c r="A3500" s="25"/>
      <c r="B3500" s="25"/>
      <c r="C3500" s="25"/>
      <c r="D3500" s="25"/>
      <c r="E3500" s="25"/>
      <c r="F3500" s="25"/>
      <c r="G3500" s="25"/>
      <c r="H3500" s="25"/>
      <c r="I3500" s="25"/>
      <c r="J3500" s="25"/>
    </row>
    <row r="3501" spans="1:10" ht="14.4">
      <c r="A3501" s="25"/>
      <c r="B3501" s="25"/>
      <c r="C3501" s="25"/>
      <c r="D3501" s="25"/>
      <c r="E3501" s="25"/>
      <c r="F3501" s="25"/>
      <c r="G3501" s="25"/>
      <c r="H3501" s="25"/>
      <c r="I3501" s="25"/>
      <c r="J3501" s="25"/>
    </row>
    <row r="3502" spans="1:10" ht="14.4">
      <c r="A3502" s="25"/>
      <c r="B3502" s="25"/>
      <c r="C3502" s="25"/>
      <c r="D3502" s="25"/>
      <c r="E3502" s="25"/>
      <c r="F3502" s="25"/>
      <c r="G3502" s="25"/>
      <c r="H3502" s="25"/>
      <c r="I3502" s="25"/>
      <c r="J3502" s="25"/>
    </row>
    <row r="3503" spans="1:10" ht="14.4">
      <c r="A3503" s="25"/>
      <c r="B3503" s="25"/>
      <c r="C3503" s="25"/>
      <c r="D3503" s="25"/>
      <c r="E3503" s="25"/>
      <c r="F3503" s="25"/>
      <c r="G3503" s="25"/>
      <c r="H3503" s="25"/>
      <c r="I3503" s="25"/>
      <c r="J3503" s="25"/>
    </row>
    <row r="3504" spans="1:10" ht="14.4">
      <c r="A3504" s="25"/>
      <c r="B3504" s="25"/>
      <c r="C3504" s="25"/>
      <c r="D3504" s="25"/>
      <c r="E3504" s="25"/>
      <c r="F3504" s="25"/>
      <c r="G3504" s="25"/>
      <c r="H3504" s="25"/>
      <c r="I3504" s="25"/>
      <c r="J3504" s="25"/>
    </row>
    <row r="3505" spans="1:10" ht="14.4">
      <c r="A3505" s="25"/>
      <c r="B3505" s="25"/>
      <c r="C3505" s="25"/>
      <c r="D3505" s="25"/>
      <c r="E3505" s="25"/>
      <c r="F3505" s="25"/>
      <c r="G3505" s="25"/>
      <c r="H3505" s="25"/>
      <c r="I3505" s="25"/>
      <c r="J3505" s="25"/>
    </row>
    <row r="3506" spans="1:10" ht="14.4">
      <c r="A3506" s="25"/>
      <c r="B3506" s="25"/>
      <c r="C3506" s="25"/>
      <c r="D3506" s="25"/>
      <c r="E3506" s="25"/>
      <c r="F3506" s="25"/>
      <c r="G3506" s="25"/>
      <c r="H3506" s="25"/>
      <c r="I3506" s="25"/>
      <c r="J3506" s="25"/>
    </row>
    <row r="3507" spans="1:10" ht="14.4">
      <c r="A3507" s="25"/>
      <c r="B3507" s="25"/>
      <c r="C3507" s="25"/>
      <c r="D3507" s="25"/>
      <c r="E3507" s="25"/>
      <c r="F3507" s="25"/>
      <c r="G3507" s="25"/>
      <c r="H3507" s="25"/>
      <c r="I3507" s="25"/>
      <c r="J3507" s="25"/>
    </row>
    <row r="3508" spans="1:10" ht="14.4">
      <c r="A3508" s="25"/>
      <c r="B3508" s="25"/>
      <c r="C3508" s="25"/>
      <c r="D3508" s="25"/>
      <c r="E3508" s="25"/>
      <c r="F3508" s="25"/>
      <c r="G3508" s="25"/>
      <c r="H3508" s="25"/>
      <c r="I3508" s="25"/>
      <c r="J3508" s="25"/>
    </row>
    <row r="3509" spans="1:10" ht="14.4">
      <c r="A3509" s="25"/>
      <c r="B3509" s="25"/>
      <c r="C3509" s="25"/>
      <c r="D3509" s="25"/>
      <c r="E3509" s="25"/>
      <c r="F3509" s="25"/>
      <c r="G3509" s="25"/>
      <c r="H3509" s="25"/>
      <c r="I3509" s="25"/>
      <c r="J3509" s="25"/>
    </row>
    <row r="3510" spans="1:10" ht="14.4">
      <c r="A3510" s="25"/>
      <c r="B3510" s="25"/>
      <c r="C3510" s="25"/>
      <c r="D3510" s="25"/>
      <c r="E3510" s="25"/>
      <c r="F3510" s="25"/>
      <c r="G3510" s="25"/>
      <c r="H3510" s="25"/>
      <c r="I3510" s="25"/>
      <c r="J3510" s="25"/>
    </row>
    <row r="3511" spans="1:10" ht="14.4">
      <c r="A3511" s="25"/>
      <c r="B3511" s="25"/>
      <c r="C3511" s="25"/>
      <c r="D3511" s="25"/>
      <c r="E3511" s="25"/>
      <c r="F3511" s="25"/>
      <c r="G3511" s="25"/>
      <c r="H3511" s="25"/>
      <c r="I3511" s="25"/>
      <c r="J3511" s="25"/>
    </row>
    <row r="3512" spans="1:10" ht="14.4">
      <c r="A3512" s="25"/>
      <c r="B3512" s="25"/>
      <c r="C3512" s="25"/>
      <c r="D3512" s="25"/>
      <c r="E3512" s="25"/>
      <c r="F3512" s="25"/>
      <c r="G3512" s="25"/>
      <c r="H3512" s="25"/>
      <c r="I3512" s="25"/>
      <c r="J3512" s="25"/>
    </row>
    <row r="3513" spans="1:10" ht="14.4">
      <c r="A3513" s="25"/>
      <c r="B3513" s="25"/>
      <c r="C3513" s="25"/>
      <c r="D3513" s="25"/>
      <c r="E3513" s="25"/>
      <c r="F3513" s="25"/>
      <c r="G3513" s="25"/>
      <c r="H3513" s="25"/>
      <c r="I3513" s="25"/>
      <c r="J3513" s="25"/>
    </row>
    <row r="3514" spans="1:10" ht="14.4">
      <c r="A3514" s="25"/>
      <c r="B3514" s="25"/>
      <c r="C3514" s="25"/>
      <c r="D3514" s="25"/>
      <c r="E3514" s="25"/>
      <c r="F3514" s="25"/>
      <c r="G3514" s="25"/>
      <c r="H3514" s="25"/>
      <c r="I3514" s="25"/>
      <c r="J3514" s="25"/>
    </row>
    <row r="3515" spans="1:10" ht="14.4">
      <c r="A3515" s="25"/>
      <c r="B3515" s="25"/>
      <c r="C3515" s="25"/>
      <c r="D3515" s="25"/>
      <c r="E3515" s="25"/>
      <c r="F3515" s="25"/>
      <c r="G3515" s="25"/>
      <c r="H3515" s="25"/>
      <c r="I3515" s="25"/>
      <c r="J3515" s="25"/>
    </row>
    <row r="3516" spans="1:10" ht="14.4">
      <c r="A3516" s="25"/>
      <c r="B3516" s="25"/>
      <c r="C3516" s="25"/>
      <c r="D3516" s="25"/>
      <c r="E3516" s="25"/>
      <c r="F3516" s="25"/>
      <c r="G3516" s="25"/>
      <c r="H3516" s="25"/>
      <c r="I3516" s="25"/>
      <c r="J3516" s="25"/>
    </row>
    <row r="3517" spans="1:10" ht="14.4">
      <c r="A3517" s="25"/>
      <c r="B3517" s="25"/>
      <c r="C3517" s="25"/>
      <c r="D3517" s="25"/>
      <c r="E3517" s="25"/>
      <c r="F3517" s="25"/>
      <c r="G3517" s="25"/>
      <c r="H3517" s="25"/>
      <c r="I3517" s="25"/>
      <c r="J3517" s="25"/>
    </row>
    <row r="3518" spans="1:10" ht="14.4">
      <c r="A3518" s="25"/>
      <c r="B3518" s="25"/>
      <c r="C3518" s="25"/>
      <c r="D3518" s="25"/>
      <c r="E3518" s="25"/>
      <c r="F3518" s="25"/>
      <c r="G3518" s="25"/>
      <c r="H3518" s="25"/>
      <c r="I3518" s="25"/>
      <c r="J3518" s="25"/>
    </row>
    <row r="3519" spans="1:10" ht="14.4">
      <c r="A3519" s="25"/>
      <c r="B3519" s="25"/>
      <c r="C3519" s="25"/>
      <c r="D3519" s="25"/>
      <c r="E3519" s="25"/>
      <c r="F3519" s="25"/>
      <c r="G3519" s="25"/>
      <c r="H3519" s="25"/>
      <c r="I3519" s="25"/>
      <c r="J3519" s="25"/>
    </row>
    <row r="3520" spans="1:10" ht="14.4">
      <c r="A3520" s="25"/>
      <c r="B3520" s="25"/>
      <c r="C3520" s="25"/>
      <c r="D3520" s="25"/>
      <c r="E3520" s="25"/>
      <c r="F3520" s="25"/>
      <c r="G3520" s="25"/>
      <c r="H3520" s="25"/>
      <c r="I3520" s="25"/>
      <c r="J3520" s="25"/>
    </row>
    <row r="3521" spans="1:10" ht="14.4">
      <c r="A3521" s="25"/>
      <c r="B3521" s="25"/>
      <c r="C3521" s="25"/>
      <c r="D3521" s="25"/>
      <c r="E3521" s="25"/>
      <c r="F3521" s="25"/>
      <c r="G3521" s="25"/>
      <c r="H3521" s="25"/>
      <c r="I3521" s="25"/>
      <c r="J3521" s="25"/>
    </row>
    <row r="3522" spans="1:10" ht="14.4">
      <c r="A3522" s="25"/>
      <c r="B3522" s="25"/>
      <c r="C3522" s="25"/>
      <c r="D3522" s="25"/>
      <c r="E3522" s="25"/>
      <c r="F3522" s="25"/>
      <c r="G3522" s="25"/>
      <c r="H3522" s="25"/>
      <c r="I3522" s="25"/>
      <c r="J3522" s="25"/>
    </row>
    <row r="3523" spans="1:10" ht="14.4">
      <c r="A3523" s="25"/>
      <c r="B3523" s="25"/>
      <c r="C3523" s="25"/>
      <c r="D3523" s="25"/>
      <c r="E3523" s="25"/>
      <c r="F3523" s="25"/>
      <c r="G3523" s="25"/>
      <c r="H3523" s="25"/>
      <c r="I3523" s="25"/>
      <c r="J3523" s="25"/>
    </row>
    <row r="3524" spans="1:10" ht="14.4">
      <c r="A3524" s="25"/>
      <c r="B3524" s="25"/>
      <c r="C3524" s="25"/>
      <c r="D3524" s="25"/>
      <c r="E3524" s="25"/>
      <c r="F3524" s="25"/>
      <c r="G3524" s="25"/>
      <c r="H3524" s="25"/>
      <c r="I3524" s="25"/>
      <c r="J3524" s="25"/>
    </row>
    <row r="3525" spans="1:10" ht="14.4">
      <c r="A3525" s="25"/>
      <c r="B3525" s="25"/>
      <c r="C3525" s="25"/>
      <c r="D3525" s="25"/>
      <c r="E3525" s="25"/>
      <c r="F3525" s="25"/>
      <c r="G3525" s="25"/>
      <c r="H3525" s="25"/>
      <c r="I3525" s="25"/>
      <c r="J3525" s="25"/>
    </row>
    <row r="3526" spans="1:10" ht="14.4">
      <c r="A3526" s="25"/>
      <c r="B3526" s="25"/>
      <c r="C3526" s="25"/>
      <c r="D3526" s="25"/>
      <c r="E3526" s="25"/>
      <c r="F3526" s="25"/>
      <c r="G3526" s="25"/>
      <c r="H3526" s="25"/>
      <c r="I3526" s="25"/>
      <c r="J3526" s="25"/>
    </row>
    <row r="3527" spans="1:10" ht="14.4">
      <c r="A3527" s="25"/>
      <c r="B3527" s="25"/>
      <c r="C3527" s="25"/>
      <c r="D3527" s="25"/>
      <c r="E3527" s="25"/>
      <c r="F3527" s="25"/>
      <c r="G3527" s="25"/>
      <c r="H3527" s="25"/>
      <c r="I3527" s="25"/>
      <c r="J3527" s="25"/>
    </row>
    <row r="3528" spans="1:10" ht="14.4">
      <c r="A3528" s="25"/>
      <c r="B3528" s="25"/>
      <c r="C3528" s="25"/>
      <c r="D3528" s="25"/>
      <c r="E3528" s="25"/>
      <c r="F3528" s="25"/>
      <c r="G3528" s="25"/>
      <c r="H3528" s="25"/>
      <c r="I3528" s="25"/>
      <c r="J3528" s="25"/>
    </row>
    <row r="3529" spans="1:10" ht="14.4">
      <c r="A3529" s="25"/>
      <c r="B3529" s="25"/>
      <c r="C3529" s="25"/>
      <c r="D3529" s="25"/>
      <c r="E3529" s="25"/>
      <c r="F3529" s="25"/>
      <c r="G3529" s="25"/>
      <c r="H3529" s="25"/>
      <c r="I3529" s="25"/>
      <c r="J3529" s="25"/>
    </row>
    <row r="3530" spans="1:10" ht="14.4">
      <c r="A3530" s="25"/>
      <c r="B3530" s="25"/>
      <c r="C3530" s="25"/>
      <c r="D3530" s="25"/>
      <c r="E3530" s="25"/>
      <c r="F3530" s="25"/>
      <c r="G3530" s="25"/>
      <c r="H3530" s="25"/>
      <c r="I3530" s="25"/>
      <c r="J3530" s="25"/>
    </row>
    <row r="3531" spans="1:10" ht="14.4">
      <c r="A3531" s="25"/>
      <c r="B3531" s="25"/>
      <c r="C3531" s="25"/>
      <c r="D3531" s="25"/>
      <c r="E3531" s="25"/>
      <c r="F3531" s="25"/>
      <c r="G3531" s="25"/>
      <c r="H3531" s="25"/>
      <c r="I3531" s="25"/>
      <c r="J3531" s="25"/>
    </row>
    <row r="3532" spans="1:10" ht="14.4">
      <c r="A3532" s="25"/>
      <c r="B3532" s="25"/>
      <c r="C3532" s="25"/>
      <c r="D3532" s="25"/>
      <c r="E3532" s="25"/>
      <c r="F3532" s="25"/>
      <c r="G3532" s="25"/>
      <c r="H3532" s="25"/>
      <c r="I3532" s="25"/>
      <c r="J3532" s="25"/>
    </row>
    <row r="3533" spans="1:10" ht="14.4">
      <c r="A3533" s="25"/>
      <c r="B3533" s="25"/>
      <c r="C3533" s="25"/>
      <c r="D3533" s="25"/>
      <c r="E3533" s="25"/>
      <c r="F3533" s="25"/>
      <c r="G3533" s="25"/>
      <c r="H3533" s="25"/>
      <c r="I3533" s="25"/>
      <c r="J3533" s="25"/>
    </row>
    <row r="3534" spans="1:10" ht="14.4">
      <c r="A3534" s="25"/>
      <c r="B3534" s="25"/>
      <c r="C3534" s="25"/>
      <c r="D3534" s="25"/>
      <c r="E3534" s="25"/>
      <c r="F3534" s="25"/>
      <c r="G3534" s="25"/>
      <c r="H3534" s="25"/>
      <c r="I3534" s="25"/>
      <c r="J3534" s="25"/>
    </row>
    <row r="3535" spans="1:10" ht="14.4">
      <c r="A3535" s="25"/>
      <c r="B3535" s="25"/>
      <c r="C3535" s="25"/>
      <c r="D3535" s="25"/>
      <c r="E3535" s="25"/>
      <c r="F3535" s="25"/>
      <c r="G3535" s="25"/>
      <c r="H3535" s="25"/>
      <c r="I3535" s="25"/>
      <c r="J3535" s="25"/>
    </row>
    <row r="3536" spans="1:10" ht="14.4">
      <c r="A3536" s="25"/>
      <c r="B3536" s="25"/>
      <c r="C3536" s="25"/>
      <c r="D3536" s="25"/>
      <c r="E3536" s="25"/>
      <c r="F3536" s="25"/>
      <c r="G3536" s="25"/>
      <c r="H3536" s="25"/>
      <c r="I3536" s="25"/>
      <c r="J3536" s="25"/>
    </row>
    <row r="3537" spans="1:10" ht="14.4">
      <c r="A3537" s="25"/>
      <c r="B3537" s="25"/>
      <c r="C3537" s="25"/>
      <c r="D3537" s="25"/>
      <c r="E3537" s="25"/>
      <c r="F3537" s="25"/>
      <c r="G3537" s="25"/>
      <c r="H3537" s="25"/>
      <c r="I3537" s="25"/>
      <c r="J3537" s="25"/>
    </row>
    <row r="3538" spans="1:10" ht="14.4">
      <c r="A3538" s="25"/>
      <c r="B3538" s="25"/>
      <c r="C3538" s="25"/>
      <c r="D3538" s="25"/>
      <c r="E3538" s="25"/>
      <c r="F3538" s="25"/>
      <c r="G3538" s="25"/>
      <c r="H3538" s="25"/>
      <c r="I3538" s="25"/>
      <c r="J3538" s="25"/>
    </row>
    <row r="3539" spans="1:10" ht="14.4">
      <c r="A3539" s="25"/>
      <c r="B3539" s="25"/>
      <c r="C3539" s="25"/>
      <c r="D3539" s="25"/>
      <c r="E3539" s="25"/>
      <c r="F3539" s="25"/>
      <c r="G3539" s="25"/>
      <c r="H3539" s="25"/>
      <c r="I3539" s="25"/>
      <c r="J3539" s="25"/>
    </row>
    <row r="3540" spans="1:10" ht="14.4">
      <c r="A3540" s="25"/>
      <c r="B3540" s="25"/>
      <c r="C3540" s="25"/>
      <c r="D3540" s="25"/>
      <c r="E3540" s="25"/>
      <c r="F3540" s="25"/>
      <c r="G3540" s="25"/>
      <c r="H3540" s="25"/>
      <c r="I3540" s="25"/>
      <c r="J3540" s="25"/>
    </row>
    <row r="3541" spans="1:10" ht="14.4">
      <c r="A3541" s="25"/>
      <c r="B3541" s="25"/>
      <c r="C3541" s="25"/>
      <c r="D3541" s="25"/>
      <c r="E3541" s="25"/>
      <c r="F3541" s="25"/>
      <c r="G3541" s="25"/>
      <c r="H3541" s="25"/>
      <c r="I3541" s="25"/>
      <c r="J3541" s="25"/>
    </row>
    <row r="3542" spans="1:10" ht="14.4">
      <c r="A3542" s="25"/>
      <c r="B3542" s="25"/>
      <c r="C3542" s="25"/>
      <c r="D3542" s="25"/>
      <c r="E3542" s="25"/>
      <c r="F3542" s="25"/>
      <c r="G3542" s="25"/>
      <c r="H3542" s="25"/>
      <c r="I3542" s="25"/>
      <c r="J3542" s="25"/>
    </row>
    <row r="3543" spans="1:10" ht="14.4">
      <c r="A3543" s="25"/>
      <c r="B3543" s="25"/>
      <c r="C3543" s="25"/>
      <c r="D3543" s="25"/>
      <c r="E3543" s="25"/>
      <c r="F3543" s="25"/>
      <c r="G3543" s="25"/>
      <c r="H3543" s="25"/>
      <c r="I3543" s="25"/>
      <c r="J3543" s="25"/>
    </row>
    <row r="3544" spans="1:10" ht="14.4">
      <c r="A3544" s="25"/>
      <c r="B3544" s="25"/>
      <c r="C3544" s="25"/>
      <c r="D3544" s="25"/>
      <c r="E3544" s="25"/>
      <c r="F3544" s="25"/>
      <c r="G3544" s="25"/>
      <c r="H3544" s="25"/>
      <c r="I3544" s="25"/>
      <c r="J3544" s="25"/>
    </row>
    <row r="3545" spans="1:10" ht="14.4">
      <c r="A3545" s="25"/>
      <c r="B3545" s="25"/>
      <c r="C3545" s="25"/>
      <c r="D3545" s="25"/>
      <c r="E3545" s="25"/>
      <c r="F3545" s="25"/>
      <c r="G3545" s="25"/>
      <c r="H3545" s="25"/>
      <c r="I3545" s="25"/>
      <c r="J3545" s="25"/>
    </row>
    <row r="3546" spans="1:10" ht="14.4">
      <c r="A3546" s="25"/>
      <c r="B3546" s="25"/>
      <c r="C3546" s="25"/>
      <c r="D3546" s="25"/>
      <c r="E3546" s="25"/>
      <c r="F3546" s="25"/>
      <c r="G3546" s="25"/>
      <c r="H3546" s="25"/>
      <c r="I3546" s="25"/>
      <c r="J3546" s="25"/>
    </row>
    <row r="3547" spans="1:10" ht="14.4">
      <c r="A3547" s="25"/>
      <c r="B3547" s="25"/>
      <c r="C3547" s="25"/>
      <c r="D3547" s="25"/>
      <c r="E3547" s="25"/>
      <c r="F3547" s="25"/>
      <c r="G3547" s="25"/>
      <c r="H3547" s="25"/>
      <c r="I3547" s="25"/>
      <c r="J3547" s="25"/>
    </row>
    <row r="3548" spans="1:10" ht="14.4">
      <c r="A3548" s="25"/>
      <c r="B3548" s="25"/>
      <c r="C3548" s="25"/>
      <c r="D3548" s="25"/>
      <c r="E3548" s="25"/>
      <c r="F3548" s="25"/>
      <c r="G3548" s="25"/>
      <c r="H3548" s="25"/>
      <c r="I3548" s="25"/>
      <c r="J3548" s="25"/>
    </row>
    <row r="3549" spans="1:10" ht="14.4">
      <c r="A3549" s="25"/>
      <c r="B3549" s="25"/>
      <c r="C3549" s="25"/>
      <c r="D3549" s="25"/>
      <c r="E3549" s="25"/>
      <c r="F3549" s="25"/>
      <c r="G3549" s="25"/>
      <c r="H3549" s="25"/>
      <c r="I3549" s="25"/>
      <c r="J3549" s="25"/>
    </row>
    <row r="3550" spans="1:10" ht="14.4">
      <c r="A3550" s="25"/>
      <c r="B3550" s="25"/>
      <c r="C3550" s="25"/>
      <c r="D3550" s="25"/>
      <c r="E3550" s="25"/>
      <c r="F3550" s="25"/>
      <c r="G3550" s="25"/>
      <c r="H3550" s="25"/>
      <c r="I3550" s="25"/>
      <c r="J3550" s="25"/>
    </row>
    <row r="3551" spans="1:10" ht="14.4">
      <c r="A3551" s="25"/>
      <c r="B3551" s="25"/>
      <c r="C3551" s="25"/>
      <c r="D3551" s="25"/>
      <c r="E3551" s="25"/>
      <c r="F3551" s="25"/>
      <c r="G3551" s="25"/>
      <c r="H3551" s="25"/>
      <c r="I3551" s="25"/>
      <c r="J3551" s="25"/>
    </row>
    <row r="3552" spans="1:10" ht="14.4">
      <c r="A3552" s="25"/>
      <c r="B3552" s="25"/>
      <c r="C3552" s="25"/>
      <c r="D3552" s="25"/>
      <c r="E3552" s="25"/>
      <c r="F3552" s="25"/>
      <c r="G3552" s="25"/>
      <c r="H3552" s="25"/>
      <c r="I3552" s="25"/>
      <c r="J3552" s="25"/>
    </row>
    <row r="3553" spans="1:10" ht="14.4">
      <c r="A3553" s="25"/>
      <c r="B3553" s="25"/>
      <c r="C3553" s="25"/>
      <c r="D3553" s="25"/>
      <c r="E3553" s="25"/>
      <c r="F3553" s="25"/>
      <c r="G3553" s="25"/>
      <c r="H3553" s="25"/>
      <c r="I3553" s="25"/>
      <c r="J3553" s="25"/>
    </row>
    <row r="3554" spans="1:10" ht="14.4">
      <c r="A3554" s="25"/>
      <c r="B3554" s="25"/>
      <c r="C3554" s="25"/>
      <c r="D3554" s="25"/>
      <c r="E3554" s="25"/>
      <c r="F3554" s="25"/>
      <c r="G3554" s="25"/>
      <c r="H3554" s="25"/>
      <c r="I3554" s="25"/>
      <c r="J3554" s="25"/>
    </row>
    <row r="3555" spans="1:10" ht="14.4">
      <c r="A3555" s="25"/>
      <c r="B3555" s="25"/>
      <c r="C3555" s="25"/>
      <c r="D3555" s="25"/>
      <c r="E3555" s="25"/>
      <c r="F3555" s="25"/>
      <c r="G3555" s="25"/>
      <c r="H3555" s="25"/>
      <c r="I3555" s="25"/>
      <c r="J3555" s="25"/>
    </row>
    <row r="3556" spans="1:10" ht="14.4">
      <c r="A3556" s="25"/>
      <c r="B3556" s="25"/>
      <c r="C3556" s="25"/>
      <c r="D3556" s="25"/>
      <c r="E3556" s="25"/>
      <c r="F3556" s="25"/>
      <c r="G3556" s="25"/>
      <c r="H3556" s="25"/>
      <c r="I3556" s="25"/>
      <c r="J3556" s="25"/>
    </row>
    <row r="3557" spans="1:10" ht="14.4">
      <c r="A3557" s="25"/>
      <c r="B3557" s="25"/>
      <c r="C3557" s="25"/>
      <c r="D3557" s="25"/>
      <c r="E3557" s="25"/>
      <c r="F3557" s="25"/>
      <c r="G3557" s="25"/>
      <c r="H3557" s="25"/>
      <c r="I3557" s="25"/>
      <c r="J3557" s="25"/>
    </row>
    <row r="3558" spans="1:10" ht="14.4">
      <c r="A3558" s="25"/>
      <c r="B3558" s="25"/>
      <c r="C3558" s="25"/>
      <c r="D3558" s="25"/>
      <c r="E3558" s="25"/>
      <c r="F3558" s="25"/>
      <c r="G3558" s="25"/>
      <c r="H3558" s="25"/>
      <c r="I3558" s="25"/>
      <c r="J3558" s="25"/>
    </row>
    <row r="3559" spans="1:10" ht="14.4">
      <c r="A3559" s="25"/>
      <c r="B3559" s="25"/>
      <c r="C3559" s="25"/>
      <c r="D3559" s="25"/>
      <c r="E3559" s="25"/>
      <c r="F3559" s="25"/>
      <c r="G3559" s="25"/>
      <c r="H3559" s="25"/>
      <c r="I3559" s="25"/>
      <c r="J3559" s="25"/>
    </row>
    <row r="3560" spans="1:10" ht="14.4">
      <c r="A3560" s="25"/>
      <c r="B3560" s="25"/>
      <c r="C3560" s="25"/>
      <c r="D3560" s="25"/>
      <c r="E3560" s="25"/>
      <c r="F3560" s="25"/>
      <c r="G3560" s="25"/>
      <c r="H3560" s="25"/>
      <c r="I3560" s="25"/>
      <c r="J3560" s="25"/>
    </row>
    <row r="3561" spans="1:10" ht="14.4">
      <c r="A3561" s="25"/>
      <c r="B3561" s="25"/>
      <c r="C3561" s="25"/>
      <c r="D3561" s="25"/>
      <c r="E3561" s="25"/>
      <c r="F3561" s="25"/>
      <c r="G3561" s="25"/>
      <c r="H3561" s="25"/>
      <c r="I3561" s="25"/>
      <c r="J3561" s="25"/>
    </row>
    <row r="3562" spans="1:10" ht="14.4">
      <c r="A3562" s="25"/>
      <c r="B3562" s="25"/>
      <c r="C3562" s="25"/>
      <c r="D3562" s="25"/>
      <c r="E3562" s="25"/>
      <c r="F3562" s="25"/>
      <c r="G3562" s="25"/>
      <c r="H3562" s="25"/>
      <c r="I3562" s="25"/>
      <c r="J3562" s="25"/>
    </row>
    <row r="3563" spans="1:10" ht="14.4">
      <c r="A3563" s="25"/>
      <c r="B3563" s="25"/>
      <c r="C3563" s="25"/>
      <c r="D3563" s="25"/>
      <c r="E3563" s="25"/>
      <c r="F3563" s="25"/>
      <c r="G3563" s="25"/>
      <c r="H3563" s="25"/>
      <c r="I3563" s="25"/>
      <c r="J3563" s="25"/>
    </row>
    <row r="3564" spans="1:10" ht="14.4">
      <c r="A3564" s="25"/>
      <c r="B3564" s="25"/>
      <c r="C3564" s="25"/>
      <c r="D3564" s="25"/>
      <c r="E3564" s="25"/>
      <c r="F3564" s="25"/>
      <c r="G3564" s="25"/>
      <c r="H3564" s="25"/>
      <c r="I3564" s="25"/>
      <c r="J3564" s="25"/>
    </row>
    <row r="3565" spans="1:10" ht="14.4">
      <c r="A3565" s="25"/>
      <c r="B3565" s="25"/>
      <c r="C3565" s="25"/>
      <c r="D3565" s="25"/>
      <c r="E3565" s="25"/>
      <c r="F3565" s="25"/>
      <c r="G3565" s="25"/>
      <c r="H3565" s="25"/>
      <c r="I3565" s="25"/>
      <c r="J3565" s="25"/>
    </row>
    <row r="3566" spans="1:10" ht="14.4">
      <c r="A3566" s="25"/>
      <c r="B3566" s="25"/>
      <c r="C3566" s="25"/>
      <c r="D3566" s="25"/>
      <c r="E3566" s="25"/>
      <c r="F3566" s="25"/>
      <c r="G3566" s="25"/>
      <c r="H3566" s="25"/>
      <c r="I3566" s="25"/>
      <c r="J3566" s="25"/>
    </row>
    <row r="3567" spans="1:10" ht="14.4">
      <c r="A3567" s="25"/>
      <c r="B3567" s="25"/>
      <c r="C3567" s="25"/>
      <c r="D3567" s="25"/>
      <c r="E3567" s="25"/>
      <c r="F3567" s="25"/>
      <c r="G3567" s="25"/>
      <c r="H3567" s="25"/>
      <c r="I3567" s="25"/>
      <c r="J3567" s="25"/>
    </row>
    <row r="3568" spans="1:10" ht="14.4">
      <c r="A3568" s="25"/>
      <c r="B3568" s="25"/>
      <c r="C3568" s="25"/>
      <c r="D3568" s="25"/>
      <c r="E3568" s="25"/>
      <c r="F3568" s="25"/>
      <c r="G3568" s="25"/>
      <c r="H3568" s="25"/>
      <c r="I3568" s="25"/>
      <c r="J3568" s="25"/>
    </row>
    <row r="3569" spans="1:10" ht="14.4">
      <c r="A3569" s="25"/>
      <c r="B3569" s="25"/>
      <c r="C3569" s="25"/>
      <c r="D3569" s="25"/>
      <c r="E3569" s="25"/>
      <c r="F3569" s="25"/>
      <c r="G3569" s="25"/>
      <c r="H3569" s="25"/>
      <c r="I3569" s="25"/>
      <c r="J3569" s="25"/>
    </row>
    <row r="3570" spans="1:10" ht="14.4">
      <c r="A3570" s="25"/>
      <c r="B3570" s="25"/>
      <c r="C3570" s="25"/>
      <c r="D3570" s="25"/>
      <c r="E3570" s="25"/>
      <c r="F3570" s="25"/>
      <c r="G3570" s="25"/>
      <c r="H3570" s="25"/>
      <c r="I3570" s="25"/>
      <c r="J3570" s="25"/>
    </row>
    <row r="3571" spans="1:10" ht="14.4">
      <c r="A3571" s="25"/>
      <c r="B3571" s="25"/>
      <c r="C3571" s="25"/>
      <c r="D3571" s="25"/>
      <c r="E3571" s="25"/>
      <c r="F3571" s="25"/>
      <c r="G3571" s="25"/>
      <c r="H3571" s="25"/>
      <c r="I3571" s="25"/>
      <c r="J3571" s="25"/>
    </row>
    <row r="3572" spans="1:10" ht="14.4">
      <c r="A3572" s="25"/>
      <c r="B3572" s="25"/>
      <c r="C3572" s="25"/>
      <c r="D3572" s="25"/>
      <c r="E3572" s="25"/>
      <c r="F3572" s="25"/>
      <c r="G3572" s="25"/>
      <c r="H3572" s="25"/>
      <c r="I3572" s="25"/>
      <c r="J3572" s="25"/>
    </row>
    <row r="3573" spans="1:10" ht="14.4">
      <c r="A3573" s="25"/>
      <c r="B3573" s="25"/>
      <c r="C3573" s="25"/>
      <c r="D3573" s="25"/>
      <c r="E3573" s="25"/>
      <c r="F3573" s="25"/>
      <c r="G3573" s="25"/>
      <c r="H3573" s="25"/>
      <c r="I3573" s="25"/>
      <c r="J3573" s="25"/>
    </row>
    <row r="3574" spans="1:10" ht="14.4">
      <c r="A3574" s="25"/>
      <c r="B3574" s="25"/>
      <c r="C3574" s="25"/>
      <c r="D3574" s="25"/>
      <c r="E3574" s="25"/>
      <c r="F3574" s="25"/>
      <c r="G3574" s="25"/>
      <c r="H3574" s="25"/>
      <c r="I3574" s="25"/>
      <c r="J3574" s="25"/>
    </row>
    <row r="3575" spans="1:10" ht="14.4">
      <c r="A3575" s="25"/>
      <c r="B3575" s="25"/>
      <c r="C3575" s="25"/>
      <c r="D3575" s="25"/>
      <c r="E3575" s="25"/>
      <c r="F3575" s="25"/>
      <c r="G3575" s="25"/>
      <c r="H3575" s="25"/>
      <c r="I3575" s="25"/>
      <c r="J3575" s="25"/>
    </row>
    <row r="3576" spans="1:10" ht="14.4">
      <c r="A3576" s="25"/>
      <c r="B3576" s="25"/>
      <c r="C3576" s="25"/>
      <c r="D3576" s="25"/>
      <c r="E3576" s="25"/>
      <c r="F3576" s="25"/>
      <c r="G3576" s="25"/>
      <c r="H3576" s="25"/>
      <c r="I3576" s="25"/>
      <c r="J3576" s="25"/>
    </row>
    <row r="3577" spans="1:10" ht="14.4">
      <c r="A3577" s="25"/>
      <c r="B3577" s="25"/>
      <c r="C3577" s="25"/>
      <c r="D3577" s="25"/>
      <c r="E3577" s="25"/>
      <c r="F3577" s="25"/>
      <c r="G3577" s="25"/>
      <c r="H3577" s="25"/>
      <c r="I3577" s="25"/>
      <c r="J3577" s="25"/>
    </row>
    <row r="3578" spans="1:10" ht="14.4">
      <c r="A3578" s="25"/>
      <c r="B3578" s="25"/>
      <c r="C3578" s="25"/>
      <c r="D3578" s="25"/>
      <c r="E3578" s="25"/>
      <c r="F3578" s="25"/>
      <c r="G3578" s="25"/>
      <c r="H3578" s="25"/>
      <c r="I3578" s="25"/>
      <c r="J3578" s="25"/>
    </row>
    <row r="3579" spans="1:10" ht="14.4">
      <c r="A3579" s="25"/>
      <c r="B3579" s="25"/>
      <c r="C3579" s="25"/>
      <c r="D3579" s="25"/>
      <c r="E3579" s="25"/>
      <c r="F3579" s="25"/>
      <c r="G3579" s="25"/>
      <c r="H3579" s="25"/>
      <c r="I3579" s="25"/>
      <c r="J3579" s="25"/>
    </row>
    <row r="3580" spans="1:10" ht="14.4">
      <c r="A3580" s="25"/>
      <c r="B3580" s="25"/>
      <c r="C3580" s="25"/>
      <c r="D3580" s="25"/>
      <c r="E3580" s="25"/>
      <c r="F3580" s="25"/>
      <c r="G3580" s="25"/>
      <c r="H3580" s="25"/>
      <c r="I3580" s="25"/>
      <c r="J3580" s="25"/>
    </row>
    <row r="3581" spans="1:10" ht="14.4">
      <c r="A3581" s="25"/>
      <c r="B3581" s="25"/>
      <c r="C3581" s="25"/>
      <c r="D3581" s="25"/>
      <c r="E3581" s="25"/>
      <c r="F3581" s="25"/>
      <c r="G3581" s="25"/>
      <c r="H3581" s="25"/>
      <c r="I3581" s="25"/>
      <c r="J3581" s="25"/>
    </row>
    <row r="3582" spans="1:10" ht="14.4">
      <c r="A3582" s="25"/>
      <c r="B3582" s="25"/>
      <c r="C3582" s="25"/>
      <c r="D3582" s="25"/>
      <c r="E3582" s="25"/>
      <c r="F3582" s="25"/>
      <c r="G3582" s="25"/>
      <c r="H3582" s="25"/>
      <c r="I3582" s="25"/>
      <c r="J3582" s="25"/>
    </row>
    <row r="3583" spans="1:10" ht="14.4">
      <c r="A3583" s="25"/>
      <c r="B3583" s="25"/>
      <c r="C3583" s="25"/>
      <c r="D3583" s="25"/>
      <c r="E3583" s="25"/>
      <c r="F3583" s="25"/>
      <c r="G3583" s="25"/>
      <c r="H3583" s="25"/>
      <c r="I3583" s="25"/>
      <c r="J3583" s="25"/>
    </row>
    <row r="3584" spans="1:10" ht="14.4">
      <c r="A3584" s="25"/>
      <c r="B3584" s="25"/>
      <c r="C3584" s="25"/>
      <c r="D3584" s="25"/>
      <c r="E3584" s="25"/>
      <c r="F3584" s="25"/>
      <c r="G3584" s="25"/>
      <c r="H3584" s="25"/>
      <c r="I3584" s="25"/>
      <c r="J3584" s="25"/>
    </row>
    <row r="3585" spans="1:10" ht="14.4">
      <c r="A3585" s="25"/>
      <c r="B3585" s="25"/>
      <c r="C3585" s="25"/>
      <c r="D3585" s="25"/>
      <c r="E3585" s="25"/>
      <c r="F3585" s="25"/>
      <c r="G3585" s="25"/>
      <c r="H3585" s="25"/>
      <c r="I3585" s="25"/>
      <c r="J3585" s="25"/>
    </row>
    <row r="3586" spans="1:10" ht="14.4">
      <c r="A3586" s="25"/>
      <c r="B3586" s="25"/>
      <c r="C3586" s="25"/>
      <c r="D3586" s="25"/>
      <c r="E3586" s="25"/>
      <c r="F3586" s="25"/>
      <c r="G3586" s="25"/>
      <c r="H3586" s="25"/>
      <c r="I3586" s="25"/>
      <c r="J3586" s="25"/>
    </row>
    <row r="3587" spans="1:10" ht="14.4">
      <c r="A3587" s="25"/>
      <c r="B3587" s="25"/>
      <c r="C3587" s="25"/>
      <c r="D3587" s="25"/>
      <c r="E3587" s="25"/>
      <c r="F3587" s="25"/>
      <c r="G3587" s="25"/>
      <c r="H3587" s="25"/>
      <c r="I3587" s="25"/>
      <c r="J3587" s="25"/>
    </row>
    <row r="3588" spans="1:10" ht="14.4">
      <c r="A3588" s="25"/>
      <c r="B3588" s="25"/>
      <c r="C3588" s="25"/>
      <c r="D3588" s="25"/>
      <c r="E3588" s="25"/>
      <c r="F3588" s="25"/>
      <c r="G3588" s="25"/>
      <c r="H3588" s="25"/>
      <c r="I3588" s="25"/>
      <c r="J3588" s="25"/>
    </row>
    <row r="3589" spans="1:10" ht="14.4">
      <c r="A3589" s="25"/>
      <c r="B3589" s="25"/>
      <c r="C3589" s="25"/>
      <c r="D3589" s="25"/>
      <c r="E3589" s="25"/>
      <c r="F3589" s="25"/>
      <c r="G3589" s="25"/>
      <c r="H3589" s="25"/>
      <c r="I3589" s="25"/>
      <c r="J3589" s="25"/>
    </row>
    <row r="3590" spans="1:10" ht="14.4">
      <c r="A3590" s="25"/>
      <c r="B3590" s="25"/>
      <c r="C3590" s="25"/>
      <c r="D3590" s="25"/>
      <c r="E3590" s="25"/>
      <c r="F3590" s="25"/>
      <c r="G3590" s="25"/>
      <c r="H3590" s="25"/>
      <c r="I3590" s="25"/>
      <c r="J3590" s="25"/>
    </row>
    <row r="3591" spans="1:10" ht="14.4">
      <c r="A3591" s="25"/>
      <c r="B3591" s="25"/>
      <c r="C3591" s="25"/>
      <c r="D3591" s="25"/>
      <c r="E3591" s="25"/>
      <c r="F3591" s="25"/>
      <c r="G3591" s="25"/>
      <c r="H3591" s="25"/>
      <c r="I3591" s="25"/>
      <c r="J3591" s="25"/>
    </row>
    <row r="3592" spans="1:10" ht="14.4">
      <c r="A3592" s="25"/>
      <c r="B3592" s="25"/>
      <c r="C3592" s="25"/>
      <c r="D3592" s="25"/>
      <c r="E3592" s="25"/>
      <c r="F3592" s="25"/>
      <c r="G3592" s="25"/>
      <c r="H3592" s="25"/>
      <c r="I3592" s="25"/>
      <c r="J3592" s="25"/>
    </row>
    <row r="3593" spans="1:10" ht="14.4">
      <c r="A3593" s="25"/>
      <c r="B3593" s="25"/>
      <c r="C3593" s="25"/>
      <c r="D3593" s="25"/>
      <c r="E3593" s="25"/>
      <c r="F3593" s="25"/>
      <c r="G3593" s="25"/>
      <c r="H3593" s="25"/>
      <c r="I3593" s="25"/>
      <c r="J3593" s="25"/>
    </row>
    <row r="3594" spans="1:10" ht="14.4">
      <c r="A3594" s="25"/>
      <c r="B3594" s="25"/>
      <c r="C3594" s="25"/>
      <c r="D3594" s="25"/>
      <c r="E3594" s="25"/>
      <c r="F3594" s="25"/>
      <c r="G3594" s="25"/>
      <c r="H3594" s="25"/>
      <c r="I3594" s="25"/>
      <c r="J3594" s="25"/>
    </row>
    <row r="3595" spans="1:10" ht="14.4">
      <c r="A3595" s="25"/>
      <c r="B3595" s="25"/>
      <c r="C3595" s="25"/>
      <c r="D3595" s="25"/>
      <c r="E3595" s="25"/>
      <c r="F3595" s="25"/>
      <c r="G3595" s="25"/>
      <c r="H3595" s="25"/>
      <c r="I3595" s="25"/>
      <c r="J3595" s="25"/>
    </row>
    <row r="3596" spans="1:10" ht="14.4">
      <c r="A3596" s="25"/>
      <c r="B3596" s="25"/>
      <c r="C3596" s="25"/>
      <c r="D3596" s="25"/>
      <c r="E3596" s="25"/>
      <c r="F3596" s="25"/>
      <c r="G3596" s="25"/>
      <c r="H3596" s="25"/>
      <c r="I3596" s="25"/>
      <c r="J3596" s="25"/>
    </row>
    <row r="3597" spans="1:10" ht="14.4">
      <c r="A3597" s="25"/>
      <c r="B3597" s="25"/>
      <c r="C3597" s="25"/>
      <c r="D3597" s="25"/>
      <c r="E3597" s="25"/>
      <c r="F3597" s="25"/>
      <c r="G3597" s="25"/>
      <c r="H3597" s="25"/>
      <c r="I3597" s="25"/>
      <c r="J3597" s="25"/>
    </row>
    <row r="3598" spans="1:10" ht="14.4">
      <c r="A3598" s="25"/>
      <c r="B3598" s="25"/>
      <c r="C3598" s="25"/>
      <c r="D3598" s="25"/>
      <c r="E3598" s="25"/>
      <c r="F3598" s="25"/>
      <c r="G3598" s="25"/>
      <c r="H3598" s="25"/>
      <c r="I3598" s="25"/>
      <c r="J3598" s="25"/>
    </row>
    <row r="3599" spans="1:10" ht="14.4">
      <c r="A3599" s="25"/>
      <c r="B3599" s="25"/>
      <c r="C3599" s="25"/>
      <c r="D3599" s="25"/>
      <c r="E3599" s="25"/>
      <c r="F3599" s="25"/>
      <c r="G3599" s="25"/>
      <c r="H3599" s="25"/>
      <c r="I3599" s="25"/>
      <c r="J3599" s="25"/>
    </row>
    <row r="3600" spans="1:10" ht="14.4">
      <c r="A3600" s="25"/>
      <c r="B3600" s="25"/>
      <c r="C3600" s="25"/>
      <c r="D3600" s="25"/>
      <c r="E3600" s="25"/>
      <c r="F3600" s="25"/>
      <c r="G3600" s="25"/>
      <c r="H3600" s="25"/>
      <c r="I3600" s="25"/>
      <c r="J3600" s="25"/>
    </row>
    <row r="3601" spans="1:10" ht="14.4">
      <c r="A3601" s="25"/>
      <c r="B3601" s="25"/>
      <c r="C3601" s="25"/>
      <c r="D3601" s="25"/>
      <c r="E3601" s="25"/>
      <c r="F3601" s="25"/>
      <c r="G3601" s="25"/>
      <c r="H3601" s="25"/>
      <c r="I3601" s="25"/>
      <c r="J3601" s="25"/>
    </row>
    <row r="3602" spans="1:10" ht="14.4">
      <c r="A3602" s="25"/>
      <c r="B3602" s="25"/>
      <c r="C3602" s="25"/>
      <c r="D3602" s="25"/>
      <c r="E3602" s="25"/>
      <c r="F3602" s="25"/>
      <c r="G3602" s="25"/>
      <c r="H3602" s="25"/>
      <c r="I3602" s="25"/>
      <c r="J3602" s="25"/>
    </row>
    <row r="3603" spans="1:10" ht="14.4">
      <c r="A3603" s="25"/>
      <c r="B3603" s="25"/>
      <c r="C3603" s="25"/>
      <c r="D3603" s="25"/>
      <c r="E3603" s="25"/>
      <c r="F3603" s="25"/>
      <c r="G3603" s="25"/>
      <c r="H3603" s="25"/>
      <c r="I3603" s="25"/>
      <c r="J3603" s="25"/>
    </row>
    <row r="3604" spans="1:10" ht="14.4">
      <c r="A3604" s="25"/>
      <c r="B3604" s="25"/>
      <c r="C3604" s="25"/>
      <c r="D3604" s="25"/>
      <c r="E3604" s="25"/>
      <c r="F3604" s="25"/>
      <c r="G3604" s="25"/>
      <c r="H3604" s="25"/>
      <c r="I3604" s="25"/>
      <c r="J3604" s="25"/>
    </row>
    <row r="3605" spans="1:10" ht="14.4">
      <c r="A3605" s="25"/>
      <c r="B3605" s="25"/>
      <c r="C3605" s="25"/>
      <c r="D3605" s="25"/>
      <c r="E3605" s="25"/>
      <c r="F3605" s="25"/>
      <c r="G3605" s="25"/>
      <c r="H3605" s="25"/>
      <c r="I3605" s="25"/>
      <c r="J3605" s="25"/>
    </row>
    <row r="3606" spans="1:10" ht="14.4">
      <c r="A3606" s="25"/>
      <c r="B3606" s="25"/>
      <c r="C3606" s="25"/>
      <c r="D3606" s="25"/>
      <c r="E3606" s="25"/>
      <c r="F3606" s="25"/>
      <c r="G3606" s="25"/>
      <c r="H3606" s="25"/>
      <c r="I3606" s="25"/>
      <c r="J3606" s="25"/>
    </row>
    <row r="3607" spans="1:10" ht="14.4">
      <c r="A3607" s="25"/>
      <c r="B3607" s="25"/>
      <c r="C3607" s="25"/>
      <c r="D3607" s="25"/>
      <c r="E3607" s="25"/>
      <c r="F3607" s="25"/>
      <c r="G3607" s="25"/>
      <c r="H3607" s="25"/>
      <c r="I3607" s="25"/>
      <c r="J3607" s="25"/>
    </row>
    <row r="3608" spans="1:10" ht="14.4">
      <c r="A3608" s="25"/>
      <c r="B3608" s="25"/>
      <c r="C3608" s="25"/>
      <c r="D3608" s="25"/>
      <c r="E3608" s="25"/>
      <c r="F3608" s="25"/>
      <c r="G3608" s="25"/>
      <c r="H3608" s="25"/>
      <c r="I3608" s="25"/>
      <c r="J3608" s="25"/>
    </row>
    <row r="3609" spans="1:10" ht="14.4">
      <c r="A3609" s="25"/>
      <c r="B3609" s="25"/>
      <c r="C3609" s="25"/>
      <c r="D3609" s="25"/>
      <c r="E3609" s="25"/>
      <c r="F3609" s="25"/>
      <c r="G3609" s="25"/>
      <c r="H3609" s="25"/>
      <c r="I3609" s="25"/>
      <c r="J3609" s="25"/>
    </row>
    <row r="3610" spans="1:10" ht="14.4">
      <c r="A3610" s="25"/>
      <c r="B3610" s="25"/>
      <c r="C3610" s="25"/>
      <c r="D3610" s="25"/>
      <c r="E3610" s="25"/>
      <c r="F3610" s="25"/>
      <c r="G3610" s="25"/>
      <c r="H3610" s="25"/>
      <c r="I3610" s="25"/>
      <c r="J3610" s="25"/>
    </row>
    <row r="3611" spans="1:10" ht="14.4">
      <c r="A3611" s="25"/>
      <c r="B3611" s="25"/>
      <c r="C3611" s="25"/>
      <c r="D3611" s="25"/>
      <c r="E3611" s="25"/>
      <c r="F3611" s="25"/>
      <c r="G3611" s="25"/>
      <c r="H3611" s="25"/>
      <c r="I3611" s="25"/>
      <c r="J3611" s="25"/>
    </row>
    <row r="3612" spans="1:10" ht="14.4">
      <c r="A3612" s="25"/>
      <c r="B3612" s="25"/>
      <c r="C3612" s="25"/>
      <c r="D3612" s="25"/>
      <c r="E3612" s="25"/>
      <c r="F3612" s="25"/>
      <c r="G3612" s="25"/>
      <c r="H3612" s="25"/>
      <c r="I3612" s="25"/>
      <c r="J3612" s="25"/>
    </row>
    <row r="3613" spans="1:10" ht="14.4">
      <c r="A3613" s="25"/>
      <c r="B3613" s="25"/>
      <c r="C3613" s="25"/>
      <c r="D3613" s="25"/>
      <c r="E3613" s="25"/>
      <c r="F3613" s="25"/>
      <c r="G3613" s="25"/>
      <c r="H3613" s="25"/>
      <c r="I3613" s="25"/>
      <c r="J3613" s="25"/>
    </row>
    <row r="3614" spans="1:10" ht="14.4">
      <c r="A3614" s="25"/>
      <c r="B3614" s="25"/>
      <c r="C3614" s="25"/>
      <c r="D3614" s="25"/>
      <c r="E3614" s="25"/>
      <c r="F3614" s="25"/>
      <c r="G3614" s="25"/>
      <c r="H3614" s="25"/>
      <c r="I3614" s="25"/>
      <c r="J3614" s="25"/>
    </row>
    <row r="3615" spans="1:10" ht="14.4">
      <c r="A3615" s="25"/>
      <c r="B3615" s="25"/>
      <c r="C3615" s="25"/>
      <c r="D3615" s="25"/>
      <c r="E3615" s="25"/>
      <c r="F3615" s="25"/>
      <c r="G3615" s="25"/>
      <c r="H3615" s="25"/>
      <c r="I3615" s="25"/>
      <c r="J3615" s="25"/>
    </row>
    <row r="3616" spans="1:10" ht="14.4">
      <c r="A3616" s="25"/>
      <c r="B3616" s="25"/>
      <c r="C3616" s="25"/>
      <c r="D3616" s="25"/>
      <c r="E3616" s="25"/>
      <c r="F3616" s="25"/>
      <c r="G3616" s="25"/>
      <c r="H3616" s="25"/>
      <c r="I3616" s="25"/>
      <c r="J3616" s="25"/>
    </row>
    <row r="3617" spans="1:10" ht="14.4">
      <c r="A3617" s="25"/>
      <c r="B3617" s="25"/>
      <c r="C3617" s="25"/>
      <c r="D3617" s="25"/>
      <c r="E3617" s="25"/>
      <c r="F3617" s="25"/>
      <c r="G3617" s="25"/>
      <c r="H3617" s="25"/>
      <c r="I3617" s="25"/>
      <c r="J3617" s="25"/>
    </row>
    <row r="3618" spans="1:10" ht="14.4">
      <c r="A3618" s="25"/>
      <c r="B3618" s="25"/>
      <c r="C3618" s="25"/>
      <c r="D3618" s="25"/>
      <c r="E3618" s="25"/>
      <c r="F3618" s="25"/>
      <c r="G3618" s="25"/>
      <c r="H3618" s="25"/>
      <c r="I3618" s="25"/>
      <c r="J3618" s="25"/>
    </row>
    <row r="3619" spans="1:10" ht="14.4">
      <c r="A3619" s="25"/>
      <c r="B3619" s="25"/>
      <c r="C3619" s="25"/>
      <c r="D3619" s="25"/>
      <c r="E3619" s="25"/>
      <c r="F3619" s="25"/>
      <c r="G3619" s="25"/>
      <c r="H3619" s="25"/>
      <c r="I3619" s="25"/>
      <c r="J3619" s="25"/>
    </row>
    <row r="3620" spans="1:10" ht="14.4">
      <c r="A3620" s="25"/>
      <c r="B3620" s="25"/>
      <c r="C3620" s="25"/>
      <c r="D3620" s="25"/>
      <c r="E3620" s="25"/>
      <c r="F3620" s="25"/>
      <c r="G3620" s="25"/>
      <c r="H3620" s="25"/>
      <c r="I3620" s="25"/>
      <c r="J3620" s="25"/>
    </row>
    <row r="3621" spans="1:10" ht="14.4">
      <c r="A3621" s="25"/>
      <c r="B3621" s="25"/>
      <c r="C3621" s="25"/>
      <c r="D3621" s="25"/>
      <c r="E3621" s="25"/>
      <c r="F3621" s="25"/>
      <c r="G3621" s="25"/>
      <c r="H3621" s="25"/>
      <c r="I3621" s="25"/>
      <c r="J3621" s="25"/>
    </row>
    <row r="3622" spans="1:10" ht="14.4">
      <c r="A3622" s="25"/>
      <c r="B3622" s="25"/>
      <c r="C3622" s="25"/>
      <c r="D3622" s="25"/>
      <c r="E3622" s="25"/>
      <c r="F3622" s="25"/>
      <c r="G3622" s="25"/>
      <c r="H3622" s="25"/>
      <c r="I3622" s="25"/>
      <c r="J3622" s="25"/>
    </row>
    <row r="3623" spans="1:10" ht="14.4">
      <c r="A3623" s="25"/>
      <c r="B3623" s="25"/>
      <c r="C3623" s="25"/>
      <c r="D3623" s="25"/>
      <c r="E3623" s="25"/>
      <c r="F3623" s="25"/>
      <c r="G3623" s="25"/>
      <c r="H3623" s="25"/>
      <c r="I3623" s="25"/>
      <c r="J3623" s="25"/>
    </row>
    <row r="3624" spans="1:10" ht="14.4">
      <c r="A3624" s="25"/>
      <c r="B3624" s="25"/>
      <c r="C3624" s="25"/>
      <c r="D3624" s="25"/>
      <c r="E3624" s="25"/>
      <c r="F3624" s="25"/>
      <c r="G3624" s="25"/>
      <c r="H3624" s="25"/>
      <c r="I3624" s="25"/>
      <c r="J3624" s="25"/>
    </row>
    <row r="3625" spans="1:10" ht="14.4">
      <c r="A3625" s="25"/>
      <c r="B3625" s="25"/>
      <c r="C3625" s="25"/>
      <c r="D3625" s="25"/>
      <c r="E3625" s="25"/>
      <c r="F3625" s="25"/>
      <c r="G3625" s="25"/>
      <c r="H3625" s="25"/>
      <c r="I3625" s="25"/>
      <c r="J3625" s="25"/>
    </row>
    <row r="3626" spans="1:10" ht="14.4">
      <c r="A3626" s="25"/>
      <c r="B3626" s="25"/>
      <c r="C3626" s="25"/>
      <c r="D3626" s="25"/>
      <c r="E3626" s="25"/>
      <c r="F3626" s="25"/>
      <c r="G3626" s="25"/>
      <c r="H3626" s="25"/>
      <c r="I3626" s="25"/>
      <c r="J3626" s="25"/>
    </row>
    <row r="3627" spans="1:10" ht="14.4">
      <c r="A3627" s="25"/>
      <c r="B3627" s="25"/>
      <c r="C3627" s="25"/>
      <c r="D3627" s="25"/>
      <c r="E3627" s="25"/>
      <c r="F3627" s="25"/>
      <c r="G3627" s="25"/>
      <c r="H3627" s="25"/>
      <c r="I3627" s="25"/>
      <c r="J3627" s="25"/>
    </row>
    <row r="3628" spans="1:10" ht="14.4">
      <c r="A3628" s="25"/>
      <c r="B3628" s="25"/>
      <c r="C3628" s="25"/>
      <c r="D3628" s="25"/>
      <c r="E3628" s="25"/>
      <c r="F3628" s="25"/>
      <c r="G3628" s="25"/>
      <c r="H3628" s="25"/>
      <c r="I3628" s="25"/>
      <c r="J3628" s="25"/>
    </row>
    <row r="3629" spans="1:10" ht="14.4">
      <c r="A3629" s="25"/>
      <c r="B3629" s="25"/>
      <c r="C3629" s="25"/>
      <c r="D3629" s="25"/>
      <c r="E3629" s="25"/>
      <c r="F3629" s="25"/>
      <c r="G3629" s="25"/>
      <c r="H3629" s="25"/>
      <c r="I3629" s="25"/>
      <c r="J3629" s="25"/>
    </row>
    <row r="3630" spans="1:10" ht="14.4">
      <c r="A3630" s="25"/>
      <c r="B3630" s="25"/>
      <c r="C3630" s="25"/>
      <c r="D3630" s="25"/>
      <c r="E3630" s="25"/>
      <c r="F3630" s="25"/>
      <c r="G3630" s="25"/>
      <c r="H3630" s="25"/>
      <c r="I3630" s="25"/>
      <c r="J3630" s="25"/>
    </row>
    <row r="3631" spans="1:10" ht="14.4">
      <c r="A3631" s="25"/>
      <c r="B3631" s="25"/>
      <c r="C3631" s="25"/>
      <c r="D3631" s="25"/>
      <c r="E3631" s="25"/>
      <c r="F3631" s="25"/>
      <c r="G3631" s="25"/>
      <c r="H3631" s="25"/>
      <c r="I3631" s="25"/>
      <c r="J3631" s="25"/>
    </row>
    <row r="3632" spans="1:10" ht="14.4">
      <c r="A3632" s="25"/>
      <c r="B3632" s="25"/>
      <c r="C3632" s="25"/>
      <c r="D3632" s="25"/>
      <c r="E3632" s="25"/>
      <c r="F3632" s="25"/>
      <c r="G3632" s="25"/>
      <c r="H3632" s="25"/>
      <c r="I3632" s="25"/>
      <c r="J3632" s="25"/>
    </row>
    <row r="3633" spans="1:10" ht="14.4">
      <c r="A3633" s="25"/>
      <c r="B3633" s="25"/>
      <c r="C3633" s="25"/>
      <c r="D3633" s="25"/>
      <c r="E3633" s="25"/>
      <c r="F3633" s="25"/>
      <c r="G3633" s="25"/>
      <c r="H3633" s="25"/>
      <c r="I3633" s="25"/>
      <c r="J3633" s="25"/>
    </row>
    <row r="3634" spans="1:10" ht="14.4">
      <c r="A3634" s="25"/>
      <c r="B3634" s="25"/>
      <c r="C3634" s="25"/>
      <c r="D3634" s="25"/>
      <c r="E3634" s="25"/>
      <c r="F3634" s="25"/>
      <c r="G3634" s="25"/>
      <c r="H3634" s="25"/>
      <c r="I3634" s="25"/>
      <c r="J3634" s="25"/>
    </row>
    <row r="3635" spans="1:10" ht="14.4">
      <c r="A3635" s="25"/>
      <c r="B3635" s="25"/>
      <c r="C3635" s="25"/>
      <c r="D3635" s="25"/>
      <c r="E3635" s="25"/>
      <c r="F3635" s="25"/>
      <c r="G3635" s="25"/>
      <c r="H3635" s="25"/>
      <c r="I3635" s="25"/>
      <c r="J3635" s="25"/>
    </row>
    <row r="3636" spans="1:10" ht="14.4">
      <c r="A3636" s="25"/>
      <c r="B3636" s="25"/>
      <c r="C3636" s="25"/>
      <c r="D3636" s="25"/>
      <c r="E3636" s="25"/>
      <c r="F3636" s="25"/>
      <c r="G3636" s="25"/>
      <c r="H3636" s="25"/>
      <c r="I3636" s="25"/>
      <c r="J3636" s="25"/>
    </row>
    <row r="3637" spans="1:10" ht="14.4">
      <c r="A3637" s="25"/>
      <c r="B3637" s="25"/>
      <c r="C3637" s="25"/>
      <c r="D3637" s="25"/>
      <c r="E3637" s="25"/>
      <c r="F3637" s="25"/>
      <c r="G3637" s="25"/>
      <c r="H3637" s="25"/>
      <c r="I3637" s="25"/>
      <c r="J3637" s="25"/>
    </row>
    <row r="3638" spans="1:10" ht="14.4">
      <c r="A3638" s="25"/>
      <c r="B3638" s="25"/>
      <c r="C3638" s="25"/>
      <c r="D3638" s="25"/>
      <c r="E3638" s="25"/>
      <c r="F3638" s="25"/>
      <c r="G3638" s="25"/>
      <c r="H3638" s="25"/>
      <c r="I3638" s="25"/>
      <c r="J3638" s="25"/>
    </row>
    <row r="3639" spans="1:10" ht="14.4">
      <c r="A3639" s="25"/>
      <c r="B3639" s="25"/>
      <c r="C3639" s="25"/>
      <c r="D3639" s="25"/>
      <c r="E3639" s="25"/>
      <c r="F3639" s="25"/>
      <c r="G3639" s="25"/>
      <c r="H3639" s="25"/>
      <c r="I3639" s="25"/>
      <c r="J3639" s="25"/>
    </row>
    <row r="3640" spans="1:10" ht="14.4">
      <c r="A3640" s="25"/>
      <c r="B3640" s="25"/>
      <c r="C3640" s="25"/>
      <c r="D3640" s="25"/>
      <c r="E3640" s="25"/>
      <c r="F3640" s="25"/>
      <c r="G3640" s="25"/>
      <c r="H3640" s="25"/>
      <c r="I3640" s="25"/>
      <c r="J3640" s="25"/>
    </row>
    <row r="3641" spans="1:10" ht="14.4">
      <c r="A3641" s="25"/>
      <c r="B3641" s="25"/>
      <c r="C3641" s="25"/>
      <c r="D3641" s="25"/>
      <c r="E3641" s="25"/>
      <c r="F3641" s="25"/>
      <c r="G3641" s="25"/>
      <c r="H3641" s="25"/>
      <c r="I3641" s="25"/>
      <c r="J3641" s="25"/>
    </row>
    <row r="3642" spans="1:10" ht="14.4">
      <c r="A3642" s="25"/>
      <c r="B3642" s="25"/>
      <c r="C3642" s="25"/>
      <c r="D3642" s="25"/>
      <c r="E3642" s="25"/>
      <c r="F3642" s="25"/>
      <c r="G3642" s="25"/>
      <c r="H3642" s="25"/>
      <c r="I3642" s="25"/>
      <c r="J3642" s="25"/>
    </row>
    <row r="3643" spans="1:10" ht="14.4">
      <c r="A3643" s="25"/>
      <c r="B3643" s="25"/>
      <c r="C3643" s="25"/>
      <c r="D3643" s="25"/>
      <c r="E3643" s="25"/>
      <c r="F3643" s="25"/>
      <c r="G3643" s="25"/>
      <c r="H3643" s="25"/>
      <c r="I3643" s="25"/>
      <c r="J3643" s="25"/>
    </row>
    <row r="3644" spans="1:10" ht="14.4">
      <c r="A3644" s="25"/>
      <c r="B3644" s="25"/>
      <c r="C3644" s="25"/>
      <c r="D3644" s="25"/>
      <c r="E3644" s="25"/>
      <c r="F3644" s="25"/>
      <c r="G3644" s="25"/>
      <c r="H3644" s="25"/>
      <c r="I3644" s="25"/>
      <c r="J3644" s="25"/>
    </row>
    <row r="3645" spans="1:10" ht="14.4">
      <c r="A3645" s="25"/>
      <c r="B3645" s="25"/>
      <c r="C3645" s="25"/>
      <c r="D3645" s="25"/>
      <c r="E3645" s="25"/>
      <c r="F3645" s="25"/>
      <c r="G3645" s="25"/>
      <c r="H3645" s="25"/>
      <c r="I3645" s="25"/>
      <c r="J3645" s="25"/>
    </row>
    <row r="3646" spans="1:10" ht="14.4">
      <c r="A3646" s="25"/>
      <c r="B3646" s="25"/>
      <c r="C3646" s="25"/>
      <c r="D3646" s="25"/>
      <c r="E3646" s="25"/>
      <c r="F3646" s="25"/>
      <c r="G3646" s="25"/>
      <c r="H3646" s="25"/>
      <c r="I3646" s="25"/>
      <c r="J3646" s="25"/>
    </row>
    <row r="3647" spans="1:10" ht="14.4">
      <c r="A3647" s="25"/>
      <c r="B3647" s="25"/>
      <c r="C3647" s="25"/>
      <c r="D3647" s="25"/>
      <c r="E3647" s="25"/>
      <c r="F3647" s="25"/>
      <c r="G3647" s="25"/>
      <c r="H3647" s="25"/>
      <c r="I3647" s="25"/>
      <c r="J3647" s="25"/>
    </row>
    <row r="3648" spans="1:10" ht="14.4">
      <c r="A3648" s="25"/>
      <c r="B3648" s="25"/>
      <c r="C3648" s="25"/>
      <c r="D3648" s="25"/>
      <c r="E3648" s="25"/>
      <c r="F3648" s="25"/>
      <c r="G3648" s="25"/>
      <c r="H3648" s="25"/>
      <c r="I3648" s="25"/>
      <c r="J3648" s="25"/>
    </row>
    <row r="3649" spans="1:10" ht="14.4">
      <c r="A3649" s="25"/>
      <c r="B3649" s="25"/>
      <c r="C3649" s="25"/>
      <c r="D3649" s="25"/>
      <c r="E3649" s="25"/>
      <c r="F3649" s="25"/>
      <c r="G3649" s="25"/>
      <c r="H3649" s="25"/>
      <c r="I3649" s="25"/>
      <c r="J3649" s="25"/>
    </row>
    <row r="3650" spans="1:10" ht="14.4">
      <c r="A3650" s="25"/>
      <c r="B3650" s="25"/>
      <c r="C3650" s="25"/>
      <c r="D3650" s="25"/>
      <c r="E3650" s="25"/>
      <c r="F3650" s="25"/>
      <c r="G3650" s="25"/>
      <c r="H3650" s="25"/>
      <c r="I3650" s="25"/>
      <c r="J3650" s="25"/>
    </row>
    <row r="3651" spans="1:10" ht="14.4">
      <c r="A3651" s="25"/>
      <c r="B3651" s="25"/>
      <c r="C3651" s="25"/>
      <c r="D3651" s="25"/>
      <c r="E3651" s="25"/>
      <c r="F3651" s="25"/>
      <c r="G3651" s="25"/>
      <c r="H3651" s="25"/>
      <c r="I3651" s="25"/>
      <c r="J3651" s="25"/>
    </row>
    <row r="3652" spans="1:10" ht="14.4">
      <c r="A3652" s="25"/>
      <c r="B3652" s="25"/>
      <c r="C3652" s="25"/>
      <c r="D3652" s="25"/>
      <c r="E3652" s="25"/>
      <c r="F3652" s="25"/>
      <c r="G3652" s="25"/>
      <c r="H3652" s="25"/>
      <c r="I3652" s="25"/>
      <c r="J3652" s="25"/>
    </row>
    <row r="3653" spans="1:10" ht="14.4">
      <c r="A3653" s="25"/>
      <c r="B3653" s="25"/>
      <c r="C3653" s="25"/>
      <c r="D3653" s="25"/>
      <c r="E3653" s="25"/>
      <c r="F3653" s="25"/>
      <c r="G3653" s="25"/>
      <c r="H3653" s="25"/>
      <c r="I3653" s="25"/>
      <c r="J3653" s="25"/>
    </row>
    <row r="3654" spans="1:10" ht="14.4">
      <c r="A3654" s="25"/>
      <c r="B3654" s="25"/>
      <c r="C3654" s="25"/>
      <c r="D3654" s="25"/>
      <c r="E3654" s="25"/>
      <c r="F3654" s="25"/>
      <c r="G3654" s="25"/>
      <c r="H3654" s="25"/>
      <c r="I3654" s="25"/>
      <c r="J3654" s="25"/>
    </row>
    <row r="3655" spans="1:10" ht="14.4">
      <c r="A3655" s="25"/>
      <c r="B3655" s="25"/>
      <c r="C3655" s="25"/>
      <c r="D3655" s="25"/>
      <c r="E3655" s="25"/>
      <c r="F3655" s="25"/>
      <c r="G3655" s="25"/>
      <c r="H3655" s="25"/>
      <c r="I3655" s="25"/>
      <c r="J3655" s="25"/>
    </row>
    <row r="3656" spans="1:10" ht="14.4">
      <c r="A3656" s="25"/>
      <c r="B3656" s="25"/>
      <c r="C3656" s="25"/>
      <c r="D3656" s="25"/>
      <c r="E3656" s="25"/>
      <c r="F3656" s="25"/>
      <c r="G3656" s="25"/>
      <c r="H3656" s="25"/>
      <c r="I3656" s="25"/>
      <c r="J3656" s="25"/>
    </row>
    <row r="3657" spans="1:10" ht="14.4">
      <c r="A3657" s="25"/>
      <c r="B3657" s="25"/>
      <c r="C3657" s="25"/>
      <c r="D3657" s="25"/>
      <c r="E3657" s="25"/>
      <c r="F3657" s="25"/>
      <c r="G3657" s="25"/>
      <c r="H3657" s="25"/>
      <c r="I3657" s="25"/>
      <c r="J3657" s="25"/>
    </row>
    <row r="3658" spans="1:10" ht="14.4">
      <c r="A3658" s="25"/>
      <c r="B3658" s="25"/>
      <c r="C3658" s="25"/>
      <c r="D3658" s="25"/>
      <c r="E3658" s="25"/>
      <c r="F3658" s="25"/>
      <c r="G3658" s="25"/>
      <c r="H3658" s="25"/>
      <c r="I3658" s="25"/>
      <c r="J3658" s="25"/>
    </row>
    <row r="3659" spans="1:10" ht="14.4">
      <c r="A3659" s="25"/>
      <c r="B3659" s="25"/>
      <c r="C3659" s="25"/>
      <c r="D3659" s="25"/>
      <c r="E3659" s="25"/>
      <c r="F3659" s="25"/>
      <c r="G3659" s="25"/>
      <c r="H3659" s="25"/>
      <c r="I3659" s="25"/>
      <c r="J3659" s="25"/>
    </row>
    <row r="3660" spans="1:10" ht="14.4">
      <c r="A3660" s="25"/>
      <c r="B3660" s="25"/>
      <c r="C3660" s="25"/>
      <c r="D3660" s="25"/>
      <c r="E3660" s="25"/>
      <c r="F3660" s="25"/>
      <c r="G3660" s="25"/>
      <c r="H3660" s="25"/>
      <c r="I3660" s="25"/>
      <c r="J3660" s="25"/>
    </row>
    <row r="3661" spans="1:10" ht="14.4">
      <c r="A3661" s="25"/>
      <c r="B3661" s="25"/>
      <c r="C3661" s="25"/>
      <c r="D3661" s="25"/>
      <c r="E3661" s="25"/>
      <c r="F3661" s="25"/>
      <c r="G3661" s="25"/>
      <c r="H3661" s="25"/>
      <c r="I3661" s="25"/>
      <c r="J3661" s="25"/>
    </row>
    <row r="3662" spans="1:10" ht="14.4">
      <c r="A3662" s="25"/>
      <c r="B3662" s="25"/>
      <c r="C3662" s="25"/>
      <c r="D3662" s="25"/>
      <c r="E3662" s="25"/>
      <c r="F3662" s="25"/>
      <c r="G3662" s="25"/>
      <c r="H3662" s="25"/>
      <c r="I3662" s="25"/>
      <c r="J3662" s="25"/>
    </row>
    <row r="3663" spans="1:10" ht="14.4">
      <c r="A3663" s="25"/>
      <c r="B3663" s="25"/>
      <c r="C3663" s="25"/>
      <c r="D3663" s="25"/>
      <c r="E3663" s="25"/>
      <c r="F3663" s="25"/>
      <c r="G3663" s="25"/>
      <c r="H3663" s="25"/>
      <c r="I3663" s="25"/>
      <c r="J3663" s="25"/>
    </row>
    <row r="3664" spans="1:10" ht="14.4">
      <c r="A3664" s="25"/>
      <c r="B3664" s="25"/>
      <c r="C3664" s="25"/>
      <c r="D3664" s="25"/>
      <c r="E3664" s="25"/>
      <c r="F3664" s="25"/>
      <c r="G3664" s="25"/>
      <c r="H3664" s="25"/>
      <c r="I3664" s="25"/>
      <c r="J3664" s="25"/>
    </row>
    <row r="3665" spans="1:10" ht="14.4">
      <c r="A3665" s="25"/>
      <c r="B3665" s="25"/>
      <c r="C3665" s="25"/>
      <c r="D3665" s="25"/>
      <c r="E3665" s="25"/>
      <c r="F3665" s="25"/>
      <c r="G3665" s="25"/>
      <c r="H3665" s="25"/>
      <c r="I3665" s="25"/>
      <c r="J3665" s="25"/>
    </row>
    <row r="3666" spans="1:10" ht="14.4">
      <c r="A3666" s="25"/>
      <c r="B3666" s="25"/>
      <c r="C3666" s="25"/>
      <c r="D3666" s="25"/>
      <c r="E3666" s="25"/>
      <c r="F3666" s="25"/>
      <c r="G3666" s="25"/>
      <c r="H3666" s="25"/>
      <c r="I3666" s="25"/>
      <c r="J3666" s="25"/>
    </row>
    <row r="3667" spans="1:10" ht="14.4">
      <c r="A3667" s="25"/>
      <c r="B3667" s="25"/>
      <c r="C3667" s="25"/>
      <c r="D3667" s="25"/>
      <c r="E3667" s="25"/>
      <c r="F3667" s="25"/>
      <c r="G3667" s="25"/>
      <c r="H3667" s="25"/>
      <c r="I3667" s="25"/>
      <c r="J3667" s="25"/>
    </row>
    <row r="3668" spans="1:10" ht="14.4">
      <c r="A3668" s="25"/>
      <c r="B3668" s="25"/>
      <c r="C3668" s="25"/>
      <c r="D3668" s="25"/>
      <c r="E3668" s="25"/>
      <c r="F3668" s="25"/>
      <c r="G3668" s="25"/>
      <c r="H3668" s="25"/>
      <c r="I3668" s="25"/>
      <c r="J3668" s="25"/>
    </row>
    <row r="3669" spans="1:10" ht="14.4">
      <c r="A3669" s="25"/>
      <c r="B3669" s="25"/>
      <c r="C3669" s="25"/>
      <c r="D3669" s="25"/>
      <c r="E3669" s="25"/>
      <c r="F3669" s="25"/>
      <c r="G3669" s="25"/>
      <c r="H3669" s="25"/>
      <c r="I3669" s="25"/>
      <c r="J3669" s="25"/>
    </row>
    <row r="3670" spans="1:10" ht="14.4">
      <c r="A3670" s="25"/>
      <c r="B3670" s="25"/>
      <c r="C3670" s="25"/>
      <c r="D3670" s="25"/>
      <c r="E3670" s="25"/>
      <c r="F3670" s="25"/>
      <c r="G3670" s="25"/>
      <c r="H3670" s="25"/>
      <c r="I3670" s="25"/>
      <c r="J3670" s="25"/>
    </row>
    <row r="3671" spans="1:10" ht="14.4">
      <c r="A3671" s="25"/>
      <c r="B3671" s="25"/>
      <c r="C3671" s="25"/>
      <c r="D3671" s="25"/>
      <c r="E3671" s="25"/>
      <c r="F3671" s="25"/>
      <c r="G3671" s="25"/>
      <c r="H3671" s="25"/>
      <c r="I3671" s="25"/>
      <c r="J3671" s="25"/>
    </row>
    <row r="3672" spans="1:10" ht="14.4">
      <c r="A3672" s="25"/>
      <c r="B3672" s="25"/>
      <c r="C3672" s="25"/>
      <c r="D3672" s="25"/>
      <c r="E3672" s="25"/>
      <c r="F3672" s="25"/>
      <c r="G3672" s="25"/>
      <c r="H3672" s="25"/>
      <c r="I3672" s="25"/>
      <c r="J3672" s="25"/>
    </row>
    <row r="3673" spans="1:10" ht="14.4">
      <c r="A3673" s="25"/>
      <c r="B3673" s="25"/>
      <c r="C3673" s="25"/>
      <c r="D3673" s="25"/>
      <c r="E3673" s="25"/>
      <c r="F3673" s="25"/>
      <c r="G3673" s="25"/>
      <c r="H3673" s="25"/>
      <c r="I3673" s="25"/>
      <c r="J3673" s="25"/>
    </row>
    <row r="3674" spans="1:10" ht="14.4">
      <c r="A3674" s="25"/>
      <c r="B3674" s="25"/>
      <c r="C3674" s="25"/>
      <c r="D3674" s="25"/>
      <c r="E3674" s="25"/>
      <c r="F3674" s="25"/>
      <c r="G3674" s="25"/>
      <c r="H3674" s="25"/>
      <c r="I3674" s="25"/>
      <c r="J3674" s="25"/>
    </row>
    <row r="3675" spans="1:10" ht="14.4">
      <c r="A3675" s="25"/>
      <c r="B3675" s="25"/>
      <c r="C3675" s="25"/>
      <c r="D3675" s="25"/>
      <c r="E3675" s="25"/>
      <c r="F3675" s="25"/>
      <c r="G3675" s="25"/>
      <c r="H3675" s="25"/>
      <c r="I3675" s="25"/>
      <c r="J3675" s="25"/>
    </row>
    <row r="3676" spans="1:10" ht="14.4">
      <c r="A3676" s="25"/>
      <c r="B3676" s="25"/>
      <c r="C3676" s="25"/>
      <c r="D3676" s="25"/>
      <c r="E3676" s="25"/>
      <c r="F3676" s="25"/>
      <c r="G3676" s="25"/>
      <c r="H3676" s="25"/>
      <c r="I3676" s="25"/>
      <c r="J3676" s="25"/>
    </row>
    <row r="3677" spans="1:10" ht="14.4">
      <c r="A3677" s="25"/>
      <c r="B3677" s="25"/>
      <c r="C3677" s="25"/>
      <c r="D3677" s="25"/>
      <c r="E3677" s="25"/>
      <c r="F3677" s="25"/>
      <c r="G3677" s="25"/>
      <c r="H3677" s="25"/>
      <c r="I3677" s="25"/>
      <c r="J3677" s="25"/>
    </row>
    <row r="3678" spans="1:10" ht="14.4">
      <c r="A3678" s="25"/>
      <c r="B3678" s="25"/>
      <c r="C3678" s="25"/>
      <c r="D3678" s="25"/>
      <c r="E3678" s="25"/>
      <c r="F3678" s="25"/>
      <c r="G3678" s="25"/>
      <c r="H3678" s="25"/>
      <c r="I3678" s="25"/>
      <c r="J3678" s="25"/>
    </row>
    <row r="3679" spans="1:10" ht="14.4">
      <c r="A3679" s="25"/>
      <c r="B3679" s="25"/>
      <c r="C3679" s="25"/>
      <c r="D3679" s="25"/>
      <c r="E3679" s="25"/>
      <c r="F3679" s="25"/>
      <c r="G3679" s="25"/>
      <c r="H3679" s="25"/>
      <c r="I3679" s="25"/>
      <c r="J3679" s="25"/>
    </row>
    <row r="3680" spans="1:10" ht="14.4">
      <c r="A3680" s="25"/>
      <c r="B3680" s="25"/>
      <c r="C3680" s="25"/>
      <c r="D3680" s="25"/>
      <c r="E3680" s="25"/>
      <c r="F3680" s="25"/>
      <c r="G3680" s="25"/>
      <c r="H3680" s="25"/>
      <c r="I3680" s="25"/>
      <c r="J3680" s="25"/>
    </row>
    <row r="3681" spans="1:10" ht="14.4">
      <c r="A3681" s="25"/>
      <c r="B3681" s="25"/>
      <c r="C3681" s="25"/>
      <c r="D3681" s="25"/>
      <c r="E3681" s="25"/>
      <c r="F3681" s="25"/>
      <c r="G3681" s="25"/>
      <c r="H3681" s="25"/>
      <c r="I3681" s="25"/>
      <c r="J3681" s="25"/>
    </row>
    <row r="3682" spans="1:10" ht="14.4">
      <c r="A3682" s="25"/>
      <c r="B3682" s="25"/>
      <c r="C3682" s="25"/>
      <c r="D3682" s="25"/>
      <c r="E3682" s="25"/>
      <c r="F3682" s="25"/>
      <c r="G3682" s="25"/>
      <c r="H3682" s="25"/>
      <c r="I3682" s="25"/>
      <c r="J3682" s="25"/>
    </row>
    <row r="3683" spans="1:10" ht="14.4">
      <c r="A3683" s="25"/>
      <c r="B3683" s="25"/>
      <c r="C3683" s="25"/>
      <c r="D3683" s="25"/>
      <c r="E3683" s="25"/>
      <c r="F3683" s="25"/>
      <c r="G3683" s="25"/>
      <c r="H3683" s="25"/>
      <c r="I3683" s="25"/>
      <c r="J3683" s="25"/>
    </row>
    <row r="3684" spans="1:10" ht="14.4">
      <c r="A3684" s="25"/>
      <c r="B3684" s="25"/>
      <c r="C3684" s="25"/>
      <c r="D3684" s="25"/>
      <c r="E3684" s="25"/>
      <c r="F3684" s="25"/>
      <c r="G3684" s="25"/>
      <c r="H3684" s="25"/>
      <c r="I3684" s="25"/>
      <c r="J3684" s="25"/>
    </row>
    <row r="3685" spans="1:10" ht="14.4">
      <c r="A3685" s="25"/>
      <c r="B3685" s="25"/>
      <c r="C3685" s="25"/>
      <c r="D3685" s="25"/>
      <c r="E3685" s="25"/>
      <c r="F3685" s="25"/>
      <c r="G3685" s="25"/>
      <c r="H3685" s="25"/>
      <c r="I3685" s="25"/>
      <c r="J3685" s="25"/>
    </row>
    <row r="3686" spans="1:10" ht="14.4">
      <c r="A3686" s="25"/>
      <c r="B3686" s="25"/>
      <c r="C3686" s="25"/>
      <c r="D3686" s="25"/>
      <c r="E3686" s="25"/>
      <c r="F3686" s="25"/>
      <c r="G3686" s="25"/>
      <c r="H3686" s="25"/>
      <c r="I3686" s="25"/>
      <c r="J3686" s="25"/>
    </row>
    <row r="3687" spans="1:10" ht="14.4">
      <c r="A3687" s="25"/>
      <c r="B3687" s="25"/>
      <c r="C3687" s="25"/>
      <c r="D3687" s="25"/>
      <c r="E3687" s="25"/>
      <c r="F3687" s="25"/>
      <c r="G3687" s="25"/>
      <c r="H3687" s="25"/>
      <c r="I3687" s="25"/>
      <c r="J3687" s="25"/>
    </row>
    <row r="3688" spans="1:10" ht="14.4">
      <c r="A3688" s="25"/>
      <c r="B3688" s="25"/>
      <c r="C3688" s="25"/>
      <c r="D3688" s="25"/>
      <c r="E3688" s="25"/>
      <c r="F3688" s="25"/>
      <c r="G3688" s="25"/>
      <c r="H3688" s="25"/>
      <c r="I3688" s="25"/>
      <c r="J3688" s="25"/>
    </row>
    <row r="3689" spans="1:10" ht="14.4">
      <c r="A3689" s="25"/>
      <c r="B3689" s="25"/>
      <c r="C3689" s="25"/>
      <c r="D3689" s="25"/>
      <c r="E3689" s="25"/>
      <c r="F3689" s="25"/>
      <c r="G3689" s="25"/>
      <c r="H3689" s="25"/>
      <c r="I3689" s="25"/>
      <c r="J3689" s="25"/>
    </row>
    <row r="3690" spans="1:10" ht="14.4">
      <c r="A3690" s="25"/>
      <c r="B3690" s="25"/>
      <c r="C3690" s="25"/>
      <c r="D3690" s="25"/>
      <c r="E3690" s="25"/>
      <c r="F3690" s="25"/>
      <c r="G3690" s="25"/>
      <c r="H3690" s="25"/>
      <c r="I3690" s="25"/>
      <c r="J3690" s="25"/>
    </row>
    <row r="3691" spans="1:10" ht="14.4">
      <c r="A3691" s="25"/>
      <c r="B3691" s="25"/>
      <c r="C3691" s="25"/>
      <c r="D3691" s="25"/>
      <c r="E3691" s="25"/>
      <c r="F3691" s="25"/>
      <c r="G3691" s="25"/>
      <c r="H3691" s="25"/>
      <c r="I3691" s="25"/>
      <c r="J3691" s="25"/>
    </row>
    <row r="3692" spans="1:10" ht="14.4">
      <c r="A3692" s="25"/>
      <c r="B3692" s="25"/>
      <c r="C3692" s="25"/>
      <c r="D3692" s="25"/>
      <c r="E3692" s="25"/>
      <c r="F3692" s="25"/>
      <c r="G3692" s="25"/>
      <c r="H3692" s="25"/>
      <c r="I3692" s="25"/>
      <c r="J3692" s="25"/>
    </row>
    <row r="3693" spans="1:10" ht="14.4">
      <c r="A3693" s="25"/>
      <c r="B3693" s="25"/>
      <c r="C3693" s="25"/>
      <c r="D3693" s="25"/>
      <c r="E3693" s="25"/>
      <c r="F3693" s="25"/>
      <c r="G3693" s="25"/>
      <c r="H3693" s="25"/>
      <c r="I3693" s="25"/>
      <c r="J3693" s="25"/>
    </row>
    <row r="3694" spans="1:10" ht="14.4">
      <c r="A3694" s="25"/>
      <c r="B3694" s="25"/>
      <c r="C3694" s="25"/>
      <c r="D3694" s="25"/>
      <c r="E3694" s="25"/>
      <c r="F3694" s="25"/>
      <c r="G3694" s="25"/>
      <c r="H3694" s="25"/>
      <c r="I3694" s="25"/>
      <c r="J3694" s="25"/>
    </row>
    <row r="3695" spans="1:10" ht="14.4">
      <c r="A3695" s="25"/>
      <c r="B3695" s="25"/>
      <c r="C3695" s="25"/>
      <c r="D3695" s="25"/>
      <c r="E3695" s="25"/>
      <c r="F3695" s="25"/>
      <c r="G3695" s="25"/>
      <c r="H3695" s="25"/>
      <c r="I3695" s="25"/>
      <c r="J3695" s="25"/>
    </row>
    <row r="3696" spans="1:10" ht="14.4">
      <c r="A3696" s="25"/>
      <c r="B3696" s="25"/>
      <c r="C3696" s="25"/>
      <c r="D3696" s="25"/>
      <c r="E3696" s="25"/>
      <c r="F3696" s="25"/>
      <c r="G3696" s="25"/>
      <c r="H3696" s="25"/>
      <c r="I3696" s="25"/>
      <c r="J3696" s="25"/>
    </row>
    <row r="3697" spans="1:10" ht="14.4">
      <c r="A3697" s="25"/>
      <c r="B3697" s="25"/>
      <c r="C3697" s="25"/>
      <c r="D3697" s="25"/>
      <c r="E3697" s="25"/>
      <c r="F3697" s="25"/>
      <c r="G3697" s="25"/>
      <c r="H3697" s="25"/>
      <c r="I3697" s="25"/>
      <c r="J3697" s="25"/>
    </row>
    <row r="3698" spans="1:10" ht="14.4">
      <c r="A3698" s="25"/>
      <c r="B3698" s="25"/>
      <c r="C3698" s="25"/>
      <c r="D3698" s="25"/>
      <c r="E3698" s="25"/>
      <c r="F3698" s="25"/>
      <c r="G3698" s="25"/>
      <c r="H3698" s="25"/>
      <c r="I3698" s="25"/>
      <c r="J3698" s="25"/>
    </row>
    <row r="3699" spans="1:10" ht="14.4">
      <c r="A3699" s="25"/>
      <c r="B3699" s="25"/>
      <c r="C3699" s="25"/>
      <c r="D3699" s="25"/>
      <c r="E3699" s="25"/>
      <c r="F3699" s="25"/>
      <c r="G3699" s="25"/>
      <c r="H3699" s="25"/>
      <c r="I3699" s="25"/>
      <c r="J3699" s="25"/>
    </row>
    <row r="3700" spans="1:10" ht="14.4">
      <c r="A3700" s="25"/>
      <c r="B3700" s="25"/>
      <c r="C3700" s="25"/>
      <c r="D3700" s="25"/>
      <c r="E3700" s="25"/>
      <c r="F3700" s="25"/>
      <c r="G3700" s="25"/>
      <c r="H3700" s="25"/>
      <c r="I3700" s="25"/>
      <c r="J3700" s="25"/>
    </row>
    <row r="3701" spans="1:10" ht="14.4">
      <c r="A3701" s="25"/>
      <c r="B3701" s="25"/>
      <c r="C3701" s="25"/>
      <c r="D3701" s="25"/>
      <c r="E3701" s="25"/>
      <c r="F3701" s="25"/>
      <c r="G3701" s="25"/>
      <c r="H3701" s="25"/>
      <c r="I3701" s="25"/>
      <c r="J3701" s="25"/>
    </row>
    <row r="3702" spans="1:10" ht="14.4">
      <c r="A3702" s="25"/>
      <c r="B3702" s="25"/>
      <c r="C3702" s="25"/>
      <c r="D3702" s="25"/>
      <c r="E3702" s="25"/>
      <c r="F3702" s="25"/>
      <c r="G3702" s="25"/>
      <c r="H3702" s="25"/>
      <c r="I3702" s="25"/>
      <c r="J3702" s="25"/>
    </row>
    <row r="3703" spans="1:10" ht="14.4">
      <c r="A3703" s="25"/>
      <c r="B3703" s="25"/>
      <c r="C3703" s="25"/>
      <c r="D3703" s="25"/>
      <c r="E3703" s="25"/>
      <c r="F3703" s="25"/>
      <c r="G3703" s="25"/>
      <c r="H3703" s="25"/>
      <c r="I3703" s="25"/>
      <c r="J3703" s="25"/>
    </row>
    <row r="3704" spans="1:10" ht="14.4">
      <c r="A3704" s="25"/>
      <c r="B3704" s="25"/>
      <c r="C3704" s="25"/>
      <c r="D3704" s="25"/>
      <c r="E3704" s="25"/>
      <c r="F3704" s="25"/>
      <c r="G3704" s="25"/>
      <c r="H3704" s="25"/>
      <c r="I3704" s="25"/>
      <c r="J3704" s="25"/>
    </row>
    <row r="3705" spans="1:10" ht="14.4">
      <c r="A3705" s="25"/>
      <c r="B3705" s="25"/>
      <c r="C3705" s="25"/>
      <c r="D3705" s="25"/>
      <c r="E3705" s="25"/>
      <c r="F3705" s="25"/>
      <c r="G3705" s="25"/>
      <c r="H3705" s="25"/>
      <c r="I3705" s="25"/>
      <c r="J3705" s="25"/>
    </row>
    <row r="3706" spans="1:10" ht="14.4">
      <c r="A3706" s="25"/>
      <c r="B3706" s="25"/>
      <c r="C3706" s="25"/>
      <c r="D3706" s="25"/>
      <c r="E3706" s="25"/>
      <c r="F3706" s="25"/>
      <c r="G3706" s="25"/>
      <c r="H3706" s="25"/>
      <c r="I3706" s="25"/>
      <c r="J3706" s="25"/>
    </row>
    <row r="3707" spans="1:10" ht="14.4">
      <c r="A3707" s="25"/>
      <c r="B3707" s="25"/>
      <c r="C3707" s="25"/>
      <c r="D3707" s="25"/>
      <c r="E3707" s="25"/>
      <c r="F3707" s="25"/>
      <c r="G3707" s="25"/>
      <c r="H3707" s="25"/>
      <c r="I3707" s="25"/>
      <c r="J3707" s="25"/>
    </row>
    <row r="3708" spans="1:10" ht="14.4">
      <c r="A3708" s="25"/>
      <c r="B3708" s="25"/>
      <c r="C3708" s="25"/>
      <c r="D3708" s="25"/>
      <c r="E3708" s="25"/>
      <c r="F3708" s="25"/>
      <c r="G3708" s="25"/>
      <c r="H3708" s="25"/>
      <c r="I3708" s="25"/>
      <c r="J3708" s="25"/>
    </row>
    <row r="3709" spans="1:10" ht="14.4">
      <c r="A3709" s="25"/>
      <c r="B3709" s="25"/>
      <c r="C3709" s="25"/>
      <c r="D3709" s="25"/>
      <c r="E3709" s="25"/>
      <c r="F3709" s="25"/>
      <c r="G3709" s="25"/>
      <c r="H3709" s="25"/>
      <c r="I3709" s="25"/>
      <c r="J3709" s="25"/>
    </row>
    <row r="3710" spans="1:10" ht="14.4">
      <c r="A3710" s="25"/>
      <c r="B3710" s="25"/>
      <c r="C3710" s="25"/>
      <c r="D3710" s="25"/>
      <c r="E3710" s="25"/>
      <c r="F3710" s="25"/>
      <c r="G3710" s="25"/>
      <c r="H3710" s="25"/>
      <c r="I3710" s="25"/>
      <c r="J3710" s="25"/>
    </row>
    <row r="3711" spans="1:10" ht="14.4">
      <c r="A3711" s="25"/>
      <c r="B3711" s="25"/>
      <c r="C3711" s="25"/>
      <c r="D3711" s="25"/>
      <c r="E3711" s="25"/>
      <c r="F3711" s="25"/>
      <c r="G3711" s="25"/>
      <c r="H3711" s="25"/>
      <c r="I3711" s="25"/>
      <c r="J3711" s="25"/>
    </row>
    <row r="3712" spans="1:10" ht="14.4">
      <c r="A3712" s="25"/>
      <c r="B3712" s="25"/>
      <c r="C3712" s="25"/>
      <c r="D3712" s="25"/>
      <c r="E3712" s="25"/>
      <c r="F3712" s="25"/>
      <c r="G3712" s="25"/>
      <c r="H3712" s="25"/>
      <c r="I3712" s="25"/>
      <c r="J3712" s="25"/>
    </row>
    <row r="3713" spans="1:10" ht="14.4">
      <c r="A3713" s="25"/>
      <c r="B3713" s="25"/>
      <c r="C3713" s="25"/>
      <c r="D3713" s="25"/>
      <c r="E3713" s="25"/>
      <c r="F3713" s="25"/>
      <c r="G3713" s="25"/>
      <c r="H3713" s="25"/>
      <c r="I3713" s="25"/>
      <c r="J3713" s="25"/>
    </row>
    <row r="3714" spans="1:10" ht="14.4">
      <c r="A3714" s="25"/>
      <c r="B3714" s="25"/>
      <c r="C3714" s="25"/>
      <c r="D3714" s="25"/>
      <c r="E3714" s="25"/>
      <c r="F3714" s="25"/>
      <c r="G3714" s="25"/>
      <c r="H3714" s="25"/>
      <c r="I3714" s="25"/>
      <c r="J3714" s="25"/>
    </row>
    <row r="3715" spans="1:10" ht="14.4">
      <c r="A3715" s="25"/>
      <c r="B3715" s="25"/>
      <c r="C3715" s="25"/>
      <c r="D3715" s="25"/>
      <c r="E3715" s="25"/>
      <c r="F3715" s="25"/>
      <c r="G3715" s="25"/>
      <c r="H3715" s="25"/>
      <c r="I3715" s="25"/>
      <c r="J3715" s="25"/>
    </row>
    <row r="3716" spans="1:10" ht="14.4">
      <c r="A3716" s="25"/>
      <c r="B3716" s="25"/>
      <c r="C3716" s="25"/>
      <c r="D3716" s="25"/>
      <c r="E3716" s="25"/>
      <c r="F3716" s="25"/>
      <c r="G3716" s="25"/>
      <c r="H3716" s="25"/>
      <c r="I3716" s="25"/>
      <c r="J3716" s="25"/>
    </row>
    <row r="3717" spans="1:10" ht="14.4">
      <c r="A3717" s="25"/>
      <c r="B3717" s="25"/>
      <c r="C3717" s="25"/>
      <c r="D3717" s="25"/>
      <c r="E3717" s="25"/>
      <c r="F3717" s="25"/>
      <c r="G3717" s="25"/>
      <c r="H3717" s="25"/>
      <c r="I3717" s="25"/>
      <c r="J3717" s="25"/>
    </row>
    <row r="3718" spans="1:10" ht="14.4">
      <c r="A3718" s="25"/>
      <c r="B3718" s="25"/>
      <c r="C3718" s="25"/>
      <c r="D3718" s="25"/>
      <c r="E3718" s="25"/>
      <c r="F3718" s="25"/>
      <c r="G3718" s="25"/>
      <c r="H3718" s="25"/>
      <c r="I3718" s="25"/>
      <c r="J3718" s="25"/>
    </row>
    <row r="3719" spans="1:10" ht="14.4">
      <c r="A3719" s="25"/>
      <c r="B3719" s="25"/>
      <c r="C3719" s="25"/>
      <c r="D3719" s="25"/>
      <c r="E3719" s="25"/>
      <c r="F3719" s="25"/>
      <c r="G3719" s="25"/>
      <c r="H3719" s="25"/>
      <c r="I3719" s="25"/>
      <c r="J3719" s="25"/>
    </row>
    <row r="3720" spans="1:10" ht="14.4">
      <c r="A3720" s="25"/>
      <c r="B3720" s="25"/>
      <c r="C3720" s="25"/>
      <c r="D3720" s="25"/>
      <c r="E3720" s="25"/>
      <c r="F3720" s="25"/>
      <c r="G3720" s="25"/>
      <c r="H3720" s="25"/>
      <c r="I3720" s="25"/>
      <c r="J3720" s="25"/>
    </row>
    <row r="3721" spans="1:10" ht="14.4">
      <c r="A3721" s="25"/>
      <c r="B3721" s="25"/>
      <c r="C3721" s="25"/>
      <c r="D3721" s="25"/>
      <c r="E3721" s="25"/>
      <c r="F3721" s="25"/>
      <c r="G3721" s="25"/>
      <c r="H3721" s="25"/>
      <c r="I3721" s="25"/>
      <c r="J3721" s="25"/>
    </row>
    <row r="3722" spans="1:10" ht="14.4">
      <c r="A3722" s="25"/>
      <c r="B3722" s="25"/>
      <c r="C3722" s="25"/>
      <c r="D3722" s="25"/>
      <c r="E3722" s="25"/>
      <c r="F3722" s="25"/>
      <c r="G3722" s="25"/>
      <c r="H3722" s="25"/>
      <c r="I3722" s="25"/>
      <c r="J3722" s="25"/>
    </row>
    <row r="3723" spans="1:10" ht="14.4">
      <c r="A3723" s="25"/>
      <c r="B3723" s="25"/>
      <c r="C3723" s="25"/>
      <c r="D3723" s="25"/>
      <c r="E3723" s="25"/>
      <c r="F3723" s="25"/>
      <c r="G3723" s="25"/>
      <c r="H3723" s="25"/>
      <c r="I3723" s="25"/>
      <c r="J3723" s="25"/>
    </row>
    <row r="3724" spans="1:10" ht="14.4">
      <c r="A3724" s="25"/>
      <c r="B3724" s="25"/>
      <c r="C3724" s="25"/>
      <c r="D3724" s="25"/>
      <c r="E3724" s="25"/>
      <c r="F3724" s="25"/>
      <c r="G3724" s="25"/>
      <c r="H3724" s="25"/>
      <c r="I3724" s="25"/>
      <c r="J3724" s="25"/>
    </row>
    <row r="3725" spans="1:10" ht="14.4">
      <c r="A3725" s="25"/>
      <c r="B3725" s="25"/>
      <c r="C3725" s="25"/>
      <c r="D3725" s="25"/>
      <c r="E3725" s="25"/>
      <c r="F3725" s="25"/>
      <c r="G3725" s="25"/>
      <c r="H3725" s="25"/>
      <c r="I3725" s="25"/>
      <c r="J3725" s="25"/>
    </row>
    <row r="3726" spans="1:10" ht="14.4">
      <c r="A3726" s="25"/>
      <c r="B3726" s="25"/>
      <c r="C3726" s="25"/>
      <c r="D3726" s="25"/>
      <c r="E3726" s="25"/>
      <c r="F3726" s="25"/>
      <c r="G3726" s="25"/>
      <c r="H3726" s="25"/>
      <c r="I3726" s="25"/>
      <c r="J3726" s="25"/>
    </row>
    <row r="3727" spans="1:10" ht="14.4">
      <c r="A3727" s="25"/>
      <c r="B3727" s="25"/>
      <c r="C3727" s="25"/>
      <c r="D3727" s="25"/>
      <c r="E3727" s="25"/>
      <c r="F3727" s="25"/>
      <c r="G3727" s="25"/>
      <c r="H3727" s="25"/>
      <c r="I3727" s="25"/>
      <c r="J3727" s="25"/>
    </row>
    <row r="3728" spans="1:10" ht="14.4">
      <c r="A3728" s="25"/>
      <c r="B3728" s="25"/>
      <c r="C3728" s="25"/>
      <c r="D3728" s="25"/>
      <c r="E3728" s="25"/>
      <c r="F3728" s="25"/>
      <c r="G3728" s="25"/>
      <c r="H3728" s="25"/>
      <c r="I3728" s="25"/>
      <c r="J3728" s="25"/>
    </row>
    <row r="3729" spans="1:10" ht="14.4">
      <c r="A3729" s="25"/>
      <c r="B3729" s="25"/>
      <c r="C3729" s="25"/>
      <c r="D3729" s="25"/>
      <c r="E3729" s="25"/>
      <c r="F3729" s="25"/>
      <c r="G3729" s="25"/>
      <c r="H3729" s="25"/>
      <c r="I3729" s="25"/>
      <c r="J3729" s="25"/>
    </row>
    <row r="3730" spans="1:10" ht="14.4">
      <c r="A3730" s="25"/>
      <c r="B3730" s="25"/>
      <c r="C3730" s="25"/>
      <c r="D3730" s="25"/>
      <c r="E3730" s="25"/>
      <c r="F3730" s="25"/>
      <c r="G3730" s="25"/>
      <c r="H3730" s="25"/>
      <c r="I3730" s="25"/>
      <c r="J3730" s="25"/>
    </row>
    <row r="3731" spans="1:10" ht="14.4">
      <c r="A3731" s="25"/>
      <c r="B3731" s="25"/>
      <c r="C3731" s="25"/>
      <c r="D3731" s="25"/>
      <c r="E3731" s="25"/>
      <c r="F3731" s="25"/>
      <c r="G3731" s="25"/>
      <c r="H3731" s="25"/>
      <c r="I3731" s="25"/>
      <c r="J3731" s="25"/>
    </row>
    <row r="3732" spans="1:10" ht="14.4">
      <c r="A3732" s="25"/>
      <c r="B3732" s="25"/>
      <c r="C3732" s="25"/>
      <c r="D3732" s="25"/>
      <c r="E3732" s="25"/>
      <c r="F3732" s="25"/>
      <c r="G3732" s="25"/>
      <c r="H3732" s="25"/>
      <c r="I3732" s="25"/>
      <c r="J3732" s="25"/>
    </row>
    <row r="3733" spans="1:10" ht="14.4">
      <c r="A3733" s="25"/>
      <c r="B3733" s="25"/>
      <c r="C3733" s="25"/>
      <c r="D3733" s="25"/>
      <c r="E3733" s="25"/>
      <c r="F3733" s="25"/>
      <c r="G3733" s="25"/>
      <c r="H3733" s="25"/>
      <c r="I3733" s="25"/>
      <c r="J3733" s="25"/>
    </row>
    <row r="3734" spans="1:10" ht="14.4">
      <c r="A3734" s="25"/>
      <c r="B3734" s="25"/>
      <c r="C3734" s="25"/>
      <c r="D3734" s="25"/>
      <c r="E3734" s="25"/>
      <c r="F3734" s="25"/>
      <c r="G3734" s="25"/>
      <c r="H3734" s="25"/>
      <c r="I3734" s="25"/>
      <c r="J3734" s="25"/>
    </row>
    <row r="3735" spans="1:10" ht="14.4">
      <c r="A3735" s="25"/>
      <c r="B3735" s="25"/>
      <c r="C3735" s="25"/>
      <c r="D3735" s="25"/>
      <c r="E3735" s="25"/>
      <c r="F3735" s="25"/>
      <c r="G3735" s="25"/>
      <c r="H3735" s="25"/>
      <c r="I3735" s="25"/>
      <c r="J3735" s="25"/>
    </row>
    <row r="3736" spans="1:10" ht="14.4">
      <c r="A3736" s="25"/>
      <c r="B3736" s="25"/>
      <c r="C3736" s="25"/>
      <c r="D3736" s="25"/>
      <c r="E3736" s="25"/>
      <c r="F3736" s="25"/>
      <c r="G3736" s="25"/>
      <c r="H3736" s="25"/>
      <c r="I3736" s="25"/>
      <c r="J3736" s="25"/>
    </row>
    <row r="3737" spans="1:10" ht="14.4">
      <c r="A3737" s="25"/>
      <c r="B3737" s="25"/>
      <c r="C3737" s="25"/>
      <c r="D3737" s="25"/>
      <c r="E3737" s="25"/>
      <c r="F3737" s="25"/>
      <c r="G3737" s="25"/>
      <c r="H3737" s="25"/>
      <c r="I3737" s="25"/>
      <c r="J3737" s="25"/>
    </row>
    <row r="3738" spans="1:10" ht="14.4">
      <c r="A3738" s="25"/>
      <c r="B3738" s="25"/>
      <c r="C3738" s="25"/>
      <c r="D3738" s="25"/>
      <c r="E3738" s="25"/>
      <c r="F3738" s="25"/>
      <c r="G3738" s="25"/>
      <c r="H3738" s="25"/>
      <c r="I3738" s="25"/>
      <c r="J3738" s="25"/>
    </row>
    <row r="3739" spans="1:10" ht="14.4">
      <c r="A3739" s="25"/>
      <c r="B3739" s="25"/>
      <c r="C3739" s="25"/>
      <c r="D3739" s="25"/>
      <c r="E3739" s="25"/>
      <c r="F3739" s="25"/>
      <c r="G3739" s="25"/>
      <c r="H3739" s="25"/>
      <c r="I3739" s="25"/>
      <c r="J3739" s="25"/>
    </row>
    <row r="3740" spans="1:10" ht="14.4">
      <c r="A3740" s="25"/>
      <c r="B3740" s="25"/>
      <c r="C3740" s="25"/>
      <c r="D3740" s="25"/>
      <c r="E3740" s="25"/>
      <c r="F3740" s="25"/>
      <c r="G3740" s="25"/>
      <c r="H3740" s="25"/>
      <c r="I3740" s="25"/>
      <c r="J3740" s="25"/>
    </row>
    <row r="3741" spans="1:10" ht="14.4">
      <c r="A3741" s="25"/>
      <c r="B3741" s="25"/>
      <c r="C3741" s="25"/>
      <c r="D3741" s="25"/>
      <c r="E3741" s="25"/>
      <c r="F3741" s="25"/>
      <c r="G3741" s="25"/>
      <c r="H3741" s="25"/>
      <c r="I3741" s="25"/>
      <c r="J3741" s="25"/>
    </row>
    <row r="3742" spans="1:10" ht="14.4">
      <c r="A3742" s="25"/>
      <c r="B3742" s="25"/>
      <c r="C3742" s="25"/>
      <c r="D3742" s="25"/>
      <c r="E3742" s="25"/>
      <c r="F3742" s="25"/>
      <c r="G3742" s="25"/>
      <c r="H3742" s="25"/>
      <c r="I3742" s="25"/>
      <c r="J3742" s="25"/>
    </row>
    <row r="3743" spans="1:10" ht="14.4">
      <c r="A3743" s="25"/>
      <c r="B3743" s="25"/>
      <c r="C3743" s="25"/>
      <c r="D3743" s="25"/>
      <c r="E3743" s="25"/>
      <c r="F3743" s="25"/>
      <c r="G3743" s="25"/>
      <c r="H3743" s="25"/>
      <c r="I3743" s="25"/>
      <c r="J3743" s="25"/>
    </row>
    <row r="3744" spans="1:10" ht="14.4">
      <c r="A3744" s="25"/>
      <c r="B3744" s="25"/>
      <c r="C3744" s="25"/>
      <c r="D3744" s="25"/>
      <c r="E3744" s="25"/>
      <c r="F3744" s="25"/>
      <c r="G3744" s="25"/>
      <c r="H3744" s="25"/>
      <c r="I3744" s="25"/>
      <c r="J3744" s="25"/>
    </row>
    <row r="3745" spans="1:10" ht="14.4">
      <c r="A3745" s="25"/>
      <c r="B3745" s="25"/>
      <c r="C3745" s="25"/>
      <c r="D3745" s="25"/>
      <c r="E3745" s="25"/>
      <c r="F3745" s="25"/>
      <c r="G3745" s="25"/>
      <c r="H3745" s="25"/>
      <c r="I3745" s="25"/>
      <c r="J3745" s="25"/>
    </row>
    <row r="3746" spans="1:10" ht="14.4">
      <c r="A3746" s="25"/>
      <c r="B3746" s="25"/>
      <c r="C3746" s="25"/>
      <c r="D3746" s="25"/>
      <c r="E3746" s="25"/>
      <c r="F3746" s="25"/>
      <c r="G3746" s="25"/>
      <c r="H3746" s="25"/>
      <c r="I3746" s="25"/>
      <c r="J3746" s="25"/>
    </row>
    <row r="3747" spans="1:10" ht="14.4">
      <c r="A3747" s="25"/>
      <c r="B3747" s="25"/>
      <c r="C3747" s="25"/>
      <c r="D3747" s="25"/>
      <c r="E3747" s="25"/>
      <c r="F3747" s="25"/>
      <c r="G3747" s="25"/>
      <c r="H3747" s="25"/>
      <c r="I3747" s="25"/>
      <c r="J3747" s="25"/>
    </row>
    <row r="3748" spans="1:10" ht="14.4">
      <c r="A3748" s="25"/>
      <c r="B3748" s="25"/>
      <c r="C3748" s="25"/>
      <c r="D3748" s="25"/>
      <c r="E3748" s="25"/>
      <c r="F3748" s="25"/>
      <c r="G3748" s="25"/>
      <c r="H3748" s="25"/>
      <c r="I3748" s="25"/>
      <c r="J3748" s="25"/>
    </row>
    <row r="3749" spans="1:10" ht="14.4">
      <c r="A3749" s="25"/>
      <c r="B3749" s="25"/>
      <c r="C3749" s="25"/>
      <c r="D3749" s="25"/>
      <c r="E3749" s="25"/>
      <c r="F3749" s="25"/>
      <c r="G3749" s="25"/>
      <c r="H3749" s="25"/>
      <c r="I3749" s="25"/>
      <c r="J3749" s="25"/>
    </row>
    <row r="3750" spans="1:10" ht="14.4">
      <c r="A3750" s="25"/>
      <c r="B3750" s="25"/>
      <c r="C3750" s="25"/>
      <c r="D3750" s="25"/>
      <c r="E3750" s="25"/>
      <c r="F3750" s="25"/>
      <c r="G3750" s="25"/>
      <c r="H3750" s="25"/>
      <c r="I3750" s="25"/>
      <c r="J3750" s="25"/>
    </row>
    <row r="3751" spans="1:10" ht="14.4">
      <c r="A3751" s="25"/>
      <c r="B3751" s="25"/>
      <c r="C3751" s="25"/>
      <c r="D3751" s="25"/>
      <c r="E3751" s="25"/>
      <c r="F3751" s="25"/>
      <c r="G3751" s="25"/>
      <c r="H3751" s="25"/>
      <c r="I3751" s="25"/>
      <c r="J3751" s="25"/>
    </row>
    <row r="3752" spans="1:10" ht="14.4">
      <c r="A3752" s="25"/>
      <c r="B3752" s="25"/>
      <c r="C3752" s="25"/>
      <c r="D3752" s="25"/>
      <c r="E3752" s="25"/>
      <c r="F3752" s="25"/>
      <c r="G3752" s="25"/>
      <c r="H3752" s="25"/>
      <c r="I3752" s="25"/>
      <c r="J3752" s="25"/>
    </row>
    <row r="3753" spans="1:10" ht="14.4">
      <c r="A3753" s="25"/>
      <c r="B3753" s="25"/>
      <c r="C3753" s="25"/>
      <c r="D3753" s="25"/>
      <c r="E3753" s="25"/>
      <c r="F3753" s="25"/>
      <c r="G3753" s="25"/>
      <c r="H3753" s="25"/>
      <c r="I3753" s="25"/>
      <c r="J3753" s="25"/>
    </row>
    <row r="3754" spans="1:10" ht="14.4">
      <c r="A3754" s="25"/>
      <c r="B3754" s="25"/>
      <c r="C3754" s="25"/>
      <c r="D3754" s="25"/>
      <c r="E3754" s="25"/>
      <c r="F3754" s="25"/>
      <c r="G3754" s="25"/>
      <c r="H3754" s="25"/>
      <c r="I3754" s="25"/>
      <c r="J3754" s="25"/>
    </row>
    <row r="3755" spans="1:10" ht="14.4">
      <c r="A3755" s="25"/>
      <c r="B3755" s="25"/>
      <c r="C3755" s="25"/>
      <c r="D3755" s="25"/>
      <c r="E3755" s="25"/>
      <c r="F3755" s="25"/>
      <c r="G3755" s="25"/>
      <c r="H3755" s="25"/>
      <c r="I3755" s="25"/>
      <c r="J3755" s="25"/>
    </row>
    <row r="3756" spans="1:10" ht="14.4">
      <c r="A3756" s="25"/>
      <c r="B3756" s="25"/>
      <c r="C3756" s="25"/>
      <c r="D3756" s="25"/>
      <c r="E3756" s="25"/>
      <c r="F3756" s="25"/>
      <c r="G3756" s="25"/>
      <c r="H3756" s="25"/>
      <c r="I3756" s="25"/>
      <c r="J3756" s="25"/>
    </row>
    <row r="3757" spans="1:10" ht="14.4">
      <c r="A3757" s="25"/>
      <c r="B3757" s="25"/>
      <c r="C3757" s="25"/>
      <c r="D3757" s="25"/>
      <c r="E3757" s="25"/>
      <c r="F3757" s="25"/>
      <c r="G3757" s="25"/>
      <c r="H3757" s="25"/>
      <c r="I3757" s="25"/>
      <c r="J3757" s="25"/>
    </row>
    <row r="3758" spans="1:10" ht="14.4">
      <c r="A3758" s="25"/>
      <c r="B3758" s="25"/>
      <c r="C3758" s="25"/>
      <c r="D3758" s="25"/>
      <c r="E3758" s="25"/>
      <c r="F3758" s="25"/>
      <c r="G3758" s="25"/>
      <c r="H3758" s="25"/>
      <c r="I3758" s="25"/>
      <c r="J3758" s="25"/>
    </row>
    <row r="3759" spans="1:10" ht="14.4">
      <c r="A3759" s="25"/>
      <c r="B3759" s="25"/>
      <c r="C3759" s="25"/>
      <c r="D3759" s="25"/>
      <c r="E3759" s="25"/>
      <c r="F3759" s="25"/>
      <c r="G3759" s="25"/>
      <c r="H3759" s="25"/>
      <c r="I3759" s="25"/>
      <c r="J3759" s="25"/>
    </row>
    <row r="3760" spans="1:10" ht="14.4">
      <c r="A3760" s="25"/>
      <c r="B3760" s="25"/>
      <c r="C3760" s="25"/>
      <c r="D3760" s="25"/>
      <c r="E3760" s="25"/>
      <c r="F3760" s="25"/>
      <c r="G3760" s="25"/>
      <c r="H3760" s="25"/>
      <c r="I3760" s="25"/>
      <c r="J3760" s="25"/>
    </row>
    <row r="3761" spans="1:10" ht="14.4">
      <c r="A3761" s="25"/>
      <c r="B3761" s="25"/>
      <c r="C3761" s="25"/>
      <c r="D3761" s="25"/>
      <c r="E3761" s="25"/>
      <c r="F3761" s="25"/>
      <c r="G3761" s="25"/>
      <c r="H3761" s="25"/>
      <c r="I3761" s="25"/>
      <c r="J3761" s="25"/>
    </row>
    <row r="3762" spans="1:10" ht="14.4">
      <c r="A3762" s="25"/>
      <c r="B3762" s="25"/>
      <c r="C3762" s="25"/>
      <c r="D3762" s="25"/>
      <c r="E3762" s="25"/>
      <c r="F3762" s="25"/>
      <c r="G3762" s="25"/>
      <c r="H3762" s="25"/>
      <c r="I3762" s="25"/>
      <c r="J3762" s="25"/>
    </row>
    <row r="3763" spans="1:10" ht="14.4">
      <c r="A3763" s="25"/>
      <c r="B3763" s="25"/>
      <c r="C3763" s="25"/>
      <c r="D3763" s="25"/>
      <c r="E3763" s="25"/>
      <c r="F3763" s="25"/>
      <c r="G3763" s="25"/>
      <c r="H3763" s="25"/>
      <c r="I3763" s="25"/>
      <c r="J3763" s="25"/>
    </row>
    <row r="3764" spans="1:10" ht="14.4">
      <c r="A3764" s="25"/>
      <c r="B3764" s="25"/>
      <c r="C3764" s="25"/>
      <c r="D3764" s="25"/>
      <c r="E3764" s="25"/>
      <c r="F3764" s="25"/>
      <c r="G3764" s="25"/>
      <c r="H3764" s="25"/>
      <c r="I3764" s="25"/>
      <c r="J3764" s="25"/>
    </row>
    <row r="3765" spans="1:10" ht="14.4">
      <c r="A3765" s="25"/>
      <c r="B3765" s="25"/>
      <c r="C3765" s="25"/>
      <c r="D3765" s="25"/>
      <c r="E3765" s="25"/>
      <c r="F3765" s="25"/>
      <c r="G3765" s="25"/>
      <c r="H3765" s="25"/>
      <c r="I3765" s="25"/>
      <c r="J3765" s="25"/>
    </row>
    <row r="3766" spans="1:10" ht="14.4">
      <c r="A3766" s="25"/>
      <c r="B3766" s="25"/>
      <c r="C3766" s="25"/>
      <c r="D3766" s="25"/>
      <c r="E3766" s="25"/>
      <c r="F3766" s="25"/>
      <c r="G3766" s="25"/>
      <c r="H3766" s="25"/>
      <c r="I3766" s="25"/>
      <c r="J3766" s="25"/>
    </row>
    <row r="3767" spans="1:10" ht="14.4">
      <c r="A3767" s="25"/>
      <c r="B3767" s="25"/>
      <c r="C3767" s="25"/>
      <c r="D3767" s="25"/>
      <c r="E3767" s="25"/>
      <c r="F3767" s="25"/>
      <c r="G3767" s="25"/>
      <c r="H3767" s="25"/>
      <c r="I3767" s="25"/>
      <c r="J3767" s="25"/>
    </row>
    <row r="3768" spans="1:10" ht="14.4">
      <c r="A3768" s="25"/>
      <c r="B3768" s="25"/>
      <c r="C3768" s="25"/>
      <c r="D3768" s="25"/>
      <c r="E3768" s="25"/>
      <c r="F3768" s="25"/>
      <c r="G3768" s="25"/>
      <c r="H3768" s="25"/>
      <c r="I3768" s="25"/>
      <c r="J3768" s="25"/>
    </row>
    <row r="3769" spans="1:10" ht="14.4">
      <c r="A3769" s="25"/>
      <c r="B3769" s="25"/>
      <c r="C3769" s="25"/>
      <c r="D3769" s="25"/>
      <c r="E3769" s="25"/>
      <c r="F3769" s="25"/>
      <c r="G3769" s="25"/>
      <c r="H3769" s="25"/>
      <c r="I3769" s="25"/>
      <c r="J3769" s="25"/>
    </row>
    <row r="3770" spans="1:10" ht="14.4">
      <c r="A3770" s="25"/>
      <c r="B3770" s="25"/>
      <c r="C3770" s="25"/>
      <c r="D3770" s="25"/>
      <c r="E3770" s="25"/>
      <c r="F3770" s="25"/>
      <c r="G3770" s="25"/>
      <c r="H3770" s="25"/>
      <c r="I3770" s="25"/>
      <c r="J3770" s="25"/>
    </row>
    <row r="3771" spans="1:10" ht="14.4">
      <c r="A3771" s="25"/>
      <c r="B3771" s="25"/>
      <c r="C3771" s="25"/>
      <c r="D3771" s="25"/>
      <c r="E3771" s="25"/>
      <c r="F3771" s="25"/>
      <c r="G3771" s="25"/>
      <c r="H3771" s="25"/>
      <c r="I3771" s="25"/>
      <c r="J3771" s="25"/>
    </row>
    <row r="3772" spans="1:10" ht="14.4">
      <c r="A3772" s="25"/>
      <c r="B3772" s="25"/>
      <c r="C3772" s="25"/>
      <c r="D3772" s="25"/>
      <c r="E3772" s="25"/>
      <c r="F3772" s="25"/>
      <c r="G3772" s="25"/>
      <c r="H3772" s="25"/>
      <c r="I3772" s="25"/>
      <c r="J3772" s="25"/>
    </row>
    <row r="3773" spans="1:10" ht="14.4">
      <c r="A3773" s="25"/>
      <c r="B3773" s="25"/>
      <c r="C3773" s="25"/>
      <c r="D3773" s="25"/>
      <c r="E3773" s="25"/>
      <c r="F3773" s="25"/>
      <c r="G3773" s="25"/>
      <c r="H3773" s="25"/>
      <c r="I3773" s="25"/>
      <c r="J3773" s="25"/>
    </row>
    <row r="3774" spans="1:10" ht="14.4">
      <c r="A3774" s="25"/>
      <c r="B3774" s="25"/>
      <c r="C3774" s="25"/>
      <c r="D3774" s="25"/>
      <c r="E3774" s="25"/>
      <c r="F3774" s="25"/>
      <c r="G3774" s="25"/>
      <c r="H3774" s="25"/>
      <c r="I3774" s="25"/>
      <c r="J3774" s="25"/>
    </row>
    <row r="3775" spans="1:10" ht="14.4">
      <c r="A3775" s="25"/>
      <c r="B3775" s="25"/>
      <c r="C3775" s="25"/>
      <c r="D3775" s="25"/>
      <c r="E3775" s="25"/>
      <c r="F3775" s="25"/>
      <c r="G3775" s="25"/>
      <c r="H3775" s="25"/>
      <c r="I3775" s="25"/>
      <c r="J3775" s="25"/>
    </row>
    <row r="3776" spans="1:10" ht="14.4">
      <c r="A3776" s="25"/>
      <c r="B3776" s="25"/>
      <c r="C3776" s="25"/>
      <c r="D3776" s="25"/>
      <c r="E3776" s="25"/>
      <c r="F3776" s="25"/>
      <c r="G3776" s="25"/>
      <c r="H3776" s="25"/>
      <c r="I3776" s="25"/>
      <c r="J3776" s="25"/>
    </row>
    <row r="3777" spans="1:10" ht="14.4">
      <c r="A3777" s="25"/>
      <c r="B3777" s="25"/>
      <c r="C3777" s="25"/>
      <c r="D3777" s="25"/>
      <c r="E3777" s="25"/>
      <c r="F3777" s="25"/>
      <c r="G3777" s="25"/>
      <c r="H3777" s="25"/>
      <c r="I3777" s="25"/>
      <c r="J3777" s="25"/>
    </row>
    <row r="3778" spans="1:10" ht="14.4">
      <c r="A3778" s="25"/>
      <c r="B3778" s="25"/>
      <c r="C3778" s="25"/>
      <c r="D3778" s="25"/>
      <c r="E3778" s="25"/>
      <c r="F3778" s="25"/>
      <c r="G3778" s="25"/>
      <c r="H3778" s="25"/>
      <c r="I3778" s="25"/>
      <c r="J3778" s="25"/>
    </row>
    <row r="3779" spans="1:10" ht="14.4">
      <c r="A3779" s="25"/>
      <c r="B3779" s="25"/>
      <c r="C3779" s="25"/>
      <c r="D3779" s="25"/>
      <c r="E3779" s="25"/>
      <c r="F3779" s="25"/>
      <c r="G3779" s="25"/>
      <c r="H3779" s="25"/>
      <c r="I3779" s="25"/>
      <c r="J3779" s="25"/>
    </row>
    <row r="3780" spans="1:10" ht="14.4">
      <c r="A3780" s="25"/>
      <c r="B3780" s="25"/>
      <c r="C3780" s="25"/>
      <c r="D3780" s="25"/>
      <c r="E3780" s="25"/>
      <c r="F3780" s="25"/>
      <c r="G3780" s="25"/>
      <c r="H3780" s="25"/>
      <c r="I3780" s="25"/>
      <c r="J3780" s="25"/>
    </row>
    <row r="3781" spans="1:10" ht="14.4">
      <c r="A3781" s="25"/>
      <c r="B3781" s="25"/>
      <c r="C3781" s="25"/>
      <c r="D3781" s="25"/>
      <c r="E3781" s="25"/>
      <c r="F3781" s="25"/>
      <c r="G3781" s="25"/>
      <c r="H3781" s="25"/>
      <c r="I3781" s="25"/>
      <c r="J3781" s="25"/>
    </row>
    <row r="3782" spans="1:10" ht="14.4">
      <c r="A3782" s="25"/>
      <c r="B3782" s="25"/>
      <c r="C3782" s="25"/>
      <c r="D3782" s="25"/>
      <c r="E3782" s="25"/>
      <c r="F3782" s="25"/>
      <c r="G3782" s="25"/>
      <c r="H3782" s="25"/>
      <c r="I3782" s="25"/>
      <c r="J3782" s="25"/>
    </row>
    <row r="3783" spans="1:10" ht="14.4">
      <c r="A3783" s="25"/>
      <c r="B3783" s="25"/>
      <c r="C3783" s="25"/>
      <c r="D3783" s="25"/>
      <c r="E3783" s="25"/>
      <c r="F3783" s="25"/>
      <c r="G3783" s="25"/>
      <c r="H3783" s="25"/>
      <c r="I3783" s="25"/>
      <c r="J3783" s="25"/>
    </row>
    <row r="3784" spans="1:10" ht="14.4">
      <c r="A3784" s="25"/>
      <c r="B3784" s="25"/>
      <c r="C3784" s="25"/>
      <c r="D3784" s="25"/>
      <c r="E3784" s="25"/>
      <c r="F3784" s="25"/>
      <c r="G3784" s="25"/>
      <c r="H3784" s="25"/>
      <c r="I3784" s="25"/>
      <c r="J3784" s="25"/>
    </row>
    <row r="3785" spans="1:10" ht="14.4">
      <c r="A3785" s="25"/>
      <c r="B3785" s="25"/>
      <c r="C3785" s="25"/>
      <c r="D3785" s="25"/>
      <c r="E3785" s="25"/>
      <c r="F3785" s="25"/>
      <c r="G3785" s="25"/>
      <c r="H3785" s="25"/>
      <c r="I3785" s="25"/>
      <c r="J3785" s="25"/>
    </row>
    <row r="3786" spans="1:10" ht="14.4">
      <c r="A3786" s="25"/>
      <c r="B3786" s="25"/>
      <c r="C3786" s="25"/>
      <c r="D3786" s="25"/>
      <c r="E3786" s="25"/>
      <c r="F3786" s="25"/>
      <c r="G3786" s="25"/>
      <c r="H3786" s="25"/>
      <c r="I3786" s="25"/>
      <c r="J3786" s="25"/>
    </row>
    <row r="3787" spans="1:10" ht="14.4">
      <c r="A3787" s="25"/>
      <c r="B3787" s="25"/>
      <c r="C3787" s="25"/>
      <c r="D3787" s="25"/>
      <c r="E3787" s="25"/>
      <c r="F3787" s="25"/>
      <c r="G3787" s="25"/>
      <c r="H3787" s="25"/>
      <c r="I3787" s="25"/>
      <c r="J3787" s="25"/>
    </row>
    <row r="3788" spans="1:10" ht="14.4">
      <c r="A3788" s="25"/>
      <c r="B3788" s="25"/>
      <c r="C3788" s="25"/>
      <c r="D3788" s="25"/>
      <c r="E3788" s="25"/>
      <c r="F3788" s="25"/>
      <c r="G3788" s="25"/>
      <c r="H3788" s="25"/>
      <c r="I3788" s="25"/>
      <c r="J3788" s="25"/>
    </row>
    <row r="3789" spans="1:10" ht="14.4">
      <c r="A3789" s="25"/>
      <c r="B3789" s="25"/>
      <c r="C3789" s="25"/>
      <c r="D3789" s="25"/>
      <c r="E3789" s="25"/>
      <c r="F3789" s="25"/>
      <c r="G3789" s="25"/>
      <c r="H3789" s="25"/>
      <c r="I3789" s="25"/>
      <c r="J3789" s="25"/>
    </row>
    <row r="3790" spans="1:10" ht="14.4">
      <c r="A3790" s="25"/>
      <c r="B3790" s="25"/>
      <c r="C3790" s="25"/>
      <c r="D3790" s="25"/>
      <c r="E3790" s="25"/>
      <c r="F3790" s="25"/>
      <c r="G3790" s="25"/>
      <c r="H3790" s="25"/>
      <c r="I3790" s="25"/>
      <c r="J3790" s="25"/>
    </row>
    <row r="3791" spans="1:10" ht="14.4">
      <c r="A3791" s="25"/>
      <c r="B3791" s="25"/>
      <c r="C3791" s="25"/>
      <c r="D3791" s="25"/>
      <c r="E3791" s="25"/>
      <c r="F3791" s="25"/>
      <c r="G3791" s="25"/>
      <c r="H3791" s="25"/>
      <c r="I3791" s="25"/>
      <c r="J3791" s="25"/>
    </row>
    <row r="3792" spans="1:10" ht="14.4">
      <c r="A3792" s="25"/>
      <c r="B3792" s="25"/>
      <c r="C3792" s="25"/>
      <c r="D3792" s="25"/>
      <c r="E3792" s="25"/>
      <c r="F3792" s="25"/>
      <c r="G3792" s="25"/>
      <c r="H3792" s="25"/>
      <c r="I3792" s="25"/>
      <c r="J3792" s="25"/>
    </row>
    <row r="3793" spans="1:10" ht="14.4">
      <c r="A3793" s="25"/>
      <c r="B3793" s="25"/>
      <c r="C3793" s="25"/>
      <c r="D3793" s="25"/>
      <c r="E3793" s="25"/>
      <c r="F3793" s="25"/>
      <c r="G3793" s="25"/>
      <c r="H3793" s="25"/>
      <c r="I3793" s="25"/>
      <c r="J3793" s="25"/>
    </row>
    <row r="3794" spans="1:10" ht="14.4">
      <c r="A3794" s="25"/>
      <c r="B3794" s="25"/>
      <c r="C3794" s="25"/>
      <c r="D3794" s="25"/>
      <c r="E3794" s="25"/>
      <c r="F3794" s="25"/>
      <c r="G3794" s="25"/>
      <c r="H3794" s="25"/>
      <c r="I3794" s="25"/>
      <c r="J3794" s="25"/>
    </row>
    <row r="3795" spans="1:10" ht="14.4">
      <c r="A3795" s="25"/>
      <c r="B3795" s="25"/>
      <c r="C3795" s="25"/>
      <c r="D3795" s="25"/>
      <c r="E3795" s="25"/>
      <c r="F3795" s="25"/>
      <c r="G3795" s="25"/>
      <c r="H3795" s="25"/>
      <c r="I3795" s="25"/>
      <c r="J3795" s="25"/>
    </row>
    <row r="3796" spans="1:10" ht="14.4">
      <c r="A3796" s="25"/>
      <c r="B3796" s="25"/>
      <c r="C3796" s="25"/>
      <c r="D3796" s="25"/>
      <c r="E3796" s="25"/>
      <c r="F3796" s="25"/>
      <c r="G3796" s="25"/>
      <c r="H3796" s="25"/>
      <c r="I3796" s="25"/>
      <c r="J3796" s="25"/>
    </row>
    <row r="3797" spans="1:10" ht="14.4">
      <c r="A3797" s="25"/>
      <c r="B3797" s="25"/>
      <c r="C3797" s="25"/>
      <c r="D3797" s="25"/>
      <c r="E3797" s="25"/>
      <c r="F3797" s="25"/>
      <c r="G3797" s="25"/>
      <c r="H3797" s="25"/>
      <c r="I3797" s="25"/>
      <c r="J3797" s="25"/>
    </row>
    <row r="3798" spans="1:10" ht="14.4">
      <c r="A3798" s="25"/>
      <c r="B3798" s="25"/>
      <c r="C3798" s="25"/>
      <c r="D3798" s="25"/>
      <c r="E3798" s="25"/>
      <c r="F3798" s="25"/>
      <c r="G3798" s="25"/>
      <c r="H3798" s="25"/>
      <c r="I3798" s="25"/>
      <c r="J3798" s="25"/>
    </row>
    <row r="3799" spans="1:10" ht="14.4">
      <c r="A3799" s="25"/>
      <c r="B3799" s="25"/>
      <c r="C3799" s="25"/>
      <c r="D3799" s="25"/>
      <c r="E3799" s="25"/>
      <c r="F3799" s="25"/>
      <c r="G3799" s="25"/>
      <c r="H3799" s="25"/>
      <c r="I3799" s="25"/>
      <c r="J3799" s="25"/>
    </row>
    <row r="3800" spans="1:10" ht="14.4">
      <c r="A3800" s="25"/>
      <c r="B3800" s="25"/>
      <c r="C3800" s="25"/>
      <c r="D3800" s="25"/>
      <c r="E3800" s="25"/>
      <c r="F3800" s="25"/>
      <c r="G3800" s="25"/>
      <c r="H3800" s="25"/>
      <c r="I3800" s="25"/>
      <c r="J3800" s="25"/>
    </row>
    <row r="3801" spans="1:10" ht="14.4">
      <c r="A3801" s="25"/>
      <c r="B3801" s="25"/>
      <c r="C3801" s="25"/>
      <c r="D3801" s="25"/>
      <c r="E3801" s="25"/>
      <c r="F3801" s="25"/>
      <c r="G3801" s="25"/>
      <c r="H3801" s="25"/>
      <c r="I3801" s="25"/>
      <c r="J3801" s="25"/>
    </row>
    <row r="3802" spans="1:10" ht="14.4">
      <c r="A3802" s="25"/>
      <c r="B3802" s="25"/>
      <c r="C3802" s="25"/>
      <c r="D3802" s="25"/>
      <c r="E3802" s="25"/>
      <c r="F3802" s="25"/>
      <c r="G3802" s="25"/>
      <c r="H3802" s="25"/>
      <c r="I3802" s="25"/>
      <c r="J3802" s="25"/>
    </row>
    <row r="3803" spans="1:10" ht="14.4">
      <c r="A3803" s="25"/>
      <c r="B3803" s="25"/>
      <c r="C3803" s="25"/>
      <c r="D3803" s="25"/>
      <c r="E3803" s="25"/>
      <c r="F3803" s="25"/>
      <c r="G3803" s="25"/>
      <c r="H3803" s="25"/>
      <c r="I3803" s="25"/>
      <c r="J3803" s="25"/>
    </row>
    <row r="3804" spans="1:10" ht="14.4">
      <c r="A3804" s="25"/>
      <c r="B3804" s="25"/>
      <c r="C3804" s="25"/>
      <c r="D3804" s="25"/>
      <c r="E3804" s="25"/>
      <c r="F3804" s="25"/>
      <c r="G3804" s="25"/>
      <c r="H3804" s="25"/>
      <c r="I3804" s="25"/>
      <c r="J3804" s="25"/>
    </row>
    <row r="3805" spans="1:10" ht="14.4">
      <c r="A3805" s="25"/>
      <c r="B3805" s="25"/>
      <c r="C3805" s="25"/>
      <c r="D3805" s="25"/>
      <c r="E3805" s="25"/>
      <c r="F3805" s="25"/>
      <c r="G3805" s="25"/>
      <c r="H3805" s="25"/>
      <c r="I3805" s="25"/>
      <c r="J3805" s="25"/>
    </row>
    <row r="3806" spans="1:10" ht="14.4">
      <c r="A3806" s="25"/>
      <c r="B3806" s="25"/>
      <c r="C3806" s="25"/>
      <c r="D3806" s="25"/>
      <c r="E3806" s="25"/>
      <c r="F3806" s="25"/>
      <c r="G3806" s="25"/>
      <c r="H3806" s="25"/>
      <c r="I3806" s="25"/>
      <c r="J3806" s="25"/>
    </row>
    <row r="3807" spans="1:10" ht="14.4">
      <c r="A3807" s="25"/>
      <c r="B3807" s="25"/>
      <c r="C3807" s="25"/>
      <c r="D3807" s="25"/>
      <c r="E3807" s="25"/>
      <c r="F3807" s="25"/>
      <c r="G3807" s="25"/>
      <c r="H3807" s="25"/>
      <c r="I3807" s="25"/>
      <c r="J3807" s="25"/>
    </row>
    <row r="3808" spans="1:10" ht="14.4">
      <c r="A3808" s="25"/>
      <c r="B3808" s="25"/>
      <c r="C3808" s="25"/>
      <c r="D3808" s="25"/>
      <c r="E3808" s="25"/>
      <c r="F3808" s="25"/>
      <c r="G3808" s="25"/>
      <c r="H3808" s="25"/>
      <c r="I3808" s="25"/>
      <c r="J3808" s="25"/>
    </row>
    <row r="3809" spans="1:10" ht="14.4">
      <c r="A3809" s="25"/>
      <c r="B3809" s="25"/>
      <c r="C3809" s="25"/>
      <c r="D3809" s="25"/>
      <c r="E3809" s="25"/>
      <c r="F3809" s="25"/>
      <c r="G3809" s="25"/>
      <c r="H3809" s="25"/>
      <c r="I3809" s="25"/>
      <c r="J3809" s="25"/>
    </row>
    <row r="3810" spans="1:10" ht="14.4">
      <c r="A3810" s="25"/>
      <c r="B3810" s="25"/>
      <c r="C3810" s="25"/>
      <c r="D3810" s="25"/>
      <c r="E3810" s="25"/>
      <c r="F3810" s="25"/>
      <c r="G3810" s="25"/>
      <c r="H3810" s="25"/>
      <c r="I3810" s="25"/>
      <c r="J3810" s="25"/>
    </row>
    <row r="3811" spans="1:10" ht="14.4">
      <c r="A3811" s="25"/>
      <c r="B3811" s="25"/>
      <c r="C3811" s="25"/>
      <c r="D3811" s="25"/>
      <c r="E3811" s="25"/>
      <c r="F3811" s="25"/>
      <c r="G3811" s="25"/>
      <c r="H3811" s="25"/>
      <c r="I3811" s="25"/>
      <c r="J3811" s="25"/>
    </row>
    <row r="3812" spans="1:10" ht="14.4">
      <c r="A3812" s="25"/>
      <c r="B3812" s="25"/>
      <c r="C3812" s="25"/>
      <c r="D3812" s="25"/>
      <c r="E3812" s="25"/>
      <c r="F3812" s="25"/>
      <c r="G3812" s="25"/>
      <c r="H3812" s="25"/>
      <c r="I3812" s="25"/>
      <c r="J3812" s="25"/>
    </row>
    <row r="3813" spans="1:10" ht="14.4">
      <c r="A3813" s="25"/>
      <c r="B3813" s="25"/>
      <c r="C3813" s="25"/>
      <c r="D3813" s="25"/>
      <c r="E3813" s="25"/>
      <c r="F3813" s="25"/>
      <c r="G3813" s="25"/>
      <c r="H3813" s="25"/>
      <c r="I3813" s="25"/>
      <c r="J3813" s="25"/>
    </row>
    <row r="3814" spans="1:10" ht="14.4">
      <c r="A3814" s="25"/>
      <c r="B3814" s="25"/>
      <c r="C3814" s="25"/>
      <c r="D3814" s="25"/>
      <c r="E3814" s="25"/>
      <c r="F3814" s="25"/>
      <c r="G3814" s="25"/>
      <c r="H3814" s="25"/>
      <c r="I3814" s="25"/>
      <c r="J3814" s="25"/>
    </row>
    <row r="3815" spans="1:10" ht="14.4">
      <c r="A3815" s="25"/>
      <c r="B3815" s="25"/>
      <c r="C3815" s="25"/>
      <c r="D3815" s="25"/>
      <c r="E3815" s="25"/>
      <c r="F3815" s="25"/>
      <c r="G3815" s="25"/>
      <c r="H3815" s="25"/>
      <c r="I3815" s="25"/>
      <c r="J3815" s="25"/>
    </row>
    <row r="3816" spans="1:10" ht="14.4">
      <c r="A3816" s="25"/>
      <c r="B3816" s="25"/>
      <c r="C3816" s="25"/>
      <c r="D3816" s="25"/>
      <c r="E3816" s="25"/>
      <c r="F3816" s="25"/>
      <c r="G3816" s="25"/>
      <c r="H3816" s="25"/>
      <c r="I3816" s="25"/>
      <c r="J3816" s="25"/>
    </row>
    <row r="3817" spans="1:10" ht="14.4">
      <c r="A3817" s="25"/>
      <c r="B3817" s="25"/>
      <c r="C3817" s="25"/>
      <c r="D3817" s="25"/>
      <c r="E3817" s="25"/>
      <c r="F3817" s="25"/>
      <c r="G3817" s="25"/>
      <c r="H3817" s="25"/>
      <c r="I3817" s="25"/>
      <c r="J3817" s="25"/>
    </row>
    <row r="3818" spans="1:10" ht="14.4">
      <c r="A3818" s="25"/>
      <c r="B3818" s="25"/>
      <c r="C3818" s="25"/>
      <c r="D3818" s="25"/>
      <c r="E3818" s="25"/>
      <c r="F3818" s="25"/>
      <c r="G3818" s="25"/>
      <c r="H3818" s="25"/>
      <c r="I3818" s="25"/>
      <c r="J3818" s="25"/>
    </row>
    <row r="3819" spans="1:10" ht="14.4">
      <c r="A3819" s="25"/>
      <c r="B3819" s="25"/>
      <c r="C3819" s="25"/>
      <c r="D3819" s="25"/>
      <c r="E3819" s="25"/>
      <c r="F3819" s="25"/>
      <c r="G3819" s="25"/>
      <c r="H3819" s="25"/>
      <c r="I3819" s="25"/>
      <c r="J3819" s="25"/>
    </row>
    <row r="3820" spans="1:10" ht="14.4">
      <c r="A3820" s="25"/>
      <c r="B3820" s="25"/>
      <c r="C3820" s="25"/>
      <c r="D3820" s="25"/>
      <c r="E3820" s="25"/>
      <c r="F3820" s="25"/>
      <c r="G3820" s="25"/>
      <c r="H3820" s="25"/>
      <c r="I3820" s="25"/>
      <c r="J3820" s="25"/>
    </row>
    <row r="3821" spans="1:10" ht="14.4">
      <c r="A3821" s="25"/>
      <c r="B3821" s="25"/>
      <c r="C3821" s="25"/>
      <c r="D3821" s="25"/>
      <c r="E3821" s="25"/>
      <c r="F3821" s="25"/>
      <c r="G3821" s="25"/>
      <c r="H3821" s="25"/>
      <c r="I3821" s="25"/>
      <c r="J3821" s="25"/>
    </row>
    <row r="3822" spans="1:10" ht="14.4">
      <c r="A3822" s="25"/>
      <c r="B3822" s="25"/>
      <c r="C3822" s="25"/>
      <c r="D3822" s="25"/>
      <c r="E3822" s="25"/>
      <c r="F3822" s="25"/>
      <c r="G3822" s="25"/>
      <c r="H3822" s="25"/>
      <c r="I3822" s="25"/>
      <c r="J3822" s="25"/>
    </row>
    <row r="3823" spans="1:10" ht="14.4">
      <c r="A3823" s="25"/>
      <c r="B3823" s="25"/>
      <c r="C3823" s="25"/>
      <c r="D3823" s="25"/>
      <c r="E3823" s="25"/>
      <c r="F3823" s="25"/>
      <c r="G3823" s="25"/>
      <c r="H3823" s="25"/>
      <c r="I3823" s="25"/>
      <c r="J3823" s="25"/>
    </row>
    <row r="3824" spans="1:10" ht="14.4">
      <c r="A3824" s="25"/>
      <c r="B3824" s="25"/>
      <c r="C3824" s="25"/>
      <c r="D3824" s="25"/>
      <c r="E3824" s="25"/>
      <c r="F3824" s="25"/>
      <c r="G3824" s="25"/>
      <c r="H3824" s="25"/>
      <c r="I3824" s="25"/>
      <c r="J3824" s="25"/>
    </row>
    <row r="3825" spans="1:10" ht="14.4">
      <c r="A3825" s="25"/>
      <c r="B3825" s="25"/>
      <c r="C3825" s="25"/>
      <c r="D3825" s="25"/>
      <c r="E3825" s="25"/>
      <c r="F3825" s="25"/>
      <c r="G3825" s="25"/>
      <c r="H3825" s="25"/>
      <c r="I3825" s="25"/>
      <c r="J3825" s="25"/>
    </row>
    <row r="3826" spans="1:10" ht="14.4">
      <c r="A3826" s="25"/>
      <c r="B3826" s="25"/>
      <c r="C3826" s="25"/>
      <c r="D3826" s="25"/>
      <c r="E3826" s="25"/>
      <c r="F3826" s="25"/>
      <c r="G3826" s="25"/>
      <c r="H3826" s="25"/>
      <c r="I3826" s="25"/>
      <c r="J3826" s="25"/>
    </row>
    <row r="3827" spans="1:10" ht="14.4">
      <c r="A3827" s="25"/>
      <c r="B3827" s="25"/>
      <c r="C3827" s="25"/>
      <c r="D3827" s="25"/>
      <c r="E3827" s="25"/>
      <c r="F3827" s="25"/>
      <c r="G3827" s="25"/>
      <c r="H3827" s="25"/>
      <c r="I3827" s="25"/>
      <c r="J3827" s="25"/>
    </row>
    <row r="3828" spans="1:10" ht="14.4">
      <c r="A3828" s="25"/>
      <c r="B3828" s="25"/>
      <c r="C3828" s="25"/>
      <c r="D3828" s="25"/>
      <c r="E3828" s="25"/>
      <c r="F3828" s="25"/>
      <c r="G3828" s="25"/>
      <c r="H3828" s="25"/>
      <c r="I3828" s="25"/>
      <c r="J3828" s="25"/>
    </row>
    <row r="3829" spans="1:10" ht="14.4">
      <c r="A3829" s="25"/>
      <c r="B3829" s="25"/>
      <c r="C3829" s="25"/>
      <c r="D3829" s="25"/>
      <c r="E3829" s="25"/>
      <c r="F3829" s="25"/>
      <c r="G3829" s="25"/>
      <c r="H3829" s="25"/>
      <c r="I3829" s="25"/>
      <c r="J3829" s="25"/>
    </row>
    <row r="3830" spans="1:10" ht="14.4">
      <c r="A3830" s="25"/>
      <c r="B3830" s="25"/>
      <c r="C3830" s="25"/>
      <c r="D3830" s="25"/>
      <c r="E3830" s="25"/>
      <c r="F3830" s="25"/>
      <c r="G3830" s="25"/>
      <c r="H3830" s="25"/>
      <c r="I3830" s="25"/>
      <c r="J3830" s="25"/>
    </row>
    <row r="3831" spans="1:10" ht="14.4">
      <c r="A3831" s="25"/>
      <c r="B3831" s="25"/>
      <c r="C3831" s="25"/>
      <c r="D3831" s="25"/>
      <c r="E3831" s="25"/>
      <c r="F3831" s="25"/>
      <c r="G3831" s="25"/>
      <c r="H3831" s="25"/>
      <c r="I3831" s="25"/>
      <c r="J3831" s="25"/>
    </row>
    <row r="3832" spans="1:10" ht="14.4">
      <c r="A3832" s="25"/>
      <c r="B3832" s="25"/>
      <c r="C3832" s="25"/>
      <c r="D3832" s="25"/>
      <c r="E3832" s="25"/>
      <c r="F3832" s="25"/>
      <c r="G3832" s="25"/>
      <c r="H3832" s="25"/>
      <c r="I3832" s="25"/>
      <c r="J3832" s="25"/>
    </row>
    <row r="3833" spans="1:10" ht="14.4">
      <c r="A3833" s="25"/>
      <c r="B3833" s="25"/>
      <c r="C3833" s="25"/>
      <c r="D3833" s="25"/>
      <c r="E3833" s="25"/>
      <c r="F3833" s="25"/>
      <c r="G3833" s="25"/>
      <c r="H3833" s="25"/>
      <c r="I3833" s="25"/>
      <c r="J3833" s="25"/>
    </row>
    <row r="3834" spans="1:10" ht="14.4">
      <c r="A3834" s="25"/>
      <c r="B3834" s="25"/>
      <c r="C3834" s="25"/>
      <c r="D3834" s="25"/>
      <c r="E3834" s="25"/>
      <c r="F3834" s="25"/>
      <c r="G3834" s="25"/>
      <c r="H3834" s="25"/>
      <c r="I3834" s="25"/>
      <c r="J3834" s="25"/>
    </row>
    <row r="3835" spans="1:10" ht="14.4">
      <c r="A3835" s="25"/>
      <c r="B3835" s="25"/>
      <c r="C3835" s="25"/>
      <c r="D3835" s="25"/>
      <c r="E3835" s="25"/>
      <c r="F3835" s="25"/>
      <c r="G3835" s="25"/>
      <c r="H3835" s="25"/>
      <c r="I3835" s="25"/>
      <c r="J3835" s="25"/>
    </row>
    <row r="3836" spans="1:10" ht="14.4">
      <c r="A3836" s="25"/>
      <c r="B3836" s="25"/>
      <c r="C3836" s="25"/>
      <c r="D3836" s="25"/>
      <c r="E3836" s="25"/>
      <c r="F3836" s="25"/>
      <c r="G3836" s="25"/>
      <c r="H3836" s="25"/>
      <c r="I3836" s="25"/>
      <c r="J3836" s="25"/>
    </row>
    <row r="3837" spans="1:10" ht="14.4">
      <c r="A3837" s="25"/>
      <c r="B3837" s="25"/>
      <c r="C3837" s="25"/>
      <c r="D3837" s="25"/>
      <c r="E3837" s="25"/>
      <c r="F3837" s="25"/>
      <c r="G3837" s="25"/>
      <c r="H3837" s="25"/>
      <c r="I3837" s="25"/>
      <c r="J3837" s="25"/>
    </row>
    <row r="3838" spans="1:10" ht="14.4">
      <c r="A3838" s="25"/>
      <c r="B3838" s="25"/>
      <c r="C3838" s="25"/>
      <c r="D3838" s="25"/>
      <c r="E3838" s="25"/>
      <c r="F3838" s="25"/>
      <c r="G3838" s="25"/>
      <c r="H3838" s="25"/>
      <c r="I3838" s="25"/>
      <c r="J3838" s="25"/>
    </row>
    <row r="3839" spans="1:10" ht="14.4">
      <c r="A3839" s="25"/>
      <c r="B3839" s="25"/>
      <c r="C3839" s="25"/>
      <c r="D3839" s="25"/>
      <c r="E3839" s="25"/>
      <c r="F3839" s="25"/>
      <c r="G3839" s="25"/>
      <c r="H3839" s="25"/>
      <c r="I3839" s="25"/>
      <c r="J3839" s="25"/>
    </row>
    <row r="3840" spans="1:10" ht="14.4">
      <c r="A3840" s="25"/>
      <c r="B3840" s="25"/>
      <c r="C3840" s="25"/>
      <c r="D3840" s="25"/>
      <c r="E3840" s="25"/>
      <c r="F3840" s="25"/>
      <c r="G3840" s="25"/>
      <c r="H3840" s="25"/>
      <c r="I3840" s="25"/>
      <c r="J3840" s="25"/>
    </row>
    <row r="3841" spans="1:10" ht="14.4">
      <c r="A3841" s="25"/>
      <c r="B3841" s="25"/>
      <c r="C3841" s="25"/>
      <c r="D3841" s="25"/>
      <c r="E3841" s="25"/>
      <c r="F3841" s="25"/>
      <c r="G3841" s="25"/>
      <c r="H3841" s="25"/>
      <c r="I3841" s="25"/>
      <c r="J3841" s="25"/>
    </row>
    <row r="3842" spans="1:10" ht="14.4">
      <c r="A3842" s="25"/>
      <c r="B3842" s="25"/>
      <c r="C3842" s="25"/>
      <c r="D3842" s="25"/>
      <c r="E3842" s="25"/>
      <c r="F3842" s="25"/>
      <c r="G3842" s="25"/>
      <c r="H3842" s="25"/>
      <c r="I3842" s="25"/>
      <c r="J3842" s="25"/>
    </row>
    <row r="3843" spans="1:10" ht="14.4">
      <c r="A3843" s="25"/>
      <c r="B3843" s="25"/>
      <c r="C3843" s="25"/>
      <c r="D3843" s="25"/>
      <c r="E3843" s="25"/>
      <c r="F3843" s="25"/>
      <c r="G3843" s="25"/>
      <c r="H3843" s="25"/>
      <c r="I3843" s="25"/>
      <c r="J3843" s="25"/>
    </row>
    <row r="3844" spans="1:10" ht="14.4">
      <c r="A3844" s="25"/>
      <c r="B3844" s="25"/>
      <c r="C3844" s="25"/>
      <c r="D3844" s="25"/>
      <c r="E3844" s="25"/>
      <c r="F3844" s="25"/>
      <c r="G3844" s="25"/>
      <c r="H3844" s="25"/>
      <c r="I3844" s="25"/>
      <c r="J3844" s="25"/>
    </row>
    <row r="3845" spans="1:10" ht="14.4">
      <c r="A3845" s="25"/>
      <c r="B3845" s="25"/>
      <c r="C3845" s="25"/>
      <c r="D3845" s="25"/>
      <c r="E3845" s="25"/>
      <c r="F3845" s="25"/>
      <c r="G3845" s="25"/>
      <c r="H3845" s="25"/>
      <c r="I3845" s="25"/>
      <c r="J3845" s="25"/>
    </row>
    <row r="3846" spans="1:10" ht="14.4">
      <c r="A3846" s="25"/>
      <c r="B3846" s="25"/>
      <c r="C3846" s="25"/>
      <c r="D3846" s="25"/>
      <c r="E3846" s="25"/>
      <c r="F3846" s="25"/>
      <c r="G3846" s="25"/>
      <c r="H3846" s="25"/>
      <c r="I3846" s="25"/>
      <c r="J3846" s="25"/>
    </row>
    <row r="3847" spans="1:10" ht="14.4">
      <c r="A3847" s="25"/>
      <c r="B3847" s="25"/>
      <c r="C3847" s="25"/>
      <c r="D3847" s="25"/>
      <c r="E3847" s="25"/>
      <c r="F3847" s="25"/>
      <c r="G3847" s="25"/>
      <c r="H3847" s="25"/>
      <c r="I3847" s="25"/>
      <c r="J3847" s="25"/>
    </row>
    <row r="3848" spans="1:10" ht="14.4">
      <c r="A3848" s="25"/>
      <c r="B3848" s="25"/>
      <c r="C3848" s="25"/>
      <c r="D3848" s="25"/>
      <c r="E3848" s="25"/>
      <c r="F3848" s="25"/>
      <c r="G3848" s="25"/>
      <c r="H3848" s="25"/>
      <c r="I3848" s="25"/>
      <c r="J3848" s="25"/>
    </row>
    <row r="3849" spans="1:10" ht="14.4">
      <c r="A3849" s="25"/>
      <c r="B3849" s="25"/>
      <c r="C3849" s="25"/>
      <c r="D3849" s="25"/>
      <c r="E3849" s="25"/>
      <c r="F3849" s="25"/>
      <c r="G3849" s="25"/>
      <c r="H3849" s="25"/>
      <c r="I3849" s="25"/>
      <c r="J3849" s="25"/>
    </row>
    <row r="3850" spans="1:10" ht="14.4">
      <c r="A3850" s="25"/>
      <c r="B3850" s="25"/>
      <c r="C3850" s="25"/>
      <c r="D3850" s="25"/>
      <c r="E3850" s="25"/>
      <c r="F3850" s="25"/>
      <c r="G3850" s="25"/>
      <c r="H3850" s="25"/>
      <c r="I3850" s="25"/>
      <c r="J3850" s="25"/>
    </row>
    <row r="3851" spans="1:10" ht="14.4">
      <c r="A3851" s="25"/>
      <c r="B3851" s="25"/>
      <c r="C3851" s="25"/>
      <c r="D3851" s="25"/>
      <c r="E3851" s="25"/>
      <c r="F3851" s="25"/>
      <c r="G3851" s="25"/>
      <c r="H3851" s="25"/>
      <c r="I3851" s="25"/>
      <c r="J3851" s="25"/>
    </row>
    <row r="3852" spans="1:10" ht="14.4">
      <c r="A3852" s="25"/>
      <c r="B3852" s="25"/>
      <c r="C3852" s="25"/>
      <c r="D3852" s="25"/>
      <c r="E3852" s="25"/>
      <c r="F3852" s="25"/>
      <c r="G3852" s="25"/>
      <c r="H3852" s="25"/>
      <c r="I3852" s="25"/>
      <c r="J3852" s="25"/>
    </row>
    <row r="3853" spans="1:10" ht="14.4">
      <c r="A3853" s="25"/>
      <c r="B3853" s="25"/>
      <c r="C3853" s="25"/>
      <c r="D3853" s="25"/>
      <c r="E3853" s="25"/>
      <c r="F3853" s="25"/>
      <c r="G3853" s="25"/>
      <c r="H3853" s="25"/>
      <c r="I3853" s="25"/>
      <c r="J3853" s="25"/>
    </row>
    <row r="3854" spans="1:10" ht="14.4">
      <c r="A3854" s="25"/>
      <c r="B3854" s="25"/>
      <c r="C3854" s="25"/>
      <c r="D3854" s="25"/>
      <c r="E3854" s="25"/>
      <c r="F3854" s="25"/>
      <c r="G3854" s="25"/>
      <c r="H3854" s="25"/>
      <c r="I3854" s="25"/>
      <c r="J3854" s="25"/>
    </row>
    <row r="3855" spans="1:10" ht="14.4">
      <c r="A3855" s="25"/>
      <c r="B3855" s="25"/>
      <c r="C3855" s="25"/>
      <c r="D3855" s="25"/>
      <c r="E3855" s="25"/>
      <c r="F3855" s="25"/>
      <c r="G3855" s="25"/>
      <c r="H3855" s="25"/>
      <c r="I3855" s="25"/>
      <c r="J3855" s="25"/>
    </row>
    <row r="3856" spans="1:10" ht="14.4">
      <c r="A3856" s="25"/>
      <c r="B3856" s="25"/>
      <c r="C3856" s="25"/>
      <c r="D3856" s="25"/>
      <c r="E3856" s="25"/>
      <c r="F3856" s="25"/>
      <c r="G3856" s="25"/>
      <c r="H3856" s="25"/>
      <c r="I3856" s="25"/>
      <c r="J3856" s="25"/>
    </row>
    <row r="3857" spans="1:10" ht="14.4">
      <c r="A3857" s="25"/>
      <c r="B3857" s="25"/>
      <c r="C3857" s="25"/>
      <c r="D3857" s="25"/>
      <c r="E3857" s="25"/>
      <c r="F3857" s="25"/>
      <c r="G3857" s="25"/>
      <c r="H3857" s="25"/>
      <c r="I3857" s="25"/>
      <c r="J3857" s="25"/>
    </row>
    <row r="3858" spans="1:10" ht="14.4">
      <c r="A3858" s="25"/>
      <c r="B3858" s="25"/>
      <c r="C3858" s="25"/>
      <c r="D3858" s="25"/>
      <c r="E3858" s="25"/>
      <c r="F3858" s="25"/>
      <c r="G3858" s="25"/>
      <c r="H3858" s="25"/>
      <c r="I3858" s="25"/>
      <c r="J3858" s="25"/>
    </row>
    <row r="3859" spans="1:10" ht="14.4">
      <c r="A3859" s="25"/>
      <c r="B3859" s="25"/>
      <c r="C3859" s="25"/>
      <c r="D3859" s="25"/>
      <c r="E3859" s="25"/>
      <c r="F3859" s="25"/>
      <c r="G3859" s="25"/>
      <c r="H3859" s="25"/>
      <c r="I3859" s="25"/>
      <c r="J3859" s="25"/>
    </row>
    <row r="3860" spans="1:10" ht="14.4">
      <c r="A3860" s="25"/>
      <c r="B3860" s="25"/>
      <c r="C3860" s="25"/>
      <c r="D3860" s="25"/>
      <c r="E3860" s="25"/>
      <c r="F3860" s="25"/>
      <c r="G3860" s="25"/>
      <c r="H3860" s="25"/>
      <c r="I3860" s="25"/>
      <c r="J3860" s="25"/>
    </row>
    <row r="3861" spans="1:10" ht="14.4">
      <c r="A3861" s="25"/>
      <c r="B3861" s="25"/>
      <c r="C3861" s="25"/>
      <c r="D3861" s="25"/>
      <c r="E3861" s="25"/>
      <c r="F3861" s="25"/>
      <c r="G3861" s="25"/>
      <c r="H3861" s="25"/>
      <c r="I3861" s="25"/>
      <c r="J3861" s="25"/>
    </row>
    <row r="3862" spans="1:10" ht="14.4">
      <c r="A3862" s="25"/>
      <c r="B3862" s="25"/>
      <c r="C3862" s="25"/>
      <c r="D3862" s="25"/>
      <c r="E3862" s="25"/>
      <c r="F3862" s="25"/>
      <c r="G3862" s="25"/>
      <c r="H3862" s="25"/>
      <c r="I3862" s="25"/>
      <c r="J3862" s="25"/>
    </row>
    <row r="3863" spans="1:10" ht="14.4">
      <c r="A3863" s="25"/>
      <c r="B3863" s="25"/>
      <c r="C3863" s="25"/>
      <c r="D3863" s="25"/>
      <c r="E3863" s="25"/>
      <c r="F3863" s="25"/>
      <c r="G3863" s="25"/>
      <c r="H3863" s="25"/>
      <c r="I3863" s="25"/>
      <c r="J3863" s="25"/>
    </row>
    <row r="3864" spans="1:10" ht="14.4">
      <c r="A3864" s="25"/>
      <c r="B3864" s="25"/>
      <c r="C3864" s="25"/>
      <c r="D3864" s="25"/>
      <c r="E3864" s="25"/>
      <c r="F3864" s="25"/>
      <c r="G3864" s="25"/>
      <c r="H3864" s="25"/>
      <c r="I3864" s="25"/>
      <c r="J3864" s="25"/>
    </row>
    <row r="3865" spans="1:10" ht="14.4">
      <c r="A3865" s="25"/>
      <c r="B3865" s="25"/>
      <c r="C3865" s="25"/>
      <c r="D3865" s="25"/>
      <c r="E3865" s="25"/>
      <c r="F3865" s="25"/>
      <c r="G3865" s="25"/>
      <c r="H3865" s="25"/>
      <c r="I3865" s="25"/>
      <c r="J3865" s="25"/>
    </row>
    <row r="3866" spans="1:10" ht="14.4">
      <c r="A3866" s="25"/>
      <c r="B3866" s="25"/>
      <c r="C3866" s="25"/>
      <c r="D3866" s="25"/>
      <c r="E3866" s="25"/>
      <c r="F3866" s="25"/>
      <c r="G3866" s="25"/>
      <c r="H3866" s="25"/>
      <c r="I3866" s="25"/>
      <c r="J3866" s="25"/>
    </row>
    <row r="3867" spans="1:10" ht="14.4">
      <c r="A3867" s="25"/>
      <c r="B3867" s="25"/>
      <c r="C3867" s="25"/>
      <c r="D3867" s="25"/>
      <c r="E3867" s="25"/>
      <c r="F3867" s="25"/>
      <c r="G3867" s="25"/>
      <c r="H3867" s="25"/>
      <c r="I3867" s="25"/>
      <c r="J3867" s="25"/>
    </row>
    <row r="3868" spans="1:10" ht="14.4">
      <c r="A3868" s="25"/>
      <c r="B3868" s="25"/>
      <c r="C3868" s="25"/>
      <c r="D3868" s="25"/>
      <c r="E3868" s="25"/>
      <c r="F3868" s="25"/>
      <c r="G3868" s="25"/>
      <c r="H3868" s="25"/>
      <c r="I3868" s="25"/>
      <c r="J3868" s="25"/>
    </row>
    <row r="3869" spans="1:10" ht="14.4">
      <c r="A3869" s="25"/>
      <c r="B3869" s="25"/>
      <c r="C3869" s="25"/>
      <c r="D3869" s="25"/>
      <c r="E3869" s="25"/>
      <c r="F3869" s="25"/>
      <c r="G3869" s="25"/>
      <c r="H3869" s="25"/>
      <c r="I3869" s="25"/>
      <c r="J3869" s="25"/>
    </row>
    <row r="3870" spans="1:10" ht="14.4">
      <c r="A3870" s="25"/>
      <c r="B3870" s="25"/>
      <c r="C3870" s="25"/>
      <c r="D3870" s="25"/>
      <c r="E3870" s="25"/>
      <c r="F3870" s="25"/>
      <c r="G3870" s="25"/>
      <c r="H3870" s="25"/>
      <c r="I3870" s="25"/>
      <c r="J3870" s="25"/>
    </row>
    <row r="3871" spans="1:10" ht="14.4">
      <c r="A3871" s="25"/>
      <c r="B3871" s="25"/>
      <c r="C3871" s="25"/>
      <c r="D3871" s="25"/>
      <c r="E3871" s="25"/>
      <c r="F3871" s="25"/>
      <c r="G3871" s="25"/>
      <c r="H3871" s="25"/>
      <c r="I3871" s="25"/>
      <c r="J3871" s="25"/>
    </row>
    <row r="3872" spans="1:10" ht="14.4">
      <c r="A3872" s="25"/>
      <c r="B3872" s="25"/>
      <c r="C3872" s="25"/>
      <c r="D3872" s="25"/>
      <c r="E3872" s="25"/>
      <c r="F3872" s="25"/>
      <c r="G3872" s="25"/>
      <c r="H3872" s="25"/>
      <c r="I3872" s="25"/>
      <c r="J3872" s="25"/>
    </row>
    <row r="3873" spans="1:10" ht="14.4">
      <c r="A3873" s="25"/>
      <c r="B3873" s="25"/>
      <c r="C3873" s="25"/>
      <c r="D3873" s="25"/>
      <c r="E3873" s="25"/>
      <c r="F3873" s="25"/>
      <c r="G3873" s="25"/>
      <c r="H3873" s="25"/>
      <c r="I3873" s="25"/>
      <c r="J3873" s="25"/>
    </row>
    <row r="3874" spans="1:10" ht="14.4">
      <c r="A3874" s="25"/>
      <c r="B3874" s="25"/>
      <c r="C3874" s="25"/>
      <c r="D3874" s="25"/>
      <c r="E3874" s="25"/>
      <c r="F3874" s="25"/>
      <c r="G3874" s="25"/>
      <c r="H3874" s="25"/>
      <c r="I3874" s="25"/>
      <c r="J3874" s="25"/>
    </row>
    <row r="3875" spans="1:10" ht="14.4">
      <c r="A3875" s="25"/>
      <c r="B3875" s="25"/>
      <c r="C3875" s="25"/>
      <c r="D3875" s="25"/>
      <c r="E3875" s="25"/>
      <c r="F3875" s="25"/>
      <c r="G3875" s="25"/>
      <c r="H3875" s="25"/>
      <c r="I3875" s="25"/>
      <c r="J3875" s="25"/>
    </row>
    <row r="3876" spans="1:10" ht="14.4">
      <c r="A3876" s="25"/>
      <c r="B3876" s="25"/>
      <c r="C3876" s="25"/>
      <c r="D3876" s="25"/>
      <c r="E3876" s="25"/>
      <c r="F3876" s="25"/>
      <c r="G3876" s="25"/>
      <c r="H3876" s="25"/>
      <c r="I3876" s="25"/>
      <c r="J3876" s="25"/>
    </row>
    <row r="3877" spans="1:10" ht="14.4">
      <c r="A3877" s="25"/>
      <c r="B3877" s="25"/>
      <c r="C3877" s="25"/>
      <c r="D3877" s="25"/>
      <c r="E3877" s="25"/>
      <c r="F3877" s="25"/>
      <c r="G3877" s="25"/>
      <c r="H3877" s="25"/>
      <c r="I3877" s="25"/>
      <c r="J3877" s="25"/>
    </row>
    <row r="3878" spans="1:10" ht="14.4">
      <c r="A3878" s="25"/>
      <c r="B3878" s="25"/>
      <c r="C3878" s="25"/>
      <c r="D3878" s="25"/>
      <c r="E3878" s="25"/>
      <c r="F3878" s="25"/>
      <c r="G3878" s="25"/>
      <c r="H3878" s="25"/>
      <c r="I3878" s="25"/>
      <c r="J3878" s="25"/>
    </row>
    <row r="3879" spans="1:10" ht="14.4">
      <c r="A3879" s="25"/>
      <c r="B3879" s="25"/>
      <c r="C3879" s="25"/>
      <c r="D3879" s="25"/>
      <c r="E3879" s="25"/>
      <c r="F3879" s="25"/>
      <c r="G3879" s="25"/>
      <c r="H3879" s="25"/>
      <c r="I3879" s="25"/>
      <c r="J3879" s="25"/>
    </row>
    <row r="3880" spans="1:10" ht="14.4">
      <c r="A3880" s="25"/>
      <c r="B3880" s="25"/>
      <c r="C3880" s="25"/>
      <c r="D3880" s="25"/>
      <c r="E3880" s="25"/>
      <c r="F3880" s="25"/>
      <c r="G3880" s="25"/>
      <c r="H3880" s="25"/>
      <c r="I3880" s="25"/>
      <c r="J3880" s="25"/>
    </row>
    <row r="3881" spans="1:10" ht="14.4">
      <c r="A3881" s="25"/>
      <c r="B3881" s="25"/>
      <c r="C3881" s="25"/>
      <c r="D3881" s="25"/>
      <c r="E3881" s="25"/>
      <c r="F3881" s="25"/>
      <c r="G3881" s="25"/>
      <c r="H3881" s="25"/>
      <c r="I3881" s="25"/>
      <c r="J3881" s="25"/>
    </row>
    <row r="3882" spans="1:10" ht="14.4">
      <c r="A3882" s="25"/>
      <c r="B3882" s="25"/>
      <c r="C3882" s="25"/>
      <c r="D3882" s="25"/>
      <c r="E3882" s="25"/>
      <c r="F3882" s="25"/>
      <c r="G3882" s="25"/>
      <c r="H3882" s="25"/>
      <c r="I3882" s="25"/>
      <c r="J3882" s="25"/>
    </row>
    <row r="3883" spans="1:10" ht="14.4">
      <c r="A3883" s="25"/>
      <c r="B3883" s="25"/>
      <c r="C3883" s="25"/>
      <c r="D3883" s="25"/>
      <c r="E3883" s="25"/>
      <c r="F3883" s="25"/>
      <c r="G3883" s="25"/>
      <c r="H3883" s="25"/>
      <c r="I3883" s="25"/>
      <c r="J3883" s="25"/>
    </row>
    <row r="3884" spans="1:10" ht="14.4">
      <c r="A3884" s="25"/>
      <c r="B3884" s="25"/>
      <c r="C3884" s="25"/>
      <c r="D3884" s="25"/>
      <c r="E3884" s="25"/>
      <c r="F3884" s="25"/>
      <c r="G3884" s="25"/>
      <c r="H3884" s="25"/>
      <c r="I3884" s="25"/>
      <c r="J3884" s="25"/>
    </row>
    <row r="3885" spans="1:10" ht="14.4">
      <c r="A3885" s="25"/>
      <c r="B3885" s="25"/>
      <c r="C3885" s="25"/>
      <c r="D3885" s="25"/>
      <c r="E3885" s="25"/>
      <c r="F3885" s="25"/>
      <c r="G3885" s="25"/>
      <c r="H3885" s="25"/>
      <c r="I3885" s="25"/>
      <c r="J3885" s="25"/>
    </row>
    <row r="3886" spans="1:10" ht="14.4">
      <c r="A3886" s="25"/>
      <c r="B3886" s="25"/>
      <c r="C3886" s="25"/>
      <c r="D3886" s="25"/>
      <c r="E3886" s="25"/>
      <c r="F3886" s="25"/>
      <c r="G3886" s="25"/>
      <c r="H3886" s="25"/>
      <c r="I3886" s="25"/>
      <c r="J3886" s="25"/>
    </row>
    <row r="3887" spans="1:10" ht="14.4">
      <c r="A3887" s="25"/>
      <c r="B3887" s="25"/>
      <c r="C3887" s="25"/>
      <c r="D3887" s="25"/>
      <c r="E3887" s="25"/>
      <c r="F3887" s="25"/>
      <c r="G3887" s="25"/>
      <c r="H3887" s="25"/>
      <c r="I3887" s="25"/>
      <c r="J3887" s="25"/>
    </row>
    <row r="3888" spans="1:10" ht="14.4">
      <c r="A3888" s="25"/>
      <c r="B3888" s="25"/>
      <c r="C3888" s="25"/>
      <c r="D3888" s="25"/>
      <c r="E3888" s="25"/>
      <c r="F3888" s="25"/>
      <c r="G3888" s="25"/>
      <c r="H3888" s="25"/>
      <c r="I3888" s="25"/>
      <c r="J3888" s="25"/>
    </row>
    <row r="3889" spans="1:10" ht="14.4">
      <c r="A3889" s="25"/>
      <c r="B3889" s="25"/>
      <c r="C3889" s="25"/>
      <c r="D3889" s="25"/>
      <c r="E3889" s="25"/>
      <c r="F3889" s="25"/>
      <c r="G3889" s="25"/>
      <c r="H3889" s="25"/>
      <c r="I3889" s="25"/>
      <c r="J3889" s="25"/>
    </row>
    <row r="3890" spans="1:10" ht="14.4">
      <c r="A3890" s="25"/>
      <c r="B3890" s="25"/>
      <c r="C3890" s="25"/>
      <c r="D3890" s="25"/>
      <c r="E3890" s="25"/>
      <c r="F3890" s="25"/>
      <c r="G3890" s="25"/>
      <c r="H3890" s="25"/>
      <c r="I3890" s="25"/>
      <c r="J3890" s="25"/>
    </row>
    <row r="3891" spans="1:10" ht="14.4">
      <c r="A3891" s="25"/>
      <c r="B3891" s="25"/>
      <c r="C3891" s="25"/>
      <c r="D3891" s="25"/>
      <c r="E3891" s="25"/>
      <c r="F3891" s="25"/>
      <c r="G3891" s="25"/>
      <c r="H3891" s="25"/>
      <c r="I3891" s="25"/>
      <c r="J3891" s="25"/>
    </row>
    <row r="3892" spans="1:10" ht="14.4">
      <c r="A3892" s="25"/>
      <c r="B3892" s="25"/>
      <c r="C3892" s="25"/>
      <c r="D3892" s="25"/>
      <c r="E3892" s="25"/>
      <c r="F3892" s="25"/>
      <c r="G3892" s="25"/>
      <c r="H3892" s="25"/>
      <c r="I3892" s="25"/>
      <c r="J3892" s="25"/>
    </row>
    <row r="3893" spans="1:10" ht="14.4">
      <c r="A3893" s="25"/>
      <c r="B3893" s="25"/>
      <c r="C3893" s="25"/>
      <c r="D3893" s="25"/>
      <c r="E3893" s="25"/>
      <c r="F3893" s="25"/>
      <c r="G3893" s="25"/>
      <c r="H3893" s="25"/>
      <c r="I3893" s="25"/>
      <c r="J3893" s="25"/>
    </row>
    <row r="3894" spans="1:10" ht="14.4">
      <c r="A3894" s="25"/>
      <c r="B3894" s="25"/>
      <c r="C3894" s="25"/>
      <c r="D3894" s="25"/>
      <c r="E3894" s="25"/>
      <c r="F3894" s="25"/>
      <c r="G3894" s="25"/>
      <c r="H3894" s="25"/>
      <c r="I3894" s="25"/>
      <c r="J3894" s="25"/>
    </row>
    <row r="3895" spans="1:10" ht="14.4">
      <c r="A3895" s="25"/>
      <c r="B3895" s="25"/>
      <c r="C3895" s="25"/>
      <c r="D3895" s="25"/>
      <c r="E3895" s="25"/>
      <c r="F3895" s="25"/>
      <c r="G3895" s="25"/>
      <c r="H3895" s="25"/>
      <c r="I3895" s="25"/>
      <c r="J3895" s="25"/>
    </row>
    <row r="3896" spans="1:10" ht="14.4">
      <c r="A3896" s="25"/>
      <c r="B3896" s="25"/>
      <c r="C3896" s="25"/>
      <c r="D3896" s="25"/>
      <c r="E3896" s="25"/>
      <c r="F3896" s="25"/>
      <c r="G3896" s="25"/>
      <c r="H3896" s="25"/>
      <c r="I3896" s="25"/>
      <c r="J3896" s="25"/>
    </row>
    <row r="3897" spans="1:10" ht="14.4">
      <c r="A3897" s="25"/>
      <c r="B3897" s="25"/>
      <c r="C3897" s="25"/>
      <c r="D3897" s="25"/>
      <c r="E3897" s="25"/>
      <c r="F3897" s="25"/>
      <c r="G3897" s="25"/>
      <c r="H3897" s="25"/>
      <c r="I3897" s="25"/>
      <c r="J3897" s="25"/>
    </row>
    <row r="3898" spans="1:10" ht="14.4">
      <c r="A3898" s="25"/>
      <c r="B3898" s="25"/>
      <c r="C3898" s="25"/>
      <c r="D3898" s="25"/>
      <c r="E3898" s="25"/>
      <c r="F3898" s="25"/>
      <c r="G3898" s="25"/>
      <c r="H3898" s="25"/>
      <c r="I3898" s="25"/>
      <c r="J3898" s="25"/>
    </row>
    <row r="3899" spans="1:10" ht="14.4">
      <c r="A3899" s="25"/>
      <c r="B3899" s="25"/>
      <c r="C3899" s="25"/>
      <c r="D3899" s="25"/>
      <c r="E3899" s="25"/>
      <c r="F3899" s="25"/>
      <c r="G3899" s="25"/>
      <c r="H3899" s="25"/>
      <c r="I3899" s="25"/>
      <c r="J3899" s="25"/>
    </row>
    <row r="3900" spans="1:10" ht="14.4">
      <c r="A3900" s="25"/>
      <c r="B3900" s="25"/>
      <c r="C3900" s="25"/>
      <c r="D3900" s="25"/>
      <c r="E3900" s="25"/>
      <c r="F3900" s="25"/>
      <c r="G3900" s="25"/>
      <c r="H3900" s="25"/>
      <c r="I3900" s="25"/>
      <c r="J3900" s="25"/>
    </row>
    <row r="3901" spans="1:10" ht="14.4">
      <c r="A3901" s="25"/>
      <c r="B3901" s="25"/>
      <c r="C3901" s="25"/>
      <c r="D3901" s="25"/>
      <c r="E3901" s="25"/>
      <c r="F3901" s="25"/>
      <c r="G3901" s="25"/>
      <c r="H3901" s="25"/>
      <c r="I3901" s="25"/>
      <c r="J3901" s="25"/>
    </row>
    <row r="3902" spans="1:10" ht="14.4">
      <c r="A3902" s="25"/>
      <c r="B3902" s="25"/>
      <c r="C3902" s="25"/>
      <c r="D3902" s="25"/>
      <c r="E3902" s="25"/>
      <c r="F3902" s="25"/>
      <c r="G3902" s="25"/>
      <c r="H3902" s="25"/>
      <c r="I3902" s="25"/>
      <c r="J3902" s="25"/>
    </row>
    <row r="3903" spans="1:10" ht="14.4">
      <c r="A3903" s="25"/>
      <c r="B3903" s="25"/>
      <c r="C3903" s="25"/>
      <c r="D3903" s="25"/>
      <c r="E3903" s="25"/>
      <c r="F3903" s="25"/>
      <c r="G3903" s="25"/>
      <c r="H3903" s="25"/>
      <c r="I3903" s="25"/>
      <c r="J3903" s="25"/>
    </row>
    <row r="3904" spans="1:10" ht="14.4">
      <c r="A3904" s="25"/>
      <c r="B3904" s="25"/>
      <c r="C3904" s="25"/>
      <c r="D3904" s="25"/>
      <c r="E3904" s="25"/>
      <c r="F3904" s="25"/>
      <c r="G3904" s="25"/>
      <c r="H3904" s="25"/>
      <c r="I3904" s="25"/>
      <c r="J3904" s="25"/>
    </row>
    <row r="3905" spans="1:10" ht="14.4">
      <c r="A3905" s="25"/>
      <c r="B3905" s="25"/>
      <c r="C3905" s="25"/>
      <c r="D3905" s="25"/>
      <c r="E3905" s="25"/>
      <c r="F3905" s="25"/>
      <c r="G3905" s="25"/>
      <c r="H3905" s="25"/>
      <c r="I3905" s="25"/>
      <c r="J3905" s="25"/>
    </row>
    <row r="3906" spans="1:10" ht="14.4">
      <c r="A3906" s="25"/>
      <c r="B3906" s="25"/>
      <c r="C3906" s="25"/>
      <c r="D3906" s="25"/>
      <c r="E3906" s="25"/>
      <c r="F3906" s="25"/>
      <c r="G3906" s="25"/>
      <c r="H3906" s="25"/>
      <c r="I3906" s="25"/>
      <c r="J3906" s="25"/>
    </row>
    <row r="3907" spans="1:10" ht="14.4">
      <c r="A3907" s="25"/>
      <c r="B3907" s="25"/>
      <c r="C3907" s="25"/>
      <c r="D3907" s="25"/>
      <c r="E3907" s="25"/>
      <c r="F3907" s="25"/>
      <c r="G3907" s="25"/>
      <c r="H3907" s="25"/>
      <c r="I3907" s="25"/>
      <c r="J3907" s="25"/>
    </row>
    <row r="3908" spans="1:10" ht="14.4">
      <c r="A3908" s="25"/>
      <c r="B3908" s="25"/>
      <c r="C3908" s="25"/>
      <c r="D3908" s="25"/>
      <c r="E3908" s="25"/>
      <c r="F3908" s="25"/>
      <c r="G3908" s="25"/>
      <c r="H3908" s="25"/>
      <c r="I3908" s="25"/>
      <c r="J3908" s="25"/>
    </row>
    <row r="3909" spans="1:10" ht="14.4">
      <c r="A3909" s="25"/>
      <c r="B3909" s="25"/>
      <c r="C3909" s="25"/>
      <c r="D3909" s="25"/>
      <c r="E3909" s="25"/>
      <c r="F3909" s="25"/>
      <c r="G3909" s="25"/>
      <c r="H3909" s="25"/>
      <c r="I3909" s="25"/>
      <c r="J3909" s="25"/>
    </row>
    <row r="3910" spans="1:10" ht="14.4">
      <c r="A3910" s="25"/>
      <c r="B3910" s="25"/>
      <c r="C3910" s="25"/>
      <c r="D3910" s="25"/>
      <c r="E3910" s="25"/>
      <c r="F3910" s="25"/>
      <c r="G3910" s="25"/>
      <c r="H3910" s="25"/>
      <c r="I3910" s="25"/>
      <c r="J3910" s="25"/>
    </row>
    <row r="3911" spans="1:10" ht="14.4">
      <c r="A3911" s="25"/>
      <c r="B3911" s="25"/>
      <c r="C3911" s="25"/>
      <c r="D3911" s="25"/>
      <c r="E3911" s="25"/>
      <c r="F3911" s="25"/>
      <c r="G3911" s="25"/>
      <c r="H3911" s="25"/>
      <c r="I3911" s="25"/>
      <c r="J3911" s="25"/>
    </row>
    <row r="3912" spans="1:10" ht="14.4">
      <c r="A3912" s="25"/>
      <c r="B3912" s="25"/>
      <c r="C3912" s="25"/>
      <c r="D3912" s="25"/>
      <c r="E3912" s="25"/>
      <c r="F3912" s="25"/>
      <c r="G3912" s="25"/>
      <c r="H3912" s="25"/>
      <c r="I3912" s="25"/>
      <c r="J3912" s="25"/>
    </row>
    <row r="3913" spans="1:10" ht="14.4">
      <c r="A3913" s="25"/>
      <c r="B3913" s="25"/>
      <c r="C3913" s="25"/>
      <c r="D3913" s="25"/>
      <c r="E3913" s="25"/>
      <c r="F3913" s="25"/>
      <c r="G3913" s="25"/>
      <c r="H3913" s="25"/>
      <c r="I3913" s="25"/>
      <c r="J3913" s="25"/>
    </row>
    <row r="3914" spans="1:10" ht="14.4">
      <c r="A3914" s="25"/>
      <c r="B3914" s="25"/>
      <c r="C3914" s="25"/>
      <c r="D3914" s="25"/>
      <c r="E3914" s="25"/>
      <c r="F3914" s="25"/>
      <c r="G3914" s="25"/>
      <c r="H3914" s="25"/>
      <c r="I3914" s="25"/>
      <c r="J3914" s="25"/>
    </row>
    <row r="3915" spans="1:10" ht="14.4">
      <c r="A3915" s="25"/>
      <c r="B3915" s="25"/>
      <c r="C3915" s="25"/>
      <c r="D3915" s="25"/>
      <c r="E3915" s="25"/>
      <c r="F3915" s="25"/>
      <c r="G3915" s="25"/>
      <c r="H3915" s="25"/>
      <c r="I3915" s="25"/>
      <c r="J3915" s="25"/>
    </row>
    <row r="3916" spans="1:10" ht="14.4">
      <c r="A3916" s="25"/>
      <c r="B3916" s="25"/>
      <c r="C3916" s="25"/>
      <c r="D3916" s="25"/>
      <c r="E3916" s="25"/>
      <c r="F3916" s="25"/>
      <c r="G3916" s="25"/>
      <c r="H3916" s="25"/>
      <c r="I3916" s="25"/>
      <c r="J3916" s="25"/>
    </row>
    <row r="3917" spans="1:10" ht="14.4">
      <c r="A3917" s="25"/>
      <c r="B3917" s="25"/>
      <c r="C3917" s="25"/>
      <c r="D3917" s="25"/>
      <c r="E3917" s="25"/>
      <c r="F3917" s="25"/>
      <c r="G3917" s="25"/>
      <c r="H3917" s="25"/>
      <c r="I3917" s="25"/>
      <c r="J3917" s="25"/>
    </row>
    <row r="3918" spans="1:10" ht="14.4">
      <c r="A3918" s="25"/>
      <c r="B3918" s="25"/>
      <c r="C3918" s="25"/>
      <c r="D3918" s="25"/>
      <c r="E3918" s="25"/>
      <c r="F3918" s="25"/>
      <c r="G3918" s="25"/>
      <c r="H3918" s="25"/>
      <c r="I3918" s="25"/>
      <c r="J3918" s="25"/>
    </row>
    <row r="3919" spans="1:10" ht="14.4">
      <c r="A3919" s="25"/>
      <c r="B3919" s="25"/>
      <c r="C3919" s="25"/>
      <c r="D3919" s="25"/>
      <c r="E3919" s="25"/>
      <c r="F3919" s="25"/>
      <c r="G3919" s="25"/>
      <c r="H3919" s="25"/>
      <c r="I3919" s="25"/>
      <c r="J3919" s="25"/>
    </row>
    <row r="3920" spans="1:10" ht="14.4">
      <c r="A3920" s="25"/>
      <c r="B3920" s="25"/>
      <c r="C3920" s="25"/>
      <c r="D3920" s="25"/>
      <c r="E3920" s="25"/>
      <c r="F3920" s="25"/>
      <c r="G3920" s="25"/>
      <c r="H3920" s="25"/>
      <c r="I3920" s="25"/>
      <c r="J3920" s="25"/>
    </row>
    <row r="3921" spans="1:10" ht="14.4">
      <c r="A3921" s="25"/>
      <c r="B3921" s="25"/>
      <c r="C3921" s="25"/>
      <c r="D3921" s="25"/>
      <c r="E3921" s="25"/>
      <c r="F3921" s="25"/>
      <c r="G3921" s="25"/>
      <c r="H3921" s="25"/>
      <c r="I3921" s="25"/>
      <c r="J3921" s="25"/>
    </row>
    <row r="3922" spans="1:10" ht="14.4">
      <c r="A3922" s="25"/>
      <c r="B3922" s="25"/>
      <c r="C3922" s="25"/>
      <c r="D3922" s="25"/>
      <c r="E3922" s="25"/>
      <c r="F3922" s="25"/>
      <c r="G3922" s="25"/>
      <c r="H3922" s="25"/>
      <c r="I3922" s="25"/>
      <c r="J3922" s="25"/>
    </row>
    <row r="3923" spans="1:10" ht="14.4">
      <c r="A3923" s="25"/>
      <c r="B3923" s="25"/>
      <c r="C3923" s="25"/>
      <c r="D3923" s="25"/>
      <c r="E3923" s="25"/>
      <c r="F3923" s="25"/>
      <c r="G3923" s="25"/>
      <c r="H3923" s="25"/>
      <c r="I3923" s="25"/>
      <c r="J3923" s="25"/>
    </row>
    <row r="3924" spans="1:10" ht="14.4">
      <c r="A3924" s="25"/>
      <c r="B3924" s="25"/>
      <c r="C3924" s="25"/>
      <c r="D3924" s="25"/>
      <c r="E3924" s="25"/>
      <c r="F3924" s="25"/>
      <c r="G3924" s="25"/>
      <c r="H3924" s="25"/>
      <c r="I3924" s="25"/>
      <c r="J3924" s="25"/>
    </row>
    <row r="3925" spans="1:10" ht="14.4">
      <c r="A3925" s="25"/>
      <c r="B3925" s="25"/>
      <c r="C3925" s="25"/>
      <c r="D3925" s="25"/>
      <c r="E3925" s="25"/>
      <c r="F3925" s="25"/>
      <c r="G3925" s="25"/>
      <c r="H3925" s="25"/>
      <c r="I3925" s="25"/>
      <c r="J3925" s="25"/>
    </row>
    <row r="3926" spans="1:10" ht="14.4">
      <c r="A3926" s="25"/>
      <c r="B3926" s="25"/>
      <c r="C3926" s="25"/>
      <c r="D3926" s="25"/>
      <c r="E3926" s="25"/>
      <c r="F3926" s="25"/>
      <c r="G3926" s="25"/>
      <c r="H3926" s="25"/>
      <c r="I3926" s="25"/>
      <c r="J3926" s="25"/>
    </row>
    <row r="3927" spans="1:10" ht="14.4">
      <c r="A3927" s="25"/>
      <c r="B3927" s="25"/>
      <c r="C3927" s="25"/>
      <c r="D3927" s="25"/>
      <c r="E3927" s="25"/>
      <c r="F3927" s="25"/>
      <c r="G3927" s="25"/>
      <c r="H3927" s="25"/>
      <c r="I3927" s="25"/>
      <c r="J3927" s="25"/>
    </row>
    <row r="3928" spans="1:10" ht="14.4">
      <c r="A3928" s="25"/>
      <c r="B3928" s="25"/>
      <c r="C3928" s="25"/>
      <c r="D3928" s="25"/>
      <c r="E3928" s="25"/>
      <c r="F3928" s="25"/>
      <c r="G3928" s="25"/>
      <c r="H3928" s="25"/>
      <c r="I3928" s="25"/>
      <c r="J3928" s="25"/>
    </row>
    <row r="3929" spans="1:10" ht="14.4">
      <c r="A3929" s="25"/>
      <c r="B3929" s="25"/>
      <c r="C3929" s="25"/>
      <c r="D3929" s="25"/>
      <c r="E3929" s="25"/>
      <c r="F3929" s="25"/>
      <c r="G3929" s="25"/>
      <c r="H3929" s="25"/>
      <c r="I3929" s="25"/>
      <c r="J3929" s="25"/>
    </row>
    <row r="3930" spans="1:10" ht="14.4">
      <c r="A3930" s="25"/>
      <c r="B3930" s="25"/>
      <c r="C3930" s="25"/>
      <c r="D3930" s="25"/>
      <c r="E3930" s="25"/>
      <c r="F3930" s="25"/>
      <c r="G3930" s="25"/>
      <c r="H3930" s="25"/>
      <c r="I3930" s="25"/>
      <c r="J3930" s="25"/>
    </row>
    <row r="3931" spans="1:10" ht="14.4">
      <c r="A3931" s="25"/>
      <c r="B3931" s="25"/>
      <c r="C3931" s="25"/>
      <c r="D3931" s="25"/>
      <c r="E3931" s="25"/>
      <c r="F3931" s="25"/>
      <c r="G3931" s="25"/>
      <c r="H3931" s="25"/>
      <c r="I3931" s="25"/>
      <c r="J3931" s="25"/>
    </row>
    <row r="3932" spans="1:10" ht="14.4">
      <c r="A3932" s="25"/>
      <c r="B3932" s="25"/>
      <c r="C3932" s="25"/>
      <c r="D3932" s="25"/>
      <c r="E3932" s="25"/>
      <c r="F3932" s="25"/>
      <c r="G3932" s="25"/>
      <c r="H3932" s="25"/>
      <c r="I3932" s="25"/>
      <c r="J3932" s="25"/>
    </row>
    <row r="3933" spans="1:10" ht="14.4">
      <c r="A3933" s="25"/>
      <c r="B3933" s="25"/>
      <c r="C3933" s="25"/>
      <c r="D3933" s="25"/>
      <c r="E3933" s="25"/>
      <c r="F3933" s="25"/>
      <c r="G3933" s="25"/>
      <c r="H3933" s="25"/>
      <c r="I3933" s="25"/>
      <c r="J3933" s="25"/>
    </row>
    <row r="3934" spans="1:10" ht="14.4">
      <c r="A3934" s="25"/>
      <c r="B3934" s="25"/>
      <c r="C3934" s="25"/>
      <c r="D3934" s="25"/>
      <c r="E3934" s="25"/>
      <c r="F3934" s="25"/>
      <c r="G3934" s="25"/>
      <c r="H3934" s="25"/>
      <c r="I3934" s="25"/>
      <c r="J3934" s="25"/>
    </row>
    <row r="3935" spans="1:10" ht="14.4">
      <c r="A3935" s="25"/>
      <c r="B3935" s="25"/>
      <c r="C3935" s="25"/>
      <c r="D3935" s="25"/>
      <c r="E3935" s="25"/>
      <c r="F3935" s="25"/>
      <c r="G3935" s="25"/>
      <c r="H3935" s="25"/>
      <c r="I3935" s="25"/>
      <c r="J3935" s="25"/>
    </row>
    <row r="3936" spans="1:10" ht="14.4">
      <c r="A3936" s="25"/>
      <c r="B3936" s="25"/>
      <c r="C3936" s="25"/>
      <c r="D3936" s="25"/>
      <c r="E3936" s="25"/>
      <c r="F3936" s="25"/>
      <c r="G3936" s="25"/>
      <c r="H3936" s="25"/>
      <c r="I3936" s="25"/>
      <c r="J3936" s="25"/>
    </row>
    <row r="3937" spans="1:10" ht="14.4">
      <c r="A3937" s="25"/>
      <c r="B3937" s="25"/>
      <c r="C3937" s="25"/>
      <c r="D3937" s="25"/>
      <c r="E3937" s="25"/>
      <c r="F3937" s="25"/>
      <c r="G3937" s="25"/>
      <c r="H3937" s="25"/>
      <c r="I3937" s="25"/>
      <c r="J3937" s="25"/>
    </row>
    <row r="3938" spans="1:10" ht="14.4">
      <c r="A3938" s="25"/>
      <c r="B3938" s="25"/>
      <c r="C3938" s="25"/>
      <c r="D3938" s="25"/>
      <c r="E3938" s="25"/>
      <c r="F3938" s="25"/>
      <c r="G3938" s="25"/>
      <c r="H3938" s="25"/>
      <c r="I3938" s="25"/>
      <c r="J3938" s="25"/>
    </row>
    <row r="3939" spans="1:10" ht="14.4">
      <c r="A3939" s="25"/>
      <c r="B3939" s="25"/>
      <c r="C3939" s="25"/>
      <c r="D3939" s="25"/>
      <c r="E3939" s="25"/>
      <c r="F3939" s="25"/>
      <c r="G3939" s="25"/>
      <c r="H3939" s="25"/>
      <c r="I3939" s="25"/>
      <c r="J3939" s="25"/>
    </row>
    <row r="3940" spans="1:10" ht="14.4">
      <c r="A3940" s="25"/>
      <c r="B3940" s="25"/>
      <c r="C3940" s="25"/>
      <c r="D3940" s="25"/>
      <c r="E3940" s="25"/>
      <c r="F3940" s="25"/>
      <c r="G3940" s="25"/>
      <c r="H3940" s="25"/>
      <c r="I3940" s="25"/>
      <c r="J3940" s="25"/>
    </row>
    <row r="3941" spans="1:10" ht="14.4">
      <c r="A3941" s="25"/>
      <c r="B3941" s="25"/>
      <c r="C3941" s="25"/>
      <c r="D3941" s="25"/>
      <c r="E3941" s="25"/>
      <c r="F3941" s="25"/>
      <c r="G3941" s="25"/>
      <c r="H3941" s="25"/>
      <c r="I3941" s="25"/>
      <c r="J3941" s="25"/>
    </row>
    <row r="3942" spans="1:10" ht="14.4">
      <c r="A3942" s="25"/>
      <c r="B3942" s="25"/>
      <c r="C3942" s="25"/>
      <c r="D3942" s="25"/>
      <c r="E3942" s="25"/>
      <c r="F3942" s="25"/>
      <c r="G3942" s="25"/>
      <c r="H3942" s="25"/>
      <c r="I3942" s="25"/>
      <c r="J3942" s="25"/>
    </row>
    <row r="3943" spans="1:10" ht="14.4">
      <c r="A3943" s="25"/>
      <c r="B3943" s="25"/>
      <c r="C3943" s="25"/>
      <c r="D3943" s="25"/>
      <c r="E3943" s="25"/>
      <c r="F3943" s="25"/>
      <c r="G3943" s="25"/>
      <c r="H3943" s="25"/>
      <c r="I3943" s="25"/>
      <c r="J3943" s="25"/>
    </row>
    <row r="3944" spans="1:10" ht="14.4">
      <c r="A3944" s="25"/>
      <c r="B3944" s="25"/>
      <c r="C3944" s="25"/>
      <c r="D3944" s="25"/>
      <c r="E3944" s="25"/>
      <c r="F3944" s="25"/>
      <c r="G3944" s="25"/>
      <c r="H3944" s="25"/>
      <c r="I3944" s="25"/>
      <c r="J3944" s="25"/>
    </row>
    <row r="3945" spans="1:10" ht="14.4">
      <c r="A3945" s="25"/>
      <c r="B3945" s="25"/>
      <c r="C3945" s="25"/>
      <c r="D3945" s="25"/>
      <c r="E3945" s="25"/>
      <c r="F3945" s="25"/>
      <c r="G3945" s="25"/>
      <c r="H3945" s="25"/>
      <c r="I3945" s="25"/>
      <c r="J3945" s="25"/>
    </row>
    <row r="3946" spans="1:10" ht="14.4">
      <c r="A3946" s="25"/>
      <c r="B3946" s="25"/>
      <c r="C3946" s="25"/>
      <c r="D3946" s="25"/>
      <c r="E3946" s="25"/>
      <c r="F3946" s="25"/>
      <c r="G3946" s="25"/>
      <c r="H3946" s="25"/>
      <c r="I3946" s="25"/>
      <c r="J3946" s="25"/>
    </row>
    <row r="3947" spans="1:10" ht="14.4">
      <c r="A3947" s="25"/>
      <c r="B3947" s="25"/>
      <c r="C3947" s="25"/>
      <c r="D3947" s="25"/>
      <c r="E3947" s="25"/>
      <c r="F3947" s="25"/>
      <c r="G3947" s="25"/>
      <c r="H3947" s="25"/>
      <c r="I3947" s="25"/>
      <c r="J3947" s="25"/>
    </row>
    <row r="3948" spans="1:10" ht="14.4">
      <c r="A3948" s="25"/>
      <c r="B3948" s="25"/>
      <c r="C3948" s="25"/>
      <c r="D3948" s="25"/>
      <c r="E3948" s="25"/>
      <c r="F3948" s="25"/>
      <c r="G3948" s="25"/>
      <c r="H3948" s="25"/>
      <c r="I3948" s="25"/>
      <c r="J3948" s="25"/>
    </row>
    <row r="3949" spans="1:10" ht="14.4">
      <c r="A3949" s="25"/>
      <c r="B3949" s="25"/>
      <c r="C3949" s="25"/>
      <c r="D3949" s="25"/>
      <c r="E3949" s="25"/>
      <c r="F3949" s="25"/>
      <c r="G3949" s="25"/>
      <c r="H3949" s="25"/>
      <c r="I3949" s="25"/>
      <c r="J3949" s="25"/>
    </row>
    <row r="3950" spans="1:10" ht="14.4">
      <c r="A3950" s="25"/>
      <c r="B3950" s="25"/>
      <c r="C3950" s="25"/>
      <c r="D3950" s="25"/>
      <c r="E3950" s="25"/>
      <c r="F3950" s="25"/>
      <c r="G3950" s="25"/>
      <c r="H3950" s="25"/>
      <c r="I3950" s="25"/>
      <c r="J3950" s="25"/>
    </row>
    <row r="3951" spans="1:10" ht="14.4">
      <c r="A3951" s="25"/>
      <c r="B3951" s="25"/>
      <c r="C3951" s="25"/>
      <c r="D3951" s="25"/>
      <c r="E3951" s="25"/>
      <c r="F3951" s="25"/>
      <c r="G3951" s="25"/>
      <c r="H3951" s="25"/>
      <c r="I3951" s="25"/>
      <c r="J3951" s="25"/>
    </row>
    <row r="3952" spans="1:10" ht="14.4">
      <c r="A3952" s="25"/>
      <c r="B3952" s="25"/>
      <c r="C3952" s="25"/>
      <c r="D3952" s="25"/>
      <c r="E3952" s="25"/>
      <c r="F3952" s="25"/>
      <c r="G3952" s="25"/>
      <c r="H3952" s="25"/>
      <c r="I3952" s="25"/>
      <c r="J3952" s="25"/>
    </row>
    <row r="3953" spans="1:10" ht="14.4">
      <c r="A3953" s="25"/>
      <c r="B3953" s="25"/>
      <c r="C3953" s="25"/>
      <c r="D3953" s="25"/>
      <c r="E3953" s="25"/>
      <c r="F3953" s="25"/>
      <c r="G3953" s="25"/>
      <c r="H3953" s="25"/>
      <c r="I3953" s="25"/>
      <c r="J3953" s="25"/>
    </row>
    <row r="3954" spans="1:10" ht="14.4">
      <c r="A3954" s="25"/>
      <c r="B3954" s="25"/>
      <c r="C3954" s="25"/>
      <c r="D3954" s="25"/>
      <c r="E3954" s="25"/>
      <c r="F3954" s="25"/>
      <c r="G3954" s="25"/>
      <c r="H3954" s="25"/>
      <c r="I3954" s="25"/>
      <c r="J3954" s="25"/>
    </row>
    <row r="3955" spans="1:10" ht="14.4">
      <c r="A3955" s="25"/>
      <c r="B3955" s="25"/>
      <c r="C3955" s="25"/>
      <c r="D3955" s="25"/>
      <c r="E3955" s="25"/>
      <c r="F3955" s="25"/>
      <c r="G3955" s="25"/>
      <c r="H3955" s="25"/>
      <c r="I3955" s="25"/>
      <c r="J3955" s="25"/>
    </row>
    <row r="3956" spans="1:10" ht="14.4">
      <c r="A3956" s="25"/>
      <c r="B3956" s="25"/>
      <c r="C3956" s="25"/>
      <c r="D3956" s="25"/>
      <c r="E3956" s="25"/>
      <c r="F3956" s="25"/>
      <c r="G3956" s="25"/>
      <c r="H3956" s="25"/>
      <c r="I3956" s="25"/>
      <c r="J3956" s="25"/>
    </row>
    <row r="3957" spans="1:10" ht="14.4">
      <c r="A3957" s="25"/>
      <c r="B3957" s="25"/>
      <c r="C3957" s="25"/>
      <c r="D3957" s="25"/>
      <c r="E3957" s="25"/>
      <c r="F3957" s="25"/>
      <c r="G3957" s="25"/>
      <c r="H3957" s="25"/>
      <c r="I3957" s="25"/>
      <c r="J3957" s="25"/>
    </row>
    <row r="3958" spans="1:10" ht="14.4">
      <c r="A3958" s="25"/>
      <c r="B3958" s="25"/>
      <c r="C3958" s="25"/>
      <c r="D3958" s="25"/>
      <c r="E3958" s="25"/>
      <c r="F3958" s="25"/>
      <c r="G3958" s="25"/>
      <c r="H3958" s="25"/>
      <c r="I3958" s="25"/>
      <c r="J3958" s="25"/>
    </row>
    <row r="3959" spans="1:10" ht="14.4">
      <c r="A3959" s="25"/>
      <c r="B3959" s="25"/>
      <c r="C3959" s="25"/>
      <c r="D3959" s="25"/>
      <c r="E3959" s="25"/>
      <c r="F3959" s="25"/>
      <c r="G3959" s="25"/>
      <c r="H3959" s="25"/>
      <c r="I3959" s="25"/>
      <c r="J3959" s="25"/>
    </row>
    <row r="3960" spans="1:10" ht="14.4">
      <c r="A3960" s="25"/>
      <c r="B3960" s="25"/>
      <c r="C3960" s="25"/>
      <c r="D3960" s="25"/>
      <c r="E3960" s="25"/>
      <c r="F3960" s="25"/>
      <c r="G3960" s="25"/>
      <c r="H3960" s="25"/>
      <c r="I3960" s="25"/>
      <c r="J3960" s="25"/>
    </row>
    <row r="3961" spans="1:10" ht="14.4">
      <c r="A3961" s="25"/>
      <c r="B3961" s="25"/>
      <c r="C3961" s="25"/>
      <c r="D3961" s="25"/>
      <c r="E3961" s="25"/>
      <c r="F3961" s="25"/>
      <c r="G3961" s="25"/>
      <c r="H3961" s="25"/>
      <c r="I3961" s="25"/>
      <c r="J3961" s="25"/>
    </row>
    <row r="3962" spans="1:10" ht="14.4">
      <c r="A3962" s="25"/>
      <c r="B3962" s="25"/>
      <c r="C3962" s="25"/>
      <c r="D3962" s="25"/>
      <c r="E3962" s="25"/>
      <c r="F3962" s="25"/>
      <c r="G3962" s="25"/>
      <c r="H3962" s="25"/>
      <c r="I3962" s="25"/>
      <c r="J3962" s="25"/>
    </row>
    <row r="3963" spans="1:10" ht="14.4">
      <c r="A3963" s="25"/>
      <c r="B3963" s="25"/>
      <c r="C3963" s="25"/>
      <c r="D3963" s="25"/>
      <c r="E3963" s="25"/>
      <c r="F3963" s="25"/>
      <c r="G3963" s="25"/>
      <c r="H3963" s="25"/>
      <c r="I3963" s="25"/>
      <c r="J3963" s="25"/>
    </row>
    <row r="3964" spans="1:10" ht="14.4">
      <c r="A3964" s="25"/>
      <c r="B3964" s="25"/>
      <c r="C3964" s="25"/>
      <c r="D3964" s="25"/>
      <c r="E3964" s="25"/>
      <c r="F3964" s="25"/>
      <c r="G3964" s="25"/>
      <c r="H3964" s="25"/>
      <c r="I3964" s="25"/>
      <c r="J3964" s="25"/>
    </row>
    <row r="3965" spans="1:10" ht="14.4">
      <c r="A3965" s="25"/>
      <c r="B3965" s="25"/>
      <c r="C3965" s="25"/>
      <c r="D3965" s="25"/>
      <c r="E3965" s="25"/>
      <c r="F3965" s="25"/>
      <c r="G3965" s="25"/>
      <c r="H3965" s="25"/>
      <c r="I3965" s="25"/>
      <c r="J3965" s="25"/>
    </row>
    <row r="3966" spans="1:10" ht="14.4">
      <c r="A3966" s="25"/>
      <c r="B3966" s="25"/>
      <c r="C3966" s="25"/>
      <c r="D3966" s="25"/>
      <c r="E3966" s="25"/>
      <c r="F3966" s="25"/>
      <c r="G3966" s="25"/>
      <c r="H3966" s="25"/>
      <c r="I3966" s="25"/>
      <c r="J3966" s="25"/>
    </row>
    <row r="3967" spans="1:10" ht="14.4">
      <c r="A3967" s="25"/>
      <c r="B3967" s="25"/>
      <c r="C3967" s="25"/>
      <c r="D3967" s="25"/>
      <c r="E3967" s="25"/>
      <c r="F3967" s="25"/>
      <c r="G3967" s="25"/>
      <c r="H3967" s="25"/>
      <c r="I3967" s="25"/>
      <c r="J3967" s="25"/>
    </row>
    <row r="3968" spans="1:10" ht="14.4">
      <c r="A3968" s="25"/>
      <c r="B3968" s="25"/>
      <c r="C3968" s="25"/>
      <c r="D3968" s="25"/>
      <c r="E3968" s="25"/>
      <c r="F3968" s="25"/>
      <c r="G3968" s="25"/>
      <c r="H3968" s="25"/>
      <c r="I3968" s="25"/>
      <c r="J3968" s="25"/>
    </row>
    <row r="3969" spans="1:10" ht="14.4">
      <c r="A3969" s="25"/>
      <c r="B3969" s="25"/>
      <c r="C3969" s="25"/>
      <c r="D3969" s="25"/>
      <c r="E3969" s="25"/>
      <c r="F3969" s="25"/>
      <c r="G3969" s="25"/>
      <c r="H3969" s="25"/>
      <c r="I3969" s="25"/>
      <c r="J3969" s="25"/>
    </row>
    <row r="3970" spans="1:10" ht="14.4">
      <c r="A3970" s="25"/>
      <c r="B3970" s="25"/>
      <c r="C3970" s="25"/>
      <c r="D3970" s="25"/>
      <c r="E3970" s="25"/>
      <c r="F3970" s="25"/>
      <c r="G3970" s="25"/>
      <c r="H3970" s="25"/>
      <c r="I3970" s="25"/>
      <c r="J3970" s="25"/>
    </row>
    <row r="3971" spans="1:10" ht="14.4">
      <c r="A3971" s="25"/>
      <c r="B3971" s="25"/>
      <c r="C3971" s="25"/>
      <c r="D3971" s="25"/>
      <c r="E3971" s="25"/>
      <c r="F3971" s="25"/>
      <c r="G3971" s="25"/>
      <c r="H3971" s="25"/>
      <c r="I3971" s="25"/>
      <c r="J3971" s="25"/>
    </row>
    <row r="3972" spans="1:10" ht="14.4">
      <c r="A3972" s="25"/>
      <c r="B3972" s="25"/>
      <c r="C3972" s="25"/>
      <c r="D3972" s="25"/>
      <c r="E3972" s="25"/>
      <c r="F3972" s="25"/>
      <c r="G3972" s="25"/>
      <c r="H3972" s="25"/>
      <c r="I3972" s="25"/>
      <c r="J3972" s="25"/>
    </row>
    <row r="3973" spans="1:10" ht="14.4">
      <c r="A3973" s="25"/>
      <c r="B3973" s="25"/>
      <c r="C3973" s="25"/>
      <c r="D3973" s="25"/>
      <c r="E3973" s="25"/>
      <c r="F3973" s="25"/>
      <c r="G3973" s="25"/>
      <c r="H3973" s="25"/>
      <c r="I3973" s="25"/>
      <c r="J3973" s="25"/>
    </row>
    <row r="3974" spans="1:10" ht="14.4">
      <c r="A3974" s="25"/>
      <c r="B3974" s="25"/>
      <c r="C3974" s="25"/>
      <c r="D3974" s="25"/>
      <c r="E3974" s="25"/>
      <c r="F3974" s="25"/>
      <c r="G3974" s="25"/>
      <c r="H3974" s="25"/>
      <c r="I3974" s="25"/>
      <c r="J3974" s="25"/>
    </row>
    <row r="3975" spans="1:10" ht="14.4">
      <c r="A3975" s="25"/>
      <c r="B3975" s="25"/>
      <c r="C3975" s="25"/>
      <c r="D3975" s="25"/>
      <c r="E3975" s="25"/>
      <c r="F3975" s="25"/>
      <c r="G3975" s="25"/>
      <c r="H3975" s="25"/>
      <c r="I3975" s="25"/>
      <c r="J3975" s="25"/>
    </row>
    <row r="3976" spans="1:10" ht="14.4">
      <c r="A3976" s="25"/>
      <c r="B3976" s="25"/>
      <c r="C3976" s="25"/>
      <c r="D3976" s="25"/>
      <c r="E3976" s="25"/>
      <c r="F3976" s="25"/>
      <c r="G3976" s="25"/>
      <c r="H3976" s="25"/>
      <c r="I3976" s="25"/>
      <c r="J3976" s="25"/>
    </row>
    <row r="3977" spans="1:10" ht="14.4">
      <c r="A3977" s="25"/>
      <c r="B3977" s="25"/>
      <c r="C3977" s="25"/>
      <c r="D3977" s="25"/>
      <c r="E3977" s="25"/>
      <c r="F3977" s="25"/>
      <c r="G3977" s="25"/>
      <c r="H3977" s="25"/>
      <c r="I3977" s="25"/>
      <c r="J3977" s="25"/>
    </row>
    <row r="3978" spans="1:10" ht="14.4">
      <c r="A3978" s="25"/>
      <c r="B3978" s="25"/>
      <c r="C3978" s="25"/>
      <c r="D3978" s="25"/>
      <c r="E3978" s="25"/>
      <c r="F3978" s="25"/>
      <c r="G3978" s="25"/>
      <c r="H3978" s="25"/>
      <c r="I3978" s="25"/>
      <c r="J3978" s="25"/>
    </row>
    <row r="3979" spans="1:10" ht="14.4">
      <c r="A3979" s="25"/>
      <c r="B3979" s="25"/>
      <c r="C3979" s="25"/>
      <c r="D3979" s="25"/>
      <c r="E3979" s="25"/>
      <c r="F3979" s="25"/>
      <c r="G3979" s="25"/>
      <c r="H3979" s="25"/>
      <c r="I3979" s="25"/>
      <c r="J3979" s="25"/>
    </row>
    <row r="3980" spans="1:10" ht="14.4">
      <c r="A3980" s="25"/>
      <c r="B3980" s="25"/>
      <c r="C3980" s="25"/>
      <c r="D3980" s="25"/>
      <c r="E3980" s="25"/>
      <c r="F3980" s="25"/>
      <c r="G3980" s="25"/>
      <c r="H3980" s="25"/>
      <c r="I3980" s="25"/>
      <c r="J3980" s="25"/>
    </row>
    <row r="3981" spans="1:10" ht="14.4">
      <c r="A3981" s="25"/>
      <c r="B3981" s="25"/>
      <c r="C3981" s="25"/>
      <c r="D3981" s="25"/>
      <c r="E3981" s="25"/>
      <c r="F3981" s="25"/>
      <c r="G3981" s="25"/>
      <c r="H3981" s="25"/>
      <c r="I3981" s="25"/>
      <c r="J3981" s="25"/>
    </row>
    <row r="3982" spans="1:10" ht="14.4">
      <c r="A3982" s="25"/>
      <c r="B3982" s="25"/>
      <c r="C3982" s="25"/>
      <c r="D3982" s="25"/>
      <c r="E3982" s="25"/>
      <c r="F3982" s="25"/>
      <c r="G3982" s="25"/>
      <c r="H3982" s="25"/>
      <c r="I3982" s="25"/>
      <c r="J3982" s="25"/>
    </row>
    <row r="3983" spans="1:10" ht="14.4">
      <c r="A3983" s="25"/>
      <c r="B3983" s="25"/>
      <c r="C3983" s="25"/>
      <c r="D3983" s="25"/>
      <c r="E3983" s="25"/>
      <c r="F3983" s="25"/>
      <c r="G3983" s="25"/>
      <c r="H3983" s="25"/>
      <c r="I3983" s="25"/>
      <c r="J3983" s="25"/>
    </row>
    <row r="3984" spans="1:10" ht="14.4">
      <c r="A3984" s="25"/>
      <c r="B3984" s="25"/>
      <c r="C3984" s="25"/>
      <c r="D3984" s="25"/>
      <c r="E3984" s="25"/>
      <c r="F3984" s="25"/>
      <c r="G3984" s="25"/>
      <c r="H3984" s="25"/>
      <c r="I3984" s="25"/>
      <c r="J3984" s="25"/>
    </row>
    <row r="3985" spans="1:10" ht="14.4">
      <c r="A3985" s="25"/>
      <c r="B3985" s="25"/>
      <c r="C3985" s="25"/>
      <c r="D3985" s="25"/>
      <c r="E3985" s="25"/>
      <c r="F3985" s="25"/>
      <c r="G3985" s="25"/>
      <c r="H3985" s="25"/>
      <c r="I3985" s="25"/>
      <c r="J3985" s="25"/>
    </row>
    <row r="3986" spans="1:10" ht="14.4">
      <c r="A3986" s="25"/>
      <c r="B3986" s="25"/>
      <c r="C3986" s="25"/>
      <c r="D3986" s="25"/>
      <c r="E3986" s="25"/>
      <c r="F3986" s="25"/>
      <c r="G3986" s="25"/>
      <c r="H3986" s="25"/>
      <c r="I3986" s="25"/>
      <c r="J3986" s="25"/>
    </row>
    <row r="3987" spans="1:10" ht="14.4">
      <c r="A3987" s="25"/>
      <c r="B3987" s="25"/>
      <c r="C3987" s="25"/>
      <c r="D3987" s="25"/>
      <c r="E3987" s="25"/>
      <c r="F3987" s="25"/>
      <c r="G3987" s="25"/>
      <c r="H3987" s="25"/>
      <c r="I3987" s="25"/>
      <c r="J3987" s="25"/>
    </row>
    <row r="3988" spans="1:10" ht="14.4">
      <c r="A3988" s="25"/>
      <c r="B3988" s="25"/>
      <c r="C3988" s="25"/>
      <c r="D3988" s="25"/>
      <c r="E3988" s="25"/>
      <c r="F3988" s="25"/>
      <c r="G3988" s="25"/>
      <c r="H3988" s="25"/>
      <c r="I3988" s="25"/>
      <c r="J3988" s="25"/>
    </row>
    <row r="3989" spans="1:10" ht="14.4">
      <c r="A3989" s="25"/>
      <c r="B3989" s="25"/>
      <c r="C3989" s="25"/>
      <c r="D3989" s="25"/>
      <c r="E3989" s="25"/>
      <c r="F3989" s="25"/>
      <c r="G3989" s="25"/>
      <c r="H3989" s="25"/>
      <c r="I3989" s="25"/>
      <c r="J3989" s="25"/>
    </row>
    <row r="3990" spans="1:10" ht="14.4">
      <c r="A3990" s="25"/>
      <c r="B3990" s="25"/>
      <c r="C3990" s="25"/>
      <c r="D3990" s="25"/>
      <c r="E3990" s="25"/>
      <c r="F3990" s="25"/>
      <c r="G3990" s="25"/>
      <c r="H3990" s="25"/>
      <c r="I3990" s="25"/>
      <c r="J3990" s="25"/>
    </row>
    <row r="3991" spans="1:10" ht="14.4">
      <c r="A3991" s="25"/>
      <c r="B3991" s="25"/>
      <c r="C3991" s="25"/>
      <c r="D3991" s="25"/>
      <c r="E3991" s="25"/>
      <c r="F3991" s="25"/>
      <c r="G3991" s="25"/>
      <c r="H3991" s="25"/>
      <c r="I3991" s="25"/>
      <c r="J3991" s="25"/>
    </row>
    <row r="3992" spans="1:10" ht="14.4">
      <c r="A3992" s="25"/>
      <c r="B3992" s="25"/>
      <c r="C3992" s="25"/>
      <c r="D3992" s="25"/>
      <c r="E3992" s="25"/>
      <c r="F3992" s="25"/>
      <c r="G3992" s="25"/>
      <c r="H3992" s="25"/>
      <c r="I3992" s="25"/>
      <c r="J3992" s="25"/>
    </row>
    <row r="3993" spans="1:10" ht="14.4">
      <c r="A3993" s="25"/>
      <c r="B3993" s="25"/>
      <c r="C3993" s="25"/>
      <c r="D3993" s="25"/>
      <c r="E3993" s="25"/>
      <c r="F3993" s="25"/>
      <c r="G3993" s="25"/>
      <c r="H3993" s="25"/>
      <c r="I3993" s="25"/>
      <c r="J3993" s="25"/>
    </row>
    <row r="3994" spans="1:10" ht="14.4">
      <c r="A3994" s="25"/>
      <c r="B3994" s="25"/>
      <c r="C3994" s="25"/>
      <c r="D3994" s="25"/>
      <c r="E3994" s="25"/>
      <c r="F3994" s="25"/>
      <c r="G3994" s="25"/>
      <c r="H3994" s="25"/>
      <c r="I3994" s="25"/>
      <c r="J3994" s="25"/>
    </row>
    <row r="3995" spans="1:10" ht="14.4">
      <c r="A3995" s="25"/>
      <c r="B3995" s="25"/>
      <c r="C3995" s="25"/>
      <c r="D3995" s="25"/>
      <c r="E3995" s="25"/>
      <c r="F3995" s="25"/>
      <c r="G3995" s="25"/>
      <c r="H3995" s="25"/>
      <c r="I3995" s="25"/>
      <c r="J3995" s="25"/>
    </row>
    <row r="3996" spans="1:10" ht="14.4">
      <c r="A3996" s="25"/>
      <c r="B3996" s="25"/>
      <c r="C3996" s="25"/>
      <c r="D3996" s="25"/>
      <c r="E3996" s="25"/>
      <c r="F3996" s="25"/>
      <c r="G3996" s="25"/>
      <c r="H3996" s="25"/>
      <c r="I3996" s="25"/>
      <c r="J3996" s="25"/>
    </row>
    <row r="3997" spans="1:10" ht="14.4">
      <c r="A3997" s="25"/>
      <c r="B3997" s="25"/>
      <c r="C3997" s="25"/>
      <c r="D3997" s="25"/>
      <c r="E3997" s="25"/>
      <c r="F3997" s="25"/>
      <c r="G3997" s="25"/>
      <c r="H3997" s="25"/>
      <c r="I3997" s="25"/>
      <c r="J3997" s="25"/>
    </row>
    <row r="3998" spans="1:10" ht="14.4">
      <c r="A3998" s="25"/>
      <c r="B3998" s="25"/>
      <c r="C3998" s="25"/>
      <c r="D3998" s="25"/>
      <c r="E3998" s="25"/>
      <c r="F3998" s="25"/>
      <c r="G3998" s="25"/>
      <c r="H3998" s="25"/>
      <c r="I3998" s="25"/>
      <c r="J3998" s="25"/>
    </row>
    <row r="3999" spans="1:10" ht="14.4">
      <c r="A3999" s="25"/>
      <c r="B3999" s="25"/>
      <c r="C3999" s="25"/>
      <c r="D3999" s="25"/>
      <c r="E3999" s="25"/>
      <c r="F3999" s="25"/>
      <c r="G3999" s="25"/>
      <c r="H3999" s="25"/>
      <c r="I3999" s="25"/>
      <c r="J3999" s="25"/>
    </row>
    <row r="4000" spans="1:10" ht="14.4">
      <c r="A4000" s="25"/>
      <c r="B4000" s="25"/>
      <c r="C4000" s="25"/>
      <c r="D4000" s="25"/>
      <c r="E4000" s="25"/>
      <c r="F4000" s="25"/>
      <c r="G4000" s="25"/>
      <c r="H4000" s="25"/>
      <c r="I4000" s="25"/>
      <c r="J4000" s="25"/>
    </row>
    <row r="4001" spans="1:10" ht="14.4">
      <c r="A4001" s="25"/>
      <c r="B4001" s="25"/>
      <c r="C4001" s="25"/>
      <c r="D4001" s="25"/>
      <c r="E4001" s="25"/>
      <c r="F4001" s="25"/>
      <c r="G4001" s="25"/>
      <c r="H4001" s="25"/>
      <c r="I4001" s="25"/>
      <c r="J4001" s="25"/>
    </row>
    <row r="4002" spans="1:10" ht="14.4">
      <c r="A4002" s="25"/>
      <c r="B4002" s="25"/>
      <c r="C4002" s="25"/>
      <c r="D4002" s="25"/>
      <c r="E4002" s="25"/>
      <c r="F4002" s="25"/>
      <c r="G4002" s="25"/>
      <c r="H4002" s="25"/>
      <c r="I4002" s="25"/>
      <c r="J4002" s="25"/>
    </row>
    <row r="4003" spans="1:10" ht="14.4">
      <c r="A4003" s="25"/>
      <c r="B4003" s="25"/>
      <c r="C4003" s="25"/>
      <c r="D4003" s="25"/>
      <c r="E4003" s="25"/>
      <c r="F4003" s="25"/>
      <c r="G4003" s="25"/>
      <c r="H4003" s="25"/>
      <c r="I4003" s="25"/>
      <c r="J4003" s="25"/>
    </row>
    <row r="4004" spans="1:10" ht="14.4">
      <c r="A4004" s="25"/>
      <c r="B4004" s="25"/>
      <c r="C4004" s="25"/>
      <c r="D4004" s="25"/>
      <c r="E4004" s="25"/>
      <c r="F4004" s="25"/>
      <c r="G4004" s="25"/>
      <c r="H4004" s="25"/>
      <c r="I4004" s="25"/>
      <c r="J4004" s="25"/>
    </row>
    <row r="4005" spans="1:10" ht="14.4">
      <c r="A4005" s="25"/>
      <c r="B4005" s="25"/>
      <c r="C4005" s="25"/>
      <c r="D4005" s="25"/>
      <c r="E4005" s="25"/>
      <c r="F4005" s="25"/>
      <c r="G4005" s="25"/>
      <c r="H4005" s="25"/>
      <c r="I4005" s="25"/>
      <c r="J4005" s="25"/>
    </row>
    <row r="4006" spans="1:10" ht="14.4">
      <c r="A4006" s="25"/>
      <c r="B4006" s="25"/>
      <c r="C4006" s="25"/>
      <c r="D4006" s="25"/>
      <c r="E4006" s="25"/>
      <c r="F4006" s="25"/>
      <c r="G4006" s="25"/>
      <c r="H4006" s="25"/>
      <c r="I4006" s="25"/>
      <c r="J4006" s="25"/>
    </row>
    <row r="4007" spans="1:10" ht="14.4">
      <c r="A4007" s="25"/>
      <c r="B4007" s="25"/>
      <c r="C4007" s="25"/>
      <c r="D4007" s="25"/>
      <c r="E4007" s="25"/>
      <c r="F4007" s="25"/>
      <c r="G4007" s="25"/>
      <c r="H4007" s="25"/>
      <c r="I4007" s="25"/>
      <c r="J4007" s="25"/>
    </row>
    <row r="4008" spans="1:10" ht="14.4">
      <c r="A4008" s="25"/>
      <c r="B4008" s="25"/>
      <c r="C4008" s="25"/>
      <c r="D4008" s="25"/>
      <c r="E4008" s="25"/>
      <c r="F4008" s="25"/>
      <c r="G4008" s="25"/>
      <c r="H4008" s="25"/>
      <c r="I4008" s="25"/>
      <c r="J4008" s="25"/>
    </row>
    <row r="4009" spans="1:10" ht="14.4">
      <c r="A4009" s="25"/>
      <c r="B4009" s="25"/>
      <c r="C4009" s="25"/>
      <c r="D4009" s="25"/>
      <c r="E4009" s="25"/>
      <c r="F4009" s="25"/>
      <c r="G4009" s="25"/>
      <c r="H4009" s="25"/>
      <c r="I4009" s="25"/>
      <c r="J4009" s="25"/>
    </row>
    <row r="4010" spans="1:10" ht="14.4">
      <c r="A4010" s="25"/>
      <c r="B4010" s="25"/>
      <c r="C4010" s="25"/>
      <c r="D4010" s="25"/>
      <c r="E4010" s="25"/>
      <c r="F4010" s="25"/>
      <c r="G4010" s="25"/>
      <c r="H4010" s="25"/>
      <c r="I4010" s="25"/>
      <c r="J4010" s="25"/>
    </row>
    <row r="4011" spans="1:10" ht="14.4">
      <c r="A4011" s="25"/>
      <c r="B4011" s="25"/>
      <c r="C4011" s="25"/>
      <c r="D4011" s="25"/>
      <c r="E4011" s="25"/>
      <c r="F4011" s="25"/>
      <c r="G4011" s="25"/>
      <c r="H4011" s="25"/>
      <c r="I4011" s="25"/>
      <c r="J4011" s="25"/>
    </row>
    <row r="4012" spans="1:10" ht="14.4">
      <c r="A4012" s="25"/>
      <c r="B4012" s="25"/>
      <c r="C4012" s="25"/>
      <c r="D4012" s="25"/>
      <c r="E4012" s="25"/>
      <c r="F4012" s="25"/>
      <c r="G4012" s="25"/>
      <c r="H4012" s="25"/>
      <c r="I4012" s="25"/>
      <c r="J4012" s="25"/>
    </row>
    <row r="4013" spans="1:10" ht="14.4">
      <c r="A4013" s="25"/>
      <c r="B4013" s="25"/>
      <c r="C4013" s="25"/>
      <c r="D4013" s="25"/>
      <c r="E4013" s="25"/>
      <c r="F4013" s="25"/>
      <c r="G4013" s="25"/>
      <c r="H4013" s="25"/>
      <c r="I4013" s="25"/>
      <c r="J4013" s="25"/>
    </row>
    <row r="4014" spans="1:10" ht="14.4">
      <c r="A4014" s="25"/>
      <c r="B4014" s="25"/>
      <c r="C4014" s="25"/>
      <c r="D4014" s="25"/>
      <c r="E4014" s="25"/>
      <c r="F4014" s="25"/>
      <c r="G4014" s="25"/>
      <c r="H4014" s="25"/>
      <c r="I4014" s="25"/>
      <c r="J4014" s="25"/>
    </row>
    <row r="4015" spans="1:10" ht="14.4">
      <c r="A4015" s="25"/>
      <c r="B4015" s="25"/>
      <c r="C4015" s="25"/>
      <c r="D4015" s="25"/>
      <c r="E4015" s="25"/>
      <c r="F4015" s="25"/>
      <c r="G4015" s="25"/>
      <c r="H4015" s="25"/>
      <c r="I4015" s="25"/>
      <c r="J4015" s="25"/>
    </row>
    <row r="4016" spans="1:10" ht="14.4">
      <c r="A4016" s="25"/>
      <c r="B4016" s="25"/>
      <c r="C4016" s="25"/>
      <c r="D4016" s="25"/>
      <c r="E4016" s="25"/>
      <c r="F4016" s="25"/>
      <c r="G4016" s="25"/>
      <c r="H4016" s="25"/>
      <c r="I4016" s="25"/>
      <c r="J4016" s="25"/>
    </row>
    <row r="4017" spans="1:10" ht="14.4">
      <c r="A4017" s="25"/>
      <c r="B4017" s="25"/>
      <c r="C4017" s="25"/>
      <c r="D4017" s="25"/>
      <c r="E4017" s="25"/>
      <c r="F4017" s="25"/>
      <c r="G4017" s="25"/>
      <c r="H4017" s="25"/>
      <c r="I4017" s="25"/>
      <c r="J4017" s="25"/>
    </row>
    <row r="4018" spans="1:10" ht="14.4">
      <c r="A4018" s="25"/>
      <c r="B4018" s="25"/>
      <c r="C4018" s="25"/>
      <c r="D4018" s="25"/>
      <c r="E4018" s="25"/>
      <c r="F4018" s="25"/>
      <c r="G4018" s="25"/>
      <c r="H4018" s="25"/>
      <c r="I4018" s="25"/>
      <c r="J4018" s="25"/>
    </row>
    <row r="4019" spans="1:10" ht="14.4">
      <c r="A4019" s="25"/>
      <c r="B4019" s="25"/>
      <c r="C4019" s="25"/>
      <c r="D4019" s="25"/>
      <c r="E4019" s="25"/>
      <c r="F4019" s="25"/>
      <c r="G4019" s="25"/>
      <c r="H4019" s="25"/>
      <c r="I4019" s="25"/>
      <c r="J4019" s="25"/>
    </row>
    <row r="4020" spans="1:10" ht="14.4">
      <c r="A4020" s="25"/>
      <c r="B4020" s="25"/>
      <c r="C4020" s="25"/>
      <c r="D4020" s="25"/>
      <c r="E4020" s="25"/>
      <c r="F4020" s="25"/>
      <c r="G4020" s="25"/>
      <c r="H4020" s="25"/>
      <c r="I4020" s="25"/>
      <c r="J4020" s="25"/>
    </row>
    <row r="4021" spans="1:10" ht="14.4">
      <c r="A4021" s="25"/>
      <c r="B4021" s="25"/>
      <c r="C4021" s="25"/>
      <c r="D4021" s="25"/>
      <c r="E4021" s="25"/>
      <c r="F4021" s="25"/>
      <c r="G4021" s="25"/>
      <c r="H4021" s="25"/>
      <c r="I4021" s="25"/>
      <c r="J4021" s="25"/>
    </row>
    <row r="4022" spans="1:10" ht="14.4">
      <c r="A4022" s="25"/>
      <c r="B4022" s="25"/>
      <c r="C4022" s="25"/>
      <c r="D4022" s="25"/>
      <c r="E4022" s="25"/>
      <c r="F4022" s="25"/>
      <c r="G4022" s="25"/>
      <c r="H4022" s="25"/>
      <c r="I4022" s="25"/>
      <c r="J4022" s="25"/>
    </row>
    <row r="4023" spans="1:10" ht="14.4">
      <c r="A4023" s="25"/>
      <c r="B4023" s="25"/>
      <c r="C4023" s="25"/>
      <c r="D4023" s="25"/>
      <c r="E4023" s="25"/>
      <c r="F4023" s="25"/>
      <c r="G4023" s="25"/>
      <c r="H4023" s="25"/>
      <c r="I4023" s="25"/>
      <c r="J4023" s="25"/>
    </row>
    <row r="4024" spans="1:10" ht="14.4">
      <c r="A4024" s="25"/>
      <c r="B4024" s="25"/>
      <c r="C4024" s="25"/>
      <c r="D4024" s="25"/>
      <c r="E4024" s="25"/>
      <c r="F4024" s="25"/>
      <c r="G4024" s="25"/>
      <c r="H4024" s="25"/>
      <c r="I4024" s="25"/>
      <c r="J4024" s="25"/>
    </row>
    <row r="4025" spans="1:10" ht="14.4">
      <c r="A4025" s="25"/>
      <c r="B4025" s="25"/>
      <c r="C4025" s="25"/>
      <c r="D4025" s="25"/>
      <c r="E4025" s="25"/>
      <c r="F4025" s="25"/>
      <c r="G4025" s="25"/>
      <c r="H4025" s="25"/>
      <c r="I4025" s="25"/>
      <c r="J4025" s="25"/>
    </row>
    <row r="4026" spans="1:10" ht="14.4">
      <c r="A4026" s="25"/>
      <c r="B4026" s="25"/>
      <c r="C4026" s="25"/>
      <c r="D4026" s="25"/>
      <c r="E4026" s="25"/>
      <c r="F4026" s="25"/>
      <c r="G4026" s="25"/>
      <c r="H4026" s="25"/>
      <c r="I4026" s="25"/>
      <c r="J4026" s="25"/>
    </row>
    <row r="4027" spans="1:10" ht="14.4">
      <c r="A4027" s="25"/>
      <c r="B4027" s="25"/>
      <c r="C4027" s="25"/>
      <c r="D4027" s="25"/>
      <c r="E4027" s="25"/>
      <c r="F4027" s="25"/>
      <c r="G4027" s="25"/>
      <c r="H4027" s="25"/>
      <c r="I4027" s="25"/>
      <c r="J4027" s="25"/>
    </row>
    <row r="4028" spans="1:10" ht="14.4">
      <c r="A4028" s="25"/>
      <c r="B4028" s="25"/>
      <c r="C4028" s="25"/>
      <c r="D4028" s="25"/>
      <c r="E4028" s="25"/>
      <c r="F4028" s="25"/>
      <c r="G4028" s="25"/>
      <c r="H4028" s="25"/>
      <c r="I4028" s="25"/>
      <c r="J4028" s="25"/>
    </row>
    <row r="4029" spans="1:10" ht="14.4">
      <c r="A4029" s="25"/>
      <c r="B4029" s="25"/>
      <c r="C4029" s="25"/>
      <c r="D4029" s="25"/>
      <c r="E4029" s="25"/>
      <c r="F4029" s="25"/>
      <c r="G4029" s="25"/>
      <c r="H4029" s="25"/>
      <c r="I4029" s="25"/>
      <c r="J4029" s="25"/>
    </row>
    <row r="4030" spans="1:10" ht="14.4">
      <c r="A4030" s="25"/>
      <c r="B4030" s="25"/>
      <c r="C4030" s="25"/>
      <c r="D4030" s="25"/>
      <c r="E4030" s="25"/>
      <c r="F4030" s="25"/>
      <c r="G4030" s="25"/>
      <c r="H4030" s="25"/>
      <c r="I4030" s="25"/>
      <c r="J4030" s="25"/>
    </row>
    <row r="4031" spans="1:10" ht="14.4">
      <c r="A4031" s="25"/>
      <c r="B4031" s="25"/>
      <c r="C4031" s="25"/>
      <c r="D4031" s="25"/>
      <c r="E4031" s="25"/>
      <c r="F4031" s="25"/>
      <c r="G4031" s="25"/>
      <c r="H4031" s="25"/>
      <c r="I4031" s="25"/>
      <c r="J4031" s="25"/>
    </row>
    <row r="4032" spans="1:10" ht="14.4">
      <c r="A4032" s="25"/>
      <c r="B4032" s="25"/>
      <c r="C4032" s="25"/>
      <c r="D4032" s="25"/>
      <c r="E4032" s="25"/>
      <c r="F4032" s="25"/>
      <c r="G4032" s="25"/>
      <c r="H4032" s="25"/>
      <c r="I4032" s="25"/>
      <c r="J4032" s="25"/>
    </row>
    <row r="4033" spans="1:10" ht="14.4">
      <c r="A4033" s="25"/>
      <c r="B4033" s="25"/>
      <c r="C4033" s="25"/>
      <c r="D4033" s="25"/>
      <c r="E4033" s="25"/>
      <c r="F4033" s="25"/>
      <c r="G4033" s="25"/>
      <c r="H4033" s="25"/>
      <c r="I4033" s="25"/>
      <c r="J4033" s="25"/>
    </row>
    <row r="4034" spans="1:10" ht="14.4">
      <c r="A4034" s="25"/>
      <c r="B4034" s="25"/>
      <c r="C4034" s="25"/>
      <c r="D4034" s="25"/>
      <c r="E4034" s="25"/>
      <c r="F4034" s="25"/>
      <c r="G4034" s="25"/>
      <c r="H4034" s="25"/>
      <c r="I4034" s="25"/>
      <c r="J4034" s="25"/>
    </row>
    <row r="4035" spans="1:10" ht="14.4">
      <c r="A4035" s="25"/>
      <c r="B4035" s="25"/>
      <c r="C4035" s="25"/>
      <c r="D4035" s="25"/>
      <c r="E4035" s="25"/>
      <c r="F4035" s="25"/>
      <c r="G4035" s="25"/>
      <c r="H4035" s="25"/>
      <c r="I4035" s="25"/>
      <c r="J4035" s="25"/>
    </row>
    <row r="4036" spans="1:10" ht="14.4">
      <c r="A4036" s="25"/>
      <c r="B4036" s="25"/>
      <c r="C4036" s="25"/>
      <c r="D4036" s="25"/>
      <c r="E4036" s="25"/>
      <c r="F4036" s="25"/>
      <c r="G4036" s="25"/>
      <c r="H4036" s="25"/>
      <c r="I4036" s="25"/>
      <c r="J4036" s="25"/>
    </row>
    <row r="4037" spans="1:10" ht="14.4">
      <c r="A4037" s="25"/>
      <c r="B4037" s="25"/>
      <c r="C4037" s="25"/>
      <c r="D4037" s="25"/>
      <c r="E4037" s="25"/>
      <c r="F4037" s="25"/>
      <c r="G4037" s="25"/>
      <c r="H4037" s="25"/>
      <c r="I4037" s="25"/>
      <c r="J4037" s="25"/>
    </row>
    <row r="4038" spans="1:10" ht="14.4">
      <c r="A4038" s="25"/>
      <c r="B4038" s="25"/>
      <c r="C4038" s="25"/>
      <c r="D4038" s="25"/>
      <c r="E4038" s="25"/>
      <c r="F4038" s="25"/>
      <c r="G4038" s="25"/>
      <c r="H4038" s="25"/>
      <c r="I4038" s="25"/>
      <c r="J4038" s="25"/>
    </row>
    <row r="4039" spans="1:10" ht="14.4">
      <c r="A4039" s="25"/>
      <c r="B4039" s="25"/>
      <c r="C4039" s="25"/>
      <c r="D4039" s="25"/>
      <c r="E4039" s="25"/>
      <c r="F4039" s="25"/>
      <c r="G4039" s="25"/>
      <c r="H4039" s="25"/>
      <c r="I4039" s="25"/>
      <c r="J4039" s="25"/>
    </row>
    <row r="4040" spans="1:10" ht="14.4">
      <c r="A4040" s="25"/>
      <c r="B4040" s="25"/>
      <c r="C4040" s="25"/>
      <c r="D4040" s="25"/>
      <c r="E4040" s="25"/>
      <c r="F4040" s="25"/>
      <c r="G4040" s="25"/>
      <c r="H4040" s="25"/>
      <c r="I4040" s="25"/>
      <c r="J4040" s="25"/>
    </row>
    <row r="4041" spans="1:10" ht="14.4">
      <c r="A4041" s="25"/>
      <c r="B4041" s="25"/>
      <c r="C4041" s="25"/>
      <c r="D4041" s="25"/>
      <c r="E4041" s="25"/>
      <c r="F4041" s="25"/>
      <c r="G4041" s="25"/>
      <c r="H4041" s="25"/>
      <c r="I4041" s="25"/>
      <c r="J4041" s="25"/>
    </row>
    <row r="4042" spans="1:10" ht="14.4">
      <c r="A4042" s="25"/>
      <c r="B4042" s="25"/>
      <c r="C4042" s="25"/>
      <c r="D4042" s="25"/>
      <c r="E4042" s="25"/>
      <c r="F4042" s="25"/>
      <c r="G4042" s="25"/>
      <c r="H4042" s="25"/>
      <c r="I4042" s="25"/>
      <c r="J4042" s="25"/>
    </row>
    <row r="4043" spans="1:10" ht="14.4">
      <c r="A4043" s="25"/>
      <c r="B4043" s="25"/>
      <c r="C4043" s="25"/>
      <c r="D4043" s="25"/>
      <c r="E4043" s="25"/>
      <c r="F4043" s="25"/>
      <c r="G4043" s="25"/>
      <c r="H4043" s="25"/>
      <c r="I4043" s="25"/>
      <c r="J4043" s="25"/>
    </row>
    <row r="4044" spans="1:10" ht="14.4">
      <c r="A4044" s="25"/>
      <c r="B4044" s="25"/>
      <c r="C4044" s="25"/>
      <c r="D4044" s="25"/>
      <c r="E4044" s="25"/>
      <c r="F4044" s="25"/>
      <c r="G4044" s="25"/>
      <c r="H4044" s="25"/>
      <c r="I4044" s="25"/>
      <c r="J4044" s="25"/>
    </row>
    <row r="4045" spans="1:10" ht="14.4">
      <c r="A4045" s="25"/>
      <c r="B4045" s="25"/>
      <c r="C4045" s="25"/>
      <c r="D4045" s="25"/>
      <c r="E4045" s="25"/>
      <c r="F4045" s="25"/>
      <c r="G4045" s="25"/>
      <c r="H4045" s="25"/>
      <c r="I4045" s="25"/>
      <c r="J4045" s="25"/>
    </row>
    <row r="4046" spans="1:10" ht="14.4">
      <c r="A4046" s="25"/>
      <c r="B4046" s="25"/>
      <c r="C4046" s="25"/>
      <c r="D4046" s="25"/>
      <c r="E4046" s="25"/>
      <c r="F4046" s="25"/>
      <c r="G4046" s="25"/>
      <c r="H4046" s="25"/>
      <c r="I4046" s="25"/>
      <c r="J4046" s="25"/>
    </row>
    <row r="4047" spans="1:10" ht="14.4">
      <c r="A4047" s="25"/>
      <c r="B4047" s="25"/>
      <c r="C4047" s="25"/>
      <c r="D4047" s="25"/>
      <c r="E4047" s="25"/>
      <c r="F4047" s="25"/>
      <c r="G4047" s="25"/>
      <c r="H4047" s="25"/>
      <c r="I4047" s="25"/>
      <c r="J4047" s="25"/>
    </row>
    <row r="4048" spans="1:10" ht="14.4">
      <c r="A4048" s="25"/>
      <c r="B4048" s="25"/>
      <c r="C4048" s="25"/>
      <c r="D4048" s="25"/>
      <c r="E4048" s="25"/>
      <c r="F4048" s="25"/>
      <c r="G4048" s="25"/>
      <c r="H4048" s="25"/>
      <c r="I4048" s="25"/>
      <c r="J4048" s="25"/>
    </row>
    <row r="4049" spans="1:10" ht="14.4">
      <c r="A4049" s="25"/>
      <c r="B4049" s="25"/>
      <c r="C4049" s="25"/>
      <c r="D4049" s="25"/>
      <c r="E4049" s="25"/>
      <c r="F4049" s="25"/>
      <c r="G4049" s="25"/>
      <c r="H4049" s="25"/>
      <c r="I4049" s="25"/>
      <c r="J4049" s="25"/>
    </row>
    <row r="4050" spans="1:10" ht="14.4">
      <c r="A4050" s="25"/>
      <c r="B4050" s="25"/>
      <c r="C4050" s="25"/>
      <c r="D4050" s="25"/>
      <c r="E4050" s="25"/>
      <c r="F4050" s="25"/>
      <c r="G4050" s="25"/>
      <c r="H4050" s="25"/>
      <c r="I4050" s="25"/>
      <c r="J4050" s="25"/>
    </row>
    <row r="4051" spans="1:10" ht="14.4">
      <c r="A4051" s="25"/>
      <c r="B4051" s="25"/>
      <c r="C4051" s="25"/>
      <c r="D4051" s="25"/>
      <c r="E4051" s="25"/>
      <c r="F4051" s="25"/>
      <c r="G4051" s="25"/>
      <c r="H4051" s="25"/>
      <c r="I4051" s="25"/>
      <c r="J4051" s="25"/>
    </row>
    <row r="4052" spans="1:10" ht="14.4">
      <c r="A4052" s="25"/>
      <c r="B4052" s="25"/>
      <c r="C4052" s="25"/>
      <c r="D4052" s="25"/>
      <c r="E4052" s="25"/>
      <c r="F4052" s="25"/>
      <c r="G4052" s="25"/>
      <c r="H4052" s="25"/>
      <c r="I4052" s="25"/>
      <c r="J4052" s="25"/>
    </row>
    <row r="4053" spans="1:10" ht="14.4">
      <c r="A4053" s="25"/>
      <c r="B4053" s="25"/>
      <c r="C4053" s="25"/>
      <c r="D4053" s="25"/>
      <c r="E4053" s="25"/>
      <c r="F4053" s="25"/>
      <c r="G4053" s="25"/>
      <c r="H4053" s="25"/>
      <c r="I4053" s="25"/>
      <c r="J4053" s="25"/>
    </row>
    <row r="4054" spans="1:10" ht="14.4">
      <c r="A4054" s="25"/>
      <c r="B4054" s="25"/>
      <c r="C4054" s="25"/>
      <c r="D4054" s="25"/>
      <c r="E4054" s="25"/>
      <c r="F4054" s="25"/>
      <c r="G4054" s="25"/>
      <c r="H4054" s="25"/>
      <c r="I4054" s="25"/>
      <c r="J4054" s="25"/>
    </row>
    <row r="4055" spans="1:10" ht="14.4">
      <c r="A4055" s="25"/>
      <c r="B4055" s="25"/>
      <c r="C4055" s="25"/>
      <c r="D4055" s="25"/>
      <c r="E4055" s="25"/>
      <c r="F4055" s="25"/>
      <c r="G4055" s="25"/>
      <c r="H4055" s="25"/>
      <c r="I4055" s="25"/>
      <c r="J4055" s="25"/>
    </row>
    <row r="4056" spans="1:10" ht="14.4">
      <c r="A4056" s="25"/>
      <c r="B4056" s="25"/>
      <c r="C4056" s="25"/>
      <c r="D4056" s="25"/>
      <c r="E4056" s="25"/>
      <c r="F4056" s="25"/>
      <c r="G4056" s="25"/>
      <c r="H4056" s="25"/>
      <c r="I4056" s="25"/>
      <c r="J4056" s="25"/>
    </row>
    <row r="4057" spans="1:10" ht="14.4">
      <c r="A4057" s="25"/>
      <c r="B4057" s="25"/>
      <c r="C4057" s="25"/>
      <c r="D4057" s="25"/>
      <c r="E4057" s="25"/>
      <c r="F4057" s="25"/>
      <c r="G4057" s="25"/>
      <c r="H4057" s="25"/>
      <c r="I4057" s="25"/>
      <c r="J4057" s="25"/>
    </row>
    <row r="4058" spans="1:10" ht="14.4">
      <c r="A4058" s="25"/>
      <c r="B4058" s="25"/>
      <c r="C4058" s="25"/>
      <c r="D4058" s="25"/>
      <c r="E4058" s="25"/>
      <c r="F4058" s="25"/>
      <c r="G4058" s="25"/>
      <c r="H4058" s="25"/>
      <c r="I4058" s="25"/>
      <c r="J4058" s="25"/>
    </row>
    <row r="4059" spans="1:10" ht="14.4">
      <c r="A4059" s="25"/>
      <c r="B4059" s="25"/>
      <c r="C4059" s="25"/>
      <c r="D4059" s="25"/>
      <c r="E4059" s="25"/>
      <c r="F4059" s="25"/>
      <c r="G4059" s="25"/>
      <c r="H4059" s="25"/>
      <c r="I4059" s="25"/>
      <c r="J4059" s="25"/>
    </row>
    <row r="4060" spans="1:10" ht="14.4">
      <c r="A4060" s="25"/>
      <c r="B4060" s="25"/>
      <c r="C4060" s="25"/>
      <c r="D4060" s="25"/>
      <c r="E4060" s="25"/>
      <c r="F4060" s="25"/>
      <c r="G4060" s="25"/>
      <c r="H4060" s="25"/>
      <c r="I4060" s="25"/>
      <c r="J4060" s="25"/>
    </row>
    <row r="4061" spans="1:10" ht="14.4">
      <c r="A4061" s="25"/>
      <c r="B4061" s="25"/>
      <c r="C4061" s="25"/>
      <c r="D4061" s="25"/>
      <c r="E4061" s="25"/>
      <c r="F4061" s="25"/>
      <c r="G4061" s="25"/>
      <c r="H4061" s="25"/>
      <c r="I4061" s="25"/>
      <c r="J4061" s="25"/>
    </row>
    <row r="4062" spans="1:10" ht="14.4">
      <c r="A4062" s="25"/>
      <c r="B4062" s="25"/>
      <c r="C4062" s="25"/>
      <c r="D4062" s="25"/>
      <c r="E4062" s="25"/>
      <c r="F4062" s="25"/>
      <c r="G4062" s="25"/>
      <c r="H4062" s="25"/>
      <c r="I4062" s="25"/>
      <c r="J4062" s="25"/>
    </row>
    <row r="4063" spans="1:10" ht="14.4">
      <c r="A4063" s="25"/>
      <c r="B4063" s="25"/>
      <c r="C4063" s="25"/>
      <c r="D4063" s="25"/>
      <c r="E4063" s="25"/>
      <c r="F4063" s="25"/>
      <c r="G4063" s="25"/>
      <c r="H4063" s="25"/>
      <c r="I4063" s="25"/>
      <c r="J4063" s="25"/>
    </row>
    <row r="4064" spans="1:10" ht="14.4">
      <c r="A4064" s="25"/>
      <c r="B4064" s="25"/>
      <c r="C4064" s="25"/>
      <c r="D4064" s="25"/>
      <c r="E4064" s="25"/>
      <c r="F4064" s="25"/>
      <c r="G4064" s="25"/>
      <c r="H4064" s="25"/>
      <c r="I4064" s="25"/>
      <c r="J4064" s="25"/>
    </row>
    <row r="4065" spans="1:10" ht="14.4">
      <c r="A4065" s="25"/>
      <c r="B4065" s="25"/>
      <c r="C4065" s="25"/>
      <c r="D4065" s="25"/>
      <c r="E4065" s="25"/>
      <c r="F4065" s="25"/>
      <c r="G4065" s="25"/>
      <c r="H4065" s="25"/>
      <c r="I4065" s="25"/>
      <c r="J4065" s="25"/>
    </row>
    <row r="4066" spans="1:10" ht="14.4">
      <c r="A4066" s="25"/>
      <c r="B4066" s="25"/>
      <c r="C4066" s="25"/>
      <c r="D4066" s="25"/>
      <c r="E4066" s="25"/>
      <c r="F4066" s="25"/>
      <c r="G4066" s="25"/>
      <c r="H4066" s="25"/>
      <c r="I4066" s="25"/>
      <c r="J4066" s="25"/>
    </row>
    <row r="4067" spans="1:10" ht="14.4">
      <c r="A4067" s="25"/>
      <c r="B4067" s="25"/>
      <c r="C4067" s="25"/>
      <c r="D4067" s="25"/>
      <c r="E4067" s="25"/>
      <c r="F4067" s="25"/>
      <c r="G4067" s="25"/>
      <c r="H4067" s="25"/>
      <c r="I4067" s="25"/>
      <c r="J4067" s="25"/>
    </row>
    <row r="4068" spans="1:10" ht="14.4">
      <c r="A4068" s="25"/>
      <c r="B4068" s="25"/>
      <c r="C4068" s="25"/>
      <c r="D4068" s="25"/>
      <c r="E4068" s="25"/>
      <c r="F4068" s="25"/>
      <c r="G4068" s="25"/>
      <c r="H4068" s="25"/>
      <c r="I4068" s="25"/>
      <c r="J4068" s="25"/>
    </row>
    <row r="4069" spans="1:10" ht="14.4">
      <c r="A4069" s="25"/>
      <c r="B4069" s="25"/>
      <c r="C4069" s="25"/>
      <c r="D4069" s="25"/>
      <c r="E4069" s="25"/>
      <c r="F4069" s="25"/>
      <c r="G4069" s="25"/>
      <c r="H4069" s="25"/>
      <c r="I4069" s="25"/>
      <c r="J4069" s="25"/>
    </row>
    <row r="4070" spans="1:10" ht="14.4">
      <c r="A4070" s="25"/>
      <c r="B4070" s="25"/>
      <c r="C4070" s="25"/>
      <c r="D4070" s="25"/>
      <c r="E4070" s="25"/>
      <c r="F4070" s="25"/>
      <c r="G4070" s="25"/>
      <c r="H4070" s="25"/>
      <c r="I4070" s="25"/>
      <c r="J4070" s="25"/>
    </row>
    <row r="4071" spans="1:10" ht="14.4">
      <c r="A4071" s="25"/>
      <c r="B4071" s="25"/>
      <c r="C4071" s="25"/>
      <c r="D4071" s="25"/>
      <c r="E4071" s="25"/>
      <c r="F4071" s="25"/>
      <c r="G4071" s="25"/>
      <c r="H4071" s="25"/>
      <c r="I4071" s="25"/>
      <c r="J4071" s="25"/>
    </row>
    <row r="4072" spans="1:10" ht="14.4">
      <c r="A4072" s="25"/>
      <c r="B4072" s="25"/>
      <c r="C4072" s="25"/>
      <c r="D4072" s="25"/>
      <c r="E4072" s="25"/>
      <c r="F4072" s="25"/>
      <c r="G4072" s="25"/>
      <c r="H4072" s="25"/>
      <c r="I4072" s="25"/>
      <c r="J4072" s="25"/>
    </row>
    <row r="4073" spans="1:10" ht="14.4">
      <c r="A4073" s="25"/>
      <c r="B4073" s="25"/>
      <c r="C4073" s="25"/>
      <c r="D4073" s="25"/>
      <c r="E4073" s="25"/>
      <c r="F4073" s="25"/>
      <c r="G4073" s="25"/>
      <c r="H4073" s="25"/>
      <c r="I4073" s="25"/>
      <c r="J4073" s="25"/>
    </row>
    <row r="4074" spans="1:10" ht="14.4">
      <c r="A4074" s="25"/>
      <c r="B4074" s="25"/>
      <c r="C4074" s="25"/>
      <c r="D4074" s="25"/>
      <c r="E4074" s="25"/>
      <c r="F4074" s="25"/>
      <c r="G4074" s="25"/>
      <c r="H4074" s="25"/>
      <c r="I4074" s="25"/>
      <c r="J4074" s="25"/>
    </row>
    <row r="4075" spans="1:10" ht="14.4">
      <c r="A4075" s="25"/>
      <c r="B4075" s="25"/>
      <c r="C4075" s="25"/>
      <c r="D4075" s="25"/>
      <c r="E4075" s="25"/>
      <c r="F4075" s="25"/>
      <c r="G4075" s="25"/>
      <c r="H4075" s="25"/>
      <c r="I4075" s="25"/>
      <c r="J4075" s="25"/>
    </row>
    <row r="4076" spans="1:10" ht="14.4">
      <c r="A4076" s="25"/>
      <c r="B4076" s="25"/>
      <c r="C4076" s="25"/>
      <c r="D4076" s="25"/>
      <c r="E4076" s="25"/>
      <c r="F4076" s="25"/>
      <c r="G4076" s="25"/>
      <c r="H4076" s="25"/>
      <c r="I4076" s="25"/>
      <c r="J4076" s="25"/>
    </row>
    <row r="4077" spans="1:10" ht="14.4">
      <c r="A4077" s="25"/>
      <c r="B4077" s="25"/>
      <c r="C4077" s="25"/>
      <c r="D4077" s="25"/>
      <c r="E4077" s="25"/>
      <c r="F4077" s="25"/>
      <c r="G4077" s="25"/>
      <c r="H4077" s="25"/>
      <c r="I4077" s="25"/>
      <c r="J4077" s="25"/>
    </row>
    <row r="4078" spans="1:10" ht="14.4">
      <c r="A4078" s="25"/>
      <c r="B4078" s="25"/>
      <c r="C4078" s="25"/>
      <c r="D4078" s="25"/>
      <c r="E4078" s="25"/>
      <c r="F4078" s="25"/>
      <c r="G4078" s="25"/>
      <c r="H4078" s="25"/>
      <c r="I4078" s="25"/>
      <c r="J4078" s="25"/>
    </row>
    <row r="4079" spans="1:10" ht="14.4">
      <c r="A4079" s="25"/>
      <c r="B4079" s="25"/>
      <c r="C4079" s="25"/>
      <c r="D4079" s="25"/>
      <c r="E4079" s="25"/>
      <c r="F4079" s="25"/>
      <c r="G4079" s="25"/>
      <c r="H4079" s="25"/>
      <c r="I4079" s="25"/>
      <c r="J4079" s="25"/>
    </row>
    <row r="4080" spans="1:10" ht="14.4">
      <c r="A4080" s="25"/>
      <c r="B4080" s="25"/>
      <c r="C4080" s="25"/>
      <c r="D4080" s="25"/>
      <c r="E4080" s="25"/>
      <c r="F4080" s="25"/>
      <c r="G4080" s="25"/>
      <c r="H4080" s="25"/>
      <c r="I4080" s="25"/>
      <c r="J4080" s="25"/>
    </row>
    <row r="4081" spans="1:10" ht="14.4">
      <c r="A4081" s="25"/>
      <c r="B4081" s="25"/>
      <c r="C4081" s="25"/>
      <c r="D4081" s="25"/>
      <c r="E4081" s="25"/>
      <c r="F4081" s="25"/>
      <c r="G4081" s="25"/>
      <c r="H4081" s="25"/>
      <c r="I4081" s="25"/>
      <c r="J4081" s="25"/>
    </row>
    <row r="4082" spans="1:10" ht="14.4">
      <c r="A4082" s="25"/>
      <c r="B4082" s="25"/>
      <c r="C4082" s="25"/>
      <c r="D4082" s="25"/>
      <c r="E4082" s="25"/>
      <c r="F4082" s="25"/>
      <c r="G4082" s="25"/>
      <c r="H4082" s="25"/>
      <c r="I4082" s="25"/>
      <c r="J4082" s="25"/>
    </row>
    <row r="4083" spans="1:10" ht="14.4">
      <c r="A4083" s="25"/>
      <c r="B4083" s="25"/>
      <c r="C4083" s="25"/>
      <c r="D4083" s="25"/>
      <c r="E4083" s="25"/>
      <c r="F4083" s="25"/>
      <c r="G4083" s="25"/>
      <c r="H4083" s="25"/>
      <c r="I4083" s="25"/>
      <c r="J4083" s="25"/>
    </row>
    <row r="4084" spans="1:10" ht="14.4">
      <c r="A4084" s="25"/>
      <c r="B4084" s="25"/>
      <c r="C4084" s="25"/>
      <c r="D4084" s="25"/>
      <c r="E4084" s="25"/>
      <c r="F4084" s="25"/>
      <c r="G4084" s="25"/>
      <c r="H4084" s="25"/>
      <c r="I4084" s="25"/>
      <c r="J4084" s="25"/>
    </row>
    <row r="4085" spans="1:10" ht="14.4">
      <c r="A4085" s="25"/>
      <c r="B4085" s="25"/>
      <c r="C4085" s="25"/>
      <c r="D4085" s="25"/>
      <c r="E4085" s="25"/>
      <c r="F4085" s="25"/>
      <c r="G4085" s="25"/>
      <c r="H4085" s="25"/>
      <c r="I4085" s="25"/>
      <c r="J4085" s="25"/>
    </row>
    <row r="4086" spans="1:10" ht="14.4">
      <c r="A4086" s="25"/>
      <c r="B4086" s="25"/>
      <c r="C4086" s="25"/>
      <c r="D4086" s="25"/>
      <c r="E4086" s="25"/>
      <c r="F4086" s="25"/>
      <c r="G4086" s="25"/>
      <c r="H4086" s="25"/>
      <c r="I4086" s="25"/>
      <c r="J4086" s="25"/>
    </row>
    <row r="4087" spans="1:10" ht="14.4">
      <c r="A4087" s="25"/>
      <c r="B4087" s="25"/>
      <c r="C4087" s="25"/>
      <c r="D4087" s="25"/>
      <c r="E4087" s="25"/>
      <c r="F4087" s="25"/>
      <c r="G4087" s="25"/>
      <c r="H4087" s="25"/>
      <c r="I4087" s="25"/>
      <c r="J4087" s="25"/>
    </row>
    <row r="4088" spans="1:10" ht="14.4">
      <c r="A4088" s="25"/>
      <c r="B4088" s="25"/>
      <c r="C4088" s="25"/>
      <c r="D4088" s="25"/>
      <c r="E4088" s="25"/>
      <c r="F4088" s="25"/>
      <c r="G4088" s="25"/>
      <c r="H4088" s="25"/>
      <c r="I4088" s="25"/>
      <c r="J4088" s="25"/>
    </row>
    <row r="4089" spans="1:10" ht="14.4">
      <c r="A4089" s="25"/>
      <c r="B4089" s="25"/>
      <c r="C4089" s="25"/>
      <c r="D4089" s="25"/>
      <c r="E4089" s="25"/>
      <c r="F4089" s="25"/>
      <c r="G4089" s="25"/>
      <c r="H4089" s="25"/>
      <c r="I4089" s="25"/>
      <c r="J4089" s="25"/>
    </row>
    <row r="4090" spans="1:10" ht="14.4">
      <c r="A4090" s="25"/>
      <c r="B4090" s="25"/>
      <c r="C4090" s="25"/>
      <c r="D4090" s="25"/>
      <c r="E4090" s="25"/>
      <c r="F4090" s="25"/>
      <c r="G4090" s="25"/>
      <c r="H4090" s="25"/>
      <c r="I4090" s="25"/>
      <c r="J4090" s="25"/>
    </row>
    <row r="4091" spans="1:10" ht="14.4">
      <c r="A4091" s="25"/>
      <c r="B4091" s="25"/>
      <c r="C4091" s="25"/>
      <c r="D4091" s="25"/>
      <c r="E4091" s="25"/>
      <c r="F4091" s="25"/>
      <c r="G4091" s="25"/>
      <c r="H4091" s="25"/>
      <c r="I4091" s="25"/>
      <c r="J4091" s="25"/>
    </row>
    <row r="4092" spans="1:10" ht="14.4">
      <c r="A4092" s="25"/>
      <c r="B4092" s="25"/>
      <c r="C4092" s="25"/>
      <c r="D4092" s="25"/>
      <c r="E4092" s="25"/>
      <c r="F4092" s="25"/>
      <c r="G4092" s="25"/>
      <c r="H4092" s="25"/>
      <c r="I4092" s="25"/>
      <c r="J4092" s="25"/>
    </row>
    <row r="4093" spans="1:10" ht="14.4">
      <c r="A4093" s="25"/>
      <c r="B4093" s="25"/>
      <c r="C4093" s="25"/>
      <c r="D4093" s="25"/>
      <c r="E4093" s="25"/>
      <c r="F4093" s="25"/>
      <c r="G4093" s="25"/>
      <c r="H4093" s="25"/>
      <c r="I4093" s="25"/>
      <c r="J4093" s="25"/>
    </row>
    <row r="4094" spans="1:10" ht="14.4">
      <c r="A4094" s="25"/>
      <c r="B4094" s="25"/>
      <c r="C4094" s="25"/>
      <c r="D4094" s="25"/>
      <c r="E4094" s="25"/>
      <c r="F4094" s="25"/>
      <c r="G4094" s="25"/>
      <c r="H4094" s="25"/>
      <c r="I4094" s="25"/>
      <c r="J4094" s="25"/>
    </row>
    <row r="4095" spans="1:10" ht="14.4">
      <c r="A4095" s="25"/>
      <c r="B4095" s="25"/>
      <c r="C4095" s="25"/>
      <c r="D4095" s="25"/>
      <c r="E4095" s="25"/>
      <c r="F4095" s="25"/>
      <c r="G4095" s="25"/>
      <c r="H4095" s="25"/>
      <c r="I4095" s="25"/>
      <c r="J4095" s="25"/>
    </row>
    <row r="4096" spans="1:10" ht="14.4">
      <c r="A4096" s="25"/>
      <c r="B4096" s="25"/>
      <c r="C4096" s="25"/>
      <c r="D4096" s="25"/>
      <c r="E4096" s="25"/>
      <c r="F4096" s="25"/>
      <c r="G4096" s="25"/>
      <c r="H4096" s="25"/>
      <c r="I4096" s="25"/>
      <c r="J4096" s="25"/>
    </row>
    <row r="4097" spans="1:10" ht="14.4">
      <c r="A4097" s="25"/>
      <c r="B4097" s="25"/>
      <c r="C4097" s="25"/>
      <c r="D4097" s="25"/>
      <c r="E4097" s="25"/>
      <c r="F4097" s="25"/>
      <c r="G4097" s="25"/>
      <c r="H4097" s="25"/>
      <c r="I4097" s="25"/>
      <c r="J4097" s="25"/>
    </row>
    <row r="4098" spans="1:10" ht="14.4">
      <c r="A4098" s="25"/>
      <c r="B4098" s="25"/>
      <c r="C4098" s="25"/>
      <c r="D4098" s="25"/>
      <c r="E4098" s="25"/>
      <c r="F4098" s="25"/>
      <c r="G4098" s="25"/>
      <c r="H4098" s="25"/>
      <c r="I4098" s="25"/>
      <c r="J4098" s="25"/>
    </row>
    <row r="4099" spans="1:10" ht="14.4">
      <c r="A4099" s="25"/>
      <c r="B4099" s="25"/>
      <c r="C4099" s="25"/>
      <c r="D4099" s="25"/>
      <c r="E4099" s="25"/>
      <c r="F4099" s="25"/>
      <c r="G4099" s="25"/>
      <c r="H4099" s="25"/>
      <c r="I4099" s="25"/>
      <c r="J4099" s="25"/>
    </row>
    <row r="4100" spans="1:10" ht="14.4">
      <c r="A4100" s="25"/>
      <c r="B4100" s="25"/>
      <c r="C4100" s="25"/>
      <c r="D4100" s="25"/>
      <c r="E4100" s="25"/>
      <c r="F4100" s="25"/>
      <c r="G4100" s="25"/>
      <c r="H4100" s="25"/>
      <c r="I4100" s="25"/>
      <c r="J4100" s="25"/>
    </row>
    <row r="4101" spans="1:10" ht="14.4">
      <c r="A4101" s="25"/>
      <c r="B4101" s="25"/>
      <c r="C4101" s="25"/>
      <c r="D4101" s="25"/>
      <c r="E4101" s="25"/>
      <c r="F4101" s="25"/>
      <c r="G4101" s="25"/>
      <c r="H4101" s="25"/>
      <c r="I4101" s="25"/>
      <c r="J4101" s="25"/>
    </row>
    <row r="4102" spans="1:10" ht="14.4">
      <c r="A4102" s="25"/>
      <c r="B4102" s="25"/>
      <c r="C4102" s="25"/>
      <c r="D4102" s="25"/>
      <c r="E4102" s="25"/>
      <c r="F4102" s="25"/>
      <c r="G4102" s="25"/>
      <c r="H4102" s="25"/>
      <c r="I4102" s="25"/>
      <c r="J4102" s="25"/>
    </row>
    <row r="4103" spans="1:10" ht="14.4">
      <c r="A4103" s="25"/>
      <c r="B4103" s="25"/>
      <c r="C4103" s="25"/>
      <c r="D4103" s="25"/>
      <c r="E4103" s="25"/>
      <c r="F4103" s="25"/>
      <c r="G4103" s="25"/>
      <c r="H4103" s="25"/>
      <c r="I4103" s="25"/>
      <c r="J4103" s="25"/>
    </row>
    <row r="4104" spans="1:10" ht="14.4">
      <c r="A4104" s="25"/>
      <c r="B4104" s="25"/>
      <c r="C4104" s="25"/>
      <c r="D4104" s="25"/>
      <c r="E4104" s="25"/>
      <c r="F4104" s="25"/>
      <c r="G4104" s="25"/>
      <c r="H4104" s="25"/>
      <c r="I4104" s="25"/>
      <c r="J4104" s="25"/>
    </row>
    <row r="4105" spans="1:10" ht="14.4">
      <c r="A4105" s="25"/>
      <c r="B4105" s="25"/>
      <c r="C4105" s="25"/>
      <c r="D4105" s="25"/>
      <c r="E4105" s="25"/>
      <c r="F4105" s="25"/>
      <c r="G4105" s="25"/>
      <c r="H4105" s="25"/>
      <c r="I4105" s="25"/>
      <c r="J4105" s="25"/>
    </row>
    <row r="4106" spans="1:10" ht="14.4">
      <c r="A4106" s="25"/>
      <c r="B4106" s="25"/>
      <c r="C4106" s="25"/>
      <c r="D4106" s="25"/>
      <c r="E4106" s="25"/>
      <c r="F4106" s="25"/>
      <c r="G4106" s="25"/>
      <c r="H4106" s="25"/>
      <c r="I4106" s="25"/>
      <c r="J4106" s="25"/>
    </row>
    <row r="4107" spans="1:10" ht="14.4">
      <c r="A4107" s="25"/>
      <c r="B4107" s="25"/>
      <c r="C4107" s="25"/>
      <c r="D4107" s="25"/>
      <c r="E4107" s="25"/>
      <c r="F4107" s="25"/>
      <c r="G4107" s="25"/>
      <c r="H4107" s="25"/>
      <c r="I4107" s="25"/>
      <c r="J4107" s="25"/>
    </row>
    <row r="4108" spans="1:10" ht="14.4">
      <c r="A4108" s="25"/>
      <c r="B4108" s="25"/>
      <c r="C4108" s="25"/>
      <c r="D4108" s="25"/>
      <c r="E4108" s="25"/>
      <c r="F4108" s="25"/>
      <c r="G4108" s="25"/>
      <c r="H4108" s="25"/>
      <c r="I4108" s="25"/>
      <c r="J4108" s="25"/>
    </row>
    <row r="4109" spans="1:10" ht="14.4">
      <c r="A4109" s="25"/>
      <c r="B4109" s="25"/>
      <c r="C4109" s="25"/>
      <c r="D4109" s="25"/>
      <c r="E4109" s="25"/>
      <c r="F4109" s="25"/>
      <c r="G4109" s="25"/>
      <c r="H4109" s="25"/>
      <c r="I4109" s="25"/>
      <c r="J4109" s="25"/>
    </row>
    <row r="4110" spans="1:10" ht="14.4">
      <c r="A4110" s="25"/>
      <c r="B4110" s="25"/>
      <c r="C4110" s="25"/>
      <c r="D4110" s="25"/>
      <c r="E4110" s="25"/>
      <c r="F4110" s="25"/>
      <c r="G4110" s="25"/>
      <c r="H4110" s="25"/>
      <c r="I4110" s="25"/>
      <c r="J4110" s="25"/>
    </row>
    <row r="4111" spans="1:10" ht="14.4">
      <c r="A4111" s="25"/>
      <c r="B4111" s="25"/>
      <c r="C4111" s="25"/>
      <c r="D4111" s="25"/>
      <c r="E4111" s="25"/>
      <c r="F4111" s="25"/>
      <c r="G4111" s="25"/>
      <c r="H4111" s="25"/>
      <c r="I4111" s="25"/>
      <c r="J4111" s="25"/>
    </row>
    <row r="4112" spans="1:10" ht="14.4">
      <c r="A4112" s="25"/>
      <c r="B4112" s="25"/>
      <c r="C4112" s="25"/>
      <c r="D4112" s="25"/>
      <c r="E4112" s="25"/>
      <c r="F4112" s="25"/>
      <c r="G4112" s="25"/>
      <c r="H4112" s="25"/>
      <c r="I4112" s="25"/>
      <c r="J4112" s="25"/>
    </row>
    <row r="4113" spans="1:10" ht="14.4">
      <c r="A4113" s="25"/>
      <c r="B4113" s="25"/>
      <c r="C4113" s="25"/>
      <c r="D4113" s="25"/>
      <c r="E4113" s="25"/>
      <c r="F4113" s="25"/>
      <c r="G4113" s="25"/>
      <c r="H4113" s="25"/>
      <c r="I4113" s="25"/>
      <c r="J4113" s="25"/>
    </row>
    <row r="4114" spans="1:10" ht="14.4">
      <c r="A4114" s="25"/>
      <c r="B4114" s="25"/>
      <c r="C4114" s="25"/>
      <c r="D4114" s="25"/>
      <c r="E4114" s="25"/>
      <c r="F4114" s="25"/>
      <c r="G4114" s="25"/>
      <c r="H4114" s="25"/>
      <c r="I4114" s="25"/>
      <c r="J4114" s="25"/>
    </row>
    <row r="4115" spans="1:10" ht="14.4">
      <c r="A4115" s="25"/>
      <c r="B4115" s="25"/>
      <c r="C4115" s="25"/>
      <c r="D4115" s="25"/>
      <c r="E4115" s="25"/>
      <c r="F4115" s="25"/>
      <c r="G4115" s="25"/>
      <c r="H4115" s="25"/>
      <c r="I4115" s="25"/>
      <c r="J4115" s="25"/>
    </row>
    <row r="4116" spans="1:10" ht="14.4">
      <c r="A4116" s="25"/>
      <c r="B4116" s="25"/>
      <c r="C4116" s="25"/>
      <c r="D4116" s="25"/>
      <c r="E4116" s="25"/>
      <c r="F4116" s="25"/>
      <c r="G4116" s="25"/>
      <c r="H4116" s="25"/>
      <c r="I4116" s="25"/>
      <c r="J4116" s="25"/>
    </row>
    <row r="4117" spans="1:10" ht="14.4">
      <c r="A4117" s="25"/>
      <c r="B4117" s="25"/>
      <c r="C4117" s="25"/>
      <c r="D4117" s="25"/>
      <c r="E4117" s="25"/>
      <c r="F4117" s="25"/>
      <c r="G4117" s="25"/>
      <c r="H4117" s="25"/>
      <c r="I4117" s="25"/>
      <c r="J4117" s="25"/>
    </row>
    <row r="4118" spans="1:10" ht="14.4">
      <c r="A4118" s="25"/>
      <c r="B4118" s="25"/>
      <c r="C4118" s="25"/>
      <c r="D4118" s="25"/>
      <c r="E4118" s="25"/>
      <c r="F4118" s="25"/>
      <c r="G4118" s="25"/>
      <c r="H4118" s="25"/>
      <c r="I4118" s="25"/>
      <c r="J4118" s="25"/>
    </row>
    <row r="4119" spans="1:10" ht="14.4">
      <c r="A4119" s="25"/>
      <c r="B4119" s="25"/>
      <c r="C4119" s="25"/>
      <c r="D4119" s="25"/>
      <c r="E4119" s="25"/>
      <c r="F4119" s="25"/>
      <c r="G4119" s="25"/>
      <c r="H4119" s="25"/>
      <c r="I4119" s="25"/>
      <c r="J4119" s="25"/>
    </row>
    <row r="4120" spans="1:10" ht="14.4">
      <c r="A4120" s="25"/>
      <c r="B4120" s="25"/>
      <c r="C4120" s="25"/>
      <c r="D4120" s="25"/>
      <c r="E4120" s="25"/>
      <c r="F4120" s="25"/>
      <c r="G4120" s="25"/>
      <c r="H4120" s="25"/>
      <c r="I4120" s="25"/>
      <c r="J4120" s="25"/>
    </row>
    <row r="4121" spans="1:10" ht="14.4">
      <c r="A4121" s="25"/>
      <c r="B4121" s="25"/>
      <c r="C4121" s="25"/>
      <c r="D4121" s="25"/>
      <c r="E4121" s="25"/>
      <c r="F4121" s="25"/>
      <c r="G4121" s="25"/>
      <c r="H4121" s="25"/>
      <c r="I4121" s="25"/>
      <c r="J4121" s="25"/>
    </row>
    <row r="4122" spans="1:10" ht="14.4">
      <c r="A4122" s="25"/>
      <c r="B4122" s="25"/>
      <c r="C4122" s="25"/>
      <c r="D4122" s="25"/>
      <c r="E4122" s="25"/>
      <c r="F4122" s="25"/>
      <c r="G4122" s="25"/>
      <c r="H4122" s="25"/>
      <c r="I4122" s="25"/>
      <c r="J4122" s="25"/>
    </row>
    <row r="4123" spans="1:10" ht="14.4">
      <c r="A4123" s="25"/>
      <c r="B4123" s="25"/>
      <c r="C4123" s="25"/>
      <c r="D4123" s="25"/>
      <c r="E4123" s="25"/>
      <c r="F4123" s="25"/>
      <c r="G4123" s="25"/>
      <c r="H4123" s="25"/>
      <c r="I4123" s="25"/>
      <c r="J4123" s="25"/>
    </row>
    <row r="4124" spans="1:10" ht="14.4">
      <c r="A4124" s="25"/>
      <c r="B4124" s="25"/>
      <c r="C4124" s="25"/>
      <c r="D4124" s="25"/>
      <c r="E4124" s="25"/>
      <c r="F4124" s="25"/>
      <c r="G4124" s="25"/>
      <c r="H4124" s="25"/>
      <c r="I4124" s="25"/>
      <c r="J4124" s="25"/>
    </row>
    <row r="4125" spans="1:10" ht="14.4">
      <c r="A4125" s="25"/>
      <c r="B4125" s="25"/>
      <c r="C4125" s="25"/>
      <c r="D4125" s="25"/>
      <c r="E4125" s="25"/>
      <c r="F4125" s="25"/>
      <c r="G4125" s="25"/>
      <c r="H4125" s="25"/>
      <c r="I4125" s="25"/>
      <c r="J4125" s="25"/>
    </row>
    <row r="4126" spans="1:10" ht="14.4">
      <c r="A4126" s="25"/>
      <c r="B4126" s="25"/>
      <c r="C4126" s="25"/>
      <c r="D4126" s="25"/>
      <c r="E4126" s="25"/>
      <c r="F4126" s="25"/>
      <c r="G4126" s="25"/>
      <c r="H4126" s="25"/>
      <c r="I4126" s="25"/>
      <c r="J4126" s="25"/>
    </row>
    <row r="4127" spans="1:10" ht="14.4">
      <c r="A4127" s="25"/>
      <c r="B4127" s="25"/>
      <c r="C4127" s="25"/>
      <c r="D4127" s="25"/>
      <c r="E4127" s="25"/>
      <c r="F4127" s="25"/>
      <c r="G4127" s="25"/>
      <c r="H4127" s="25"/>
      <c r="I4127" s="25"/>
      <c r="J4127" s="25"/>
    </row>
    <row r="4128" spans="1:10" ht="14.4">
      <c r="A4128" s="25"/>
      <c r="B4128" s="25"/>
      <c r="C4128" s="25"/>
      <c r="D4128" s="25"/>
      <c r="E4128" s="25"/>
      <c r="F4128" s="25"/>
      <c r="G4128" s="25"/>
      <c r="H4128" s="25"/>
      <c r="I4128" s="25"/>
      <c r="J4128" s="25"/>
    </row>
    <row r="4129" spans="1:10" ht="14.4">
      <c r="A4129" s="25"/>
      <c r="B4129" s="25"/>
      <c r="C4129" s="25"/>
      <c r="D4129" s="25"/>
      <c r="E4129" s="25"/>
      <c r="F4129" s="25"/>
      <c r="G4129" s="25"/>
      <c r="H4129" s="25"/>
      <c r="I4129" s="25"/>
      <c r="J4129" s="25"/>
    </row>
    <row r="4130" spans="1:10" ht="14.4">
      <c r="A4130" s="25"/>
      <c r="B4130" s="25"/>
      <c r="C4130" s="25"/>
      <c r="D4130" s="25"/>
      <c r="E4130" s="25"/>
      <c r="F4130" s="25"/>
      <c r="G4130" s="25"/>
      <c r="H4130" s="25"/>
      <c r="I4130" s="25"/>
      <c r="J4130" s="25"/>
    </row>
    <row r="4131" spans="1:10" ht="14.4">
      <c r="A4131" s="25"/>
      <c r="B4131" s="25"/>
      <c r="C4131" s="25"/>
      <c r="D4131" s="25"/>
      <c r="E4131" s="25"/>
      <c r="F4131" s="25"/>
      <c r="G4131" s="25"/>
      <c r="H4131" s="25"/>
      <c r="I4131" s="25"/>
      <c r="J4131" s="25"/>
    </row>
    <row r="4132" spans="1:10" ht="14.4">
      <c r="A4132" s="25"/>
      <c r="B4132" s="25"/>
      <c r="C4132" s="25"/>
      <c r="D4132" s="25"/>
      <c r="E4132" s="25"/>
      <c r="F4132" s="25"/>
      <c r="G4132" s="25"/>
      <c r="H4132" s="25"/>
      <c r="I4132" s="25"/>
      <c r="J4132" s="25"/>
    </row>
    <row r="4133" spans="1:10" ht="14.4">
      <c r="A4133" s="25"/>
      <c r="B4133" s="25"/>
      <c r="C4133" s="25"/>
      <c r="D4133" s="25"/>
      <c r="E4133" s="25"/>
      <c r="F4133" s="25"/>
      <c r="G4133" s="25"/>
      <c r="H4133" s="25"/>
      <c r="I4133" s="25"/>
      <c r="J4133" s="25"/>
    </row>
    <row r="4134" spans="1:10" ht="14.4">
      <c r="A4134" s="25"/>
      <c r="B4134" s="25"/>
      <c r="C4134" s="25"/>
      <c r="D4134" s="25"/>
      <c r="E4134" s="25"/>
      <c r="F4134" s="25"/>
      <c r="G4134" s="25"/>
      <c r="H4134" s="25"/>
      <c r="I4134" s="25"/>
      <c r="J4134" s="25"/>
    </row>
    <row r="4135" spans="1:10" ht="14.4">
      <c r="A4135" s="25"/>
      <c r="B4135" s="25"/>
      <c r="C4135" s="25"/>
      <c r="D4135" s="25"/>
      <c r="E4135" s="25"/>
      <c r="F4135" s="25"/>
      <c r="G4135" s="25"/>
      <c r="H4135" s="25"/>
      <c r="I4135" s="25"/>
      <c r="J4135" s="25"/>
    </row>
    <row r="4136" spans="1:10" ht="14.4">
      <c r="A4136" s="25"/>
      <c r="B4136" s="25"/>
      <c r="C4136" s="25"/>
      <c r="D4136" s="25"/>
      <c r="E4136" s="25"/>
      <c r="F4136" s="25"/>
      <c r="G4136" s="25"/>
      <c r="H4136" s="25"/>
      <c r="I4136" s="25"/>
      <c r="J4136" s="25"/>
    </row>
    <row r="4137" spans="1:10" ht="14.4">
      <c r="A4137" s="25"/>
      <c r="B4137" s="25"/>
      <c r="C4137" s="25"/>
      <c r="D4137" s="25"/>
      <c r="E4137" s="25"/>
      <c r="F4137" s="25"/>
      <c r="G4137" s="25"/>
      <c r="H4137" s="25"/>
      <c r="I4137" s="25"/>
      <c r="J4137" s="25"/>
    </row>
    <row r="4138" spans="1:10" ht="14.4">
      <c r="A4138" s="25"/>
      <c r="B4138" s="25"/>
      <c r="C4138" s="25"/>
      <c r="D4138" s="25"/>
      <c r="E4138" s="25"/>
      <c r="F4138" s="25"/>
      <c r="G4138" s="25"/>
      <c r="H4138" s="25"/>
      <c r="I4138" s="25"/>
      <c r="J4138" s="25"/>
    </row>
    <row r="4139" spans="1:10" ht="14.4">
      <c r="A4139" s="25"/>
      <c r="B4139" s="25"/>
      <c r="C4139" s="25"/>
      <c r="D4139" s="25"/>
      <c r="E4139" s="25"/>
      <c r="F4139" s="25"/>
      <c r="G4139" s="25"/>
      <c r="H4139" s="25"/>
      <c r="I4139" s="25"/>
      <c r="J4139" s="25"/>
    </row>
    <row r="4140" spans="1:10" ht="14.4">
      <c r="A4140" s="25"/>
      <c r="B4140" s="25"/>
      <c r="C4140" s="25"/>
      <c r="D4140" s="25"/>
      <c r="E4140" s="25"/>
      <c r="F4140" s="25"/>
      <c r="G4140" s="25"/>
      <c r="H4140" s="25"/>
      <c r="I4140" s="25"/>
      <c r="J4140" s="25"/>
    </row>
    <row r="4141" spans="1:10" ht="14.4">
      <c r="A4141" s="25"/>
      <c r="B4141" s="25"/>
      <c r="C4141" s="25"/>
      <c r="D4141" s="25"/>
      <c r="E4141" s="25"/>
      <c r="F4141" s="25"/>
      <c r="G4141" s="25"/>
      <c r="H4141" s="25"/>
      <c r="I4141" s="25"/>
      <c r="J4141" s="25"/>
    </row>
    <row r="4142" spans="1:10" ht="14.4">
      <c r="A4142" s="25"/>
      <c r="B4142" s="25"/>
      <c r="C4142" s="25"/>
      <c r="D4142" s="25"/>
      <c r="E4142" s="25"/>
      <c r="F4142" s="25"/>
      <c r="G4142" s="25"/>
      <c r="H4142" s="25"/>
      <c r="I4142" s="25"/>
      <c r="J4142" s="25"/>
    </row>
    <row r="4143" spans="1:10" ht="14.4">
      <c r="A4143" s="25"/>
      <c r="B4143" s="25"/>
      <c r="C4143" s="25"/>
      <c r="D4143" s="25"/>
      <c r="E4143" s="25"/>
      <c r="F4143" s="25"/>
      <c r="G4143" s="25"/>
      <c r="H4143" s="25"/>
      <c r="I4143" s="25"/>
      <c r="J4143" s="25"/>
    </row>
    <row r="4144" spans="1:10" ht="14.4">
      <c r="A4144" s="25"/>
      <c r="B4144" s="25"/>
      <c r="C4144" s="25"/>
      <c r="D4144" s="25"/>
      <c r="E4144" s="25"/>
      <c r="F4144" s="25"/>
      <c r="G4144" s="25"/>
      <c r="H4144" s="25"/>
      <c r="I4144" s="25"/>
      <c r="J4144" s="25"/>
    </row>
    <row r="4145" spans="1:10" ht="14.4">
      <c r="A4145" s="25"/>
      <c r="B4145" s="25"/>
      <c r="C4145" s="25"/>
      <c r="D4145" s="25"/>
      <c r="E4145" s="25"/>
      <c r="F4145" s="25"/>
      <c r="G4145" s="25"/>
      <c r="H4145" s="25"/>
      <c r="I4145" s="25"/>
      <c r="J4145" s="25"/>
    </row>
    <row r="4146" spans="1:10" ht="14.4">
      <c r="A4146" s="25"/>
      <c r="B4146" s="25"/>
      <c r="C4146" s="25"/>
      <c r="D4146" s="25"/>
      <c r="E4146" s="25"/>
      <c r="F4146" s="25"/>
      <c r="G4146" s="25"/>
      <c r="H4146" s="25"/>
      <c r="I4146" s="25"/>
      <c r="J4146" s="25"/>
    </row>
    <row r="4147" spans="1:10" ht="14.4">
      <c r="A4147" s="25"/>
      <c r="B4147" s="25"/>
      <c r="C4147" s="25"/>
      <c r="D4147" s="25"/>
      <c r="E4147" s="25"/>
      <c r="F4147" s="25"/>
      <c r="G4147" s="25"/>
      <c r="H4147" s="25"/>
      <c r="I4147" s="25"/>
      <c r="J4147" s="25"/>
    </row>
    <row r="4148" spans="1:10" ht="14.4">
      <c r="A4148" s="25"/>
      <c r="B4148" s="25"/>
      <c r="C4148" s="25"/>
      <c r="D4148" s="25"/>
      <c r="E4148" s="25"/>
      <c r="F4148" s="25"/>
      <c r="G4148" s="25"/>
      <c r="H4148" s="25"/>
      <c r="I4148" s="25"/>
      <c r="J4148" s="25"/>
    </row>
    <row r="4149" spans="1:10" ht="14.4">
      <c r="A4149" s="25"/>
      <c r="B4149" s="25"/>
      <c r="C4149" s="25"/>
      <c r="D4149" s="25"/>
      <c r="E4149" s="25"/>
      <c r="F4149" s="25"/>
      <c r="G4149" s="25"/>
      <c r="H4149" s="25"/>
      <c r="I4149" s="25"/>
      <c r="J4149" s="25"/>
    </row>
    <row r="4150" spans="1:10" ht="14.4">
      <c r="A4150" s="25"/>
      <c r="B4150" s="25"/>
      <c r="C4150" s="25"/>
      <c r="D4150" s="25"/>
      <c r="E4150" s="25"/>
      <c r="F4150" s="25"/>
      <c r="G4150" s="25"/>
      <c r="H4150" s="25"/>
      <c r="I4150" s="25"/>
      <c r="J4150" s="25"/>
    </row>
    <row r="4151" spans="1:10" ht="14.4">
      <c r="A4151" s="25"/>
      <c r="B4151" s="25"/>
      <c r="C4151" s="25"/>
      <c r="D4151" s="25"/>
      <c r="E4151" s="25"/>
      <c r="F4151" s="25"/>
      <c r="G4151" s="25"/>
      <c r="H4151" s="25"/>
      <c r="I4151" s="25"/>
      <c r="J4151" s="25"/>
    </row>
    <row r="4152" spans="1:10" ht="14.4">
      <c r="A4152" s="25"/>
      <c r="B4152" s="25"/>
      <c r="C4152" s="25"/>
      <c r="D4152" s="25"/>
      <c r="E4152" s="25"/>
      <c r="F4152" s="25"/>
      <c r="G4152" s="25"/>
      <c r="H4152" s="25"/>
      <c r="I4152" s="25"/>
      <c r="J4152" s="25"/>
    </row>
    <row r="4153" spans="1:10" ht="14.4">
      <c r="A4153" s="25"/>
      <c r="B4153" s="25"/>
      <c r="C4153" s="25"/>
      <c r="D4153" s="25"/>
      <c r="E4153" s="25"/>
      <c r="F4153" s="25"/>
      <c r="G4153" s="25"/>
      <c r="H4153" s="25"/>
      <c r="I4153" s="25"/>
      <c r="J4153" s="25"/>
    </row>
    <row r="4154" spans="1:10" ht="14.4">
      <c r="A4154" s="25"/>
      <c r="B4154" s="25"/>
      <c r="C4154" s="25"/>
      <c r="D4154" s="25"/>
      <c r="E4154" s="25"/>
      <c r="F4154" s="25"/>
      <c r="G4154" s="25"/>
      <c r="H4154" s="25"/>
      <c r="I4154" s="25"/>
      <c r="J4154" s="25"/>
    </row>
    <row r="4155" spans="1:10" ht="14.4">
      <c r="A4155" s="25"/>
      <c r="B4155" s="25"/>
      <c r="C4155" s="25"/>
      <c r="D4155" s="25"/>
      <c r="E4155" s="25"/>
      <c r="F4155" s="25"/>
      <c r="G4155" s="25"/>
      <c r="H4155" s="25"/>
      <c r="I4155" s="25"/>
      <c r="J4155" s="25"/>
    </row>
    <row r="4156" spans="1:10" ht="14.4">
      <c r="A4156" s="25"/>
      <c r="B4156" s="25"/>
      <c r="C4156" s="25"/>
      <c r="D4156" s="25"/>
      <c r="E4156" s="25"/>
      <c r="F4156" s="25"/>
      <c r="G4156" s="25"/>
      <c r="H4156" s="25"/>
      <c r="I4156" s="25"/>
      <c r="J4156" s="25"/>
    </row>
    <row r="4157" spans="1:10" ht="14.4">
      <c r="A4157" s="25"/>
      <c r="B4157" s="25"/>
      <c r="C4157" s="25"/>
      <c r="D4157" s="25"/>
      <c r="E4157" s="25"/>
      <c r="F4157" s="25"/>
      <c r="G4157" s="25"/>
      <c r="H4157" s="25"/>
      <c r="I4157" s="25"/>
      <c r="J4157" s="25"/>
    </row>
    <row r="4158" spans="1:10" ht="14.4">
      <c r="A4158" s="25"/>
      <c r="B4158" s="25"/>
      <c r="C4158" s="25"/>
      <c r="D4158" s="25"/>
      <c r="E4158" s="25"/>
      <c r="F4158" s="25"/>
      <c r="G4158" s="25"/>
      <c r="H4158" s="25"/>
      <c r="I4158" s="25"/>
      <c r="J4158" s="25"/>
    </row>
    <row r="4159" spans="1:10" ht="14.4">
      <c r="A4159" s="25"/>
      <c r="B4159" s="25"/>
      <c r="C4159" s="25"/>
      <c r="D4159" s="25"/>
      <c r="E4159" s="25"/>
      <c r="F4159" s="25"/>
      <c r="G4159" s="25"/>
      <c r="H4159" s="25"/>
      <c r="I4159" s="25"/>
      <c r="J4159" s="25"/>
    </row>
    <row r="4160" spans="1:10" ht="14.4">
      <c r="A4160" s="25"/>
      <c r="B4160" s="25"/>
      <c r="C4160" s="25"/>
      <c r="D4160" s="25"/>
      <c r="E4160" s="25"/>
      <c r="F4160" s="25"/>
      <c r="G4160" s="25"/>
      <c r="H4160" s="25"/>
      <c r="I4160" s="25"/>
      <c r="J4160" s="25"/>
    </row>
    <row r="4161" spans="1:10" ht="14.4">
      <c r="A4161" s="25"/>
      <c r="B4161" s="25"/>
      <c r="C4161" s="25"/>
      <c r="D4161" s="25"/>
      <c r="E4161" s="25"/>
      <c r="F4161" s="25"/>
      <c r="G4161" s="25"/>
      <c r="H4161" s="25"/>
      <c r="I4161" s="25"/>
      <c r="J4161" s="25"/>
    </row>
    <row r="4162" spans="1:10" ht="14.4">
      <c r="A4162" s="25"/>
      <c r="B4162" s="25"/>
      <c r="C4162" s="25"/>
      <c r="D4162" s="25"/>
      <c r="E4162" s="25"/>
      <c r="F4162" s="25"/>
      <c r="G4162" s="25"/>
      <c r="H4162" s="25"/>
      <c r="I4162" s="25"/>
      <c r="J4162" s="25"/>
    </row>
    <row r="4163" spans="1:10" ht="14.4">
      <c r="A4163" s="25"/>
      <c r="B4163" s="25"/>
      <c r="C4163" s="25"/>
      <c r="D4163" s="25"/>
      <c r="E4163" s="25"/>
      <c r="F4163" s="25"/>
      <c r="G4163" s="25"/>
      <c r="H4163" s="25"/>
      <c r="I4163" s="25"/>
      <c r="J4163" s="25"/>
    </row>
    <row r="4164" spans="1:10" ht="14.4">
      <c r="A4164" s="25"/>
      <c r="B4164" s="25"/>
      <c r="C4164" s="25"/>
      <c r="D4164" s="25"/>
      <c r="E4164" s="25"/>
      <c r="F4164" s="25"/>
      <c r="G4164" s="25"/>
      <c r="H4164" s="25"/>
      <c r="I4164" s="25"/>
      <c r="J4164" s="25"/>
    </row>
    <row r="4165" spans="1:10" ht="14.4">
      <c r="A4165" s="25"/>
      <c r="B4165" s="25"/>
      <c r="C4165" s="25"/>
      <c r="D4165" s="25"/>
      <c r="E4165" s="25"/>
      <c r="F4165" s="25"/>
      <c r="G4165" s="25"/>
      <c r="H4165" s="25"/>
      <c r="I4165" s="25"/>
      <c r="J4165" s="25"/>
    </row>
    <row r="4166" spans="1:10" ht="14.4">
      <c r="A4166" s="25"/>
      <c r="B4166" s="25"/>
      <c r="C4166" s="25"/>
      <c r="D4166" s="25"/>
      <c r="E4166" s="25"/>
      <c r="F4166" s="25"/>
      <c r="G4166" s="25"/>
      <c r="H4166" s="25"/>
      <c r="I4166" s="25"/>
      <c r="J4166" s="25"/>
    </row>
    <row r="4167" spans="1:10" ht="14.4">
      <c r="A4167" s="25"/>
      <c r="B4167" s="25"/>
      <c r="C4167" s="25"/>
      <c r="D4167" s="25"/>
      <c r="E4167" s="25"/>
      <c r="F4167" s="25"/>
      <c r="G4167" s="25"/>
      <c r="H4167" s="25"/>
      <c r="I4167" s="25"/>
      <c r="J4167" s="25"/>
    </row>
    <row r="4168" spans="1:10" ht="14.4">
      <c r="A4168" s="25"/>
      <c r="B4168" s="25"/>
      <c r="C4168" s="25"/>
      <c r="D4168" s="25"/>
      <c r="E4168" s="25"/>
      <c r="F4168" s="25"/>
      <c r="G4168" s="25"/>
      <c r="H4168" s="25"/>
      <c r="I4168" s="25"/>
      <c r="J4168" s="25"/>
    </row>
    <row r="4169" spans="1:10" ht="14.4">
      <c r="A4169" s="25"/>
      <c r="B4169" s="25"/>
      <c r="C4169" s="25"/>
      <c r="D4169" s="25"/>
      <c r="E4169" s="25"/>
      <c r="F4169" s="25"/>
      <c r="G4169" s="25"/>
      <c r="H4169" s="25"/>
      <c r="I4169" s="25"/>
      <c r="J4169" s="25"/>
    </row>
    <row r="4170" spans="1:10" ht="14.4">
      <c r="A4170" s="25"/>
      <c r="B4170" s="25"/>
      <c r="C4170" s="25"/>
      <c r="D4170" s="25"/>
      <c r="E4170" s="25"/>
      <c r="F4170" s="25"/>
      <c r="G4170" s="25"/>
      <c r="H4170" s="25"/>
      <c r="I4170" s="25"/>
      <c r="J4170" s="25"/>
    </row>
    <row r="4171" spans="1:10" ht="14.4">
      <c r="A4171" s="25"/>
      <c r="B4171" s="25"/>
      <c r="C4171" s="25"/>
      <c r="D4171" s="25"/>
      <c r="E4171" s="25"/>
      <c r="F4171" s="25"/>
      <c r="G4171" s="25"/>
      <c r="H4171" s="25"/>
      <c r="I4171" s="25"/>
      <c r="J4171" s="25"/>
    </row>
    <row r="4172" spans="1:10" ht="14.4">
      <c r="A4172" s="25"/>
      <c r="B4172" s="25"/>
      <c r="C4172" s="25"/>
      <c r="D4172" s="25"/>
      <c r="E4172" s="25"/>
      <c r="F4172" s="25"/>
      <c r="G4172" s="25"/>
      <c r="H4172" s="25"/>
      <c r="I4172" s="25"/>
      <c r="J4172" s="25"/>
    </row>
    <row r="4173" spans="1:10" ht="14.4">
      <c r="A4173" s="25"/>
      <c r="B4173" s="25"/>
      <c r="C4173" s="25"/>
      <c r="D4173" s="25"/>
      <c r="E4173" s="25"/>
      <c r="F4173" s="25"/>
      <c r="G4173" s="25"/>
      <c r="H4173" s="25"/>
      <c r="I4173" s="25"/>
      <c r="J4173" s="25"/>
    </row>
    <row r="4174" spans="1:10" ht="14.4">
      <c r="A4174" s="25"/>
      <c r="B4174" s="25"/>
      <c r="C4174" s="25"/>
      <c r="D4174" s="25"/>
      <c r="E4174" s="25"/>
      <c r="F4174" s="25"/>
      <c r="G4174" s="25"/>
      <c r="H4174" s="25"/>
      <c r="I4174" s="25"/>
      <c r="J4174" s="25"/>
    </row>
    <row r="4175" spans="1:10" ht="14.4">
      <c r="A4175" s="25"/>
      <c r="B4175" s="25"/>
      <c r="C4175" s="25"/>
      <c r="D4175" s="25"/>
      <c r="E4175" s="25"/>
      <c r="F4175" s="25"/>
      <c r="G4175" s="25"/>
      <c r="H4175" s="25"/>
      <c r="I4175" s="25"/>
      <c r="J4175" s="25"/>
    </row>
    <row r="4176" spans="1:10" ht="14.4">
      <c r="A4176" s="25"/>
      <c r="B4176" s="25"/>
      <c r="C4176" s="25"/>
      <c r="D4176" s="25"/>
      <c r="E4176" s="25"/>
      <c r="F4176" s="25"/>
      <c r="G4176" s="25"/>
      <c r="H4176" s="25"/>
      <c r="I4176" s="25"/>
      <c r="J4176" s="25"/>
    </row>
    <row r="4177" spans="1:10" ht="14.4">
      <c r="A4177" s="25"/>
      <c r="B4177" s="25"/>
      <c r="C4177" s="25"/>
      <c r="D4177" s="25"/>
      <c r="E4177" s="25"/>
      <c r="F4177" s="25"/>
      <c r="G4177" s="25"/>
      <c r="H4177" s="25"/>
      <c r="I4177" s="25"/>
      <c r="J4177" s="25"/>
    </row>
    <row r="4178" spans="1:10" ht="14.4">
      <c r="A4178" s="25"/>
      <c r="B4178" s="25"/>
      <c r="C4178" s="25"/>
      <c r="D4178" s="25"/>
      <c r="E4178" s="25"/>
      <c r="F4178" s="25"/>
      <c r="G4178" s="25"/>
      <c r="H4178" s="25"/>
      <c r="I4178" s="25"/>
      <c r="J4178" s="25"/>
    </row>
    <row r="4179" spans="1:10" ht="14.4">
      <c r="A4179" s="25"/>
      <c r="B4179" s="25"/>
      <c r="C4179" s="25"/>
      <c r="D4179" s="25"/>
      <c r="E4179" s="25"/>
      <c r="F4179" s="25"/>
      <c r="G4179" s="25"/>
      <c r="H4179" s="25"/>
      <c r="I4179" s="25"/>
      <c r="J4179" s="25"/>
    </row>
    <row r="4180" spans="1:10" ht="14.4">
      <c r="A4180" s="25"/>
      <c r="B4180" s="25"/>
      <c r="C4180" s="25"/>
      <c r="D4180" s="25"/>
      <c r="E4180" s="25"/>
      <c r="F4180" s="25"/>
      <c r="G4180" s="25"/>
      <c r="H4180" s="25"/>
      <c r="I4180" s="25"/>
      <c r="J4180" s="25"/>
    </row>
    <row r="4181" spans="1:10" ht="14.4">
      <c r="A4181" s="25"/>
      <c r="B4181" s="25"/>
      <c r="C4181" s="25"/>
      <c r="D4181" s="25"/>
      <c r="E4181" s="25"/>
      <c r="F4181" s="25"/>
      <c r="G4181" s="25"/>
      <c r="H4181" s="25"/>
      <c r="I4181" s="25"/>
      <c r="J4181" s="25"/>
    </row>
    <row r="4182" spans="1:10" ht="14.4">
      <c r="A4182" s="25"/>
      <c r="B4182" s="25"/>
      <c r="C4182" s="25"/>
      <c r="D4182" s="25"/>
      <c r="E4182" s="25"/>
      <c r="F4182" s="25"/>
      <c r="G4182" s="25"/>
      <c r="H4182" s="25"/>
      <c r="I4182" s="25"/>
      <c r="J4182" s="25"/>
    </row>
    <row r="4183" spans="1:10" ht="14.4">
      <c r="A4183" s="25"/>
      <c r="B4183" s="25"/>
      <c r="C4183" s="25"/>
      <c r="D4183" s="25"/>
      <c r="E4183" s="25"/>
      <c r="F4183" s="25"/>
      <c r="G4183" s="25"/>
      <c r="H4183" s="25"/>
      <c r="I4183" s="25"/>
      <c r="J4183" s="25"/>
    </row>
    <row r="4184" spans="1:10" ht="14.4">
      <c r="A4184" s="25"/>
      <c r="B4184" s="25"/>
      <c r="C4184" s="25"/>
      <c r="D4184" s="25"/>
      <c r="E4184" s="25"/>
      <c r="F4184" s="25"/>
      <c r="G4184" s="25"/>
      <c r="H4184" s="25"/>
      <c r="I4184" s="25"/>
      <c r="J4184" s="25"/>
    </row>
    <row r="4185" spans="1:10" ht="14.4">
      <c r="A4185" s="25"/>
      <c r="B4185" s="25"/>
      <c r="C4185" s="25"/>
      <c r="D4185" s="25"/>
      <c r="E4185" s="25"/>
      <c r="F4185" s="25"/>
      <c r="G4185" s="25"/>
      <c r="H4185" s="25"/>
      <c r="I4185" s="25"/>
      <c r="J4185" s="25"/>
    </row>
    <row r="4186" spans="1:10" ht="14.4">
      <c r="A4186" s="25"/>
      <c r="B4186" s="25"/>
      <c r="C4186" s="25"/>
      <c r="D4186" s="25"/>
      <c r="E4186" s="25"/>
      <c r="F4186" s="25"/>
      <c r="G4186" s="25"/>
      <c r="H4186" s="25"/>
      <c r="I4186" s="25"/>
      <c r="J4186" s="25"/>
    </row>
    <row r="4187" spans="1:10" ht="14.4">
      <c r="A4187" s="25"/>
      <c r="B4187" s="25"/>
      <c r="C4187" s="25"/>
      <c r="D4187" s="25"/>
      <c r="E4187" s="25"/>
      <c r="F4187" s="25"/>
      <c r="G4187" s="25"/>
      <c r="H4187" s="25"/>
      <c r="I4187" s="25"/>
      <c r="J4187" s="25"/>
    </row>
    <row r="4188" spans="1:10" ht="14.4">
      <c r="A4188" s="25"/>
      <c r="B4188" s="25"/>
      <c r="C4188" s="25"/>
      <c r="D4188" s="25"/>
      <c r="E4188" s="25"/>
      <c r="F4188" s="25"/>
      <c r="G4188" s="25"/>
      <c r="H4188" s="25"/>
      <c r="I4188" s="25"/>
      <c r="J4188" s="25"/>
    </row>
    <row r="4189" spans="1:10" ht="14.4">
      <c r="A4189" s="25"/>
      <c r="B4189" s="25"/>
      <c r="C4189" s="25"/>
      <c r="D4189" s="25"/>
      <c r="E4189" s="25"/>
      <c r="F4189" s="25"/>
      <c r="G4189" s="25"/>
      <c r="H4189" s="25"/>
      <c r="I4189" s="25"/>
      <c r="J4189" s="25"/>
    </row>
    <row r="4190" spans="1:10" ht="14.4">
      <c r="A4190" s="25"/>
      <c r="B4190" s="25"/>
      <c r="C4190" s="25"/>
      <c r="D4190" s="25"/>
      <c r="E4190" s="25"/>
      <c r="F4190" s="25"/>
      <c r="G4190" s="25"/>
      <c r="H4190" s="25"/>
      <c r="I4190" s="25"/>
      <c r="J4190" s="25"/>
    </row>
    <row r="4191" spans="1:10" ht="14.4">
      <c r="A4191" s="25"/>
      <c r="B4191" s="25"/>
      <c r="C4191" s="25"/>
      <c r="D4191" s="25"/>
      <c r="E4191" s="25"/>
      <c r="F4191" s="25"/>
      <c r="G4191" s="25"/>
      <c r="H4191" s="25"/>
      <c r="I4191" s="25"/>
      <c r="J4191" s="25"/>
    </row>
    <row r="4192" spans="1:10" ht="14.4">
      <c r="A4192" s="25"/>
      <c r="B4192" s="25"/>
      <c r="C4192" s="25"/>
      <c r="D4192" s="25"/>
      <c r="E4192" s="25"/>
      <c r="F4192" s="25"/>
      <c r="G4192" s="25"/>
      <c r="H4192" s="25"/>
      <c r="I4192" s="25"/>
      <c r="J4192" s="25"/>
    </row>
    <row r="4193" spans="1:10" ht="14.4">
      <c r="A4193" s="25"/>
      <c r="B4193" s="25"/>
      <c r="C4193" s="25"/>
      <c r="D4193" s="25"/>
      <c r="E4193" s="25"/>
      <c r="F4193" s="25"/>
      <c r="G4193" s="25"/>
      <c r="H4193" s="25"/>
      <c r="I4193" s="25"/>
      <c r="J4193" s="25"/>
    </row>
    <row r="4194" spans="1:10" ht="14.4">
      <c r="A4194" s="25"/>
      <c r="B4194" s="25"/>
      <c r="C4194" s="25"/>
      <c r="D4194" s="25"/>
      <c r="E4194" s="25"/>
      <c r="F4194" s="25"/>
      <c r="G4194" s="25"/>
      <c r="H4194" s="25"/>
      <c r="I4194" s="25"/>
      <c r="J4194" s="25"/>
    </row>
    <row r="4195" spans="1:10" ht="14.4">
      <c r="A4195" s="25"/>
      <c r="B4195" s="25"/>
      <c r="C4195" s="25"/>
      <c r="D4195" s="25"/>
      <c r="E4195" s="25"/>
      <c r="F4195" s="25"/>
      <c r="G4195" s="25"/>
      <c r="H4195" s="25"/>
      <c r="I4195" s="25"/>
      <c r="J4195" s="25"/>
    </row>
    <row r="4196" spans="1:10" ht="14.4">
      <c r="A4196" s="25"/>
      <c r="B4196" s="25"/>
      <c r="C4196" s="25"/>
      <c r="D4196" s="25"/>
      <c r="E4196" s="25"/>
      <c r="F4196" s="25"/>
      <c r="G4196" s="25"/>
      <c r="H4196" s="25"/>
      <c r="I4196" s="25"/>
      <c r="J4196" s="25"/>
    </row>
    <row r="4197" spans="1:10" ht="14.4">
      <c r="A4197" s="25"/>
      <c r="B4197" s="25"/>
      <c r="C4197" s="25"/>
      <c r="D4197" s="25"/>
      <c r="E4197" s="25"/>
      <c r="F4197" s="25"/>
      <c r="G4197" s="25"/>
      <c r="H4197" s="25"/>
      <c r="I4197" s="25"/>
      <c r="J4197" s="25"/>
    </row>
    <row r="4198" spans="1:10" ht="14.4">
      <c r="A4198" s="25"/>
      <c r="B4198" s="25"/>
      <c r="C4198" s="25"/>
      <c r="D4198" s="25"/>
      <c r="E4198" s="25"/>
      <c r="F4198" s="25"/>
      <c r="G4198" s="25"/>
      <c r="H4198" s="25"/>
      <c r="I4198" s="25"/>
      <c r="J4198" s="25"/>
    </row>
    <row r="4199" spans="1:10" ht="14.4">
      <c r="A4199" s="25"/>
      <c r="B4199" s="25"/>
      <c r="C4199" s="25"/>
      <c r="D4199" s="25"/>
      <c r="E4199" s="25"/>
      <c r="F4199" s="25"/>
      <c r="G4199" s="25"/>
      <c r="H4199" s="25"/>
      <c r="I4199" s="25"/>
      <c r="J4199" s="25"/>
    </row>
    <row r="4200" spans="1:10" ht="14.4">
      <c r="A4200" s="25"/>
      <c r="B4200" s="25"/>
      <c r="C4200" s="25"/>
      <c r="D4200" s="25"/>
      <c r="E4200" s="25"/>
      <c r="F4200" s="25"/>
      <c r="G4200" s="25"/>
      <c r="H4200" s="25"/>
      <c r="I4200" s="25"/>
      <c r="J4200" s="25"/>
    </row>
    <row r="4201" spans="1:10" ht="14.4">
      <c r="A4201" s="25"/>
      <c r="B4201" s="25"/>
      <c r="C4201" s="25"/>
      <c r="D4201" s="25"/>
      <c r="E4201" s="25"/>
      <c r="F4201" s="25"/>
      <c r="G4201" s="25"/>
      <c r="H4201" s="25"/>
      <c r="I4201" s="25"/>
      <c r="J4201" s="25"/>
    </row>
    <row r="4202" spans="1:10" ht="14.4">
      <c r="A4202" s="25"/>
      <c r="B4202" s="25"/>
      <c r="C4202" s="25"/>
      <c r="D4202" s="25"/>
      <c r="E4202" s="25"/>
      <c r="F4202" s="25"/>
      <c r="G4202" s="25"/>
      <c r="H4202" s="25"/>
      <c r="I4202" s="25"/>
      <c r="J4202" s="25"/>
    </row>
    <row r="4203" spans="1:10" ht="14.4">
      <c r="A4203" s="25"/>
      <c r="B4203" s="25"/>
      <c r="C4203" s="25"/>
      <c r="D4203" s="25"/>
      <c r="E4203" s="25"/>
      <c r="F4203" s="25"/>
      <c r="G4203" s="25"/>
      <c r="H4203" s="25"/>
      <c r="I4203" s="25"/>
      <c r="J4203" s="25"/>
    </row>
    <row r="4204" spans="1:10" ht="14.4">
      <c r="A4204" s="25"/>
      <c r="B4204" s="25"/>
      <c r="C4204" s="25"/>
      <c r="D4204" s="25"/>
      <c r="E4204" s="25"/>
      <c r="F4204" s="25"/>
      <c r="G4204" s="25"/>
      <c r="H4204" s="25"/>
      <c r="I4204" s="25"/>
      <c r="J4204" s="25"/>
    </row>
    <row r="4205" spans="1:10" ht="14.4">
      <c r="A4205" s="25"/>
      <c r="B4205" s="25"/>
      <c r="C4205" s="25"/>
      <c r="D4205" s="25"/>
      <c r="E4205" s="25"/>
      <c r="F4205" s="25"/>
      <c r="G4205" s="25"/>
      <c r="H4205" s="25"/>
      <c r="I4205" s="25"/>
      <c r="J4205" s="25"/>
    </row>
    <row r="4206" spans="1:10" ht="14.4">
      <c r="A4206" s="25"/>
      <c r="B4206" s="25"/>
      <c r="C4206" s="25"/>
      <c r="D4206" s="25"/>
      <c r="E4206" s="25"/>
      <c r="F4206" s="25"/>
      <c r="G4206" s="25"/>
      <c r="H4206" s="25"/>
      <c r="I4206" s="25"/>
      <c r="J4206" s="25"/>
    </row>
    <row r="4207" spans="1:10" ht="14.4">
      <c r="A4207" s="25"/>
      <c r="B4207" s="25"/>
      <c r="C4207" s="25"/>
      <c r="D4207" s="25"/>
      <c r="E4207" s="25"/>
      <c r="F4207" s="25"/>
      <c r="G4207" s="25"/>
      <c r="H4207" s="25"/>
      <c r="I4207" s="25"/>
      <c r="J4207" s="25"/>
    </row>
    <row r="4208" spans="1:10" ht="14.4">
      <c r="A4208" s="25"/>
      <c r="B4208" s="25"/>
      <c r="C4208" s="25"/>
      <c r="D4208" s="25"/>
      <c r="E4208" s="25"/>
      <c r="F4208" s="25"/>
      <c r="G4208" s="25"/>
      <c r="H4208" s="25"/>
      <c r="I4208" s="25"/>
      <c r="J4208" s="25"/>
    </row>
    <row r="4209" spans="1:10" ht="14.4">
      <c r="A4209" s="25"/>
      <c r="B4209" s="25"/>
      <c r="C4209" s="25"/>
      <c r="D4209" s="25"/>
      <c r="E4209" s="25"/>
      <c r="F4209" s="25"/>
      <c r="G4209" s="25"/>
      <c r="H4209" s="25"/>
      <c r="I4209" s="25"/>
      <c r="J4209" s="25"/>
    </row>
    <row r="4210" spans="1:10" ht="14.4">
      <c r="A4210" s="25"/>
      <c r="B4210" s="25"/>
      <c r="C4210" s="25"/>
      <c r="D4210" s="25"/>
      <c r="E4210" s="25"/>
      <c r="F4210" s="25"/>
      <c r="G4210" s="25"/>
      <c r="H4210" s="25"/>
      <c r="I4210" s="25"/>
      <c r="J4210" s="25"/>
    </row>
    <row r="4211" spans="1:10" ht="14.4">
      <c r="A4211" s="25"/>
      <c r="B4211" s="25"/>
      <c r="C4211" s="25"/>
      <c r="D4211" s="25"/>
      <c r="E4211" s="25"/>
      <c r="F4211" s="25"/>
      <c r="G4211" s="25"/>
      <c r="H4211" s="25"/>
      <c r="I4211" s="25"/>
      <c r="J4211" s="25"/>
    </row>
    <row r="4212" spans="1:10" ht="14.4">
      <c r="A4212" s="25"/>
      <c r="B4212" s="25"/>
      <c r="C4212" s="25"/>
      <c r="D4212" s="25"/>
      <c r="E4212" s="25"/>
      <c r="F4212" s="25"/>
      <c r="G4212" s="25"/>
      <c r="H4212" s="25"/>
      <c r="I4212" s="25"/>
      <c r="J4212" s="25"/>
    </row>
    <row r="4213" spans="1:10" ht="14.4">
      <c r="A4213" s="25"/>
      <c r="B4213" s="25"/>
      <c r="C4213" s="25"/>
      <c r="D4213" s="25"/>
      <c r="E4213" s="25"/>
      <c r="F4213" s="25"/>
      <c r="G4213" s="25"/>
      <c r="H4213" s="25"/>
      <c r="I4213" s="25"/>
      <c r="J4213" s="25"/>
    </row>
    <row r="4214" spans="1:10" ht="14.4">
      <c r="A4214" s="25"/>
      <c r="B4214" s="25"/>
      <c r="C4214" s="25"/>
      <c r="D4214" s="25"/>
      <c r="E4214" s="25"/>
      <c r="F4214" s="25"/>
      <c r="G4214" s="25"/>
      <c r="H4214" s="25"/>
      <c r="I4214" s="25"/>
      <c r="J4214" s="25"/>
    </row>
    <row r="4215" spans="1:10" ht="14.4">
      <c r="A4215" s="25"/>
      <c r="B4215" s="25"/>
      <c r="C4215" s="25"/>
      <c r="D4215" s="25"/>
      <c r="E4215" s="25"/>
      <c r="F4215" s="25"/>
      <c r="G4215" s="25"/>
      <c r="H4215" s="25"/>
      <c r="I4215" s="25"/>
      <c r="J4215" s="25"/>
    </row>
    <row r="4216" spans="1:10" ht="14.4">
      <c r="A4216" s="25"/>
      <c r="B4216" s="25"/>
      <c r="C4216" s="25"/>
      <c r="D4216" s="25"/>
      <c r="E4216" s="25"/>
      <c r="F4216" s="25"/>
      <c r="G4216" s="25"/>
      <c r="H4216" s="25"/>
      <c r="I4216" s="25"/>
      <c r="J4216" s="25"/>
    </row>
    <row r="4217" spans="1:10" ht="14.4">
      <c r="A4217" s="25"/>
      <c r="B4217" s="25"/>
      <c r="C4217" s="25"/>
      <c r="D4217" s="25"/>
      <c r="E4217" s="25"/>
      <c r="F4217" s="25"/>
      <c r="G4217" s="25"/>
      <c r="H4217" s="25"/>
      <c r="I4217" s="25"/>
      <c r="J4217" s="25"/>
    </row>
    <row r="4218" spans="1:10" ht="14.4">
      <c r="A4218" s="25"/>
      <c r="B4218" s="25"/>
      <c r="C4218" s="25"/>
      <c r="D4218" s="25"/>
      <c r="E4218" s="25"/>
      <c r="F4218" s="25"/>
      <c r="G4218" s="25"/>
      <c r="H4218" s="25"/>
      <c r="I4218" s="25"/>
      <c r="J4218" s="25"/>
    </row>
    <row r="4219" spans="1:10" ht="14.4">
      <c r="A4219" s="25"/>
      <c r="B4219" s="25"/>
      <c r="C4219" s="25"/>
      <c r="D4219" s="25"/>
      <c r="E4219" s="25"/>
      <c r="F4219" s="25"/>
      <c r="G4219" s="25"/>
      <c r="H4219" s="25"/>
      <c r="I4219" s="25"/>
      <c r="J4219" s="25"/>
    </row>
    <row r="4220" spans="1:10" ht="14.4">
      <c r="A4220" s="25"/>
      <c r="B4220" s="25"/>
      <c r="C4220" s="25"/>
      <c r="D4220" s="25"/>
      <c r="E4220" s="25"/>
      <c r="F4220" s="25"/>
      <c r="G4220" s="25"/>
      <c r="H4220" s="25"/>
      <c r="I4220" s="25"/>
      <c r="J4220" s="25"/>
    </row>
    <row r="4221" spans="1:10" ht="14.4">
      <c r="A4221" s="25"/>
      <c r="B4221" s="25"/>
      <c r="C4221" s="25"/>
      <c r="D4221" s="25"/>
      <c r="E4221" s="25"/>
      <c r="F4221" s="25"/>
      <c r="G4221" s="25"/>
      <c r="H4221" s="25"/>
      <c r="I4221" s="25"/>
      <c r="J4221" s="25"/>
    </row>
    <row r="4222" spans="1:10" ht="14.4">
      <c r="A4222" s="25"/>
      <c r="B4222" s="25"/>
      <c r="C4222" s="25"/>
      <c r="D4222" s="25"/>
      <c r="E4222" s="25"/>
      <c r="F4222" s="25"/>
      <c r="G4222" s="25"/>
      <c r="H4222" s="25"/>
      <c r="I4222" s="25"/>
      <c r="J4222" s="25"/>
    </row>
    <row r="4223" spans="1:10" ht="14.4">
      <c r="A4223" s="25"/>
      <c r="B4223" s="25"/>
      <c r="C4223" s="25"/>
      <c r="D4223" s="25"/>
      <c r="E4223" s="25"/>
      <c r="F4223" s="25"/>
      <c r="G4223" s="25"/>
      <c r="H4223" s="25"/>
      <c r="I4223" s="25"/>
      <c r="J4223" s="25"/>
    </row>
    <row r="4224" spans="1:10" ht="14.4">
      <c r="A4224" s="25"/>
      <c r="B4224" s="25"/>
      <c r="C4224" s="25"/>
      <c r="D4224" s="25"/>
      <c r="E4224" s="25"/>
      <c r="F4224" s="25"/>
      <c r="G4224" s="25"/>
      <c r="H4224" s="25"/>
      <c r="I4224" s="25"/>
      <c r="J4224" s="25"/>
    </row>
    <row r="4225" spans="1:10" ht="14.4">
      <c r="A4225" s="25"/>
      <c r="B4225" s="25"/>
      <c r="C4225" s="25"/>
      <c r="D4225" s="25"/>
      <c r="E4225" s="25"/>
      <c r="F4225" s="25"/>
      <c r="G4225" s="25"/>
      <c r="H4225" s="25"/>
      <c r="I4225" s="25"/>
      <c r="J4225" s="25"/>
    </row>
    <row r="4226" spans="1:10" ht="14.4">
      <c r="A4226" s="25"/>
      <c r="B4226" s="25"/>
      <c r="C4226" s="25"/>
      <c r="D4226" s="25"/>
      <c r="E4226" s="25"/>
      <c r="F4226" s="25"/>
      <c r="G4226" s="25"/>
      <c r="H4226" s="25"/>
      <c r="I4226" s="25"/>
      <c r="J4226" s="25"/>
    </row>
    <row r="4227" spans="1:10" ht="14.4">
      <c r="A4227" s="25"/>
      <c r="B4227" s="25"/>
      <c r="C4227" s="25"/>
      <c r="D4227" s="25"/>
      <c r="E4227" s="25"/>
      <c r="F4227" s="25"/>
      <c r="G4227" s="25"/>
      <c r="H4227" s="25"/>
      <c r="I4227" s="25"/>
      <c r="J4227" s="25"/>
    </row>
    <row r="4228" spans="1:10" ht="14.4">
      <c r="A4228" s="25"/>
      <c r="B4228" s="25"/>
      <c r="C4228" s="25"/>
      <c r="D4228" s="25"/>
      <c r="E4228" s="25"/>
      <c r="F4228" s="25"/>
      <c r="G4228" s="25"/>
      <c r="H4228" s="25"/>
      <c r="I4228" s="25"/>
      <c r="J4228" s="25"/>
    </row>
    <row r="4229" spans="1:10" ht="14.4">
      <c r="A4229" s="25"/>
      <c r="B4229" s="25"/>
      <c r="C4229" s="25"/>
      <c r="D4229" s="25"/>
      <c r="E4229" s="25"/>
      <c r="F4229" s="25"/>
      <c r="G4229" s="25"/>
      <c r="H4229" s="25"/>
      <c r="I4229" s="25"/>
      <c r="J4229" s="25"/>
    </row>
    <row r="4230" spans="1:10" ht="14.4">
      <c r="A4230" s="25"/>
      <c r="B4230" s="25"/>
      <c r="C4230" s="25"/>
      <c r="D4230" s="25"/>
      <c r="E4230" s="25"/>
      <c r="F4230" s="25"/>
      <c r="G4230" s="25"/>
      <c r="H4230" s="25"/>
      <c r="I4230" s="25"/>
      <c r="J4230" s="25"/>
    </row>
    <row r="4231" spans="1:10" ht="14.4">
      <c r="A4231" s="25"/>
      <c r="B4231" s="25"/>
      <c r="C4231" s="25"/>
      <c r="D4231" s="25"/>
      <c r="E4231" s="25"/>
      <c r="F4231" s="25"/>
      <c r="G4231" s="25"/>
      <c r="H4231" s="25"/>
      <c r="I4231" s="25"/>
      <c r="J4231" s="25"/>
    </row>
    <row r="4232" spans="1:10" ht="14.4">
      <c r="A4232" s="25"/>
      <c r="B4232" s="25"/>
      <c r="C4232" s="25"/>
      <c r="D4232" s="25"/>
      <c r="E4232" s="25"/>
      <c r="F4232" s="25"/>
      <c r="G4232" s="25"/>
      <c r="H4232" s="25"/>
      <c r="I4232" s="25"/>
      <c r="J4232" s="25"/>
    </row>
    <row r="4233" spans="1:10" ht="14.4">
      <c r="A4233" s="25"/>
      <c r="B4233" s="25"/>
      <c r="C4233" s="25"/>
      <c r="D4233" s="25"/>
      <c r="E4233" s="25"/>
      <c r="F4233" s="25"/>
      <c r="G4233" s="25"/>
      <c r="H4233" s="25"/>
      <c r="I4233" s="25"/>
      <c r="J4233" s="25"/>
    </row>
    <row r="4234" spans="1:10" ht="14.4">
      <c r="A4234" s="25"/>
      <c r="B4234" s="25"/>
      <c r="C4234" s="25"/>
      <c r="D4234" s="25"/>
      <c r="E4234" s="25"/>
      <c r="F4234" s="25"/>
      <c r="G4234" s="25"/>
      <c r="H4234" s="25"/>
      <c r="I4234" s="25"/>
      <c r="J4234" s="25"/>
    </row>
    <row r="4235" spans="1:10" ht="14.4">
      <c r="A4235" s="25"/>
      <c r="B4235" s="25"/>
      <c r="C4235" s="25"/>
      <c r="D4235" s="25"/>
      <c r="E4235" s="25"/>
      <c r="F4235" s="25"/>
      <c r="G4235" s="25"/>
      <c r="H4235" s="25"/>
      <c r="I4235" s="25"/>
      <c r="J4235" s="25"/>
    </row>
    <row r="4236" spans="1:10" ht="14.4">
      <c r="A4236" s="25"/>
      <c r="B4236" s="25"/>
      <c r="C4236" s="25"/>
      <c r="D4236" s="25"/>
      <c r="E4236" s="25"/>
      <c r="F4236" s="25"/>
      <c r="G4236" s="25"/>
      <c r="H4236" s="25"/>
      <c r="I4236" s="25"/>
      <c r="J4236" s="25"/>
    </row>
    <row r="4237" spans="1:10" ht="14.4">
      <c r="A4237" s="25"/>
      <c r="B4237" s="25"/>
      <c r="C4237" s="25"/>
      <c r="D4237" s="25"/>
      <c r="E4237" s="25"/>
      <c r="F4237" s="25"/>
      <c r="G4237" s="25"/>
      <c r="H4237" s="25"/>
      <c r="I4237" s="25"/>
      <c r="J4237" s="25"/>
    </row>
    <row r="4238" spans="1:10" ht="14.4">
      <c r="A4238" s="25"/>
      <c r="B4238" s="25"/>
      <c r="C4238" s="25"/>
      <c r="D4238" s="25"/>
      <c r="E4238" s="25"/>
      <c r="F4238" s="25"/>
      <c r="G4238" s="25"/>
      <c r="H4238" s="25"/>
      <c r="I4238" s="25"/>
      <c r="J4238" s="25"/>
    </row>
    <row r="4239" spans="1:10" ht="14.4">
      <c r="A4239" s="25"/>
      <c r="B4239" s="25"/>
      <c r="C4239" s="25"/>
      <c r="D4239" s="25"/>
      <c r="E4239" s="25"/>
      <c r="F4239" s="25"/>
      <c r="G4239" s="25"/>
      <c r="H4239" s="25"/>
      <c r="I4239" s="25"/>
      <c r="J4239" s="25"/>
    </row>
    <row r="4240" spans="1:10" ht="14.4">
      <c r="A4240" s="25"/>
      <c r="B4240" s="25"/>
      <c r="C4240" s="25"/>
      <c r="D4240" s="25"/>
      <c r="E4240" s="25"/>
      <c r="F4240" s="25"/>
      <c r="G4240" s="25"/>
      <c r="H4240" s="25"/>
      <c r="I4240" s="25"/>
      <c r="J4240" s="25"/>
    </row>
    <row r="4241" spans="1:10" ht="14.4">
      <c r="A4241" s="25"/>
      <c r="B4241" s="25"/>
      <c r="C4241" s="25"/>
      <c r="D4241" s="25"/>
      <c r="E4241" s="25"/>
      <c r="F4241" s="25"/>
      <c r="G4241" s="25"/>
      <c r="H4241" s="25"/>
      <c r="I4241" s="25"/>
      <c r="J4241" s="25"/>
    </row>
    <row r="4242" spans="1:10" ht="14.4">
      <c r="A4242" s="25"/>
      <c r="B4242" s="25"/>
      <c r="C4242" s="25"/>
      <c r="D4242" s="25"/>
      <c r="E4242" s="25"/>
      <c r="F4242" s="25"/>
      <c r="G4242" s="25"/>
      <c r="H4242" s="25"/>
      <c r="I4242" s="25"/>
      <c r="J4242" s="25"/>
    </row>
    <row r="4243" spans="1:10" ht="14.4">
      <c r="A4243" s="25"/>
      <c r="B4243" s="25"/>
      <c r="C4243" s="25"/>
      <c r="D4243" s="25"/>
      <c r="E4243" s="25"/>
      <c r="F4243" s="25"/>
      <c r="G4243" s="25"/>
      <c r="H4243" s="25"/>
      <c r="I4243" s="25"/>
      <c r="J4243" s="25"/>
    </row>
    <row r="4244" spans="1:10" ht="14.4">
      <c r="A4244" s="25"/>
      <c r="B4244" s="25"/>
      <c r="C4244" s="25"/>
      <c r="D4244" s="25"/>
      <c r="E4244" s="25"/>
      <c r="F4244" s="25"/>
      <c r="G4244" s="25"/>
      <c r="H4244" s="25"/>
      <c r="I4244" s="25"/>
      <c r="J4244" s="25"/>
    </row>
    <row r="4245" spans="1:10" ht="14.4">
      <c r="A4245" s="25"/>
      <c r="B4245" s="25"/>
      <c r="C4245" s="25"/>
      <c r="D4245" s="25"/>
      <c r="E4245" s="25"/>
      <c r="F4245" s="25"/>
      <c r="G4245" s="25"/>
      <c r="H4245" s="25"/>
      <c r="I4245" s="25"/>
      <c r="J4245" s="25"/>
    </row>
    <row r="4246" spans="1:10" ht="14.4">
      <c r="A4246" s="25"/>
      <c r="B4246" s="25"/>
      <c r="C4246" s="25"/>
      <c r="D4246" s="25"/>
      <c r="E4246" s="25"/>
      <c r="F4246" s="25"/>
      <c r="G4246" s="25"/>
      <c r="H4246" s="25"/>
      <c r="I4246" s="25"/>
      <c r="J4246" s="25"/>
    </row>
    <row r="4247" spans="1:10" ht="14.4">
      <c r="A4247" s="25"/>
      <c r="B4247" s="25"/>
      <c r="C4247" s="25"/>
      <c r="D4247" s="25"/>
      <c r="E4247" s="25"/>
      <c r="F4247" s="25"/>
      <c r="G4247" s="25"/>
      <c r="H4247" s="25"/>
      <c r="I4247" s="25"/>
      <c r="J4247" s="25"/>
    </row>
    <row r="4248" spans="1:10" ht="14.4">
      <c r="A4248" s="25"/>
      <c r="B4248" s="25"/>
      <c r="C4248" s="25"/>
      <c r="D4248" s="25"/>
      <c r="E4248" s="25"/>
      <c r="F4248" s="25"/>
      <c r="G4248" s="25"/>
      <c r="H4248" s="25"/>
      <c r="I4248" s="25"/>
      <c r="J4248" s="25"/>
    </row>
    <row r="4249" spans="1:10" ht="14.4">
      <c r="A4249" s="25"/>
      <c r="B4249" s="25"/>
      <c r="C4249" s="25"/>
      <c r="D4249" s="25"/>
      <c r="E4249" s="25"/>
      <c r="F4249" s="25"/>
      <c r="G4249" s="25"/>
      <c r="H4249" s="25"/>
      <c r="I4249" s="25"/>
      <c r="J4249" s="25"/>
    </row>
    <row r="4250" spans="1:10" ht="14.4">
      <c r="A4250" s="25"/>
      <c r="B4250" s="25"/>
      <c r="C4250" s="25"/>
      <c r="D4250" s="25"/>
      <c r="E4250" s="25"/>
      <c r="F4250" s="25"/>
      <c r="G4250" s="25"/>
      <c r="H4250" s="25"/>
      <c r="I4250" s="25"/>
      <c r="J4250" s="25"/>
    </row>
    <row r="4251" spans="1:10" ht="14.4">
      <c r="A4251" s="25"/>
      <c r="B4251" s="25"/>
      <c r="C4251" s="25"/>
      <c r="D4251" s="25"/>
      <c r="E4251" s="25"/>
      <c r="F4251" s="25"/>
      <c r="G4251" s="25"/>
      <c r="H4251" s="25"/>
      <c r="I4251" s="25"/>
      <c r="J4251" s="25"/>
    </row>
    <row r="4252" spans="1:10" ht="14.4">
      <c r="A4252" s="25"/>
      <c r="B4252" s="25"/>
      <c r="C4252" s="25"/>
      <c r="D4252" s="25"/>
      <c r="E4252" s="25"/>
      <c r="F4252" s="25"/>
      <c r="G4252" s="25"/>
      <c r="H4252" s="25"/>
      <c r="I4252" s="25"/>
      <c r="J4252" s="25"/>
    </row>
    <row r="4253" spans="1:10" ht="14.4">
      <c r="A4253" s="25"/>
      <c r="B4253" s="25"/>
      <c r="C4253" s="25"/>
      <c r="D4253" s="25"/>
      <c r="E4253" s="25"/>
      <c r="F4253" s="25"/>
      <c r="G4253" s="25"/>
      <c r="H4253" s="25"/>
      <c r="I4253" s="25"/>
      <c r="J4253" s="25"/>
    </row>
    <row r="4254" spans="1:10" ht="14.4">
      <c r="A4254" s="25"/>
      <c r="B4254" s="25"/>
      <c r="C4254" s="25"/>
      <c r="D4254" s="25"/>
      <c r="E4254" s="25"/>
      <c r="F4254" s="25"/>
      <c r="G4254" s="25"/>
      <c r="H4254" s="25"/>
      <c r="I4254" s="25"/>
      <c r="J4254" s="25"/>
    </row>
    <row r="4255" spans="1:10" ht="14.4">
      <c r="A4255" s="25"/>
      <c r="B4255" s="25"/>
      <c r="C4255" s="25"/>
      <c r="D4255" s="25"/>
      <c r="E4255" s="25"/>
      <c r="F4255" s="25"/>
      <c r="G4255" s="25"/>
      <c r="H4255" s="25"/>
      <c r="I4255" s="25"/>
      <c r="J4255" s="25"/>
    </row>
    <row r="4256" spans="1:10" ht="14.4">
      <c r="A4256" s="25"/>
      <c r="B4256" s="25"/>
      <c r="C4256" s="25"/>
      <c r="D4256" s="25"/>
      <c r="E4256" s="25"/>
      <c r="F4256" s="25"/>
      <c r="G4256" s="25"/>
      <c r="H4256" s="25"/>
      <c r="I4256" s="25"/>
      <c r="J4256" s="25"/>
    </row>
    <row r="4257" spans="1:10" ht="14.4">
      <c r="A4257" s="25"/>
      <c r="B4257" s="25"/>
      <c r="C4257" s="25"/>
      <c r="D4257" s="25"/>
      <c r="E4257" s="25"/>
      <c r="F4257" s="25"/>
      <c r="G4257" s="25"/>
      <c r="H4257" s="25"/>
      <c r="I4257" s="25"/>
      <c r="J4257" s="25"/>
    </row>
    <row r="4258" spans="1:10" ht="14.4">
      <c r="A4258" s="25"/>
      <c r="B4258" s="25"/>
      <c r="C4258" s="25"/>
      <c r="D4258" s="25"/>
      <c r="E4258" s="25"/>
      <c r="F4258" s="25"/>
      <c r="G4258" s="25"/>
      <c r="H4258" s="25"/>
      <c r="I4258" s="25"/>
      <c r="J4258" s="25"/>
    </row>
    <row r="4259" spans="1:10" ht="14.4">
      <c r="A4259" s="25"/>
      <c r="B4259" s="25"/>
      <c r="C4259" s="25"/>
      <c r="D4259" s="25"/>
      <c r="E4259" s="25"/>
      <c r="F4259" s="25"/>
      <c r="G4259" s="25"/>
      <c r="H4259" s="25"/>
      <c r="I4259" s="25"/>
      <c r="J4259" s="25"/>
    </row>
    <row r="4260" spans="1:10" ht="14.4">
      <c r="A4260" s="25"/>
      <c r="B4260" s="25"/>
      <c r="C4260" s="25"/>
      <c r="D4260" s="25"/>
      <c r="E4260" s="25"/>
      <c r="F4260" s="25"/>
      <c r="G4260" s="25"/>
      <c r="H4260" s="25"/>
      <c r="I4260" s="25"/>
      <c r="J4260" s="25"/>
    </row>
    <row r="4261" spans="1:10" ht="14.4">
      <c r="A4261" s="25"/>
      <c r="B4261" s="25"/>
      <c r="C4261" s="25"/>
      <c r="D4261" s="25"/>
      <c r="E4261" s="25"/>
      <c r="F4261" s="25"/>
      <c r="G4261" s="25"/>
      <c r="H4261" s="25"/>
      <c r="I4261" s="25"/>
      <c r="J4261" s="25"/>
    </row>
    <row r="4262" spans="1:10" ht="14.4">
      <c r="A4262" s="25"/>
      <c r="B4262" s="25"/>
      <c r="C4262" s="25"/>
      <c r="D4262" s="25"/>
      <c r="E4262" s="25"/>
      <c r="F4262" s="25"/>
      <c r="G4262" s="25"/>
      <c r="H4262" s="25"/>
      <c r="I4262" s="25"/>
      <c r="J4262" s="25"/>
    </row>
    <row r="4263" spans="1:10" ht="14.4">
      <c r="A4263" s="25"/>
      <c r="B4263" s="25"/>
      <c r="C4263" s="25"/>
      <c r="D4263" s="25"/>
      <c r="E4263" s="25"/>
      <c r="F4263" s="25"/>
      <c r="G4263" s="25"/>
      <c r="H4263" s="25"/>
      <c r="I4263" s="25"/>
      <c r="J4263" s="25"/>
    </row>
    <row r="4264" spans="1:10" ht="14.4">
      <c r="A4264" s="25"/>
      <c r="B4264" s="25"/>
      <c r="C4264" s="25"/>
      <c r="D4264" s="25"/>
      <c r="E4264" s="25"/>
      <c r="F4264" s="25"/>
      <c r="G4264" s="25"/>
      <c r="H4264" s="25"/>
      <c r="I4264" s="25"/>
      <c r="J4264" s="25"/>
    </row>
    <row r="4265" spans="1:10" ht="14.4">
      <c r="A4265" s="25"/>
      <c r="B4265" s="25"/>
      <c r="C4265" s="25"/>
      <c r="D4265" s="25"/>
      <c r="E4265" s="25"/>
      <c r="F4265" s="25"/>
      <c r="G4265" s="25"/>
      <c r="H4265" s="25"/>
      <c r="I4265" s="25"/>
      <c r="J4265" s="25"/>
    </row>
    <row r="4266" spans="1:10" ht="14.4">
      <c r="A4266" s="25"/>
      <c r="B4266" s="25"/>
      <c r="C4266" s="25"/>
      <c r="D4266" s="25"/>
      <c r="E4266" s="25"/>
      <c r="F4266" s="25"/>
      <c r="G4266" s="25"/>
      <c r="H4266" s="25"/>
      <c r="I4266" s="25"/>
      <c r="J4266" s="25"/>
    </row>
    <row r="4267" spans="1:10" ht="14.4">
      <c r="A4267" s="25"/>
      <c r="B4267" s="25"/>
      <c r="C4267" s="25"/>
      <c r="D4267" s="25"/>
      <c r="E4267" s="25"/>
      <c r="F4267" s="25"/>
      <c r="G4267" s="25"/>
      <c r="H4267" s="25"/>
      <c r="I4267" s="25"/>
      <c r="J4267" s="25"/>
    </row>
    <row r="4268" spans="1:10" ht="14.4">
      <c r="A4268" s="25"/>
      <c r="B4268" s="25"/>
      <c r="C4268" s="25"/>
      <c r="D4268" s="25"/>
      <c r="E4268" s="25"/>
      <c r="F4268" s="25"/>
      <c r="G4268" s="25"/>
      <c r="H4268" s="25"/>
      <c r="I4268" s="25"/>
      <c r="J4268" s="25"/>
    </row>
    <row r="4269" spans="1:10" ht="14.4">
      <c r="A4269" s="25"/>
      <c r="B4269" s="25"/>
      <c r="C4269" s="25"/>
      <c r="D4269" s="25"/>
      <c r="E4269" s="25"/>
      <c r="F4269" s="25"/>
      <c r="G4269" s="25"/>
      <c r="H4269" s="25"/>
      <c r="I4269" s="25"/>
      <c r="J4269" s="25"/>
    </row>
    <row r="4270" spans="1:10" ht="14.4">
      <c r="A4270" s="25"/>
      <c r="B4270" s="25"/>
      <c r="C4270" s="25"/>
      <c r="D4270" s="25"/>
      <c r="E4270" s="25"/>
      <c r="F4270" s="25"/>
      <c r="G4270" s="25"/>
      <c r="H4270" s="25"/>
      <c r="I4270" s="25"/>
      <c r="J4270" s="25"/>
    </row>
    <row r="4271" spans="1:10" ht="14.4">
      <c r="A4271" s="25"/>
      <c r="B4271" s="25"/>
      <c r="C4271" s="25"/>
      <c r="D4271" s="25"/>
      <c r="E4271" s="25"/>
      <c r="F4271" s="25"/>
      <c r="G4271" s="25"/>
      <c r="H4271" s="25"/>
      <c r="I4271" s="25"/>
      <c r="J4271" s="25"/>
    </row>
    <row r="4272" spans="1:10" ht="14.4">
      <c r="A4272" s="25"/>
      <c r="B4272" s="25"/>
      <c r="C4272" s="25"/>
      <c r="D4272" s="25"/>
      <c r="E4272" s="25"/>
      <c r="F4272" s="25"/>
      <c r="G4272" s="25"/>
      <c r="H4272" s="25"/>
      <c r="I4272" s="25"/>
      <c r="J4272" s="25"/>
    </row>
    <row r="4273" spans="1:10" ht="14.4">
      <c r="A4273" s="25"/>
      <c r="B4273" s="25"/>
      <c r="C4273" s="25"/>
      <c r="D4273" s="25"/>
      <c r="E4273" s="25"/>
      <c r="F4273" s="25"/>
      <c r="G4273" s="25"/>
      <c r="H4273" s="25"/>
      <c r="I4273" s="25"/>
      <c r="J4273" s="25"/>
    </row>
    <row r="4274" spans="1:10" ht="14.4">
      <c r="A4274" s="25"/>
      <c r="B4274" s="25"/>
      <c r="C4274" s="25"/>
      <c r="D4274" s="25"/>
      <c r="E4274" s="25"/>
      <c r="F4274" s="25"/>
      <c r="G4274" s="25"/>
      <c r="H4274" s="25"/>
      <c r="I4274" s="25"/>
      <c r="J4274" s="25"/>
    </row>
    <row r="4275" spans="1:10" ht="14.4">
      <c r="A4275" s="25"/>
      <c r="B4275" s="25"/>
      <c r="C4275" s="25"/>
      <c r="D4275" s="25"/>
      <c r="E4275" s="25"/>
      <c r="F4275" s="25"/>
      <c r="G4275" s="25"/>
      <c r="H4275" s="25"/>
      <c r="I4275" s="25"/>
      <c r="J4275" s="25"/>
    </row>
    <row r="4276" spans="1:10" ht="14.4">
      <c r="A4276" s="25"/>
      <c r="B4276" s="25"/>
      <c r="C4276" s="25"/>
      <c r="D4276" s="25"/>
      <c r="E4276" s="25"/>
      <c r="F4276" s="25"/>
      <c r="G4276" s="25"/>
      <c r="H4276" s="25"/>
      <c r="I4276" s="25"/>
      <c r="J4276" s="25"/>
    </row>
    <row r="4277" spans="1:10" ht="14.4">
      <c r="A4277" s="25"/>
      <c r="B4277" s="25"/>
      <c r="C4277" s="25"/>
      <c r="D4277" s="25"/>
      <c r="E4277" s="25"/>
      <c r="F4277" s="25"/>
      <c r="G4277" s="25"/>
      <c r="H4277" s="25"/>
      <c r="I4277" s="25"/>
      <c r="J4277" s="25"/>
    </row>
    <row r="4278" spans="1:10" ht="14.4">
      <c r="A4278" s="25"/>
      <c r="B4278" s="25"/>
      <c r="C4278" s="25"/>
      <c r="D4278" s="25"/>
      <c r="E4278" s="25"/>
      <c r="F4278" s="25"/>
      <c r="G4278" s="25"/>
      <c r="H4278" s="25"/>
      <c r="I4278" s="25"/>
      <c r="J4278" s="25"/>
    </row>
    <row r="4279" spans="1:10" ht="14.4">
      <c r="A4279" s="25"/>
      <c r="B4279" s="25"/>
      <c r="C4279" s="25"/>
      <c r="D4279" s="25"/>
      <c r="E4279" s="25"/>
      <c r="F4279" s="25"/>
      <c r="G4279" s="25"/>
      <c r="H4279" s="25"/>
      <c r="I4279" s="25"/>
      <c r="J4279" s="25"/>
    </row>
    <row r="4280" spans="1:10" ht="14.4">
      <c r="A4280" s="25"/>
      <c r="B4280" s="25"/>
      <c r="C4280" s="25"/>
      <c r="D4280" s="25"/>
      <c r="E4280" s="25"/>
      <c r="F4280" s="25"/>
      <c r="G4280" s="25"/>
      <c r="H4280" s="25"/>
      <c r="I4280" s="25"/>
      <c r="J4280" s="25"/>
    </row>
    <row r="4281" spans="1:10" ht="14.4">
      <c r="A4281" s="25"/>
      <c r="B4281" s="25"/>
      <c r="C4281" s="25"/>
      <c r="D4281" s="25"/>
      <c r="E4281" s="25"/>
      <c r="F4281" s="25"/>
      <c r="G4281" s="25"/>
      <c r="H4281" s="25"/>
      <c r="I4281" s="25"/>
      <c r="J4281" s="25"/>
    </row>
    <row r="4282" spans="1:10" ht="14.4">
      <c r="A4282" s="25"/>
      <c r="B4282" s="25"/>
      <c r="C4282" s="25"/>
      <c r="D4282" s="25"/>
      <c r="E4282" s="25"/>
      <c r="F4282" s="25"/>
      <c r="G4282" s="25"/>
      <c r="H4282" s="25"/>
      <c r="I4282" s="25"/>
      <c r="J4282" s="25"/>
    </row>
    <row r="4283" spans="1:10" ht="14.4">
      <c r="A4283" s="25"/>
      <c r="B4283" s="25"/>
      <c r="C4283" s="25"/>
      <c r="D4283" s="25"/>
      <c r="E4283" s="25"/>
      <c r="F4283" s="25"/>
      <c r="G4283" s="25"/>
      <c r="H4283" s="25"/>
      <c r="I4283" s="25"/>
      <c r="J4283" s="25"/>
    </row>
    <row r="4284" spans="1:10" ht="14.4">
      <c r="A4284" s="25"/>
      <c r="B4284" s="25"/>
      <c r="C4284" s="25"/>
      <c r="D4284" s="25"/>
      <c r="E4284" s="25"/>
      <c r="F4284" s="25"/>
      <c r="G4284" s="25"/>
      <c r="H4284" s="25"/>
      <c r="I4284" s="25"/>
      <c r="J4284" s="25"/>
    </row>
    <row r="4285" spans="1:10" ht="14.4">
      <c r="A4285" s="25"/>
      <c r="B4285" s="25"/>
      <c r="C4285" s="25"/>
      <c r="D4285" s="25"/>
      <c r="E4285" s="25"/>
      <c r="F4285" s="25"/>
      <c r="G4285" s="25"/>
      <c r="H4285" s="25"/>
      <c r="I4285" s="25"/>
      <c r="J4285" s="25"/>
    </row>
    <row r="4286" spans="1:10" ht="14.4">
      <c r="A4286" s="25"/>
      <c r="B4286" s="25"/>
      <c r="C4286" s="25"/>
      <c r="D4286" s="25"/>
      <c r="E4286" s="25"/>
      <c r="F4286" s="25"/>
      <c r="G4286" s="25"/>
      <c r="H4286" s="25"/>
      <c r="I4286" s="25"/>
      <c r="J4286" s="25"/>
    </row>
    <row r="4287" spans="1:10" ht="14.4">
      <c r="A4287" s="25"/>
      <c r="B4287" s="25"/>
      <c r="C4287" s="25"/>
      <c r="D4287" s="25"/>
      <c r="E4287" s="25"/>
      <c r="F4287" s="25"/>
      <c r="G4287" s="25"/>
      <c r="H4287" s="25"/>
      <c r="I4287" s="25"/>
      <c r="J4287" s="25"/>
    </row>
    <row r="4288" spans="1:10" ht="14.4">
      <c r="A4288" s="25"/>
      <c r="B4288" s="25"/>
      <c r="C4288" s="25"/>
      <c r="D4288" s="25"/>
      <c r="E4288" s="25"/>
      <c r="F4288" s="25"/>
      <c r="G4288" s="25"/>
      <c r="H4288" s="25"/>
      <c r="I4288" s="25"/>
      <c r="J4288" s="25"/>
    </row>
    <row r="4289" spans="1:10" ht="14.4">
      <c r="A4289" s="25"/>
      <c r="B4289" s="25"/>
      <c r="C4289" s="25"/>
      <c r="D4289" s="25"/>
      <c r="E4289" s="25"/>
      <c r="F4289" s="25"/>
      <c r="G4289" s="25"/>
      <c r="H4289" s="25"/>
      <c r="I4289" s="25"/>
      <c r="J4289" s="25"/>
    </row>
    <row r="4290" spans="1:10" ht="14.4">
      <c r="A4290" s="25"/>
      <c r="B4290" s="25"/>
      <c r="C4290" s="25"/>
      <c r="D4290" s="25"/>
      <c r="E4290" s="25"/>
      <c r="F4290" s="25"/>
      <c r="G4290" s="25"/>
      <c r="H4290" s="25"/>
      <c r="I4290" s="25"/>
      <c r="J4290" s="25"/>
    </row>
    <row r="4291" spans="1:10" ht="14.4">
      <c r="A4291" s="25"/>
      <c r="B4291" s="25"/>
      <c r="C4291" s="25"/>
      <c r="D4291" s="25"/>
      <c r="E4291" s="25"/>
      <c r="F4291" s="25"/>
      <c r="G4291" s="25"/>
      <c r="H4291" s="25"/>
      <c r="I4291" s="25"/>
      <c r="J4291" s="25"/>
    </row>
    <row r="4292" spans="1:10" ht="14.4">
      <c r="A4292" s="25"/>
      <c r="B4292" s="25"/>
      <c r="C4292" s="25"/>
      <c r="D4292" s="25"/>
      <c r="E4292" s="25"/>
      <c r="F4292" s="25"/>
      <c r="G4292" s="25"/>
      <c r="H4292" s="25"/>
      <c r="I4292" s="25"/>
      <c r="J4292" s="25"/>
    </row>
    <row r="4293" spans="1:10" ht="14.4">
      <c r="A4293" s="25"/>
      <c r="B4293" s="25"/>
      <c r="C4293" s="25"/>
      <c r="D4293" s="25"/>
      <c r="E4293" s="25"/>
      <c r="F4293" s="25"/>
      <c r="G4293" s="25"/>
      <c r="H4293" s="25"/>
      <c r="I4293" s="25"/>
      <c r="J4293" s="25"/>
    </row>
    <row r="4294" spans="1:10" ht="14.4">
      <c r="A4294" s="25"/>
      <c r="B4294" s="25"/>
      <c r="C4294" s="25"/>
      <c r="D4294" s="25"/>
      <c r="E4294" s="25"/>
      <c r="F4294" s="25"/>
      <c r="G4294" s="25"/>
      <c r="H4294" s="25"/>
      <c r="I4294" s="25"/>
      <c r="J4294" s="25"/>
    </row>
    <row r="4295" spans="1:10" ht="14.4">
      <c r="A4295" s="25"/>
      <c r="B4295" s="25"/>
      <c r="C4295" s="25"/>
      <c r="D4295" s="25"/>
      <c r="E4295" s="25"/>
      <c r="F4295" s="25"/>
      <c r="G4295" s="25"/>
      <c r="H4295" s="25"/>
      <c r="I4295" s="25"/>
      <c r="J4295" s="25"/>
    </row>
    <row r="4296" spans="1:10" ht="14.4">
      <c r="A4296" s="25"/>
      <c r="B4296" s="25"/>
      <c r="C4296" s="25"/>
      <c r="D4296" s="25"/>
      <c r="E4296" s="25"/>
      <c r="F4296" s="25"/>
      <c r="G4296" s="25"/>
      <c r="H4296" s="25"/>
      <c r="I4296" s="25"/>
      <c r="J4296" s="25"/>
    </row>
    <row r="4297" spans="1:10" ht="14.4">
      <c r="A4297" s="25"/>
      <c r="B4297" s="25"/>
      <c r="C4297" s="25"/>
      <c r="D4297" s="25"/>
      <c r="E4297" s="25"/>
      <c r="F4297" s="25"/>
      <c r="G4297" s="25"/>
      <c r="H4297" s="25"/>
      <c r="I4297" s="25"/>
      <c r="J4297" s="25"/>
    </row>
    <row r="4298" spans="1:10" ht="14.4">
      <c r="A4298" s="25"/>
      <c r="B4298" s="25"/>
      <c r="C4298" s="25"/>
      <c r="D4298" s="25"/>
      <c r="E4298" s="25"/>
      <c r="F4298" s="25"/>
      <c r="G4298" s="25"/>
      <c r="H4298" s="25"/>
      <c r="I4298" s="25"/>
      <c r="J4298" s="25"/>
    </row>
    <row r="4299" spans="1:10" ht="14.4">
      <c r="A4299" s="25"/>
      <c r="B4299" s="25"/>
      <c r="C4299" s="25"/>
      <c r="D4299" s="25"/>
      <c r="E4299" s="25"/>
      <c r="F4299" s="25"/>
      <c r="G4299" s="25"/>
      <c r="H4299" s="25"/>
      <c r="I4299" s="25"/>
      <c r="J4299" s="25"/>
    </row>
    <row r="4300" spans="1:10" ht="14.4">
      <c r="A4300" s="25"/>
      <c r="B4300" s="25"/>
      <c r="C4300" s="25"/>
      <c r="D4300" s="25"/>
      <c r="E4300" s="25"/>
      <c r="F4300" s="25"/>
      <c r="G4300" s="25"/>
      <c r="H4300" s="25"/>
      <c r="I4300" s="25"/>
      <c r="J4300" s="25"/>
    </row>
    <row r="4301" spans="1:10" ht="14.4">
      <c r="A4301" s="25"/>
      <c r="B4301" s="25"/>
      <c r="C4301" s="25"/>
      <c r="D4301" s="25"/>
      <c r="E4301" s="25"/>
      <c r="F4301" s="25"/>
      <c r="G4301" s="25"/>
      <c r="H4301" s="25"/>
      <c r="I4301" s="25"/>
      <c r="J4301" s="25"/>
    </row>
    <row r="4302" spans="1:10" ht="14.4">
      <c r="A4302" s="25"/>
      <c r="B4302" s="25"/>
      <c r="C4302" s="25"/>
      <c r="D4302" s="25"/>
      <c r="E4302" s="25"/>
      <c r="F4302" s="25"/>
      <c r="G4302" s="25"/>
      <c r="H4302" s="25"/>
      <c r="I4302" s="25"/>
      <c r="J4302" s="25"/>
    </row>
    <row r="4303" spans="1:10" ht="14.4">
      <c r="A4303" s="25"/>
      <c r="B4303" s="25"/>
      <c r="C4303" s="25"/>
      <c r="D4303" s="25"/>
      <c r="E4303" s="25"/>
      <c r="F4303" s="25"/>
      <c r="G4303" s="25"/>
      <c r="H4303" s="25"/>
      <c r="I4303" s="25"/>
      <c r="J4303" s="25"/>
    </row>
    <row r="4304" spans="1:10" ht="14.4">
      <c r="A4304" s="25"/>
      <c r="B4304" s="25"/>
      <c r="C4304" s="25"/>
      <c r="D4304" s="25"/>
      <c r="E4304" s="25"/>
      <c r="F4304" s="25"/>
      <c r="G4304" s="25"/>
      <c r="H4304" s="25"/>
      <c r="I4304" s="25"/>
      <c r="J4304" s="25"/>
    </row>
    <row r="4305" spans="1:10" ht="14.4">
      <c r="A4305" s="25"/>
      <c r="B4305" s="25"/>
      <c r="C4305" s="25"/>
      <c r="D4305" s="25"/>
      <c r="E4305" s="25"/>
      <c r="F4305" s="25"/>
      <c r="G4305" s="25"/>
      <c r="H4305" s="25"/>
      <c r="I4305" s="25"/>
      <c r="J4305" s="25"/>
    </row>
    <row r="4306" spans="1:10" ht="14.4">
      <c r="A4306" s="25"/>
      <c r="B4306" s="25"/>
      <c r="C4306" s="25"/>
      <c r="D4306" s="25"/>
      <c r="E4306" s="25"/>
      <c r="F4306" s="25"/>
      <c r="G4306" s="25"/>
      <c r="H4306" s="25"/>
      <c r="I4306" s="25"/>
      <c r="J4306" s="25"/>
    </row>
    <row r="4307" spans="1:10" ht="14.4">
      <c r="A4307" s="25"/>
      <c r="B4307" s="25"/>
      <c r="C4307" s="25"/>
      <c r="D4307" s="25"/>
      <c r="E4307" s="25"/>
      <c r="F4307" s="25"/>
      <c r="G4307" s="25"/>
      <c r="H4307" s="25"/>
      <c r="I4307" s="25"/>
      <c r="J4307" s="25"/>
    </row>
    <row r="4308" spans="1:10" ht="14.4">
      <c r="A4308" s="25"/>
      <c r="B4308" s="25"/>
      <c r="C4308" s="25"/>
      <c r="D4308" s="25"/>
      <c r="E4308" s="25"/>
      <c r="F4308" s="25"/>
      <c r="G4308" s="25"/>
      <c r="H4308" s="25"/>
      <c r="I4308" s="25"/>
      <c r="J4308" s="25"/>
    </row>
    <row r="4309" spans="1:10" ht="14.4">
      <c r="A4309" s="25"/>
      <c r="B4309" s="25"/>
      <c r="C4309" s="25"/>
      <c r="D4309" s="25"/>
      <c r="E4309" s="25"/>
      <c r="F4309" s="25"/>
      <c r="G4309" s="25"/>
      <c r="H4309" s="25"/>
      <c r="I4309" s="25"/>
      <c r="J4309" s="25"/>
    </row>
    <row r="4310" spans="1:10" ht="14.4">
      <c r="A4310" s="25"/>
      <c r="B4310" s="25"/>
      <c r="C4310" s="25"/>
      <c r="D4310" s="25"/>
      <c r="E4310" s="25"/>
      <c r="F4310" s="25"/>
      <c r="G4310" s="25"/>
      <c r="H4310" s="25"/>
      <c r="I4310" s="25"/>
      <c r="J4310" s="25"/>
    </row>
    <row r="4311" spans="1:10" ht="14.4">
      <c r="A4311" s="25"/>
      <c r="B4311" s="25"/>
      <c r="C4311" s="25"/>
      <c r="D4311" s="25"/>
      <c r="E4311" s="25"/>
      <c r="F4311" s="25"/>
      <c r="G4311" s="25"/>
      <c r="H4311" s="25"/>
      <c r="I4311" s="25"/>
      <c r="J4311" s="25"/>
    </row>
    <row r="4312" spans="1:10" ht="14.4">
      <c r="A4312" s="25"/>
      <c r="B4312" s="25"/>
      <c r="C4312" s="25"/>
      <c r="D4312" s="25"/>
      <c r="E4312" s="25"/>
      <c r="F4312" s="25"/>
      <c r="G4312" s="25"/>
      <c r="H4312" s="25"/>
      <c r="I4312" s="25"/>
      <c r="J4312" s="25"/>
    </row>
    <row r="4313" spans="1:10" ht="14.4">
      <c r="A4313" s="25"/>
      <c r="B4313" s="25"/>
      <c r="C4313" s="25"/>
      <c r="D4313" s="25"/>
      <c r="E4313" s="25"/>
      <c r="F4313" s="25"/>
      <c r="G4313" s="25"/>
      <c r="H4313" s="25"/>
      <c r="I4313" s="25"/>
      <c r="J4313" s="25"/>
    </row>
    <row r="4314" spans="1:10" ht="14.4">
      <c r="A4314" s="25"/>
      <c r="B4314" s="25"/>
      <c r="C4314" s="25"/>
      <c r="D4314" s="25"/>
      <c r="E4314" s="25"/>
      <c r="F4314" s="25"/>
      <c r="G4314" s="25"/>
      <c r="H4314" s="25"/>
      <c r="I4314" s="25"/>
      <c r="J4314" s="25"/>
    </row>
    <row r="4315" spans="1:10" ht="14.4">
      <c r="A4315" s="25"/>
      <c r="B4315" s="25"/>
      <c r="C4315" s="25"/>
      <c r="D4315" s="25"/>
      <c r="E4315" s="25"/>
      <c r="F4315" s="25"/>
      <c r="G4315" s="25"/>
      <c r="H4315" s="25"/>
      <c r="I4315" s="25"/>
      <c r="J4315" s="25"/>
    </row>
    <row r="4316" spans="1:10" ht="14.4">
      <c r="A4316" s="25"/>
      <c r="B4316" s="25"/>
      <c r="C4316" s="25"/>
      <c r="D4316" s="25"/>
      <c r="E4316" s="25"/>
      <c r="F4316" s="25"/>
      <c r="G4316" s="25"/>
      <c r="H4316" s="25"/>
      <c r="I4316" s="25"/>
      <c r="J4316" s="25"/>
    </row>
    <row r="4317" spans="1:10" ht="14.4">
      <c r="A4317" s="25"/>
      <c r="B4317" s="25"/>
      <c r="C4317" s="25"/>
      <c r="D4317" s="25"/>
      <c r="E4317" s="25"/>
      <c r="F4317" s="25"/>
      <c r="G4317" s="25"/>
      <c r="H4317" s="25"/>
      <c r="I4317" s="25"/>
      <c r="J4317" s="25"/>
    </row>
    <row r="4318" spans="1:10" ht="14.4">
      <c r="A4318" s="25"/>
      <c r="B4318" s="25"/>
      <c r="C4318" s="25"/>
      <c r="D4318" s="25"/>
      <c r="E4318" s="25"/>
      <c r="F4318" s="25"/>
      <c r="G4318" s="25"/>
      <c r="H4318" s="25"/>
      <c r="I4318" s="25"/>
      <c r="J4318" s="25"/>
    </row>
    <row r="4319" spans="1:10" ht="14.4">
      <c r="A4319" s="25"/>
      <c r="B4319" s="25"/>
      <c r="C4319" s="25"/>
      <c r="D4319" s="25"/>
      <c r="E4319" s="25"/>
      <c r="F4319" s="25"/>
      <c r="G4319" s="25"/>
      <c r="H4319" s="25"/>
      <c r="I4319" s="25"/>
      <c r="J4319" s="25"/>
    </row>
    <row r="4320" spans="1:10" ht="14.4">
      <c r="A4320" s="25"/>
      <c r="B4320" s="25"/>
      <c r="C4320" s="25"/>
      <c r="D4320" s="25"/>
      <c r="E4320" s="25"/>
      <c r="F4320" s="25"/>
      <c r="G4320" s="25"/>
      <c r="H4320" s="25"/>
      <c r="I4320" s="25"/>
      <c r="J4320" s="25"/>
    </row>
    <row r="4321" spans="1:10" ht="14.4">
      <c r="A4321" s="25"/>
      <c r="B4321" s="25"/>
      <c r="C4321" s="25"/>
      <c r="D4321" s="25"/>
      <c r="E4321" s="25"/>
      <c r="F4321" s="25"/>
      <c r="G4321" s="25"/>
      <c r="H4321" s="25"/>
      <c r="I4321" s="25"/>
      <c r="J4321" s="25"/>
    </row>
    <row r="4322" spans="1:10" ht="14.4">
      <c r="A4322" s="25"/>
      <c r="B4322" s="25"/>
      <c r="C4322" s="25"/>
      <c r="D4322" s="25"/>
      <c r="E4322" s="25"/>
      <c r="F4322" s="25"/>
      <c r="G4322" s="25"/>
      <c r="H4322" s="25"/>
      <c r="I4322" s="25"/>
      <c r="J4322" s="25"/>
    </row>
    <row r="4323" spans="1:10" ht="14.4">
      <c r="A4323" s="25"/>
      <c r="B4323" s="25"/>
      <c r="C4323" s="25"/>
      <c r="D4323" s="25"/>
      <c r="E4323" s="25"/>
      <c r="F4323" s="25"/>
      <c r="G4323" s="25"/>
      <c r="H4323" s="25"/>
      <c r="I4323" s="25"/>
      <c r="J4323" s="25"/>
    </row>
    <row r="4324" spans="1:10" ht="14.4">
      <c r="A4324" s="25"/>
      <c r="B4324" s="25"/>
      <c r="C4324" s="25"/>
      <c r="D4324" s="25"/>
      <c r="E4324" s="25"/>
      <c r="F4324" s="25"/>
      <c r="G4324" s="25"/>
      <c r="H4324" s="25"/>
      <c r="I4324" s="25"/>
      <c r="J4324" s="25"/>
    </row>
    <row r="4325" spans="1:10" ht="14.4">
      <c r="A4325" s="25"/>
      <c r="B4325" s="25"/>
      <c r="C4325" s="25"/>
      <c r="D4325" s="25"/>
      <c r="E4325" s="25"/>
      <c r="F4325" s="25"/>
      <c r="G4325" s="25"/>
      <c r="H4325" s="25"/>
      <c r="I4325" s="25"/>
      <c r="J4325" s="25"/>
    </row>
    <row r="4326" spans="1:10" ht="14.4">
      <c r="A4326" s="25"/>
      <c r="B4326" s="25"/>
      <c r="C4326" s="25"/>
      <c r="D4326" s="25"/>
      <c r="E4326" s="25"/>
      <c r="F4326" s="25"/>
      <c r="G4326" s="25"/>
      <c r="H4326" s="25"/>
      <c r="I4326" s="25"/>
      <c r="J4326" s="25"/>
    </row>
    <row r="4327" spans="1:10" ht="14.4">
      <c r="A4327" s="25"/>
      <c r="B4327" s="25"/>
      <c r="C4327" s="25"/>
      <c r="D4327" s="25"/>
      <c r="E4327" s="25"/>
      <c r="F4327" s="25"/>
      <c r="G4327" s="25"/>
      <c r="H4327" s="25"/>
      <c r="I4327" s="25"/>
      <c r="J4327" s="25"/>
    </row>
    <row r="4328" spans="1:10" ht="14.4">
      <c r="A4328" s="25"/>
      <c r="B4328" s="25"/>
      <c r="C4328" s="25"/>
      <c r="D4328" s="25"/>
      <c r="E4328" s="25"/>
      <c r="F4328" s="25"/>
      <c r="G4328" s="25"/>
      <c r="H4328" s="25"/>
      <c r="I4328" s="25"/>
      <c r="J4328" s="25"/>
    </row>
    <row r="4329" spans="1:10" ht="14.4">
      <c r="A4329" s="25"/>
      <c r="B4329" s="25"/>
      <c r="C4329" s="25"/>
      <c r="D4329" s="25"/>
      <c r="E4329" s="25"/>
      <c r="F4329" s="25"/>
      <c r="G4329" s="25"/>
      <c r="H4329" s="25"/>
      <c r="I4329" s="25"/>
      <c r="J4329" s="25"/>
    </row>
    <row r="4330" spans="1:10" ht="14.4">
      <c r="A4330" s="25"/>
      <c r="B4330" s="25"/>
      <c r="C4330" s="25"/>
      <c r="D4330" s="25"/>
      <c r="E4330" s="25"/>
      <c r="F4330" s="25"/>
      <c r="G4330" s="25"/>
      <c r="H4330" s="25"/>
      <c r="I4330" s="25"/>
      <c r="J4330" s="25"/>
    </row>
    <row r="4331" spans="1:10" ht="14.4">
      <c r="A4331" s="25"/>
      <c r="B4331" s="25"/>
      <c r="C4331" s="25"/>
      <c r="D4331" s="25"/>
      <c r="E4331" s="25"/>
      <c r="F4331" s="25"/>
      <c r="G4331" s="25"/>
      <c r="H4331" s="25"/>
      <c r="I4331" s="25"/>
      <c r="J4331" s="25"/>
    </row>
    <row r="4332" spans="1:10" ht="14.4">
      <c r="A4332" s="25"/>
      <c r="B4332" s="25"/>
      <c r="C4332" s="25"/>
      <c r="D4332" s="25"/>
      <c r="E4332" s="25"/>
      <c r="F4332" s="25"/>
      <c r="G4332" s="25"/>
      <c r="H4332" s="25"/>
      <c r="I4332" s="25"/>
      <c r="J4332" s="25"/>
    </row>
    <row r="4333" spans="1:10" ht="14.4">
      <c r="A4333" s="25"/>
      <c r="B4333" s="25"/>
      <c r="C4333" s="25"/>
      <c r="D4333" s="25"/>
      <c r="E4333" s="25"/>
      <c r="F4333" s="25"/>
      <c r="G4333" s="25"/>
      <c r="H4333" s="25"/>
      <c r="I4333" s="25"/>
      <c r="J4333" s="25"/>
    </row>
    <row r="4334" spans="1:10" ht="14.4">
      <c r="A4334" s="25"/>
      <c r="B4334" s="25"/>
      <c r="C4334" s="25"/>
      <c r="D4334" s="25"/>
      <c r="E4334" s="25"/>
      <c r="F4334" s="25"/>
      <c r="G4334" s="25"/>
      <c r="H4334" s="25"/>
      <c r="I4334" s="25"/>
      <c r="J4334" s="25"/>
    </row>
    <row r="4335" spans="1:10" ht="14.4">
      <c r="A4335" s="25"/>
      <c r="B4335" s="25"/>
      <c r="C4335" s="25"/>
      <c r="D4335" s="25"/>
      <c r="E4335" s="25"/>
      <c r="F4335" s="25"/>
      <c r="G4335" s="25"/>
      <c r="H4335" s="25"/>
      <c r="I4335" s="25"/>
      <c r="J4335" s="25"/>
    </row>
    <row r="4336" spans="1:10" ht="14.4">
      <c r="A4336" s="25"/>
      <c r="B4336" s="25"/>
      <c r="C4336" s="25"/>
      <c r="D4336" s="25"/>
      <c r="E4336" s="25"/>
      <c r="F4336" s="25"/>
      <c r="G4336" s="25"/>
      <c r="H4336" s="25"/>
      <c r="I4336" s="25"/>
      <c r="J4336" s="25"/>
    </row>
    <row r="4337" spans="1:10" ht="14.4">
      <c r="A4337" s="25"/>
      <c r="B4337" s="25"/>
      <c r="C4337" s="25"/>
      <c r="D4337" s="25"/>
      <c r="E4337" s="25"/>
      <c r="F4337" s="25"/>
      <c r="G4337" s="25"/>
      <c r="H4337" s="25"/>
      <c r="I4337" s="25"/>
      <c r="J4337" s="25"/>
    </row>
    <row r="4338" spans="1:10" ht="14.4">
      <c r="A4338" s="25"/>
      <c r="B4338" s="25"/>
      <c r="C4338" s="25"/>
      <c r="D4338" s="25"/>
      <c r="E4338" s="25"/>
      <c r="F4338" s="25"/>
      <c r="G4338" s="25"/>
      <c r="H4338" s="25"/>
      <c r="I4338" s="25"/>
      <c r="J4338" s="25"/>
    </row>
    <row r="4339" spans="1:10" ht="14.4">
      <c r="A4339" s="25"/>
      <c r="B4339" s="25"/>
      <c r="C4339" s="25"/>
      <c r="D4339" s="25"/>
      <c r="E4339" s="25"/>
      <c r="F4339" s="25"/>
      <c r="G4339" s="25"/>
      <c r="H4339" s="25"/>
      <c r="I4339" s="25"/>
      <c r="J4339" s="25"/>
    </row>
    <row r="4340" spans="1:10" ht="14.4">
      <c r="A4340" s="25"/>
      <c r="B4340" s="25"/>
      <c r="C4340" s="25"/>
      <c r="D4340" s="25"/>
      <c r="E4340" s="25"/>
      <c r="F4340" s="25"/>
      <c r="G4340" s="25"/>
      <c r="H4340" s="25"/>
      <c r="I4340" s="25"/>
      <c r="J4340" s="25"/>
    </row>
    <row r="4341" spans="1:10" ht="14.4">
      <c r="A4341" s="25"/>
      <c r="B4341" s="25"/>
      <c r="C4341" s="25"/>
      <c r="D4341" s="25"/>
      <c r="E4341" s="25"/>
      <c r="F4341" s="25"/>
      <c r="G4341" s="25"/>
      <c r="H4341" s="25"/>
      <c r="I4341" s="25"/>
      <c r="J4341" s="25"/>
    </row>
    <row r="4342" spans="1:10" ht="14.4">
      <c r="A4342" s="25"/>
      <c r="B4342" s="25"/>
      <c r="C4342" s="25"/>
      <c r="D4342" s="25"/>
      <c r="E4342" s="25"/>
      <c r="F4342" s="25"/>
      <c r="G4342" s="25"/>
      <c r="H4342" s="25"/>
      <c r="I4342" s="25"/>
      <c r="J4342" s="25"/>
    </row>
    <row r="4343" spans="1:10" ht="14.4">
      <c r="A4343" s="25"/>
      <c r="B4343" s="25"/>
      <c r="C4343" s="25"/>
      <c r="D4343" s="25"/>
      <c r="E4343" s="25"/>
      <c r="F4343" s="25"/>
      <c r="G4343" s="25"/>
      <c r="H4343" s="25"/>
      <c r="I4343" s="25"/>
      <c r="J4343" s="25"/>
    </row>
    <row r="4344" spans="1:10" ht="14.4">
      <c r="A4344" s="25"/>
      <c r="B4344" s="25"/>
      <c r="C4344" s="25"/>
      <c r="D4344" s="25"/>
      <c r="E4344" s="25"/>
      <c r="F4344" s="25"/>
      <c r="G4344" s="25"/>
      <c r="H4344" s="25"/>
      <c r="I4344" s="25"/>
      <c r="J4344" s="25"/>
    </row>
    <row r="4345" spans="1:10" ht="14.4">
      <c r="A4345" s="25"/>
      <c r="B4345" s="25"/>
      <c r="C4345" s="25"/>
      <c r="D4345" s="25"/>
      <c r="E4345" s="25"/>
      <c r="F4345" s="25"/>
      <c r="G4345" s="25"/>
      <c r="H4345" s="25"/>
      <c r="I4345" s="25"/>
      <c r="J4345" s="25"/>
    </row>
    <row r="4346" spans="1:10" ht="14.4">
      <c r="A4346" s="25"/>
      <c r="B4346" s="25"/>
      <c r="C4346" s="25"/>
      <c r="D4346" s="25"/>
      <c r="E4346" s="25"/>
      <c r="F4346" s="25"/>
      <c r="G4346" s="25"/>
      <c r="H4346" s="25"/>
      <c r="I4346" s="25"/>
      <c r="J4346" s="25"/>
    </row>
    <row r="4347" spans="1:10" ht="14.4">
      <c r="A4347" s="25"/>
      <c r="B4347" s="25"/>
      <c r="C4347" s="25"/>
      <c r="D4347" s="25"/>
      <c r="E4347" s="25"/>
      <c r="F4347" s="25"/>
      <c r="G4347" s="25"/>
      <c r="H4347" s="25"/>
      <c r="I4347" s="25"/>
      <c r="J4347" s="25"/>
    </row>
    <row r="4348" spans="1:10" ht="14.4">
      <c r="A4348" s="25"/>
      <c r="B4348" s="25"/>
      <c r="C4348" s="25"/>
      <c r="D4348" s="25"/>
      <c r="E4348" s="25"/>
      <c r="F4348" s="25"/>
      <c r="G4348" s="25"/>
      <c r="H4348" s="25"/>
      <c r="I4348" s="25"/>
      <c r="J4348" s="25"/>
    </row>
    <row r="4349" spans="1:10" ht="14.4">
      <c r="A4349" s="25"/>
      <c r="B4349" s="25"/>
      <c r="C4349" s="25"/>
      <c r="D4349" s="25"/>
      <c r="E4349" s="25"/>
      <c r="F4349" s="25"/>
      <c r="G4349" s="25"/>
      <c r="H4349" s="25"/>
      <c r="I4349" s="25"/>
      <c r="J4349" s="25"/>
    </row>
    <row r="4350" spans="1:10" ht="14.4">
      <c r="A4350" s="25"/>
      <c r="B4350" s="25"/>
      <c r="C4350" s="25"/>
      <c r="D4350" s="25"/>
      <c r="E4350" s="25"/>
      <c r="F4350" s="25"/>
      <c r="G4350" s="25"/>
      <c r="H4350" s="25"/>
      <c r="I4350" s="25"/>
      <c r="J4350" s="25"/>
    </row>
    <row r="4351" spans="1:10" ht="14.4">
      <c r="A4351" s="25"/>
      <c r="B4351" s="25"/>
      <c r="C4351" s="25"/>
      <c r="D4351" s="25"/>
      <c r="E4351" s="25"/>
      <c r="F4351" s="25"/>
      <c r="G4351" s="25"/>
      <c r="H4351" s="25"/>
      <c r="I4351" s="25"/>
      <c r="J4351" s="25"/>
    </row>
    <row r="4352" spans="1:10" ht="14.4">
      <c r="A4352" s="25"/>
      <c r="B4352" s="25"/>
      <c r="C4352" s="25"/>
      <c r="D4352" s="25"/>
      <c r="E4352" s="25"/>
      <c r="F4352" s="25"/>
      <c r="G4352" s="25"/>
      <c r="H4352" s="25"/>
      <c r="I4352" s="25"/>
      <c r="J4352" s="25"/>
    </row>
    <row r="4353" spans="1:10" ht="14.4">
      <c r="A4353" s="25"/>
      <c r="B4353" s="25"/>
      <c r="C4353" s="25"/>
      <c r="D4353" s="25"/>
      <c r="E4353" s="25"/>
      <c r="F4353" s="25"/>
      <c r="G4353" s="25"/>
      <c r="H4353" s="25"/>
      <c r="I4353" s="25"/>
      <c r="J4353" s="25"/>
    </row>
    <row r="4354" spans="1:10" ht="14.4">
      <c r="A4354" s="25"/>
      <c r="B4354" s="25"/>
      <c r="C4354" s="25"/>
      <c r="D4354" s="25"/>
      <c r="E4354" s="25"/>
      <c r="F4354" s="25"/>
      <c r="G4354" s="25"/>
      <c r="H4354" s="25"/>
      <c r="I4354" s="25"/>
      <c r="J4354" s="25"/>
    </row>
    <row r="4355" spans="1:10" ht="14.4">
      <c r="A4355" s="25"/>
      <c r="B4355" s="25"/>
      <c r="C4355" s="25"/>
      <c r="D4355" s="25"/>
      <c r="E4355" s="25"/>
      <c r="F4355" s="25"/>
      <c r="G4355" s="25"/>
      <c r="H4355" s="25"/>
      <c r="I4355" s="25"/>
      <c r="J4355" s="25"/>
    </row>
    <row r="4356" spans="1:10" ht="14.4">
      <c r="A4356" s="25"/>
      <c r="B4356" s="25"/>
      <c r="C4356" s="25"/>
      <c r="D4356" s="25"/>
      <c r="E4356" s="25"/>
      <c r="F4356" s="25"/>
      <c r="G4356" s="25"/>
      <c r="H4356" s="25"/>
      <c r="I4356" s="25"/>
      <c r="J4356" s="25"/>
    </row>
    <row r="4357" spans="1:10" ht="14.4">
      <c r="A4357" s="25"/>
      <c r="B4357" s="25"/>
      <c r="C4357" s="25"/>
      <c r="D4357" s="25"/>
      <c r="E4357" s="25"/>
      <c r="F4357" s="25"/>
      <c r="G4357" s="25"/>
      <c r="H4357" s="25"/>
      <c r="I4357" s="25"/>
      <c r="J4357" s="25"/>
    </row>
    <row r="4358" spans="1:10" ht="14.4">
      <c r="A4358" s="25"/>
      <c r="B4358" s="25"/>
      <c r="C4358" s="25"/>
      <c r="D4358" s="25"/>
      <c r="E4358" s="25"/>
      <c r="F4358" s="25"/>
      <c r="G4358" s="25"/>
      <c r="H4358" s="25"/>
      <c r="I4358" s="25"/>
      <c r="J4358" s="25"/>
    </row>
    <row r="4359" spans="1:10" ht="14.4">
      <c r="A4359" s="25"/>
      <c r="B4359" s="25"/>
      <c r="C4359" s="25"/>
      <c r="D4359" s="25"/>
      <c r="E4359" s="25"/>
      <c r="F4359" s="25"/>
      <c r="G4359" s="25"/>
      <c r="H4359" s="25"/>
      <c r="I4359" s="25"/>
      <c r="J4359" s="25"/>
    </row>
    <row r="4360" spans="1:10" ht="14.4">
      <c r="A4360" s="25"/>
      <c r="B4360" s="25"/>
      <c r="C4360" s="25"/>
      <c r="D4360" s="25"/>
      <c r="E4360" s="25"/>
      <c r="F4360" s="25"/>
      <c r="G4360" s="25"/>
      <c r="H4360" s="25"/>
      <c r="I4360" s="25"/>
      <c r="J4360" s="25"/>
    </row>
    <row r="4361" spans="1:10" ht="14.4">
      <c r="A4361" s="25"/>
      <c r="B4361" s="25"/>
      <c r="C4361" s="25"/>
      <c r="D4361" s="25"/>
      <c r="E4361" s="25"/>
      <c r="F4361" s="25"/>
      <c r="G4361" s="25"/>
      <c r="H4361" s="25"/>
      <c r="I4361" s="25"/>
      <c r="J4361" s="25"/>
    </row>
    <row r="4362" spans="1:10" ht="14.4">
      <c r="A4362" s="25"/>
      <c r="B4362" s="25"/>
      <c r="C4362" s="25"/>
      <c r="D4362" s="25"/>
      <c r="E4362" s="25"/>
      <c r="F4362" s="25"/>
      <c r="G4362" s="25"/>
      <c r="H4362" s="25"/>
      <c r="I4362" s="25"/>
      <c r="J4362" s="25"/>
    </row>
    <row r="4363" spans="1:10" ht="14.4">
      <c r="A4363" s="25"/>
      <c r="B4363" s="25"/>
      <c r="C4363" s="25"/>
      <c r="D4363" s="25"/>
      <c r="E4363" s="25"/>
      <c r="F4363" s="25"/>
      <c r="G4363" s="25"/>
      <c r="H4363" s="25"/>
      <c r="I4363" s="25"/>
      <c r="J4363" s="25"/>
    </row>
    <row r="4364" spans="1:10" ht="14.4">
      <c r="A4364" s="25"/>
      <c r="B4364" s="25"/>
      <c r="C4364" s="25"/>
      <c r="D4364" s="25"/>
      <c r="E4364" s="25"/>
      <c r="F4364" s="25"/>
      <c r="G4364" s="25"/>
      <c r="H4364" s="25"/>
      <c r="I4364" s="25"/>
      <c r="J4364" s="25"/>
    </row>
    <row r="4365" spans="1:10" ht="14.4">
      <c r="A4365" s="25"/>
      <c r="B4365" s="25"/>
      <c r="C4365" s="25"/>
      <c r="D4365" s="25"/>
      <c r="E4365" s="25"/>
      <c r="F4365" s="25"/>
      <c r="G4365" s="25"/>
      <c r="H4365" s="25"/>
      <c r="I4365" s="25"/>
      <c r="J4365" s="25"/>
    </row>
    <row r="4366" spans="1:10" ht="14.4">
      <c r="A4366" s="25"/>
      <c r="B4366" s="25"/>
      <c r="C4366" s="25"/>
      <c r="D4366" s="25"/>
      <c r="E4366" s="25"/>
      <c r="F4366" s="25"/>
      <c r="G4366" s="25"/>
      <c r="H4366" s="25"/>
      <c r="I4366" s="25"/>
      <c r="J4366" s="25"/>
    </row>
    <row r="4367" spans="1:10" ht="14.4">
      <c r="A4367" s="25"/>
      <c r="B4367" s="25"/>
      <c r="C4367" s="25"/>
      <c r="D4367" s="25"/>
      <c r="E4367" s="25"/>
      <c r="F4367" s="25"/>
      <c r="G4367" s="25"/>
      <c r="H4367" s="25"/>
      <c r="I4367" s="25"/>
      <c r="J4367" s="25"/>
    </row>
    <row r="4368" spans="1:10" ht="14.4">
      <c r="A4368" s="25"/>
      <c r="B4368" s="25"/>
      <c r="C4368" s="25"/>
      <c r="D4368" s="25"/>
      <c r="E4368" s="25"/>
      <c r="F4368" s="25"/>
      <c r="G4368" s="25"/>
      <c r="H4368" s="25"/>
      <c r="I4368" s="25"/>
      <c r="J4368" s="25"/>
    </row>
    <row r="4369" spans="1:10" ht="14.4">
      <c r="A4369" s="25"/>
      <c r="B4369" s="25"/>
      <c r="C4369" s="25"/>
      <c r="D4369" s="25"/>
      <c r="E4369" s="25"/>
      <c r="F4369" s="25"/>
      <c r="G4369" s="25"/>
      <c r="H4369" s="25"/>
      <c r="I4369" s="25"/>
      <c r="J4369" s="25"/>
    </row>
    <row r="4370" spans="1:10" ht="14.4">
      <c r="A4370" s="25"/>
      <c r="B4370" s="25"/>
      <c r="C4370" s="25"/>
      <c r="D4370" s="25"/>
      <c r="E4370" s="25"/>
      <c r="F4370" s="25"/>
      <c r="G4370" s="25"/>
      <c r="H4370" s="25"/>
      <c r="I4370" s="25"/>
      <c r="J4370" s="25"/>
    </row>
    <row r="4371" spans="1:10" ht="14.4">
      <c r="A4371" s="25"/>
      <c r="B4371" s="25"/>
      <c r="C4371" s="25"/>
      <c r="D4371" s="25"/>
      <c r="E4371" s="25"/>
      <c r="F4371" s="25"/>
      <c r="G4371" s="25"/>
      <c r="H4371" s="25"/>
      <c r="I4371" s="25"/>
      <c r="J4371" s="25"/>
    </row>
    <row r="4372" spans="1:10" ht="14.4">
      <c r="A4372" s="25"/>
      <c r="B4372" s="25"/>
      <c r="C4372" s="25"/>
      <c r="D4372" s="25"/>
      <c r="E4372" s="25"/>
      <c r="F4372" s="25"/>
      <c r="G4372" s="25"/>
      <c r="H4372" s="25"/>
      <c r="I4372" s="25"/>
      <c r="J4372" s="25"/>
    </row>
    <row r="4373" spans="1:10" ht="14.4">
      <c r="A4373" s="25"/>
      <c r="B4373" s="25"/>
      <c r="C4373" s="25"/>
      <c r="D4373" s="25"/>
      <c r="E4373" s="25"/>
      <c r="F4373" s="25"/>
      <c r="G4373" s="25"/>
      <c r="H4373" s="25"/>
      <c r="I4373" s="25"/>
      <c r="J4373" s="25"/>
    </row>
    <row r="4374" spans="1:10" ht="14.4">
      <c r="A4374" s="25"/>
      <c r="B4374" s="25"/>
      <c r="C4374" s="25"/>
      <c r="D4374" s="25"/>
      <c r="E4374" s="25"/>
      <c r="F4374" s="25"/>
      <c r="G4374" s="25"/>
      <c r="H4374" s="25"/>
      <c r="I4374" s="25"/>
      <c r="J4374" s="25"/>
    </row>
    <row r="4375" spans="1:10" ht="14.4">
      <c r="A4375" s="25"/>
      <c r="B4375" s="25"/>
      <c r="C4375" s="25"/>
      <c r="D4375" s="25"/>
      <c r="E4375" s="25"/>
      <c r="F4375" s="25"/>
      <c r="G4375" s="25"/>
      <c r="H4375" s="25"/>
      <c r="I4375" s="25"/>
      <c r="J4375" s="25"/>
    </row>
    <row r="4376" spans="1:10" ht="14.4">
      <c r="A4376" s="25"/>
      <c r="B4376" s="25"/>
      <c r="C4376" s="25"/>
      <c r="D4376" s="25"/>
      <c r="E4376" s="25"/>
      <c r="F4376" s="25"/>
      <c r="G4376" s="25"/>
      <c r="H4376" s="25"/>
      <c r="I4376" s="25"/>
      <c r="J4376" s="25"/>
    </row>
    <row r="4377" spans="1:10" ht="14.4">
      <c r="A4377" s="25"/>
      <c r="B4377" s="25"/>
      <c r="C4377" s="25"/>
      <c r="D4377" s="25"/>
      <c r="E4377" s="25"/>
      <c r="F4377" s="25"/>
      <c r="G4377" s="25"/>
      <c r="H4377" s="25"/>
      <c r="I4377" s="25"/>
      <c r="J4377" s="25"/>
    </row>
    <row r="4378" spans="1:10" ht="14.4">
      <c r="A4378" s="25"/>
      <c r="B4378" s="25"/>
      <c r="C4378" s="25"/>
      <c r="D4378" s="25"/>
      <c r="E4378" s="25"/>
      <c r="F4378" s="25"/>
      <c r="G4378" s="25"/>
      <c r="H4378" s="25"/>
      <c r="I4378" s="25"/>
      <c r="J4378" s="25"/>
    </row>
    <row r="4379" spans="1:10" ht="14.4">
      <c r="A4379" s="25"/>
      <c r="B4379" s="25"/>
      <c r="C4379" s="25"/>
      <c r="D4379" s="25"/>
      <c r="E4379" s="25"/>
      <c r="F4379" s="25"/>
      <c r="G4379" s="25"/>
      <c r="H4379" s="25"/>
      <c r="I4379" s="25"/>
      <c r="J4379" s="25"/>
    </row>
    <row r="4380" spans="1:10" ht="14.4">
      <c r="A4380" s="25"/>
      <c r="B4380" s="25"/>
      <c r="C4380" s="25"/>
      <c r="D4380" s="25"/>
      <c r="E4380" s="25"/>
      <c r="F4380" s="25"/>
      <c r="G4380" s="25"/>
      <c r="H4380" s="25"/>
      <c r="I4380" s="25"/>
      <c r="J4380" s="25"/>
    </row>
    <row r="4381" spans="1:10" ht="14.4">
      <c r="A4381" s="25"/>
      <c r="B4381" s="25"/>
      <c r="C4381" s="25"/>
      <c r="D4381" s="25"/>
      <c r="E4381" s="25"/>
      <c r="F4381" s="25"/>
      <c r="G4381" s="25"/>
      <c r="H4381" s="25"/>
      <c r="I4381" s="25"/>
      <c r="J4381" s="25"/>
    </row>
    <row r="4382" spans="1:10" ht="14.4">
      <c r="A4382" s="25"/>
      <c r="B4382" s="25"/>
      <c r="C4382" s="25"/>
      <c r="D4382" s="25"/>
      <c r="E4382" s="25"/>
      <c r="F4382" s="25"/>
      <c r="G4382" s="25"/>
      <c r="H4382" s="25"/>
      <c r="I4382" s="25"/>
      <c r="J4382" s="25"/>
    </row>
    <row r="4383" spans="1:10" ht="14.4">
      <c r="A4383" s="25"/>
      <c r="B4383" s="25"/>
      <c r="C4383" s="25"/>
      <c r="D4383" s="25"/>
      <c r="E4383" s="25"/>
      <c r="F4383" s="25"/>
      <c r="G4383" s="25"/>
      <c r="H4383" s="25"/>
      <c r="I4383" s="25"/>
      <c r="J4383" s="25"/>
    </row>
    <row r="4384" spans="1:10" ht="14.4">
      <c r="A4384" s="25"/>
      <c r="B4384" s="25"/>
      <c r="C4384" s="25"/>
      <c r="D4384" s="25"/>
      <c r="E4384" s="25"/>
      <c r="F4384" s="25"/>
      <c r="G4384" s="25"/>
      <c r="H4384" s="25"/>
      <c r="I4384" s="25"/>
      <c r="J4384" s="25"/>
    </row>
    <row r="4385" spans="1:10" ht="14.4">
      <c r="A4385" s="25"/>
      <c r="B4385" s="25"/>
      <c r="C4385" s="25"/>
      <c r="D4385" s="25"/>
      <c r="E4385" s="25"/>
      <c r="F4385" s="25"/>
      <c r="G4385" s="25"/>
      <c r="H4385" s="25"/>
      <c r="I4385" s="25"/>
      <c r="J4385" s="25"/>
    </row>
    <row r="4386" spans="1:10" ht="14.4">
      <c r="A4386" s="25"/>
      <c r="B4386" s="25"/>
      <c r="C4386" s="25"/>
      <c r="D4386" s="25"/>
      <c r="E4386" s="25"/>
      <c r="F4386" s="25"/>
      <c r="G4386" s="25"/>
      <c r="H4386" s="25"/>
      <c r="I4386" s="25"/>
      <c r="J4386" s="25"/>
    </row>
    <row r="4387" spans="1:10" ht="14.4">
      <c r="A4387" s="25"/>
      <c r="B4387" s="25"/>
      <c r="C4387" s="25"/>
      <c r="D4387" s="25"/>
      <c r="E4387" s="25"/>
      <c r="F4387" s="25"/>
      <c r="G4387" s="25"/>
      <c r="H4387" s="25"/>
      <c r="I4387" s="25"/>
      <c r="J4387" s="25"/>
    </row>
    <row r="4388" spans="1:10" ht="14.4">
      <c r="A4388" s="25"/>
      <c r="B4388" s="25"/>
      <c r="C4388" s="25"/>
      <c r="D4388" s="25"/>
      <c r="E4388" s="25"/>
      <c r="F4388" s="25"/>
      <c r="G4388" s="25"/>
      <c r="H4388" s="25"/>
      <c r="I4388" s="25"/>
      <c r="J4388" s="25"/>
    </row>
    <row r="4389" spans="1:10" ht="14.4">
      <c r="A4389" s="25"/>
      <c r="B4389" s="25"/>
      <c r="C4389" s="25"/>
      <c r="D4389" s="25"/>
      <c r="E4389" s="25"/>
      <c r="F4389" s="25"/>
      <c r="G4389" s="25"/>
      <c r="H4389" s="25"/>
      <c r="I4389" s="25"/>
      <c r="J4389" s="25"/>
    </row>
    <row r="4390" spans="1:10" ht="14.4">
      <c r="A4390" s="25"/>
      <c r="B4390" s="25"/>
      <c r="C4390" s="25"/>
      <c r="D4390" s="25"/>
      <c r="E4390" s="25"/>
      <c r="F4390" s="25"/>
      <c r="G4390" s="25"/>
      <c r="H4390" s="25"/>
      <c r="I4390" s="25"/>
      <c r="J4390" s="25"/>
    </row>
    <row r="4391" spans="1:10" ht="14.4">
      <c r="A4391" s="25"/>
      <c r="B4391" s="25"/>
      <c r="C4391" s="25"/>
      <c r="D4391" s="25"/>
      <c r="E4391" s="25"/>
      <c r="F4391" s="25"/>
      <c r="G4391" s="25"/>
      <c r="H4391" s="25"/>
      <c r="I4391" s="25"/>
      <c r="J4391" s="25"/>
    </row>
    <row r="4392" spans="1:10" ht="14.4">
      <c r="A4392" s="25"/>
      <c r="B4392" s="25"/>
      <c r="C4392" s="25"/>
      <c r="D4392" s="25"/>
      <c r="E4392" s="25"/>
      <c r="F4392" s="25"/>
      <c r="G4392" s="25"/>
      <c r="H4392" s="25"/>
      <c r="I4392" s="25"/>
      <c r="J4392" s="25"/>
    </row>
    <row r="4393" spans="1:10" ht="14.4">
      <c r="A4393" s="25"/>
      <c r="B4393" s="25"/>
      <c r="C4393" s="25"/>
      <c r="D4393" s="25"/>
      <c r="E4393" s="25"/>
      <c r="F4393" s="25"/>
      <c r="G4393" s="25"/>
      <c r="H4393" s="25"/>
      <c r="I4393" s="25"/>
      <c r="J4393" s="25"/>
    </row>
    <row r="4394" spans="1:10" ht="14.4">
      <c r="A4394" s="25"/>
      <c r="B4394" s="25"/>
      <c r="C4394" s="25"/>
      <c r="D4394" s="25"/>
      <c r="E4394" s="25"/>
      <c r="F4394" s="25"/>
      <c r="G4394" s="25"/>
      <c r="H4394" s="25"/>
      <c r="I4394" s="25"/>
      <c r="J4394" s="25"/>
    </row>
    <row r="4395" spans="1:10" ht="14.4">
      <c r="A4395" s="25"/>
      <c r="B4395" s="25"/>
      <c r="C4395" s="25"/>
      <c r="D4395" s="25"/>
      <c r="E4395" s="25"/>
      <c r="F4395" s="25"/>
      <c r="G4395" s="25"/>
      <c r="H4395" s="25"/>
      <c r="I4395" s="25"/>
      <c r="J4395" s="25"/>
    </row>
    <row r="4396" spans="1:10" ht="14.4">
      <c r="A4396" s="25"/>
      <c r="B4396" s="25"/>
      <c r="C4396" s="25"/>
      <c r="D4396" s="25"/>
      <c r="E4396" s="25"/>
      <c r="F4396" s="25"/>
      <c r="G4396" s="25"/>
      <c r="H4396" s="25"/>
      <c r="I4396" s="25"/>
      <c r="J4396" s="25"/>
    </row>
    <row r="4397" spans="1:10" ht="14.4">
      <c r="A4397" s="25"/>
      <c r="B4397" s="25"/>
      <c r="C4397" s="25"/>
      <c r="D4397" s="25"/>
      <c r="E4397" s="25"/>
      <c r="F4397" s="25"/>
      <c r="G4397" s="25"/>
      <c r="H4397" s="25"/>
      <c r="I4397" s="25"/>
      <c r="J4397" s="25"/>
    </row>
    <row r="4398" spans="1:10" ht="14.4">
      <c r="A4398" s="25"/>
      <c r="B4398" s="25"/>
      <c r="C4398" s="25"/>
      <c r="D4398" s="25"/>
      <c r="E4398" s="25"/>
      <c r="F4398" s="25"/>
      <c r="G4398" s="25"/>
      <c r="H4398" s="25"/>
      <c r="I4398" s="25"/>
      <c r="J4398" s="25"/>
    </row>
    <row r="4399" spans="1:10" ht="14.4">
      <c r="A4399" s="25"/>
      <c r="B4399" s="25"/>
      <c r="C4399" s="25"/>
      <c r="D4399" s="25"/>
      <c r="E4399" s="25"/>
      <c r="F4399" s="25"/>
      <c r="G4399" s="25"/>
      <c r="H4399" s="25"/>
      <c r="I4399" s="25"/>
      <c r="J4399" s="25"/>
    </row>
    <row r="4400" spans="1:10" ht="14.4">
      <c r="A4400" s="25"/>
      <c r="B4400" s="25"/>
      <c r="C4400" s="25"/>
      <c r="D4400" s="25"/>
      <c r="E4400" s="25"/>
      <c r="F4400" s="25"/>
      <c r="G4400" s="25"/>
      <c r="H4400" s="25"/>
      <c r="I4400" s="25"/>
      <c r="J4400" s="25"/>
    </row>
    <row r="4401" spans="1:10" ht="14.4">
      <c r="A4401" s="25"/>
      <c r="B4401" s="25"/>
      <c r="C4401" s="25"/>
      <c r="D4401" s="25"/>
      <c r="E4401" s="25"/>
      <c r="F4401" s="25"/>
      <c r="G4401" s="25"/>
      <c r="H4401" s="25"/>
      <c r="I4401" s="25"/>
      <c r="J4401" s="25"/>
    </row>
    <row r="4402" spans="1:10" ht="14.4">
      <c r="A4402" s="25"/>
      <c r="B4402" s="25"/>
      <c r="C4402" s="25"/>
      <c r="D4402" s="25"/>
      <c r="E4402" s="25"/>
      <c r="F4402" s="25"/>
      <c r="G4402" s="25"/>
      <c r="H4402" s="25"/>
      <c r="I4402" s="25"/>
      <c r="J4402" s="25"/>
    </row>
    <row r="4403" spans="1:10" ht="14.4">
      <c r="A4403" s="25"/>
      <c r="B4403" s="25"/>
      <c r="C4403" s="25"/>
      <c r="D4403" s="25"/>
      <c r="E4403" s="25"/>
      <c r="F4403" s="25"/>
      <c r="G4403" s="25"/>
      <c r="H4403" s="25"/>
      <c r="I4403" s="25"/>
      <c r="J4403" s="25"/>
    </row>
    <row r="4404" spans="1:10" ht="14.4">
      <c r="A4404" s="25"/>
      <c r="B4404" s="25"/>
      <c r="C4404" s="25"/>
      <c r="D4404" s="25"/>
      <c r="E4404" s="25"/>
      <c r="F4404" s="25"/>
      <c r="G4404" s="25"/>
      <c r="H4404" s="25"/>
      <c r="I4404" s="25"/>
      <c r="J4404" s="25"/>
    </row>
    <row r="4405" spans="1:10" ht="14.4">
      <c r="A4405" s="25"/>
      <c r="B4405" s="25"/>
      <c r="C4405" s="25"/>
      <c r="D4405" s="25"/>
      <c r="E4405" s="25"/>
      <c r="F4405" s="25"/>
      <c r="G4405" s="25"/>
      <c r="H4405" s="25"/>
      <c r="I4405" s="25"/>
      <c r="J4405" s="25"/>
    </row>
    <row r="4406" spans="1:10" ht="14.4">
      <c r="A4406" s="25"/>
      <c r="B4406" s="25"/>
      <c r="C4406" s="25"/>
      <c r="D4406" s="25"/>
      <c r="E4406" s="25"/>
      <c r="F4406" s="25"/>
      <c r="G4406" s="25"/>
      <c r="H4406" s="25"/>
      <c r="I4406" s="25"/>
      <c r="J4406" s="25"/>
    </row>
    <row r="4407" spans="1:10" ht="14.4">
      <c r="A4407" s="25"/>
      <c r="B4407" s="25"/>
      <c r="C4407" s="25"/>
      <c r="D4407" s="25"/>
      <c r="E4407" s="25"/>
      <c r="F4407" s="25"/>
      <c r="G4407" s="25"/>
      <c r="H4407" s="25"/>
      <c r="I4407" s="25"/>
      <c r="J4407" s="25"/>
    </row>
    <row r="4408" spans="1:10" ht="14.4">
      <c r="A4408" s="25"/>
      <c r="B4408" s="25"/>
      <c r="C4408" s="25"/>
      <c r="D4408" s="25"/>
      <c r="E4408" s="25"/>
      <c r="F4408" s="25"/>
      <c r="G4408" s="25"/>
      <c r="H4408" s="25"/>
      <c r="I4408" s="25"/>
      <c r="J4408" s="25"/>
    </row>
    <row r="4409" spans="1:10" ht="14.4">
      <c r="A4409" s="25"/>
      <c r="B4409" s="25"/>
      <c r="C4409" s="25"/>
      <c r="D4409" s="25"/>
      <c r="E4409" s="25"/>
      <c r="F4409" s="25"/>
      <c r="G4409" s="25"/>
      <c r="H4409" s="25"/>
      <c r="I4409" s="25"/>
      <c r="J4409" s="25"/>
    </row>
    <row r="4410" spans="1:10" ht="14.4">
      <c r="A4410" s="25"/>
      <c r="B4410" s="25"/>
      <c r="C4410" s="25"/>
      <c r="D4410" s="25"/>
      <c r="E4410" s="25"/>
      <c r="F4410" s="25"/>
      <c r="G4410" s="25"/>
      <c r="H4410" s="25"/>
      <c r="I4410" s="25"/>
      <c r="J4410" s="25"/>
    </row>
    <row r="4411" spans="1:10" ht="14.4">
      <c r="A4411" s="25"/>
      <c r="B4411" s="25"/>
      <c r="C4411" s="25"/>
      <c r="D4411" s="25"/>
      <c r="E4411" s="25"/>
      <c r="F4411" s="25"/>
      <c r="G4411" s="25"/>
      <c r="H4411" s="25"/>
      <c r="I4411" s="25"/>
      <c r="J4411" s="25"/>
    </row>
    <row r="4412" spans="1:10" ht="14.4">
      <c r="A4412" s="25"/>
      <c r="B4412" s="25"/>
      <c r="C4412" s="25"/>
      <c r="D4412" s="25"/>
      <c r="E4412" s="25"/>
      <c r="F4412" s="25"/>
      <c r="G4412" s="25"/>
      <c r="H4412" s="25"/>
      <c r="I4412" s="25"/>
      <c r="J4412" s="25"/>
    </row>
    <row r="4413" spans="1:10" ht="14.4">
      <c r="A4413" s="25"/>
      <c r="B4413" s="25"/>
      <c r="C4413" s="25"/>
      <c r="D4413" s="25"/>
      <c r="E4413" s="25"/>
      <c r="F4413" s="25"/>
      <c r="G4413" s="25"/>
      <c r="H4413" s="25"/>
      <c r="I4413" s="25"/>
      <c r="J4413" s="25"/>
    </row>
    <row r="4414" spans="1:10" ht="14.4">
      <c r="A4414" s="25"/>
      <c r="B4414" s="25"/>
      <c r="C4414" s="25"/>
      <c r="D4414" s="25"/>
      <c r="E4414" s="25"/>
      <c r="F4414" s="25"/>
      <c r="G4414" s="25"/>
      <c r="H4414" s="25"/>
      <c r="I4414" s="25"/>
      <c r="J4414" s="25"/>
    </row>
    <row r="4415" spans="1:10" ht="14.4">
      <c r="A4415" s="25"/>
      <c r="B4415" s="25"/>
      <c r="C4415" s="25"/>
      <c r="D4415" s="25"/>
      <c r="E4415" s="25"/>
      <c r="F4415" s="25"/>
      <c r="G4415" s="25"/>
      <c r="H4415" s="25"/>
      <c r="I4415" s="25"/>
      <c r="J4415" s="25"/>
    </row>
    <row r="4416" spans="1:10" ht="14.4">
      <c r="A4416" s="25"/>
      <c r="B4416" s="25"/>
      <c r="C4416" s="25"/>
      <c r="D4416" s="25"/>
      <c r="E4416" s="25"/>
      <c r="F4416" s="25"/>
      <c r="G4416" s="25"/>
      <c r="H4416" s="25"/>
      <c r="I4416" s="25"/>
      <c r="J4416" s="25"/>
    </row>
    <row r="4417" spans="1:10" ht="14.4">
      <c r="A4417" s="25"/>
      <c r="B4417" s="25"/>
      <c r="C4417" s="25"/>
      <c r="D4417" s="25"/>
      <c r="E4417" s="25"/>
      <c r="F4417" s="25"/>
      <c r="G4417" s="25"/>
      <c r="H4417" s="25"/>
      <c r="I4417" s="25"/>
      <c r="J4417" s="25"/>
    </row>
    <row r="4418" spans="1:10" ht="14.4">
      <c r="A4418" s="25"/>
      <c r="B4418" s="25"/>
      <c r="C4418" s="25"/>
      <c r="D4418" s="25"/>
      <c r="E4418" s="25"/>
      <c r="F4418" s="25"/>
      <c r="G4418" s="25"/>
      <c r="H4418" s="25"/>
      <c r="I4418" s="25"/>
      <c r="J4418" s="25"/>
    </row>
    <row r="4419" spans="1:10" ht="14.4">
      <c r="A4419" s="25"/>
      <c r="B4419" s="25"/>
      <c r="C4419" s="25"/>
      <c r="D4419" s="25"/>
      <c r="E4419" s="25"/>
      <c r="F4419" s="25"/>
      <c r="G4419" s="25"/>
      <c r="H4419" s="25"/>
      <c r="I4419" s="25"/>
      <c r="J4419" s="25"/>
    </row>
    <row r="4420" spans="1:10" ht="14.4">
      <c r="A4420" s="25"/>
      <c r="B4420" s="25"/>
      <c r="C4420" s="25"/>
      <c r="D4420" s="25"/>
      <c r="E4420" s="25"/>
      <c r="F4420" s="25"/>
      <c r="G4420" s="25"/>
      <c r="H4420" s="25"/>
      <c r="I4420" s="25"/>
      <c r="J4420" s="25"/>
    </row>
    <row r="4421" spans="1:10" ht="14.4">
      <c r="A4421" s="25"/>
      <c r="B4421" s="25"/>
      <c r="C4421" s="25"/>
      <c r="D4421" s="25"/>
      <c r="E4421" s="25"/>
      <c r="F4421" s="25"/>
      <c r="G4421" s="25"/>
      <c r="H4421" s="25"/>
      <c r="I4421" s="25"/>
      <c r="J4421" s="25"/>
    </row>
    <row r="4422" spans="1:10" ht="14.4">
      <c r="A4422" s="25"/>
      <c r="B4422" s="25"/>
      <c r="C4422" s="25"/>
      <c r="D4422" s="25"/>
      <c r="E4422" s="25"/>
      <c r="F4422" s="25"/>
      <c r="G4422" s="25"/>
      <c r="H4422" s="25"/>
      <c r="I4422" s="25"/>
      <c r="J4422" s="25"/>
    </row>
    <row r="4423" spans="1:10" ht="14.4">
      <c r="A4423" s="25"/>
      <c r="B4423" s="25"/>
      <c r="C4423" s="25"/>
      <c r="D4423" s="25"/>
      <c r="E4423" s="25"/>
      <c r="F4423" s="25"/>
      <c r="G4423" s="25"/>
      <c r="H4423" s="25"/>
      <c r="I4423" s="25"/>
      <c r="J4423" s="25"/>
    </row>
    <row r="4424" spans="1:10" ht="14.4">
      <c r="A4424" s="25"/>
      <c r="B4424" s="25"/>
      <c r="C4424" s="25"/>
      <c r="D4424" s="25"/>
      <c r="E4424" s="25"/>
      <c r="F4424" s="25"/>
      <c r="G4424" s="25"/>
      <c r="H4424" s="25"/>
      <c r="I4424" s="25"/>
      <c r="J4424" s="25"/>
    </row>
    <row r="4425" spans="1:10" ht="14.4">
      <c r="A4425" s="25"/>
      <c r="B4425" s="25"/>
      <c r="C4425" s="25"/>
      <c r="D4425" s="25"/>
      <c r="E4425" s="25"/>
      <c r="F4425" s="25"/>
      <c r="G4425" s="25"/>
      <c r="H4425" s="25"/>
      <c r="I4425" s="25"/>
      <c r="J4425" s="25"/>
    </row>
    <row r="4426" spans="1:10" ht="14.4">
      <c r="A4426" s="25"/>
      <c r="B4426" s="25"/>
      <c r="C4426" s="25"/>
      <c r="D4426" s="25"/>
      <c r="E4426" s="25"/>
      <c r="F4426" s="25"/>
      <c r="G4426" s="25"/>
      <c r="H4426" s="25"/>
      <c r="I4426" s="25"/>
      <c r="J4426" s="25"/>
    </row>
    <row r="4427" spans="1:10" ht="14.4">
      <c r="A4427" s="25"/>
      <c r="B4427" s="25"/>
      <c r="C4427" s="25"/>
      <c r="D4427" s="25"/>
      <c r="E4427" s="25"/>
      <c r="F4427" s="25"/>
      <c r="G4427" s="25"/>
      <c r="H4427" s="25"/>
      <c r="I4427" s="25"/>
      <c r="J4427" s="25"/>
    </row>
    <row r="4428" spans="1:10" ht="14.4">
      <c r="A4428" s="25"/>
      <c r="B4428" s="25"/>
      <c r="C4428" s="25"/>
      <c r="D4428" s="25"/>
      <c r="E4428" s="25"/>
      <c r="F4428" s="25"/>
      <c r="G4428" s="25"/>
      <c r="H4428" s="25"/>
      <c r="I4428" s="25"/>
      <c r="J4428" s="25"/>
    </row>
    <row r="4429" spans="1:10" ht="14.4">
      <c r="A4429" s="25"/>
      <c r="B4429" s="25"/>
      <c r="C4429" s="25"/>
      <c r="D4429" s="25"/>
      <c r="E4429" s="25"/>
      <c r="F4429" s="25"/>
      <c r="G4429" s="25"/>
      <c r="H4429" s="25"/>
      <c r="I4429" s="25"/>
      <c r="J4429" s="25"/>
    </row>
    <row r="4430" spans="1:10" ht="14.4">
      <c r="A4430" s="25"/>
      <c r="B4430" s="25"/>
      <c r="C4430" s="25"/>
      <c r="D4430" s="25"/>
      <c r="E4430" s="25"/>
      <c r="F4430" s="25"/>
      <c r="G4430" s="25"/>
      <c r="H4430" s="25"/>
      <c r="I4430" s="25"/>
      <c r="J4430" s="25"/>
    </row>
    <row r="4431" spans="1:10" ht="14.4">
      <c r="A4431" s="25"/>
      <c r="B4431" s="25"/>
      <c r="C4431" s="25"/>
      <c r="D4431" s="25"/>
      <c r="E4431" s="25"/>
      <c r="F4431" s="25"/>
      <c r="G4431" s="25"/>
      <c r="H4431" s="25"/>
      <c r="I4431" s="25"/>
      <c r="J4431" s="25"/>
    </row>
    <row r="4432" spans="1:10" ht="14.4">
      <c r="A4432" s="25"/>
      <c r="B4432" s="25"/>
      <c r="C4432" s="25"/>
      <c r="D4432" s="25"/>
      <c r="E4432" s="25"/>
      <c r="F4432" s="25"/>
      <c r="G4432" s="25"/>
      <c r="H4432" s="25"/>
      <c r="I4432" s="25"/>
      <c r="J4432" s="25"/>
    </row>
    <row r="4433" spans="1:10" ht="14.4">
      <c r="A4433" s="25"/>
      <c r="B4433" s="25"/>
      <c r="C4433" s="25"/>
      <c r="D4433" s="25"/>
      <c r="E4433" s="25"/>
      <c r="F4433" s="25"/>
      <c r="G4433" s="25"/>
      <c r="H4433" s="25"/>
      <c r="I4433" s="25"/>
      <c r="J4433" s="25"/>
    </row>
    <row r="4434" spans="1:10" ht="14.4">
      <c r="A4434" s="25"/>
      <c r="B4434" s="25"/>
      <c r="C4434" s="25"/>
      <c r="D4434" s="25"/>
      <c r="E4434" s="25"/>
      <c r="F4434" s="25"/>
      <c r="G4434" s="25"/>
      <c r="H4434" s="25"/>
      <c r="I4434" s="25"/>
      <c r="J4434" s="25"/>
    </row>
    <row r="4435" spans="1:10" ht="14.4">
      <c r="A4435" s="25"/>
      <c r="B4435" s="25"/>
      <c r="C4435" s="25"/>
      <c r="D4435" s="25"/>
      <c r="E4435" s="25"/>
      <c r="F4435" s="25"/>
      <c r="G4435" s="25"/>
      <c r="H4435" s="25"/>
      <c r="I4435" s="25"/>
      <c r="J4435" s="25"/>
    </row>
    <row r="4436" spans="1:10" ht="14.4">
      <c r="A4436" s="25"/>
      <c r="B4436" s="25"/>
      <c r="C4436" s="25"/>
      <c r="D4436" s="25"/>
      <c r="E4436" s="25"/>
      <c r="F4436" s="25"/>
      <c r="G4436" s="25"/>
      <c r="H4436" s="25"/>
      <c r="I4436" s="25"/>
      <c r="J4436" s="25"/>
    </row>
    <row r="4437" spans="1:10" ht="14.4">
      <c r="A4437" s="25"/>
      <c r="B4437" s="25"/>
      <c r="C4437" s="25"/>
      <c r="D4437" s="25"/>
      <c r="E4437" s="25"/>
      <c r="F4437" s="25"/>
      <c r="G4437" s="25"/>
      <c r="H4437" s="25"/>
      <c r="I4437" s="25"/>
      <c r="J4437" s="25"/>
    </row>
    <row r="4438" spans="1:10" ht="14.4">
      <c r="A4438" s="25"/>
      <c r="B4438" s="25"/>
      <c r="C4438" s="25"/>
      <c r="D4438" s="25"/>
      <c r="E4438" s="25"/>
      <c r="F4438" s="25"/>
      <c r="G4438" s="25"/>
      <c r="H4438" s="25"/>
      <c r="I4438" s="25"/>
      <c r="J4438" s="25"/>
    </row>
    <row r="4439" spans="1:10" ht="14.4">
      <c r="A4439" s="25"/>
      <c r="B4439" s="25"/>
      <c r="C4439" s="25"/>
      <c r="D4439" s="25"/>
      <c r="E4439" s="25"/>
      <c r="F4439" s="25"/>
      <c r="G4439" s="25"/>
      <c r="H4439" s="25"/>
      <c r="I4439" s="25"/>
      <c r="J4439" s="25"/>
    </row>
    <row r="4440" spans="1:10" ht="14.4">
      <c r="A4440" s="25"/>
      <c r="B4440" s="25"/>
      <c r="C4440" s="25"/>
      <c r="D4440" s="25"/>
      <c r="E4440" s="25"/>
      <c r="F4440" s="25"/>
      <c r="G4440" s="25"/>
      <c r="H4440" s="25"/>
      <c r="I4440" s="25"/>
      <c r="J4440" s="25"/>
    </row>
    <row r="4441" spans="1:10" ht="14.4">
      <c r="A4441" s="25"/>
      <c r="B4441" s="25"/>
      <c r="C4441" s="25"/>
      <c r="D4441" s="25"/>
      <c r="E4441" s="25"/>
      <c r="F4441" s="25"/>
      <c r="G4441" s="25"/>
      <c r="H4441" s="25"/>
      <c r="I4441" s="25"/>
      <c r="J4441" s="25"/>
    </row>
    <row r="4442" spans="1:10" ht="14.4">
      <c r="A4442" s="25"/>
      <c r="B4442" s="25"/>
      <c r="C4442" s="25"/>
      <c r="D4442" s="25"/>
      <c r="E4442" s="25"/>
      <c r="F4442" s="25"/>
      <c r="G4442" s="25"/>
      <c r="H4442" s="25"/>
      <c r="I4442" s="25"/>
      <c r="J4442" s="25"/>
    </row>
    <row r="4443" spans="1:10" ht="14.4">
      <c r="A4443" s="25"/>
      <c r="B4443" s="25"/>
      <c r="C4443" s="25"/>
      <c r="D4443" s="25"/>
      <c r="E4443" s="25"/>
      <c r="F4443" s="25"/>
      <c r="G4443" s="25"/>
      <c r="H4443" s="25"/>
      <c r="I4443" s="25"/>
      <c r="J4443" s="25"/>
    </row>
    <row r="4444" spans="1:10" ht="14.4">
      <c r="A4444" s="25"/>
      <c r="B4444" s="25"/>
      <c r="C4444" s="25"/>
      <c r="D4444" s="25"/>
      <c r="E4444" s="25"/>
      <c r="F4444" s="25"/>
      <c r="G4444" s="25"/>
      <c r="H4444" s="25"/>
      <c r="I4444" s="25"/>
      <c r="J4444" s="25"/>
    </row>
    <row r="4445" spans="1:10" ht="14.4">
      <c r="A4445" s="25"/>
      <c r="B4445" s="25"/>
      <c r="C4445" s="25"/>
      <c r="D4445" s="25"/>
      <c r="E4445" s="25"/>
      <c r="F4445" s="25"/>
      <c r="G4445" s="25"/>
      <c r="H4445" s="25"/>
      <c r="I4445" s="25"/>
      <c r="J4445" s="25"/>
    </row>
    <row r="4446" spans="1:10" ht="14.4">
      <c r="A4446" s="25"/>
      <c r="B4446" s="25"/>
      <c r="C4446" s="25"/>
      <c r="D4446" s="25"/>
      <c r="E4446" s="25"/>
      <c r="F4446" s="25"/>
      <c r="G4446" s="25"/>
      <c r="H4446" s="25"/>
      <c r="I4446" s="25"/>
      <c r="J4446" s="25"/>
    </row>
    <row r="4447" spans="1:10" ht="14.4">
      <c r="A4447" s="25"/>
      <c r="B4447" s="25"/>
      <c r="C4447" s="25"/>
      <c r="D4447" s="25"/>
      <c r="E4447" s="25"/>
      <c r="F4447" s="25"/>
      <c r="G4447" s="25"/>
      <c r="H4447" s="25"/>
      <c r="I4447" s="25"/>
      <c r="J4447" s="25"/>
    </row>
    <row r="4448" spans="1:10" ht="14.4">
      <c r="A4448" s="25"/>
      <c r="B4448" s="25"/>
      <c r="C4448" s="25"/>
      <c r="D4448" s="25"/>
      <c r="E4448" s="25"/>
      <c r="F4448" s="25"/>
      <c r="G4448" s="25"/>
      <c r="H4448" s="25"/>
      <c r="I4448" s="25"/>
      <c r="J4448" s="25"/>
    </row>
    <row r="4449" spans="1:10" ht="14.4">
      <c r="A4449" s="25"/>
      <c r="B4449" s="25"/>
      <c r="C4449" s="25"/>
      <c r="D4449" s="25"/>
      <c r="E4449" s="25"/>
      <c r="F4449" s="25"/>
      <c r="G4449" s="25"/>
      <c r="H4449" s="25"/>
      <c r="I4449" s="25"/>
      <c r="J4449" s="25"/>
    </row>
    <row r="4450" spans="1:10" ht="14.4">
      <c r="A4450" s="25"/>
      <c r="B4450" s="25"/>
      <c r="C4450" s="25"/>
      <c r="D4450" s="25"/>
      <c r="E4450" s="25"/>
      <c r="F4450" s="25"/>
      <c r="G4450" s="25"/>
      <c r="H4450" s="25"/>
      <c r="I4450" s="25"/>
      <c r="J4450" s="25"/>
    </row>
    <row r="4451" spans="1:10" ht="14.4">
      <c r="A4451" s="25"/>
      <c r="B4451" s="25"/>
      <c r="C4451" s="25"/>
      <c r="D4451" s="25"/>
      <c r="E4451" s="25"/>
      <c r="F4451" s="25"/>
      <c r="G4451" s="25"/>
      <c r="H4451" s="25"/>
      <c r="I4451" s="25"/>
      <c r="J4451" s="25"/>
    </row>
    <row r="4452" spans="1:10" ht="14.4">
      <c r="A4452" s="25"/>
      <c r="B4452" s="25"/>
      <c r="C4452" s="25"/>
      <c r="D4452" s="25"/>
      <c r="E4452" s="25"/>
      <c r="F4452" s="25"/>
      <c r="G4452" s="25"/>
      <c r="H4452" s="25"/>
      <c r="I4452" s="25"/>
      <c r="J4452" s="25"/>
    </row>
    <row r="4453" spans="1:10" ht="14.4">
      <c r="A4453" s="25"/>
      <c r="B4453" s="25"/>
      <c r="C4453" s="25"/>
      <c r="D4453" s="25"/>
      <c r="E4453" s="25"/>
      <c r="F4453" s="25"/>
      <c r="G4453" s="25"/>
      <c r="H4453" s="25"/>
      <c r="I4453" s="25"/>
      <c r="J4453" s="25"/>
    </row>
    <row r="4454" spans="1:10" ht="14.4">
      <c r="A4454" s="25"/>
      <c r="B4454" s="25"/>
      <c r="C4454" s="25"/>
      <c r="D4454" s="25"/>
      <c r="E4454" s="25"/>
      <c r="F4454" s="25"/>
      <c r="G4454" s="25"/>
      <c r="H4454" s="25"/>
      <c r="I4454" s="25"/>
      <c r="J4454" s="25"/>
    </row>
    <row r="4455" spans="1:10" ht="14.4">
      <c r="A4455" s="25"/>
      <c r="B4455" s="25"/>
      <c r="C4455" s="25"/>
      <c r="D4455" s="25"/>
      <c r="E4455" s="25"/>
      <c r="F4455" s="25"/>
      <c r="G4455" s="25"/>
      <c r="H4455" s="25"/>
      <c r="I4455" s="25"/>
      <c r="J4455" s="25"/>
    </row>
    <row r="4456" spans="1:10" ht="14.4">
      <c r="A4456" s="25"/>
      <c r="B4456" s="25"/>
      <c r="C4456" s="25"/>
      <c r="D4456" s="25"/>
      <c r="E4456" s="25"/>
      <c r="F4456" s="25"/>
      <c r="G4456" s="25"/>
      <c r="H4456" s="25"/>
      <c r="I4456" s="25"/>
      <c r="J4456" s="25"/>
    </row>
    <row r="4457" spans="1:10" ht="14.4">
      <c r="A4457" s="25"/>
      <c r="B4457" s="25"/>
      <c r="C4457" s="25"/>
      <c r="D4457" s="25"/>
      <c r="E4457" s="25"/>
      <c r="F4457" s="25"/>
      <c r="G4457" s="25"/>
      <c r="H4457" s="25"/>
      <c r="I4457" s="25"/>
      <c r="J4457" s="25"/>
    </row>
    <row r="4458" spans="1:10" ht="14.4">
      <c r="A4458" s="25"/>
      <c r="B4458" s="25"/>
      <c r="C4458" s="25"/>
      <c r="D4458" s="25"/>
      <c r="E4458" s="25"/>
      <c r="F4458" s="25"/>
      <c r="G4458" s="25"/>
      <c r="H4458" s="25"/>
      <c r="I4458" s="25"/>
      <c r="J4458" s="25"/>
    </row>
    <row r="4459" spans="1:10" ht="14.4">
      <c r="A4459" s="25"/>
      <c r="B4459" s="25"/>
      <c r="C4459" s="25"/>
      <c r="D4459" s="25"/>
      <c r="E4459" s="25"/>
      <c r="F4459" s="25"/>
      <c r="G4459" s="25"/>
      <c r="H4459" s="25"/>
      <c r="I4459" s="25"/>
      <c r="J4459" s="25"/>
    </row>
    <row r="4460" spans="1:10" ht="14.4">
      <c r="A4460" s="25"/>
      <c r="B4460" s="25"/>
      <c r="C4460" s="25"/>
      <c r="D4460" s="25"/>
      <c r="E4460" s="25"/>
      <c r="F4460" s="25"/>
      <c r="G4460" s="25"/>
      <c r="H4460" s="25"/>
      <c r="I4460" s="25"/>
      <c r="J4460" s="25"/>
    </row>
    <row r="4461" spans="1:10" ht="14.4">
      <c r="A4461" s="25"/>
      <c r="B4461" s="25"/>
      <c r="C4461" s="25"/>
      <c r="D4461" s="25"/>
      <c r="E4461" s="25"/>
      <c r="F4461" s="25"/>
      <c r="G4461" s="25"/>
      <c r="H4461" s="25"/>
      <c r="I4461" s="25"/>
      <c r="J4461" s="25"/>
    </row>
    <row r="4462" spans="1:10" ht="14.4">
      <c r="A4462" s="25"/>
      <c r="B4462" s="25"/>
      <c r="C4462" s="25"/>
      <c r="D4462" s="25"/>
      <c r="E4462" s="25"/>
      <c r="F4462" s="25"/>
      <c r="G4462" s="25"/>
      <c r="H4462" s="25"/>
      <c r="I4462" s="25"/>
      <c r="J4462" s="25"/>
    </row>
    <row r="4463" spans="1:10" ht="14.4">
      <c r="A4463" s="25"/>
      <c r="B4463" s="25"/>
      <c r="C4463" s="25"/>
      <c r="D4463" s="25"/>
      <c r="E4463" s="25"/>
      <c r="F4463" s="25"/>
      <c r="G4463" s="25"/>
      <c r="H4463" s="25"/>
      <c r="I4463" s="25"/>
      <c r="J4463" s="25"/>
    </row>
    <row r="4464" spans="1:10" ht="14.4">
      <c r="A4464" s="25"/>
      <c r="B4464" s="25"/>
      <c r="C4464" s="25"/>
      <c r="D4464" s="25"/>
      <c r="E4464" s="25"/>
      <c r="F4464" s="25"/>
      <c r="G4464" s="25"/>
      <c r="H4464" s="25"/>
      <c r="I4464" s="25"/>
      <c r="J4464" s="25"/>
    </row>
    <row r="4465" spans="1:10" ht="14.4">
      <c r="A4465" s="25"/>
      <c r="B4465" s="25"/>
      <c r="C4465" s="25"/>
      <c r="D4465" s="25"/>
      <c r="E4465" s="25"/>
      <c r="F4465" s="25"/>
      <c r="G4465" s="25"/>
      <c r="H4465" s="25"/>
      <c r="I4465" s="25"/>
      <c r="J4465" s="25"/>
    </row>
    <row r="4466" spans="1:10" ht="14.4">
      <c r="A4466" s="25"/>
      <c r="B4466" s="25"/>
      <c r="C4466" s="25"/>
      <c r="D4466" s="25"/>
      <c r="E4466" s="25"/>
      <c r="F4466" s="25"/>
      <c r="G4466" s="25"/>
      <c r="H4466" s="25"/>
      <c r="I4466" s="25"/>
      <c r="J4466" s="25"/>
    </row>
    <row r="4467" spans="1:10" ht="14.4">
      <c r="A4467" s="25"/>
      <c r="B4467" s="25"/>
      <c r="C4467" s="25"/>
      <c r="D4467" s="25"/>
      <c r="E4467" s="25"/>
      <c r="F4467" s="25"/>
      <c r="G4467" s="25"/>
      <c r="H4467" s="25"/>
      <c r="I4467" s="25"/>
      <c r="J4467" s="25"/>
    </row>
    <row r="4468" spans="1:10" ht="14.4">
      <c r="A4468" s="25"/>
      <c r="B4468" s="25"/>
      <c r="C4468" s="25"/>
      <c r="D4468" s="25"/>
      <c r="E4468" s="25"/>
      <c r="F4468" s="25"/>
      <c r="G4468" s="25"/>
      <c r="H4468" s="25"/>
      <c r="I4468" s="25"/>
      <c r="J4468" s="25"/>
    </row>
    <row r="4469" spans="1:10" ht="14.4">
      <c r="A4469" s="25"/>
      <c r="B4469" s="25"/>
      <c r="C4469" s="25"/>
      <c r="D4469" s="25"/>
      <c r="E4469" s="25"/>
      <c r="F4469" s="25"/>
      <c r="G4469" s="25"/>
      <c r="H4469" s="25"/>
      <c r="I4469" s="25"/>
      <c r="J4469" s="25"/>
    </row>
    <row r="4470" spans="1:10" ht="14.4">
      <c r="A4470" s="25"/>
      <c r="B4470" s="25"/>
      <c r="C4470" s="25"/>
      <c r="D4470" s="25"/>
      <c r="E4470" s="25"/>
      <c r="F4470" s="25"/>
      <c r="G4470" s="25"/>
      <c r="H4470" s="25"/>
      <c r="I4470" s="25"/>
      <c r="J4470" s="25"/>
    </row>
    <row r="4471" spans="1:10" ht="14.4">
      <c r="A4471" s="25"/>
      <c r="B4471" s="25"/>
      <c r="C4471" s="25"/>
      <c r="D4471" s="25"/>
      <c r="E4471" s="25"/>
      <c r="F4471" s="25"/>
      <c r="G4471" s="25"/>
      <c r="H4471" s="25"/>
      <c r="I4471" s="25"/>
      <c r="J4471" s="25"/>
    </row>
    <row r="4472" spans="1:10" ht="14.4">
      <c r="A4472" s="25"/>
      <c r="B4472" s="25"/>
      <c r="C4472" s="25"/>
      <c r="D4472" s="25"/>
      <c r="E4472" s="25"/>
      <c r="F4472" s="25"/>
      <c r="G4472" s="25"/>
      <c r="H4472" s="25"/>
      <c r="I4472" s="25"/>
      <c r="J4472" s="25"/>
    </row>
    <row r="4473" spans="1:10" ht="14.4">
      <c r="A4473" s="25"/>
      <c r="B4473" s="25"/>
      <c r="C4473" s="25"/>
      <c r="D4473" s="25"/>
      <c r="E4473" s="25"/>
      <c r="F4473" s="25"/>
      <c r="G4473" s="25"/>
      <c r="H4473" s="25"/>
      <c r="I4473" s="25"/>
      <c r="J4473" s="25"/>
    </row>
    <row r="4474" spans="1:10" ht="14.4">
      <c r="A4474" s="25"/>
      <c r="B4474" s="25"/>
      <c r="C4474" s="25"/>
      <c r="D4474" s="25"/>
      <c r="E4474" s="25"/>
      <c r="F4474" s="25"/>
      <c r="G4474" s="25"/>
      <c r="H4474" s="25"/>
      <c r="I4474" s="25"/>
      <c r="J4474" s="25"/>
    </row>
    <row r="4475" spans="1:10" ht="14.4">
      <c r="A4475" s="25"/>
      <c r="B4475" s="25"/>
      <c r="C4475" s="25"/>
      <c r="D4475" s="25"/>
      <c r="E4475" s="25"/>
      <c r="F4475" s="25"/>
      <c r="G4475" s="25"/>
      <c r="H4475" s="25"/>
      <c r="I4475" s="25"/>
      <c r="J4475" s="25"/>
    </row>
    <row r="4476" spans="1:10" ht="14.4">
      <c r="A4476" s="25"/>
      <c r="B4476" s="25"/>
      <c r="C4476" s="25"/>
      <c r="D4476" s="25"/>
      <c r="E4476" s="25"/>
      <c r="F4476" s="25"/>
      <c r="G4476" s="25"/>
      <c r="H4476" s="25"/>
      <c r="I4476" s="25"/>
      <c r="J4476" s="25"/>
    </row>
    <row r="4477" spans="1:10" ht="14.4">
      <c r="A4477" s="25"/>
      <c r="B4477" s="25"/>
      <c r="C4477" s="25"/>
      <c r="D4477" s="25"/>
      <c r="E4477" s="25"/>
      <c r="F4477" s="25"/>
      <c r="G4477" s="25"/>
      <c r="H4477" s="25"/>
      <c r="I4477" s="25"/>
      <c r="J4477" s="25"/>
    </row>
    <row r="4478" spans="1:10" ht="14.4">
      <c r="A4478" s="25"/>
      <c r="B4478" s="25"/>
      <c r="C4478" s="25"/>
      <c r="D4478" s="25"/>
      <c r="E4478" s="25"/>
      <c r="F4478" s="25"/>
      <c r="G4478" s="25"/>
      <c r="H4478" s="25"/>
      <c r="I4478" s="25"/>
      <c r="J4478" s="25"/>
    </row>
    <row r="4479" spans="1:10" ht="14.4">
      <c r="A4479" s="25"/>
      <c r="B4479" s="25"/>
      <c r="C4479" s="25"/>
      <c r="D4479" s="25"/>
      <c r="E4479" s="25"/>
      <c r="F4479" s="25"/>
      <c r="G4479" s="25"/>
      <c r="H4479" s="25"/>
      <c r="I4479" s="25"/>
      <c r="J4479" s="25"/>
    </row>
    <row r="4480" spans="1:10" ht="14.4">
      <c r="A4480" s="25"/>
      <c r="B4480" s="25"/>
      <c r="C4480" s="25"/>
      <c r="D4480" s="25"/>
      <c r="E4480" s="25"/>
      <c r="F4480" s="25"/>
      <c r="G4480" s="25"/>
      <c r="H4480" s="25"/>
      <c r="I4480" s="25"/>
      <c r="J4480" s="25"/>
    </row>
    <row r="4481" spans="1:10" ht="14.4">
      <c r="A4481" s="25"/>
      <c r="B4481" s="25"/>
      <c r="C4481" s="25"/>
      <c r="D4481" s="25"/>
      <c r="E4481" s="25"/>
      <c r="F4481" s="25"/>
      <c r="G4481" s="25"/>
      <c r="H4481" s="25"/>
      <c r="I4481" s="25"/>
      <c r="J4481" s="25"/>
    </row>
    <row r="4482" spans="1:10" ht="14.4">
      <c r="A4482" s="25"/>
      <c r="B4482" s="25"/>
      <c r="C4482" s="25"/>
      <c r="D4482" s="25"/>
      <c r="E4482" s="25"/>
      <c r="F4482" s="25"/>
      <c r="G4482" s="25"/>
      <c r="H4482" s="25"/>
      <c r="I4482" s="25"/>
      <c r="J4482" s="25"/>
    </row>
    <row r="4483" spans="1:10" ht="14.4">
      <c r="A4483" s="25"/>
      <c r="B4483" s="25"/>
      <c r="C4483" s="25"/>
      <c r="D4483" s="25"/>
      <c r="E4483" s="25"/>
      <c r="F4483" s="25"/>
      <c r="G4483" s="25"/>
      <c r="H4483" s="25"/>
      <c r="I4483" s="25"/>
      <c r="J4483" s="25"/>
    </row>
    <row r="4484" spans="1:10" ht="14.4">
      <c r="A4484" s="25"/>
      <c r="B4484" s="25"/>
      <c r="C4484" s="25"/>
      <c r="D4484" s="25"/>
      <c r="E4484" s="25"/>
      <c r="F4484" s="25"/>
      <c r="G4484" s="25"/>
      <c r="H4484" s="25"/>
      <c r="I4484" s="25"/>
      <c r="J4484" s="25"/>
    </row>
    <row r="4485" spans="1:10" ht="14.4">
      <c r="A4485" s="25"/>
      <c r="B4485" s="25"/>
      <c r="C4485" s="25"/>
      <c r="D4485" s="25"/>
      <c r="E4485" s="25"/>
      <c r="F4485" s="25"/>
      <c r="G4485" s="25"/>
      <c r="H4485" s="25"/>
      <c r="I4485" s="25"/>
      <c r="J4485" s="25"/>
    </row>
    <row r="4486" spans="1:10" ht="14.4">
      <c r="A4486" s="25"/>
      <c r="B4486" s="25"/>
      <c r="C4486" s="25"/>
      <c r="D4486" s="25"/>
      <c r="E4486" s="25"/>
      <c r="F4486" s="25"/>
      <c r="G4486" s="25"/>
      <c r="H4486" s="25"/>
      <c r="I4486" s="25"/>
      <c r="J4486" s="25"/>
    </row>
    <row r="4487" spans="1:10" ht="14.4">
      <c r="A4487" s="25"/>
      <c r="B4487" s="25"/>
      <c r="C4487" s="25"/>
      <c r="D4487" s="25"/>
      <c r="E4487" s="25"/>
      <c r="F4487" s="25"/>
      <c r="G4487" s="25"/>
      <c r="H4487" s="25"/>
      <c r="I4487" s="25"/>
      <c r="J4487" s="25"/>
    </row>
    <row r="4488" spans="1:10" ht="14.4">
      <c r="A4488" s="25"/>
      <c r="B4488" s="25"/>
      <c r="C4488" s="25"/>
      <c r="D4488" s="25"/>
      <c r="E4488" s="25"/>
      <c r="F4488" s="25"/>
      <c r="G4488" s="25"/>
      <c r="H4488" s="25"/>
      <c r="I4488" s="25"/>
      <c r="J4488" s="25"/>
    </row>
    <row r="4489" spans="1:10" ht="14.4">
      <c r="A4489" s="25"/>
      <c r="B4489" s="25"/>
      <c r="C4489" s="25"/>
      <c r="D4489" s="25"/>
      <c r="E4489" s="25"/>
      <c r="F4489" s="25"/>
      <c r="G4489" s="25"/>
      <c r="H4489" s="25"/>
      <c r="I4489" s="25"/>
      <c r="J4489" s="25"/>
    </row>
    <row r="4490" spans="1:10" ht="14.4">
      <c r="A4490" s="25"/>
      <c r="B4490" s="25"/>
      <c r="C4490" s="25"/>
      <c r="D4490" s="25"/>
      <c r="E4490" s="25"/>
      <c r="F4490" s="25"/>
      <c r="G4490" s="25"/>
      <c r="H4490" s="25"/>
      <c r="I4490" s="25"/>
      <c r="J4490" s="25"/>
    </row>
    <row r="4491" spans="1:10" ht="14.4">
      <c r="A4491" s="25"/>
      <c r="B4491" s="25"/>
      <c r="C4491" s="25"/>
      <c r="D4491" s="25"/>
      <c r="E4491" s="25"/>
      <c r="F4491" s="25"/>
      <c r="G4491" s="25"/>
      <c r="H4491" s="25"/>
      <c r="I4491" s="25"/>
      <c r="J4491" s="25"/>
    </row>
    <row r="4492" spans="1:10" ht="14.4">
      <c r="A4492" s="25"/>
      <c r="B4492" s="25"/>
      <c r="C4492" s="25"/>
      <c r="D4492" s="25"/>
      <c r="E4492" s="25"/>
      <c r="F4492" s="25"/>
      <c r="G4492" s="25"/>
      <c r="H4492" s="25"/>
      <c r="I4492" s="25"/>
      <c r="J4492" s="25"/>
    </row>
    <row r="4493" spans="1:10" ht="14.4">
      <c r="A4493" s="25"/>
      <c r="B4493" s="25"/>
      <c r="C4493" s="25"/>
      <c r="D4493" s="25"/>
      <c r="E4493" s="25"/>
      <c r="F4493" s="25"/>
      <c r="G4493" s="25"/>
      <c r="H4493" s="25"/>
      <c r="I4493" s="25"/>
      <c r="J4493" s="25"/>
    </row>
    <row r="4494" spans="1:10" ht="14.4">
      <c r="A4494" s="25"/>
      <c r="B4494" s="25"/>
      <c r="C4494" s="25"/>
      <c r="D4494" s="25"/>
      <c r="E4494" s="25"/>
      <c r="F4494" s="25"/>
      <c r="G4494" s="25"/>
      <c r="H4494" s="25"/>
      <c r="I4494" s="25"/>
      <c r="J4494" s="25"/>
    </row>
    <row r="4495" spans="1:10" ht="14.4">
      <c r="A4495" s="25"/>
      <c r="B4495" s="25"/>
      <c r="C4495" s="25"/>
      <c r="D4495" s="25"/>
      <c r="E4495" s="25"/>
      <c r="F4495" s="25"/>
      <c r="G4495" s="25"/>
      <c r="H4495" s="25"/>
      <c r="I4495" s="25"/>
      <c r="J4495" s="25"/>
    </row>
    <row r="4496" spans="1:10" ht="14.4">
      <c r="A4496" s="25"/>
      <c r="B4496" s="25"/>
      <c r="C4496" s="25"/>
      <c r="D4496" s="25"/>
      <c r="E4496" s="25"/>
      <c r="F4496" s="25"/>
      <c r="G4496" s="25"/>
      <c r="H4496" s="25"/>
      <c r="I4496" s="25"/>
      <c r="J4496" s="25"/>
    </row>
    <row r="4497" spans="1:10" ht="14.4">
      <c r="A4497" s="25"/>
      <c r="B4497" s="25"/>
      <c r="C4497" s="25"/>
      <c r="D4497" s="25"/>
      <c r="E4497" s="25"/>
      <c r="F4497" s="25"/>
      <c r="G4497" s="25"/>
      <c r="H4497" s="25"/>
      <c r="I4497" s="25"/>
      <c r="J4497" s="25"/>
    </row>
    <row r="4498" spans="1:10" ht="14.4">
      <c r="A4498" s="25"/>
      <c r="B4498" s="25"/>
      <c r="C4498" s="25"/>
      <c r="D4498" s="25"/>
      <c r="E4498" s="25"/>
      <c r="F4498" s="25"/>
      <c r="G4498" s="25"/>
      <c r="H4498" s="25"/>
      <c r="I4498" s="25"/>
      <c r="J4498" s="25"/>
    </row>
    <row r="4499" spans="1:10" ht="14.4">
      <c r="A4499" s="25"/>
      <c r="B4499" s="25"/>
      <c r="C4499" s="25"/>
      <c r="D4499" s="25"/>
      <c r="E4499" s="25"/>
      <c r="F4499" s="25"/>
      <c r="G4499" s="25"/>
      <c r="H4499" s="25"/>
      <c r="I4499" s="25"/>
      <c r="J4499" s="25"/>
    </row>
    <row r="4500" spans="1:10" ht="14.4">
      <c r="A4500" s="25"/>
      <c r="B4500" s="25"/>
      <c r="C4500" s="25"/>
      <c r="D4500" s="25"/>
      <c r="E4500" s="25"/>
      <c r="F4500" s="25"/>
      <c r="G4500" s="25"/>
      <c r="H4500" s="25"/>
      <c r="I4500" s="25"/>
      <c r="J4500" s="25"/>
    </row>
    <row r="4501" spans="1:10" ht="14.4">
      <c r="A4501" s="25"/>
      <c r="B4501" s="25"/>
      <c r="C4501" s="25"/>
      <c r="D4501" s="25"/>
      <c r="E4501" s="25"/>
      <c r="F4501" s="25"/>
      <c r="G4501" s="25"/>
      <c r="H4501" s="25"/>
      <c r="I4501" s="25"/>
      <c r="J4501" s="25"/>
    </row>
    <row r="4502" spans="1:10" ht="14.4">
      <c r="A4502" s="25"/>
      <c r="B4502" s="25"/>
      <c r="C4502" s="25"/>
      <c r="D4502" s="25"/>
      <c r="E4502" s="25"/>
      <c r="F4502" s="25"/>
      <c r="G4502" s="25"/>
      <c r="H4502" s="25"/>
      <c r="I4502" s="25"/>
      <c r="J4502" s="25"/>
    </row>
    <row r="4503" spans="1:10" ht="14.4">
      <c r="A4503" s="25"/>
      <c r="B4503" s="25"/>
      <c r="C4503" s="25"/>
      <c r="D4503" s="25"/>
      <c r="E4503" s="25"/>
      <c r="F4503" s="25"/>
      <c r="G4503" s="25"/>
      <c r="H4503" s="25"/>
      <c r="I4503" s="25"/>
      <c r="J4503" s="25"/>
    </row>
    <row r="4504" spans="1:10" ht="14.4">
      <c r="A4504" s="25"/>
      <c r="B4504" s="25"/>
      <c r="C4504" s="25"/>
      <c r="D4504" s="25"/>
      <c r="E4504" s="25"/>
      <c r="F4504" s="25"/>
      <c r="G4504" s="25"/>
      <c r="H4504" s="25"/>
      <c r="I4504" s="25"/>
      <c r="J4504" s="25"/>
    </row>
    <row r="4505" spans="1:10" ht="14.4">
      <c r="A4505" s="25"/>
      <c r="B4505" s="25"/>
      <c r="C4505" s="25"/>
      <c r="D4505" s="25"/>
      <c r="E4505" s="25"/>
      <c r="F4505" s="25"/>
      <c r="G4505" s="25"/>
      <c r="H4505" s="25"/>
      <c r="I4505" s="25"/>
      <c r="J4505" s="25"/>
    </row>
    <row r="4506" spans="1:10" ht="14.4">
      <c r="A4506" s="25"/>
      <c r="B4506" s="25"/>
      <c r="C4506" s="25"/>
      <c r="D4506" s="25"/>
      <c r="E4506" s="25"/>
      <c r="F4506" s="25"/>
      <c r="G4506" s="25"/>
      <c r="H4506" s="25"/>
      <c r="I4506" s="25"/>
      <c r="J4506" s="25"/>
    </row>
    <row r="4507" spans="1:10" ht="14.4">
      <c r="A4507" s="25"/>
      <c r="B4507" s="25"/>
      <c r="C4507" s="25"/>
      <c r="D4507" s="25"/>
      <c r="E4507" s="25"/>
      <c r="F4507" s="25"/>
      <c r="G4507" s="25"/>
      <c r="H4507" s="25"/>
      <c r="I4507" s="25"/>
      <c r="J4507" s="25"/>
    </row>
    <row r="4508" spans="1:10" ht="14.4">
      <c r="A4508" s="25"/>
      <c r="B4508" s="25"/>
      <c r="C4508" s="25"/>
      <c r="D4508" s="25"/>
      <c r="E4508" s="25"/>
      <c r="F4508" s="25"/>
      <c r="G4508" s="25"/>
      <c r="H4508" s="25"/>
      <c r="I4508" s="25"/>
      <c r="J4508" s="25"/>
    </row>
    <row r="4509" spans="1:10" ht="14.4">
      <c r="A4509" s="25"/>
      <c r="B4509" s="25"/>
      <c r="C4509" s="25"/>
      <c r="D4509" s="25"/>
      <c r="E4509" s="25"/>
      <c r="F4509" s="25"/>
      <c r="G4509" s="25"/>
      <c r="H4509" s="25"/>
      <c r="I4509" s="25"/>
      <c r="J4509" s="25"/>
    </row>
    <row r="4510" spans="1:10" ht="14.4">
      <c r="A4510" s="25"/>
      <c r="B4510" s="25"/>
      <c r="C4510" s="25"/>
      <c r="D4510" s="25"/>
      <c r="E4510" s="25"/>
      <c r="F4510" s="25"/>
      <c r="G4510" s="25"/>
      <c r="H4510" s="25"/>
      <c r="I4510" s="25"/>
      <c r="J4510" s="25"/>
    </row>
    <row r="4511" spans="1:10" ht="14.4">
      <c r="A4511" s="25"/>
      <c r="B4511" s="25"/>
      <c r="C4511" s="25"/>
      <c r="D4511" s="25"/>
      <c r="E4511" s="25"/>
      <c r="F4511" s="25"/>
      <c r="G4511" s="25"/>
      <c r="H4511" s="25"/>
      <c r="I4511" s="25"/>
      <c r="J4511" s="25"/>
    </row>
    <row r="4512" spans="1:10" ht="14.4">
      <c r="A4512" s="25"/>
      <c r="B4512" s="25"/>
      <c r="C4512" s="25"/>
      <c r="D4512" s="25"/>
      <c r="E4512" s="25"/>
      <c r="F4512" s="25"/>
      <c r="G4512" s="25"/>
      <c r="H4512" s="25"/>
      <c r="I4512" s="25"/>
      <c r="J4512" s="25"/>
    </row>
    <row r="4513" spans="1:10" ht="14.4">
      <c r="A4513" s="25"/>
      <c r="B4513" s="25"/>
      <c r="C4513" s="25"/>
      <c r="D4513" s="25"/>
      <c r="E4513" s="25"/>
      <c r="F4513" s="25"/>
      <c r="G4513" s="25"/>
      <c r="H4513" s="25"/>
      <c r="I4513" s="25"/>
      <c r="J4513" s="25"/>
    </row>
    <row r="4514" spans="1:10" ht="14.4">
      <c r="A4514" s="25"/>
      <c r="B4514" s="25"/>
      <c r="C4514" s="25"/>
      <c r="D4514" s="25"/>
      <c r="E4514" s="25"/>
      <c r="F4514" s="25"/>
      <c r="G4514" s="25"/>
      <c r="H4514" s="25"/>
      <c r="I4514" s="25"/>
      <c r="J4514" s="25"/>
    </row>
    <row r="4515" spans="1:10" ht="14.4">
      <c r="A4515" s="25"/>
      <c r="B4515" s="25"/>
      <c r="C4515" s="25"/>
      <c r="D4515" s="25"/>
      <c r="E4515" s="25"/>
      <c r="F4515" s="25"/>
      <c r="G4515" s="25"/>
      <c r="H4515" s="25"/>
      <c r="I4515" s="25"/>
      <c r="J4515" s="25"/>
    </row>
    <row r="4516" spans="1:10" ht="14.4">
      <c r="A4516" s="25"/>
      <c r="B4516" s="25"/>
      <c r="C4516" s="25"/>
      <c r="D4516" s="25"/>
      <c r="E4516" s="25"/>
      <c r="F4516" s="25"/>
      <c r="G4516" s="25"/>
      <c r="H4516" s="25"/>
      <c r="I4516" s="25"/>
      <c r="J4516" s="25"/>
    </row>
    <row r="4517" spans="1:10" ht="14.4">
      <c r="A4517" s="25"/>
      <c r="B4517" s="25"/>
      <c r="C4517" s="25"/>
      <c r="D4517" s="25"/>
      <c r="E4517" s="25"/>
      <c r="F4517" s="25"/>
      <c r="G4517" s="25"/>
      <c r="H4517" s="25"/>
      <c r="I4517" s="25"/>
      <c r="J4517" s="25"/>
    </row>
    <row r="4518" spans="1:10" ht="14.4">
      <c r="A4518" s="25"/>
      <c r="B4518" s="25"/>
      <c r="C4518" s="25"/>
      <c r="D4518" s="25"/>
      <c r="E4518" s="25"/>
      <c r="F4518" s="25"/>
      <c r="G4518" s="25"/>
      <c r="H4518" s="25"/>
      <c r="I4518" s="25"/>
      <c r="J4518" s="25"/>
    </row>
    <row r="4519" spans="1:10" ht="14.4">
      <c r="A4519" s="25"/>
      <c r="B4519" s="25"/>
      <c r="C4519" s="25"/>
      <c r="D4519" s="25"/>
      <c r="E4519" s="25"/>
      <c r="F4519" s="25"/>
      <c r="G4519" s="25"/>
      <c r="H4519" s="25"/>
      <c r="I4519" s="25"/>
      <c r="J4519" s="25"/>
    </row>
    <row r="4520" spans="1:10" ht="14.4">
      <c r="A4520" s="25"/>
      <c r="B4520" s="25"/>
      <c r="C4520" s="25"/>
      <c r="D4520" s="25"/>
      <c r="E4520" s="25"/>
      <c r="F4520" s="25"/>
      <c r="G4520" s="25"/>
      <c r="H4520" s="25"/>
      <c r="I4520" s="25"/>
      <c r="J4520" s="25"/>
    </row>
    <row r="4521" spans="1:10" ht="14.4">
      <c r="A4521" s="25"/>
      <c r="B4521" s="25"/>
      <c r="C4521" s="25"/>
      <c r="D4521" s="25"/>
      <c r="E4521" s="25"/>
      <c r="F4521" s="25"/>
      <c r="G4521" s="25"/>
      <c r="H4521" s="25"/>
      <c r="I4521" s="25"/>
      <c r="J4521" s="25"/>
    </row>
    <row r="4522" spans="1:10" ht="14.4">
      <c r="A4522" s="25"/>
      <c r="B4522" s="25"/>
      <c r="C4522" s="25"/>
      <c r="D4522" s="25"/>
      <c r="E4522" s="25"/>
      <c r="F4522" s="25"/>
      <c r="G4522" s="25"/>
      <c r="H4522" s="25"/>
      <c r="I4522" s="25"/>
      <c r="J4522" s="25"/>
    </row>
    <row r="4523" spans="1:10" ht="14.4">
      <c r="A4523" s="25"/>
      <c r="B4523" s="25"/>
      <c r="C4523" s="25"/>
      <c r="D4523" s="25"/>
      <c r="E4523" s="25"/>
      <c r="F4523" s="25"/>
      <c r="G4523" s="25"/>
      <c r="H4523" s="25"/>
      <c r="I4523" s="25"/>
      <c r="J4523" s="25"/>
    </row>
    <row r="4524" spans="1:10" ht="14.4">
      <c r="A4524" s="25"/>
      <c r="B4524" s="25"/>
      <c r="C4524" s="25"/>
      <c r="D4524" s="25"/>
      <c r="E4524" s="25"/>
      <c r="F4524" s="25"/>
      <c r="G4524" s="25"/>
      <c r="H4524" s="25"/>
      <c r="I4524" s="25"/>
      <c r="J4524" s="25"/>
    </row>
    <row r="4525" spans="1:10" ht="14.4">
      <c r="A4525" s="25"/>
      <c r="B4525" s="25"/>
      <c r="C4525" s="25"/>
      <c r="D4525" s="25"/>
      <c r="E4525" s="25"/>
      <c r="F4525" s="25"/>
      <c r="G4525" s="25"/>
      <c r="H4525" s="25"/>
      <c r="I4525" s="25"/>
      <c r="J4525" s="25"/>
    </row>
    <row r="4526" spans="1:10" ht="14.4">
      <c r="A4526" s="25"/>
      <c r="B4526" s="25"/>
      <c r="C4526" s="25"/>
      <c r="D4526" s="25"/>
      <c r="E4526" s="25"/>
      <c r="F4526" s="25"/>
      <c r="G4526" s="25"/>
      <c r="H4526" s="25"/>
      <c r="I4526" s="25"/>
      <c r="J4526" s="25"/>
    </row>
    <row r="4527" spans="1:10" ht="14.4">
      <c r="A4527" s="25"/>
      <c r="B4527" s="25"/>
      <c r="C4527" s="25"/>
      <c r="D4527" s="25"/>
      <c r="E4527" s="25"/>
      <c r="F4527" s="25"/>
      <c r="G4527" s="25"/>
      <c r="H4527" s="25"/>
      <c r="I4527" s="25"/>
      <c r="J4527" s="25"/>
    </row>
    <row r="4528" spans="1:10" ht="14.4">
      <c r="A4528" s="25"/>
      <c r="B4528" s="25"/>
      <c r="C4528" s="25"/>
      <c r="D4528" s="25"/>
      <c r="E4528" s="25"/>
      <c r="F4528" s="25"/>
      <c r="G4528" s="25"/>
      <c r="H4528" s="25"/>
      <c r="I4528" s="25"/>
      <c r="J4528" s="25"/>
    </row>
    <row r="4529" spans="1:10" ht="14.4">
      <c r="A4529" s="25"/>
      <c r="B4529" s="25"/>
      <c r="C4529" s="25"/>
      <c r="D4529" s="25"/>
      <c r="E4529" s="25"/>
      <c r="F4529" s="25"/>
      <c r="G4529" s="25"/>
      <c r="H4529" s="25"/>
      <c r="I4529" s="25"/>
      <c r="J4529" s="25"/>
    </row>
    <row r="4530" spans="1:10" ht="14.4">
      <c r="A4530" s="25"/>
      <c r="B4530" s="25"/>
      <c r="C4530" s="25"/>
      <c r="D4530" s="25"/>
      <c r="E4530" s="25"/>
      <c r="F4530" s="25"/>
      <c r="G4530" s="25"/>
      <c r="H4530" s="25"/>
      <c r="I4530" s="25"/>
      <c r="J4530" s="25"/>
    </row>
    <row r="4531" spans="1:10" ht="14.4">
      <c r="A4531" s="25"/>
      <c r="B4531" s="25"/>
      <c r="C4531" s="25"/>
      <c r="D4531" s="25"/>
      <c r="E4531" s="25"/>
      <c r="F4531" s="25"/>
      <c r="G4531" s="25"/>
      <c r="H4531" s="25"/>
      <c r="I4531" s="25"/>
      <c r="J4531" s="25"/>
    </row>
    <row r="4532" spans="1:10" ht="14.4">
      <c r="A4532" s="25"/>
      <c r="B4532" s="25"/>
      <c r="C4532" s="25"/>
      <c r="D4532" s="25"/>
      <c r="E4532" s="25"/>
      <c r="F4532" s="25"/>
      <c r="G4532" s="25"/>
      <c r="H4532" s="25"/>
      <c r="I4532" s="25"/>
      <c r="J4532" s="25"/>
    </row>
    <row r="4533" spans="1:10" ht="14.4">
      <c r="A4533" s="25"/>
      <c r="B4533" s="25"/>
      <c r="C4533" s="25"/>
      <c r="D4533" s="25"/>
      <c r="E4533" s="25"/>
      <c r="F4533" s="25"/>
      <c r="G4533" s="25"/>
      <c r="H4533" s="25"/>
      <c r="I4533" s="25"/>
      <c r="J4533" s="25"/>
    </row>
    <row r="4534" spans="1:10" ht="14.4">
      <c r="A4534" s="25"/>
      <c r="B4534" s="25"/>
      <c r="C4534" s="25"/>
      <c r="D4534" s="25"/>
      <c r="E4534" s="25"/>
      <c r="F4534" s="25"/>
      <c r="G4534" s="25"/>
      <c r="H4534" s="25"/>
      <c r="I4534" s="25"/>
      <c r="J4534" s="25"/>
    </row>
    <row r="4535" spans="1:10" ht="14.4">
      <c r="A4535" s="25"/>
      <c r="B4535" s="25"/>
      <c r="C4535" s="25"/>
      <c r="D4535" s="25"/>
      <c r="E4535" s="25"/>
      <c r="F4535" s="25"/>
      <c r="G4535" s="25"/>
      <c r="H4535" s="25"/>
      <c r="I4535" s="25"/>
      <c r="J4535" s="25"/>
    </row>
    <row r="4536" spans="1:10" ht="14.4">
      <c r="A4536" s="25"/>
      <c r="B4536" s="25"/>
      <c r="C4536" s="25"/>
      <c r="D4536" s="25"/>
      <c r="E4536" s="25"/>
      <c r="F4536" s="25"/>
      <c r="G4536" s="25"/>
      <c r="H4536" s="25"/>
      <c r="I4536" s="25"/>
      <c r="J4536" s="25"/>
    </row>
    <row r="4537" spans="1:10" ht="14.4">
      <c r="A4537" s="25"/>
      <c r="B4537" s="25"/>
      <c r="C4537" s="25"/>
      <c r="D4537" s="25"/>
      <c r="E4537" s="25"/>
      <c r="F4537" s="25"/>
      <c r="G4537" s="25"/>
      <c r="H4537" s="25"/>
      <c r="I4537" s="25"/>
      <c r="J4537" s="25"/>
    </row>
    <row r="4538" spans="1:10" ht="14.4">
      <c r="A4538" s="25"/>
      <c r="B4538" s="25"/>
      <c r="C4538" s="25"/>
      <c r="D4538" s="25"/>
      <c r="E4538" s="25"/>
      <c r="F4538" s="25"/>
      <c r="G4538" s="25"/>
      <c r="H4538" s="25"/>
      <c r="I4538" s="25"/>
      <c r="J4538" s="25"/>
    </row>
    <row r="4539" spans="1:10" ht="14.4">
      <c r="A4539" s="25"/>
      <c r="B4539" s="25"/>
      <c r="C4539" s="25"/>
      <c r="D4539" s="25"/>
      <c r="E4539" s="25"/>
      <c r="F4539" s="25"/>
      <c r="G4539" s="25"/>
      <c r="H4539" s="25"/>
      <c r="I4539" s="25"/>
      <c r="J4539" s="25"/>
    </row>
    <row r="4540" spans="1:10" ht="14.4">
      <c r="A4540" s="25"/>
      <c r="B4540" s="25"/>
      <c r="C4540" s="25"/>
      <c r="D4540" s="25"/>
      <c r="E4540" s="25"/>
      <c r="F4540" s="25"/>
      <c r="G4540" s="25"/>
      <c r="H4540" s="25"/>
      <c r="I4540" s="25"/>
      <c r="J4540" s="25"/>
    </row>
    <row r="4541" spans="1:10" ht="14.4">
      <c r="A4541" s="25"/>
      <c r="B4541" s="25"/>
      <c r="C4541" s="25"/>
      <c r="D4541" s="25"/>
      <c r="E4541" s="25"/>
      <c r="F4541" s="25"/>
      <c r="G4541" s="25"/>
      <c r="H4541" s="25"/>
      <c r="I4541" s="25"/>
      <c r="J4541" s="25"/>
    </row>
    <row r="4542" spans="1:10" ht="14.4">
      <c r="A4542" s="25"/>
      <c r="B4542" s="25"/>
      <c r="C4542" s="25"/>
      <c r="D4542" s="25"/>
      <c r="E4542" s="25"/>
      <c r="F4542" s="25"/>
      <c r="G4542" s="25"/>
      <c r="H4542" s="25"/>
      <c r="I4542" s="25"/>
      <c r="J4542" s="25"/>
    </row>
    <row r="4543" spans="1:10" ht="14.4">
      <c r="A4543" s="25"/>
      <c r="B4543" s="25"/>
      <c r="C4543" s="25"/>
      <c r="D4543" s="25"/>
      <c r="E4543" s="25"/>
      <c r="F4543" s="25"/>
      <c r="G4543" s="25"/>
      <c r="H4543" s="25"/>
      <c r="I4543" s="25"/>
      <c r="J4543" s="25"/>
    </row>
    <row r="4544" spans="1:10" ht="14.4">
      <c r="A4544" s="25"/>
      <c r="B4544" s="25"/>
      <c r="C4544" s="25"/>
      <c r="D4544" s="25"/>
      <c r="E4544" s="25"/>
      <c r="F4544" s="25"/>
      <c r="G4544" s="25"/>
      <c r="H4544" s="25"/>
      <c r="I4544" s="25"/>
      <c r="J4544" s="25"/>
    </row>
    <row r="4545" spans="1:10" ht="14.4">
      <c r="A4545" s="25"/>
      <c r="B4545" s="25"/>
      <c r="C4545" s="25"/>
      <c r="D4545" s="25"/>
      <c r="E4545" s="25"/>
      <c r="F4545" s="25"/>
      <c r="G4545" s="25"/>
      <c r="H4545" s="25"/>
      <c r="I4545" s="25"/>
      <c r="J4545" s="25"/>
    </row>
    <row r="4546" spans="1:10" ht="14.4">
      <c r="A4546" s="25"/>
      <c r="B4546" s="25"/>
      <c r="C4546" s="25"/>
      <c r="D4546" s="25"/>
      <c r="E4546" s="25"/>
      <c r="F4546" s="25"/>
      <c r="G4546" s="25"/>
      <c r="H4546" s="25"/>
      <c r="I4546" s="25"/>
      <c r="J4546" s="25"/>
    </row>
    <row r="4547" spans="1:10" ht="14.4">
      <c r="A4547" s="25"/>
      <c r="B4547" s="25"/>
      <c r="C4547" s="25"/>
      <c r="D4547" s="25"/>
      <c r="E4547" s="25"/>
      <c r="F4547" s="25"/>
      <c r="G4547" s="25"/>
      <c r="H4547" s="25"/>
      <c r="I4547" s="25"/>
      <c r="J4547" s="25"/>
    </row>
    <row r="4548" spans="1:10" ht="14.4">
      <c r="A4548" s="25"/>
      <c r="B4548" s="25"/>
      <c r="C4548" s="25"/>
      <c r="D4548" s="25"/>
      <c r="E4548" s="25"/>
      <c r="F4548" s="25"/>
      <c r="G4548" s="25"/>
      <c r="H4548" s="25"/>
      <c r="I4548" s="25"/>
      <c r="J4548" s="25"/>
    </row>
    <row r="4549" spans="1:10" ht="14.4">
      <c r="A4549" s="25"/>
      <c r="B4549" s="25"/>
      <c r="C4549" s="25"/>
      <c r="D4549" s="25"/>
      <c r="E4549" s="25"/>
      <c r="F4549" s="25"/>
      <c r="G4549" s="25"/>
      <c r="H4549" s="25"/>
      <c r="I4549" s="25"/>
      <c r="J4549" s="25"/>
    </row>
    <row r="4550" spans="1:10" ht="14.4">
      <c r="A4550" s="25"/>
      <c r="B4550" s="25"/>
      <c r="C4550" s="25"/>
      <c r="D4550" s="25"/>
      <c r="E4550" s="25"/>
      <c r="F4550" s="25"/>
      <c r="G4550" s="25"/>
      <c r="H4550" s="25"/>
      <c r="I4550" s="25"/>
      <c r="J4550" s="25"/>
    </row>
    <row r="4551" spans="1:10" ht="14.4">
      <c r="A4551" s="25"/>
      <c r="B4551" s="25"/>
      <c r="C4551" s="25"/>
      <c r="D4551" s="25"/>
      <c r="E4551" s="25"/>
      <c r="F4551" s="25"/>
      <c r="G4551" s="25"/>
      <c r="H4551" s="25"/>
      <c r="I4551" s="25"/>
      <c r="J4551" s="25"/>
    </row>
    <row r="4552" spans="1:10" ht="14.4">
      <c r="A4552" s="25"/>
      <c r="B4552" s="25"/>
      <c r="C4552" s="25"/>
      <c r="D4552" s="25"/>
      <c r="E4552" s="25"/>
      <c r="F4552" s="25"/>
      <c r="G4552" s="25"/>
      <c r="H4552" s="25"/>
      <c r="I4552" s="25"/>
      <c r="J4552" s="25"/>
    </row>
    <row r="4553" spans="1:10" ht="14.4">
      <c r="A4553" s="25"/>
      <c r="B4553" s="25"/>
      <c r="C4553" s="25"/>
      <c r="D4553" s="25"/>
      <c r="E4553" s="25"/>
      <c r="F4553" s="25"/>
      <c r="G4553" s="25"/>
      <c r="H4553" s="25"/>
      <c r="I4553" s="25"/>
      <c r="J4553" s="25"/>
    </row>
    <row r="4554" spans="1:10" ht="14.4">
      <c r="A4554" s="25"/>
      <c r="B4554" s="25"/>
      <c r="C4554" s="25"/>
      <c r="D4554" s="25"/>
      <c r="E4554" s="25"/>
      <c r="F4554" s="25"/>
      <c r="G4554" s="25"/>
      <c r="H4554" s="25"/>
      <c r="I4554" s="25"/>
      <c r="J4554" s="25"/>
    </row>
    <row r="4555" spans="1:10" ht="14.4">
      <c r="A4555" s="25"/>
      <c r="B4555" s="25"/>
      <c r="C4555" s="25"/>
      <c r="D4555" s="25"/>
      <c r="E4555" s="25"/>
      <c r="F4555" s="25"/>
      <c r="G4555" s="25"/>
      <c r="H4555" s="25"/>
      <c r="I4555" s="25"/>
      <c r="J4555" s="25"/>
    </row>
    <row r="4556" spans="1:10" ht="14.4">
      <c r="A4556" s="25"/>
      <c r="B4556" s="25"/>
      <c r="C4556" s="25"/>
      <c r="D4556" s="25"/>
      <c r="E4556" s="25"/>
      <c r="F4556" s="25"/>
      <c r="G4556" s="25"/>
      <c r="H4556" s="25"/>
      <c r="I4556" s="25"/>
      <c r="J4556" s="25"/>
    </row>
    <row r="4557" spans="1:10" ht="14.4">
      <c r="A4557" s="25"/>
      <c r="B4557" s="25"/>
      <c r="C4557" s="25"/>
      <c r="D4557" s="25"/>
      <c r="E4557" s="25"/>
      <c r="F4557" s="25"/>
      <c r="G4557" s="25"/>
      <c r="H4557" s="25"/>
      <c r="I4557" s="25"/>
      <c r="J4557" s="25"/>
    </row>
    <row r="4558" spans="1:10" ht="14.4">
      <c r="A4558" s="25"/>
      <c r="B4558" s="25"/>
      <c r="C4558" s="25"/>
      <c r="D4558" s="25"/>
      <c r="E4558" s="25"/>
      <c r="F4558" s="25"/>
      <c r="G4558" s="25"/>
      <c r="H4558" s="25"/>
      <c r="I4558" s="25"/>
      <c r="J4558" s="25"/>
    </row>
    <row r="4559" spans="1:10" ht="14.4">
      <c r="A4559" s="25"/>
      <c r="B4559" s="25"/>
      <c r="C4559" s="25"/>
      <c r="D4559" s="25"/>
      <c r="E4559" s="25"/>
      <c r="F4559" s="25"/>
      <c r="G4559" s="25"/>
      <c r="H4559" s="25"/>
      <c r="I4559" s="25"/>
      <c r="J4559" s="25"/>
    </row>
    <row r="4560" spans="1:10" ht="14.4">
      <c r="A4560" s="25"/>
      <c r="B4560" s="25"/>
      <c r="C4560" s="25"/>
      <c r="D4560" s="25"/>
      <c r="E4560" s="25"/>
      <c r="F4560" s="25"/>
      <c r="G4560" s="25"/>
      <c r="H4560" s="25"/>
      <c r="I4560" s="25"/>
      <c r="J4560" s="25"/>
    </row>
    <row r="4561" spans="1:10" ht="14.4">
      <c r="A4561" s="25"/>
      <c r="B4561" s="25"/>
      <c r="C4561" s="25"/>
      <c r="D4561" s="25"/>
      <c r="E4561" s="25"/>
      <c r="F4561" s="25"/>
      <c r="G4561" s="25"/>
      <c r="H4561" s="25"/>
      <c r="I4561" s="25"/>
      <c r="J4561" s="25"/>
    </row>
    <row r="4562" spans="1:10" ht="14.4">
      <c r="A4562" s="25"/>
      <c r="B4562" s="25"/>
      <c r="C4562" s="25"/>
      <c r="D4562" s="25"/>
      <c r="E4562" s="25"/>
      <c r="F4562" s="25"/>
      <c r="G4562" s="25"/>
      <c r="H4562" s="25"/>
      <c r="I4562" s="25"/>
      <c r="J4562" s="25"/>
    </row>
    <row r="4563" spans="1:10" ht="14.4">
      <c r="A4563" s="25"/>
      <c r="B4563" s="25"/>
      <c r="C4563" s="25"/>
      <c r="D4563" s="25"/>
      <c r="E4563" s="25"/>
      <c r="F4563" s="25"/>
      <c r="G4563" s="25"/>
      <c r="H4563" s="25"/>
      <c r="I4563" s="25"/>
      <c r="J4563" s="25"/>
    </row>
    <row r="4564" spans="1:10" ht="14.4">
      <c r="A4564" s="25"/>
      <c r="B4564" s="25"/>
      <c r="C4564" s="25"/>
      <c r="D4564" s="25"/>
      <c r="E4564" s="25"/>
      <c r="F4564" s="25"/>
      <c r="G4564" s="25"/>
      <c r="H4564" s="25"/>
      <c r="I4564" s="25"/>
      <c r="J4564" s="25"/>
    </row>
    <row r="4565" spans="1:10" ht="14.4">
      <c r="A4565" s="25"/>
      <c r="B4565" s="25"/>
      <c r="C4565" s="25"/>
      <c r="D4565" s="25"/>
      <c r="E4565" s="25"/>
      <c r="F4565" s="25"/>
      <c r="G4565" s="25"/>
      <c r="H4565" s="25"/>
      <c r="I4565" s="25"/>
      <c r="J4565" s="25"/>
    </row>
    <row r="4566" spans="1:10" ht="14.4">
      <c r="A4566" s="25"/>
      <c r="B4566" s="25"/>
      <c r="C4566" s="25"/>
      <c r="D4566" s="25"/>
      <c r="E4566" s="25"/>
      <c r="F4566" s="25"/>
      <c r="G4566" s="25"/>
      <c r="H4566" s="25"/>
      <c r="I4566" s="25"/>
      <c r="J4566" s="25"/>
    </row>
    <row r="4567" spans="1:10" ht="14.4">
      <c r="A4567" s="25"/>
      <c r="B4567" s="25"/>
      <c r="C4567" s="25"/>
      <c r="D4567" s="25"/>
      <c r="E4567" s="25"/>
      <c r="F4567" s="25"/>
      <c r="G4567" s="25"/>
      <c r="H4567" s="25"/>
      <c r="I4567" s="25"/>
      <c r="J4567" s="25"/>
    </row>
    <row r="4568" spans="1:10" ht="14.4">
      <c r="A4568" s="25"/>
      <c r="B4568" s="25"/>
      <c r="C4568" s="25"/>
      <c r="D4568" s="25"/>
      <c r="E4568" s="25"/>
      <c r="F4568" s="25"/>
      <c r="G4568" s="25"/>
      <c r="H4568" s="25"/>
      <c r="I4568" s="25"/>
      <c r="J4568" s="25"/>
    </row>
    <row r="4569" spans="1:10" ht="14.4">
      <c r="A4569" s="25"/>
      <c r="B4569" s="25"/>
      <c r="C4569" s="25"/>
      <c r="D4569" s="25"/>
      <c r="E4569" s="25"/>
      <c r="F4569" s="25"/>
      <c r="G4569" s="25"/>
      <c r="H4569" s="25"/>
      <c r="I4569" s="25"/>
      <c r="J4569" s="25"/>
    </row>
    <row r="4570" spans="1:10" ht="14.4">
      <c r="A4570" s="25"/>
      <c r="B4570" s="25"/>
      <c r="C4570" s="25"/>
      <c r="D4570" s="25"/>
      <c r="E4570" s="25"/>
      <c r="F4570" s="25"/>
      <c r="G4570" s="25"/>
      <c r="H4570" s="25"/>
      <c r="I4570" s="25"/>
      <c r="J4570" s="25"/>
    </row>
    <row r="4571" spans="1:10" ht="14.4">
      <c r="A4571" s="25"/>
      <c r="B4571" s="25"/>
      <c r="C4571" s="25"/>
      <c r="D4571" s="25"/>
      <c r="E4571" s="25"/>
      <c r="F4571" s="25"/>
      <c r="G4571" s="25"/>
      <c r="H4571" s="25"/>
      <c r="I4571" s="25"/>
      <c r="J4571" s="25"/>
    </row>
    <row r="4572" spans="1:10" ht="14.4">
      <c r="A4572" s="25"/>
      <c r="B4572" s="25"/>
      <c r="C4572" s="25"/>
      <c r="D4572" s="25"/>
      <c r="E4572" s="25"/>
      <c r="F4572" s="25"/>
      <c r="G4572" s="25"/>
      <c r="H4572" s="25"/>
      <c r="I4572" s="25"/>
      <c r="J4572" s="25"/>
    </row>
    <row r="4573" spans="1:10" ht="14.4">
      <c r="A4573" s="25"/>
      <c r="B4573" s="25"/>
      <c r="C4573" s="25"/>
      <c r="D4573" s="25"/>
      <c r="E4573" s="25"/>
      <c r="F4573" s="25"/>
      <c r="G4573" s="25"/>
      <c r="H4573" s="25"/>
      <c r="I4573" s="25"/>
      <c r="J4573" s="25"/>
    </row>
    <row r="4574" spans="1:10" ht="14.4">
      <c r="A4574" s="25"/>
      <c r="B4574" s="25"/>
      <c r="C4574" s="25"/>
      <c r="D4574" s="25"/>
      <c r="E4574" s="25"/>
      <c r="F4574" s="25"/>
      <c r="G4574" s="25"/>
      <c r="H4574" s="25"/>
      <c r="I4574" s="25"/>
      <c r="J4574" s="25"/>
    </row>
    <row r="4575" spans="1:10" ht="14.4">
      <c r="A4575" s="25"/>
      <c r="B4575" s="25"/>
      <c r="C4575" s="25"/>
      <c r="D4575" s="25"/>
      <c r="E4575" s="25"/>
      <c r="F4575" s="25"/>
      <c r="G4575" s="25"/>
      <c r="H4575" s="25"/>
      <c r="I4575" s="25"/>
      <c r="J4575" s="25"/>
    </row>
    <row r="4576" spans="1:10" ht="14.4">
      <c r="A4576" s="25"/>
      <c r="B4576" s="25"/>
      <c r="C4576" s="25"/>
      <c r="D4576" s="25"/>
      <c r="E4576" s="25"/>
      <c r="F4576" s="25"/>
      <c r="G4576" s="25"/>
      <c r="H4576" s="25"/>
      <c r="I4576" s="25"/>
      <c r="J4576" s="25"/>
    </row>
    <row r="4577" spans="1:10" ht="14.4">
      <c r="A4577" s="25"/>
      <c r="B4577" s="25"/>
      <c r="C4577" s="25"/>
      <c r="D4577" s="25"/>
      <c r="E4577" s="25"/>
      <c r="F4577" s="25"/>
      <c r="G4577" s="25"/>
      <c r="H4577" s="25"/>
      <c r="I4577" s="25"/>
      <c r="J4577" s="25"/>
    </row>
    <row r="4578" spans="1:10" ht="14.4">
      <c r="A4578" s="25"/>
      <c r="B4578" s="25"/>
      <c r="C4578" s="25"/>
      <c r="D4578" s="25"/>
      <c r="E4578" s="25"/>
      <c r="F4578" s="25"/>
      <c r="G4578" s="25"/>
      <c r="H4578" s="25"/>
      <c r="I4578" s="25"/>
      <c r="J4578" s="25"/>
    </row>
    <row r="4579" spans="1:10" ht="14.4">
      <c r="A4579" s="25"/>
      <c r="B4579" s="25"/>
      <c r="C4579" s="25"/>
      <c r="D4579" s="25"/>
      <c r="E4579" s="25"/>
      <c r="F4579" s="25"/>
      <c r="G4579" s="25"/>
      <c r="H4579" s="25"/>
      <c r="I4579" s="25"/>
      <c r="J4579" s="25"/>
    </row>
    <row r="4580" spans="1:10" ht="14.4">
      <c r="A4580" s="25"/>
      <c r="B4580" s="25"/>
      <c r="C4580" s="25"/>
      <c r="D4580" s="25"/>
      <c r="E4580" s="25"/>
      <c r="F4580" s="25"/>
      <c r="G4580" s="25"/>
      <c r="H4580" s="25"/>
      <c r="I4580" s="25"/>
      <c r="J4580" s="25"/>
    </row>
    <row r="4581" spans="1:10" ht="14.4">
      <c r="A4581" s="25"/>
      <c r="B4581" s="25"/>
      <c r="C4581" s="25"/>
      <c r="D4581" s="25"/>
      <c r="E4581" s="25"/>
      <c r="F4581" s="25"/>
      <c r="G4581" s="25"/>
      <c r="H4581" s="25"/>
      <c r="I4581" s="25"/>
      <c r="J4581" s="25"/>
    </row>
    <row r="4582" spans="1:10" ht="14.4">
      <c r="A4582" s="25"/>
      <c r="B4582" s="25"/>
      <c r="C4582" s="25"/>
      <c r="D4582" s="25"/>
      <c r="E4582" s="25"/>
      <c r="F4582" s="25"/>
      <c r="G4582" s="25"/>
      <c r="H4582" s="25"/>
      <c r="I4582" s="25"/>
      <c r="J4582" s="25"/>
    </row>
    <row r="4583" spans="1:10" ht="14.4">
      <c r="A4583" s="25"/>
      <c r="B4583" s="25"/>
      <c r="C4583" s="25"/>
      <c r="D4583" s="25"/>
      <c r="E4583" s="25"/>
      <c r="F4583" s="25"/>
      <c r="G4583" s="25"/>
      <c r="H4583" s="25"/>
      <c r="I4583" s="25"/>
      <c r="J4583" s="25"/>
    </row>
    <row r="4584" spans="1:10" ht="14.4">
      <c r="A4584" s="25"/>
      <c r="B4584" s="25"/>
      <c r="C4584" s="25"/>
      <c r="D4584" s="25"/>
      <c r="E4584" s="25"/>
      <c r="F4584" s="25"/>
      <c r="G4584" s="25"/>
      <c r="H4584" s="25"/>
      <c r="I4584" s="25"/>
      <c r="J4584" s="25"/>
    </row>
    <row r="4585" spans="1:10" ht="14.4">
      <c r="A4585" s="25"/>
      <c r="B4585" s="25"/>
      <c r="C4585" s="25"/>
      <c r="D4585" s="25"/>
      <c r="E4585" s="25"/>
      <c r="F4585" s="25"/>
      <c r="G4585" s="25"/>
      <c r="H4585" s="25"/>
      <c r="I4585" s="25"/>
      <c r="J4585" s="25"/>
    </row>
    <row r="4586" spans="1:10" ht="14.4">
      <c r="A4586" s="25"/>
      <c r="B4586" s="25"/>
      <c r="C4586" s="25"/>
      <c r="D4586" s="25"/>
      <c r="E4586" s="25"/>
      <c r="F4586" s="25"/>
      <c r="G4586" s="25"/>
      <c r="H4586" s="25"/>
      <c r="I4586" s="25"/>
      <c r="J4586" s="25"/>
    </row>
    <row r="4587" spans="1:10" ht="14.4">
      <c r="A4587" s="25"/>
      <c r="B4587" s="25"/>
      <c r="C4587" s="25"/>
      <c r="D4587" s="25"/>
      <c r="E4587" s="25"/>
      <c r="F4587" s="25"/>
      <c r="G4587" s="25"/>
      <c r="H4587" s="25"/>
      <c r="I4587" s="25"/>
      <c r="J4587" s="25"/>
    </row>
    <row r="4588" spans="1:10" ht="14.4">
      <c r="A4588" s="25"/>
      <c r="B4588" s="25"/>
      <c r="C4588" s="25"/>
      <c r="D4588" s="25"/>
      <c r="E4588" s="25"/>
      <c r="F4588" s="25"/>
      <c r="G4588" s="25"/>
      <c r="H4588" s="25"/>
      <c r="I4588" s="25"/>
      <c r="J4588" s="25"/>
    </row>
    <row r="4589" spans="1:10" ht="14.4">
      <c r="A4589" s="25"/>
      <c r="B4589" s="25"/>
      <c r="C4589" s="25"/>
      <c r="D4589" s="25"/>
      <c r="E4589" s="25"/>
      <c r="F4589" s="25"/>
      <c r="G4589" s="25"/>
      <c r="H4589" s="25"/>
      <c r="I4589" s="25"/>
      <c r="J4589" s="25"/>
    </row>
    <row r="4590" spans="1:10" ht="14.4">
      <c r="A4590" s="25"/>
      <c r="B4590" s="25"/>
      <c r="C4590" s="25"/>
      <c r="D4590" s="25"/>
      <c r="E4590" s="25"/>
      <c r="F4590" s="25"/>
      <c r="G4590" s="25"/>
      <c r="H4590" s="25"/>
      <c r="I4590" s="25"/>
      <c r="J4590" s="25"/>
    </row>
    <row r="4591" spans="1:10" ht="14.4">
      <c r="A4591" s="25"/>
      <c r="B4591" s="25"/>
      <c r="C4591" s="25"/>
      <c r="D4591" s="25"/>
      <c r="E4591" s="25"/>
      <c r="F4591" s="25"/>
      <c r="G4591" s="25"/>
      <c r="H4591" s="25"/>
      <c r="I4591" s="25"/>
      <c r="J4591" s="25"/>
    </row>
    <row r="4592" spans="1:10" ht="14.4">
      <c r="A4592" s="25"/>
      <c r="B4592" s="25"/>
      <c r="C4592" s="25"/>
      <c r="D4592" s="25"/>
      <c r="E4592" s="25"/>
      <c r="F4592" s="25"/>
      <c r="G4592" s="25"/>
      <c r="H4592" s="25"/>
      <c r="I4592" s="25"/>
      <c r="J4592" s="25"/>
    </row>
    <row r="4593" spans="1:10" ht="14.4">
      <c r="A4593" s="25"/>
      <c r="B4593" s="25"/>
      <c r="C4593" s="25"/>
      <c r="D4593" s="25"/>
      <c r="E4593" s="25"/>
      <c r="F4593" s="25"/>
      <c r="G4593" s="25"/>
      <c r="H4593" s="25"/>
      <c r="I4593" s="25"/>
      <c r="J4593" s="25"/>
    </row>
    <row r="4594" spans="1:10" ht="14.4">
      <c r="A4594" s="25"/>
      <c r="B4594" s="25"/>
      <c r="C4594" s="25"/>
      <c r="D4594" s="25"/>
      <c r="E4594" s="25"/>
      <c r="F4594" s="25"/>
      <c r="G4594" s="25"/>
      <c r="H4594" s="25"/>
      <c r="I4594" s="25"/>
      <c r="J4594" s="25"/>
    </row>
    <row r="4595" spans="1:10" ht="14.4">
      <c r="A4595" s="25"/>
      <c r="B4595" s="25"/>
      <c r="C4595" s="25"/>
      <c r="D4595" s="25"/>
      <c r="E4595" s="25"/>
      <c r="F4595" s="25"/>
      <c r="G4595" s="25"/>
      <c r="H4595" s="25"/>
      <c r="I4595" s="25"/>
      <c r="J4595" s="25"/>
    </row>
    <row r="4596" spans="1:10" ht="14.4">
      <c r="A4596" s="25"/>
      <c r="B4596" s="25"/>
      <c r="C4596" s="25"/>
      <c r="D4596" s="25"/>
      <c r="E4596" s="25"/>
      <c r="F4596" s="25"/>
      <c r="G4596" s="25"/>
      <c r="H4596" s="25"/>
      <c r="I4596" s="25"/>
      <c r="J4596" s="25"/>
    </row>
    <row r="4597" spans="1:10" ht="14.4">
      <c r="A4597" s="25"/>
      <c r="B4597" s="25"/>
      <c r="C4597" s="25"/>
      <c r="D4597" s="25"/>
      <c r="E4597" s="25"/>
      <c r="F4597" s="25"/>
      <c r="G4597" s="25"/>
      <c r="H4597" s="25"/>
      <c r="I4597" s="25"/>
      <c r="J4597" s="25"/>
    </row>
    <row r="4598" spans="1:10" ht="14.4">
      <c r="A4598" s="25"/>
      <c r="B4598" s="25"/>
      <c r="C4598" s="25"/>
      <c r="D4598" s="25"/>
      <c r="E4598" s="25"/>
      <c r="F4598" s="25"/>
      <c r="G4598" s="25"/>
      <c r="H4598" s="25"/>
      <c r="I4598" s="25"/>
      <c r="J4598" s="25"/>
    </row>
    <row r="4599" spans="1:10" ht="14.4">
      <c r="A4599" s="25"/>
      <c r="B4599" s="25"/>
      <c r="C4599" s="25"/>
      <c r="D4599" s="25"/>
      <c r="E4599" s="25"/>
      <c r="F4599" s="25"/>
      <c r="G4599" s="25"/>
      <c r="H4599" s="25"/>
      <c r="I4599" s="25"/>
      <c r="J4599" s="25"/>
    </row>
    <row r="4600" spans="1:10" ht="14.4">
      <c r="A4600" s="25"/>
      <c r="B4600" s="25"/>
      <c r="C4600" s="25"/>
      <c r="D4600" s="25"/>
      <c r="E4600" s="25"/>
      <c r="F4600" s="25"/>
      <c r="G4600" s="25"/>
      <c r="H4600" s="25"/>
      <c r="I4600" s="25"/>
      <c r="J4600" s="25"/>
    </row>
    <row r="4601" spans="1:10" ht="14.4">
      <c r="A4601" s="25"/>
      <c r="B4601" s="25"/>
      <c r="C4601" s="25"/>
      <c r="D4601" s="25"/>
      <c r="E4601" s="25"/>
      <c r="F4601" s="25"/>
      <c r="G4601" s="25"/>
      <c r="H4601" s="25"/>
      <c r="I4601" s="25"/>
      <c r="J4601" s="25"/>
    </row>
    <row r="4602" spans="1:10" ht="14.4">
      <c r="A4602" s="25"/>
      <c r="B4602" s="25"/>
      <c r="C4602" s="25"/>
      <c r="D4602" s="25"/>
      <c r="E4602" s="25"/>
      <c r="F4602" s="25"/>
      <c r="G4602" s="25"/>
      <c r="H4602" s="25"/>
      <c r="I4602" s="25"/>
      <c r="J4602" s="25"/>
    </row>
    <row r="4603" spans="1:10" ht="14.4">
      <c r="A4603" s="25"/>
      <c r="B4603" s="25"/>
      <c r="C4603" s="25"/>
      <c r="D4603" s="25"/>
      <c r="E4603" s="25"/>
      <c r="F4603" s="25"/>
      <c r="G4603" s="25"/>
      <c r="H4603" s="25"/>
      <c r="I4603" s="25"/>
      <c r="J4603" s="25"/>
    </row>
    <row r="4604" spans="1:10" ht="14.4">
      <c r="A4604" s="25"/>
      <c r="B4604" s="25"/>
      <c r="C4604" s="25"/>
      <c r="D4604" s="25"/>
      <c r="E4604" s="25"/>
      <c r="F4604" s="25"/>
      <c r="G4604" s="25"/>
      <c r="H4604" s="25"/>
      <c r="I4604" s="25"/>
      <c r="J4604" s="25"/>
    </row>
    <row r="4605" spans="1:10" ht="14.4">
      <c r="A4605" s="25"/>
      <c r="B4605" s="25"/>
      <c r="C4605" s="25"/>
      <c r="D4605" s="25"/>
      <c r="E4605" s="25"/>
      <c r="F4605" s="25"/>
      <c r="G4605" s="25"/>
      <c r="H4605" s="25"/>
      <c r="I4605" s="25"/>
      <c r="J4605" s="25"/>
    </row>
    <row r="4606" spans="1:10" ht="14.4">
      <c r="A4606" s="25"/>
      <c r="B4606" s="25"/>
      <c r="C4606" s="25"/>
      <c r="D4606" s="25"/>
      <c r="E4606" s="25"/>
      <c r="F4606" s="25"/>
      <c r="G4606" s="25"/>
      <c r="H4606" s="25"/>
      <c r="I4606" s="25"/>
      <c r="J4606" s="25"/>
    </row>
    <row r="4607" spans="1:10" ht="14.4">
      <c r="A4607" s="25"/>
      <c r="B4607" s="25"/>
      <c r="C4607" s="25"/>
      <c r="D4607" s="25"/>
      <c r="E4607" s="25"/>
      <c r="F4607" s="25"/>
      <c r="G4607" s="25"/>
      <c r="H4607" s="25"/>
      <c r="I4607" s="25"/>
      <c r="J4607" s="25"/>
    </row>
    <row r="4608" spans="1:10" ht="14.4">
      <c r="A4608" s="25"/>
      <c r="B4608" s="25"/>
      <c r="C4608" s="25"/>
      <c r="D4608" s="25"/>
      <c r="E4608" s="25"/>
      <c r="F4608" s="25"/>
      <c r="G4608" s="25"/>
      <c r="H4608" s="25"/>
      <c r="I4608" s="25"/>
      <c r="J4608" s="25"/>
    </row>
    <row r="4609" spans="1:10" ht="14.4">
      <c r="A4609" s="25"/>
      <c r="B4609" s="25"/>
      <c r="C4609" s="25"/>
      <c r="D4609" s="25"/>
      <c r="E4609" s="25"/>
      <c r="F4609" s="25"/>
      <c r="G4609" s="25"/>
      <c r="H4609" s="25"/>
      <c r="I4609" s="25"/>
      <c r="J4609" s="25"/>
    </row>
    <row r="4610" spans="1:10" ht="14.4">
      <c r="A4610" s="25"/>
      <c r="B4610" s="25"/>
      <c r="C4610" s="25"/>
      <c r="D4610" s="25"/>
      <c r="E4610" s="25"/>
      <c r="F4610" s="25"/>
      <c r="G4610" s="25"/>
      <c r="H4610" s="25"/>
      <c r="I4610" s="25"/>
      <c r="J4610" s="25"/>
    </row>
    <row r="4611" spans="1:10" ht="14.4">
      <c r="A4611" s="25"/>
      <c r="B4611" s="25"/>
      <c r="C4611" s="25"/>
      <c r="D4611" s="25"/>
      <c r="E4611" s="25"/>
      <c r="F4611" s="25"/>
      <c r="G4611" s="25"/>
      <c r="H4611" s="25"/>
      <c r="I4611" s="25"/>
      <c r="J4611" s="25"/>
    </row>
    <row r="4612" spans="1:10" ht="14.4">
      <c r="A4612" s="25"/>
      <c r="B4612" s="25"/>
      <c r="C4612" s="25"/>
      <c r="D4612" s="25"/>
      <c r="E4612" s="25"/>
      <c r="F4612" s="25"/>
      <c r="G4612" s="25"/>
      <c r="H4612" s="25"/>
      <c r="I4612" s="25"/>
      <c r="J4612" s="25"/>
    </row>
    <row r="4613" spans="1:10" ht="14.4">
      <c r="A4613" s="25"/>
      <c r="B4613" s="25"/>
      <c r="C4613" s="25"/>
      <c r="D4613" s="25"/>
      <c r="E4613" s="25"/>
      <c r="F4613" s="25"/>
      <c r="G4613" s="25"/>
      <c r="H4613" s="25"/>
      <c r="I4613" s="25"/>
      <c r="J4613" s="25"/>
    </row>
    <row r="4614" spans="1:10" ht="14.4">
      <c r="A4614" s="25"/>
      <c r="B4614" s="25"/>
      <c r="C4614" s="25"/>
      <c r="D4614" s="25"/>
      <c r="E4614" s="25"/>
      <c r="F4614" s="25"/>
      <c r="G4614" s="25"/>
      <c r="H4614" s="25"/>
      <c r="I4614" s="25"/>
      <c r="J4614" s="25"/>
    </row>
    <row r="4615" spans="1:10" ht="14.4">
      <c r="A4615" s="25"/>
      <c r="B4615" s="25"/>
      <c r="C4615" s="25"/>
      <c r="D4615" s="25"/>
      <c r="E4615" s="25"/>
      <c r="F4615" s="25"/>
      <c r="G4615" s="25"/>
      <c r="H4615" s="25"/>
      <c r="I4615" s="25"/>
      <c r="J4615" s="25"/>
    </row>
    <row r="4616" spans="1:10" ht="14.4">
      <c r="A4616" s="25"/>
      <c r="B4616" s="25"/>
      <c r="C4616" s="25"/>
      <c r="D4616" s="25"/>
      <c r="E4616" s="25"/>
      <c r="F4616" s="25"/>
      <c r="G4616" s="25"/>
      <c r="H4616" s="25"/>
      <c r="I4616" s="25"/>
      <c r="J4616" s="25"/>
    </row>
    <row r="4617" spans="1:10" ht="14.4">
      <c r="A4617" s="25"/>
      <c r="B4617" s="25"/>
      <c r="C4617" s="25"/>
      <c r="D4617" s="25"/>
      <c r="E4617" s="25"/>
      <c r="F4617" s="25"/>
      <c r="G4617" s="25"/>
      <c r="H4617" s="25"/>
      <c r="I4617" s="25"/>
      <c r="J4617" s="25"/>
    </row>
    <row r="4618" spans="1:10" ht="14.4">
      <c r="A4618" s="25"/>
      <c r="B4618" s="25"/>
      <c r="C4618" s="25"/>
      <c r="D4618" s="25"/>
      <c r="E4618" s="25"/>
      <c r="F4618" s="25"/>
      <c r="G4618" s="25"/>
      <c r="H4618" s="25"/>
      <c r="I4618" s="25"/>
      <c r="J4618" s="25"/>
    </row>
    <row r="4619" spans="1:10" ht="14.4">
      <c r="A4619" s="25"/>
      <c r="B4619" s="25"/>
      <c r="C4619" s="25"/>
      <c r="D4619" s="25"/>
      <c r="E4619" s="25"/>
      <c r="F4619" s="25"/>
      <c r="G4619" s="25"/>
      <c r="H4619" s="25"/>
      <c r="I4619" s="25"/>
      <c r="J4619" s="25"/>
    </row>
    <row r="4620" spans="1:10" ht="14.4">
      <c r="A4620" s="25"/>
      <c r="B4620" s="25"/>
      <c r="C4620" s="25"/>
      <c r="D4620" s="25"/>
      <c r="E4620" s="25"/>
      <c r="F4620" s="25"/>
      <c r="G4620" s="25"/>
      <c r="H4620" s="25"/>
      <c r="I4620" s="25"/>
      <c r="J4620" s="25"/>
    </row>
    <row r="4621" spans="1:10" ht="14.4">
      <c r="A4621" s="25"/>
      <c r="B4621" s="25"/>
      <c r="C4621" s="25"/>
      <c r="D4621" s="25"/>
      <c r="E4621" s="25"/>
      <c r="F4621" s="25"/>
      <c r="G4621" s="25"/>
      <c r="H4621" s="25"/>
      <c r="I4621" s="25"/>
      <c r="J4621" s="25"/>
    </row>
    <row r="4622" spans="1:10" ht="14.4">
      <c r="A4622" s="25"/>
      <c r="B4622" s="25"/>
      <c r="C4622" s="25"/>
      <c r="D4622" s="25"/>
      <c r="E4622" s="25"/>
      <c r="F4622" s="25"/>
      <c r="G4622" s="25"/>
      <c r="H4622" s="25"/>
      <c r="I4622" s="25"/>
      <c r="J4622" s="25"/>
    </row>
    <row r="4623" spans="1:10" ht="14.4">
      <c r="A4623" s="25"/>
      <c r="B4623" s="25"/>
      <c r="C4623" s="25"/>
      <c r="D4623" s="25"/>
      <c r="E4623" s="25"/>
      <c r="F4623" s="25"/>
      <c r="G4623" s="25"/>
      <c r="H4623" s="25"/>
      <c r="I4623" s="25"/>
      <c r="J4623" s="25"/>
    </row>
    <row r="4624" spans="1:10" ht="14.4">
      <c r="A4624" s="25"/>
      <c r="B4624" s="25"/>
      <c r="C4624" s="25"/>
      <c r="D4624" s="25"/>
      <c r="E4624" s="25"/>
      <c r="F4624" s="25"/>
      <c r="G4624" s="25"/>
      <c r="H4624" s="25"/>
      <c r="I4624" s="25"/>
      <c r="J4624" s="25"/>
    </row>
    <row r="4625" spans="1:10" ht="14.4">
      <c r="A4625" s="25"/>
      <c r="B4625" s="25"/>
      <c r="C4625" s="25"/>
      <c r="D4625" s="25"/>
      <c r="E4625" s="25"/>
      <c r="F4625" s="25"/>
      <c r="G4625" s="25"/>
      <c r="H4625" s="25"/>
      <c r="I4625" s="25"/>
      <c r="J4625" s="25"/>
    </row>
    <row r="4626" spans="1:10" ht="14.4">
      <c r="A4626" s="25"/>
      <c r="B4626" s="25"/>
      <c r="C4626" s="25"/>
      <c r="D4626" s="25"/>
      <c r="E4626" s="25"/>
      <c r="F4626" s="25"/>
      <c r="G4626" s="25"/>
      <c r="H4626" s="25"/>
      <c r="I4626" s="25"/>
      <c r="J4626" s="25"/>
    </row>
    <row r="4627" spans="1:10" ht="14.4">
      <c r="A4627" s="25"/>
      <c r="B4627" s="25"/>
      <c r="C4627" s="25"/>
      <c r="D4627" s="25"/>
      <c r="E4627" s="25"/>
      <c r="F4627" s="25"/>
      <c r="G4627" s="25"/>
      <c r="H4627" s="25"/>
      <c r="I4627" s="25"/>
      <c r="J4627" s="25"/>
    </row>
    <row r="4628" spans="1:10" ht="14.4">
      <c r="A4628" s="25"/>
      <c r="B4628" s="25"/>
      <c r="C4628" s="25"/>
      <c r="D4628" s="25"/>
      <c r="E4628" s="25"/>
      <c r="F4628" s="25"/>
      <c r="G4628" s="25"/>
      <c r="H4628" s="25"/>
      <c r="I4628" s="25"/>
      <c r="J4628" s="25"/>
    </row>
    <row r="4629" spans="1:10" ht="14.4">
      <c r="A4629" s="25"/>
      <c r="B4629" s="25"/>
      <c r="C4629" s="25"/>
      <c r="D4629" s="25"/>
      <c r="E4629" s="25"/>
      <c r="F4629" s="25"/>
      <c r="G4629" s="25"/>
      <c r="H4629" s="25"/>
      <c r="I4629" s="25"/>
      <c r="J4629" s="25"/>
    </row>
    <row r="4630" spans="1:10" ht="14.4">
      <c r="A4630" s="25"/>
      <c r="B4630" s="25"/>
      <c r="C4630" s="25"/>
      <c r="D4630" s="25"/>
      <c r="E4630" s="25"/>
      <c r="F4630" s="25"/>
      <c r="G4630" s="25"/>
      <c r="H4630" s="25"/>
      <c r="I4630" s="25"/>
      <c r="J4630" s="25"/>
    </row>
    <row r="4631" spans="1:10" ht="14.4">
      <c r="A4631" s="25"/>
      <c r="B4631" s="25"/>
      <c r="C4631" s="25"/>
      <c r="D4631" s="25"/>
      <c r="E4631" s="25"/>
      <c r="F4631" s="25"/>
      <c r="G4631" s="25"/>
      <c r="H4631" s="25"/>
      <c r="I4631" s="25"/>
      <c r="J4631" s="25"/>
    </row>
    <row r="4632" spans="1:10" ht="14.4">
      <c r="A4632" s="25"/>
      <c r="B4632" s="25"/>
      <c r="C4632" s="25"/>
      <c r="D4632" s="25"/>
      <c r="E4632" s="25"/>
      <c r="F4632" s="25"/>
      <c r="G4632" s="25"/>
      <c r="H4632" s="25"/>
      <c r="I4632" s="25"/>
      <c r="J4632" s="25"/>
    </row>
    <row r="4633" spans="1:10" ht="14.4">
      <c r="A4633" s="25"/>
      <c r="B4633" s="25"/>
      <c r="C4633" s="25"/>
      <c r="D4633" s="25"/>
      <c r="E4633" s="25"/>
      <c r="F4633" s="25"/>
      <c r="G4633" s="25"/>
      <c r="H4633" s="25"/>
      <c r="I4633" s="25"/>
      <c r="J4633" s="25"/>
    </row>
    <row r="4634" spans="1:10" ht="14.4">
      <c r="A4634" s="25"/>
      <c r="B4634" s="25"/>
      <c r="C4634" s="25"/>
      <c r="D4634" s="25"/>
      <c r="E4634" s="25"/>
      <c r="F4634" s="25"/>
      <c r="G4634" s="25"/>
      <c r="H4634" s="25"/>
      <c r="I4634" s="25"/>
      <c r="J4634" s="25"/>
    </row>
    <row r="4635" spans="1:10" ht="14.4">
      <c r="A4635" s="25"/>
      <c r="B4635" s="25"/>
      <c r="C4635" s="25"/>
      <c r="D4635" s="25"/>
      <c r="E4635" s="25"/>
      <c r="F4635" s="25"/>
      <c r="G4635" s="25"/>
      <c r="H4635" s="25"/>
      <c r="I4635" s="25"/>
      <c r="J4635" s="25"/>
    </row>
    <row r="4636" spans="1:10" ht="14.4">
      <c r="A4636" s="25"/>
      <c r="B4636" s="25"/>
      <c r="C4636" s="25"/>
      <c r="D4636" s="25"/>
      <c r="E4636" s="25"/>
      <c r="F4636" s="25"/>
      <c r="G4636" s="25"/>
      <c r="H4636" s="25"/>
      <c r="I4636" s="25"/>
      <c r="J4636" s="25"/>
    </row>
    <row r="4637" spans="1:10" ht="14.4">
      <c r="A4637" s="25"/>
      <c r="B4637" s="25"/>
      <c r="C4637" s="25"/>
      <c r="D4637" s="25"/>
      <c r="E4637" s="25"/>
      <c r="F4637" s="25"/>
      <c r="G4637" s="25"/>
      <c r="H4637" s="25"/>
      <c r="I4637" s="25"/>
      <c r="J4637" s="25"/>
    </row>
    <row r="4638" spans="1:10" ht="14.4">
      <c r="A4638" s="25"/>
      <c r="B4638" s="25"/>
      <c r="C4638" s="25"/>
      <c r="D4638" s="25"/>
      <c r="E4638" s="25"/>
      <c r="F4638" s="25"/>
      <c r="G4638" s="25"/>
      <c r="H4638" s="25"/>
      <c r="I4638" s="25"/>
      <c r="J4638" s="25"/>
    </row>
    <row r="4639" spans="1:10" ht="14.4">
      <c r="A4639" s="25"/>
      <c r="B4639" s="25"/>
      <c r="C4639" s="25"/>
      <c r="D4639" s="25"/>
      <c r="E4639" s="25"/>
      <c r="F4639" s="25"/>
      <c r="G4639" s="25"/>
      <c r="H4639" s="25"/>
      <c r="I4639" s="25"/>
      <c r="J4639" s="25"/>
    </row>
    <row r="4640" spans="1:10" ht="14.4">
      <c r="A4640" s="25"/>
      <c r="B4640" s="25"/>
      <c r="C4640" s="25"/>
      <c r="D4640" s="25"/>
      <c r="E4640" s="25"/>
      <c r="F4640" s="25"/>
      <c r="G4640" s="25"/>
      <c r="H4640" s="25"/>
      <c r="I4640" s="25"/>
      <c r="J4640" s="25"/>
    </row>
    <row r="4641" spans="1:10" ht="14.4">
      <c r="A4641" s="25"/>
      <c r="B4641" s="25"/>
      <c r="C4641" s="25"/>
      <c r="D4641" s="25"/>
      <c r="E4641" s="25"/>
      <c r="F4641" s="25"/>
      <c r="G4641" s="25"/>
      <c r="H4641" s="25"/>
      <c r="I4641" s="25"/>
      <c r="J4641" s="25"/>
    </row>
    <row r="4642" spans="1:10" ht="14.4">
      <c r="A4642" s="25"/>
      <c r="B4642" s="25"/>
      <c r="C4642" s="25"/>
      <c r="D4642" s="25"/>
      <c r="E4642" s="25"/>
      <c r="F4642" s="25"/>
      <c r="G4642" s="25"/>
      <c r="H4642" s="25"/>
      <c r="I4642" s="25"/>
      <c r="J4642" s="25"/>
    </row>
    <row r="4643" spans="1:10" ht="14.4">
      <c r="A4643" s="25"/>
      <c r="B4643" s="25"/>
      <c r="C4643" s="25"/>
      <c r="D4643" s="25"/>
      <c r="E4643" s="25"/>
      <c r="F4643" s="25"/>
      <c r="G4643" s="25"/>
      <c r="H4643" s="25"/>
      <c r="I4643" s="25"/>
      <c r="J4643" s="25"/>
    </row>
    <row r="4644" spans="1:10" ht="14.4">
      <c r="A4644" s="25"/>
      <c r="B4644" s="25"/>
      <c r="C4644" s="25"/>
      <c r="D4644" s="25"/>
      <c r="E4644" s="25"/>
      <c r="F4644" s="25"/>
      <c r="G4644" s="25"/>
      <c r="H4644" s="25"/>
      <c r="I4644" s="25"/>
      <c r="J4644" s="25"/>
    </row>
    <row r="4645" spans="1:10" ht="14.4">
      <c r="A4645" s="25"/>
      <c r="B4645" s="25"/>
      <c r="C4645" s="25"/>
      <c r="D4645" s="25"/>
      <c r="E4645" s="25"/>
      <c r="F4645" s="25"/>
      <c r="G4645" s="25"/>
      <c r="H4645" s="25"/>
      <c r="I4645" s="25"/>
      <c r="J4645" s="25"/>
    </row>
    <row r="4646" spans="1:10" ht="14.4">
      <c r="A4646" s="25"/>
      <c r="B4646" s="25"/>
      <c r="C4646" s="25"/>
      <c r="D4646" s="25"/>
      <c r="E4646" s="25"/>
      <c r="F4646" s="25"/>
      <c r="G4646" s="25"/>
      <c r="H4646" s="25"/>
      <c r="I4646" s="25"/>
      <c r="J4646" s="25"/>
    </row>
    <row r="4647" spans="1:10" ht="14.4">
      <c r="A4647" s="25"/>
      <c r="B4647" s="25"/>
      <c r="C4647" s="25"/>
      <c r="D4647" s="25"/>
      <c r="E4647" s="25"/>
      <c r="F4647" s="25"/>
      <c r="G4647" s="25"/>
      <c r="H4647" s="25"/>
      <c r="I4647" s="25"/>
      <c r="J4647" s="25"/>
    </row>
    <row r="4648" spans="1:10" ht="14.4">
      <c r="A4648" s="25"/>
      <c r="B4648" s="25"/>
      <c r="C4648" s="25"/>
      <c r="D4648" s="25"/>
      <c r="E4648" s="25"/>
      <c r="F4648" s="25"/>
      <c r="G4648" s="25"/>
      <c r="H4648" s="25"/>
      <c r="I4648" s="25"/>
      <c r="J4648" s="25"/>
    </row>
    <row r="4649" spans="1:10" ht="14.4">
      <c r="A4649" s="25"/>
      <c r="B4649" s="25"/>
      <c r="C4649" s="25"/>
      <c r="D4649" s="25"/>
      <c r="E4649" s="25"/>
      <c r="F4649" s="25"/>
      <c r="G4649" s="25"/>
      <c r="H4649" s="25"/>
      <c r="I4649" s="25"/>
      <c r="J4649" s="25"/>
    </row>
    <row r="4650" spans="1:10" ht="14.4">
      <c r="A4650" s="25"/>
      <c r="B4650" s="25"/>
      <c r="C4650" s="25"/>
      <c r="D4650" s="25"/>
      <c r="E4650" s="25"/>
      <c r="F4650" s="25"/>
      <c r="G4650" s="25"/>
      <c r="H4650" s="25"/>
      <c r="I4650" s="25"/>
      <c r="J4650" s="25"/>
    </row>
    <row r="4651" spans="1:10" ht="14.4">
      <c r="A4651" s="25"/>
      <c r="B4651" s="25"/>
      <c r="C4651" s="25"/>
      <c r="D4651" s="25"/>
      <c r="E4651" s="25"/>
      <c r="F4651" s="25"/>
      <c r="G4651" s="25"/>
      <c r="H4651" s="25"/>
      <c r="I4651" s="25"/>
      <c r="J4651" s="25"/>
    </row>
    <row r="4652" spans="1:10" ht="14.4">
      <c r="A4652" s="25"/>
      <c r="B4652" s="25"/>
      <c r="C4652" s="25"/>
      <c r="D4652" s="25"/>
      <c r="E4652" s="25"/>
      <c r="F4652" s="25"/>
      <c r="G4652" s="25"/>
      <c r="H4652" s="25"/>
      <c r="I4652" s="25"/>
      <c r="J4652" s="25"/>
    </row>
    <row r="4653" spans="1:10" ht="14.4">
      <c r="A4653" s="25"/>
      <c r="B4653" s="25"/>
      <c r="C4653" s="25"/>
      <c r="D4653" s="25"/>
      <c r="E4653" s="25"/>
      <c r="F4653" s="25"/>
      <c r="G4653" s="25"/>
      <c r="H4653" s="25"/>
      <c r="I4653" s="25"/>
      <c r="J4653" s="25"/>
    </row>
    <row r="4654" spans="1:10" ht="14.4">
      <c r="A4654" s="25"/>
      <c r="B4654" s="25"/>
      <c r="C4654" s="25"/>
      <c r="D4654" s="25"/>
      <c r="E4654" s="25"/>
      <c r="F4654" s="25"/>
      <c r="G4654" s="25"/>
      <c r="H4654" s="25"/>
      <c r="I4654" s="25"/>
      <c r="J4654" s="25"/>
    </row>
    <row r="4655" spans="1:10" ht="14.4">
      <c r="A4655" s="25"/>
      <c r="B4655" s="25"/>
      <c r="C4655" s="25"/>
      <c r="D4655" s="25"/>
      <c r="E4655" s="25"/>
      <c r="F4655" s="25"/>
      <c r="G4655" s="25"/>
      <c r="H4655" s="25"/>
      <c r="I4655" s="25"/>
      <c r="J4655" s="25"/>
    </row>
    <row r="4656" spans="1:10" ht="14.4">
      <c r="A4656" s="25"/>
      <c r="B4656" s="25"/>
      <c r="C4656" s="25"/>
      <c r="D4656" s="25"/>
      <c r="E4656" s="25"/>
      <c r="F4656" s="25"/>
      <c r="G4656" s="25"/>
      <c r="H4656" s="25"/>
      <c r="I4656" s="25"/>
      <c r="J4656" s="25"/>
    </row>
    <row r="4657" spans="1:10" ht="14.4">
      <c r="A4657" s="25"/>
      <c r="B4657" s="25"/>
      <c r="C4657" s="25"/>
      <c r="D4657" s="25"/>
      <c r="E4657" s="25"/>
      <c r="F4657" s="25"/>
      <c r="G4657" s="25"/>
      <c r="H4657" s="25"/>
      <c r="I4657" s="25"/>
      <c r="J4657" s="25"/>
    </row>
    <row r="4658" spans="1:10" ht="14.4">
      <c r="A4658" s="25"/>
      <c r="B4658" s="25"/>
      <c r="C4658" s="25"/>
      <c r="D4658" s="25"/>
      <c r="E4658" s="25"/>
      <c r="F4658" s="25"/>
      <c r="G4658" s="25"/>
      <c r="H4658" s="25"/>
      <c r="I4658" s="25"/>
      <c r="J4658" s="25"/>
    </row>
    <row r="4659" spans="1:10" ht="14.4">
      <c r="A4659" s="25"/>
      <c r="B4659" s="25"/>
      <c r="C4659" s="25"/>
      <c r="D4659" s="25"/>
      <c r="E4659" s="25"/>
      <c r="F4659" s="25"/>
      <c r="G4659" s="25"/>
      <c r="H4659" s="25"/>
      <c r="I4659" s="25"/>
      <c r="J4659" s="25"/>
    </row>
    <row r="4660" spans="1:10" ht="14.4">
      <c r="A4660" s="25"/>
      <c r="B4660" s="25"/>
      <c r="C4660" s="25"/>
      <c r="D4660" s="25"/>
      <c r="E4660" s="25"/>
      <c r="F4660" s="25"/>
      <c r="G4660" s="25"/>
      <c r="H4660" s="25"/>
      <c r="I4660" s="25"/>
      <c r="J4660" s="25"/>
    </row>
    <row r="4661" spans="1:10" ht="14.4">
      <c r="A4661" s="25"/>
      <c r="B4661" s="25"/>
      <c r="C4661" s="25"/>
      <c r="D4661" s="25"/>
      <c r="E4661" s="25"/>
      <c r="F4661" s="25"/>
      <c r="G4661" s="25"/>
      <c r="H4661" s="25"/>
      <c r="I4661" s="25"/>
      <c r="J4661" s="25"/>
    </row>
    <row r="4662" spans="1:10" ht="14.4">
      <c r="A4662" s="25"/>
      <c r="B4662" s="25"/>
      <c r="C4662" s="25"/>
      <c r="D4662" s="25"/>
      <c r="E4662" s="25"/>
      <c r="F4662" s="25"/>
      <c r="G4662" s="25"/>
      <c r="H4662" s="25"/>
      <c r="I4662" s="25"/>
      <c r="J4662" s="25"/>
    </row>
    <row r="4663" spans="1:10" ht="14.4">
      <c r="A4663" s="25"/>
      <c r="B4663" s="25"/>
      <c r="C4663" s="25"/>
      <c r="D4663" s="25"/>
      <c r="E4663" s="25"/>
      <c r="F4663" s="25"/>
      <c r="G4663" s="25"/>
      <c r="H4663" s="25"/>
      <c r="I4663" s="25"/>
      <c r="J4663" s="25"/>
    </row>
    <row r="4664" spans="1:10" ht="14.4">
      <c r="A4664" s="25"/>
      <c r="B4664" s="25"/>
      <c r="C4664" s="25"/>
      <c r="D4664" s="25"/>
      <c r="E4664" s="25"/>
      <c r="F4664" s="25"/>
      <c r="G4664" s="25"/>
      <c r="H4664" s="25"/>
      <c r="I4664" s="25"/>
      <c r="J4664" s="25"/>
    </row>
    <row r="4665" spans="1:10" ht="14.4">
      <c r="A4665" s="25"/>
      <c r="B4665" s="25"/>
      <c r="C4665" s="25"/>
      <c r="D4665" s="25"/>
      <c r="E4665" s="25"/>
      <c r="F4665" s="25"/>
      <c r="G4665" s="25"/>
      <c r="H4665" s="25"/>
      <c r="I4665" s="25"/>
      <c r="J4665" s="25"/>
    </row>
    <row r="4666" spans="1:10" ht="14.4">
      <c r="A4666" s="25"/>
      <c r="B4666" s="25"/>
      <c r="C4666" s="25"/>
      <c r="D4666" s="25"/>
      <c r="E4666" s="25"/>
      <c r="F4666" s="25"/>
      <c r="G4666" s="25"/>
      <c r="H4666" s="25"/>
      <c r="I4666" s="25"/>
      <c r="J4666" s="25"/>
    </row>
    <row r="4667" spans="1:10" ht="14.4">
      <c r="A4667" s="25"/>
      <c r="B4667" s="25"/>
      <c r="C4667" s="25"/>
      <c r="D4667" s="25"/>
      <c r="E4667" s="25"/>
      <c r="F4667" s="25"/>
      <c r="G4667" s="25"/>
      <c r="H4667" s="25"/>
      <c r="I4667" s="25"/>
      <c r="J4667" s="25"/>
    </row>
    <row r="4668" spans="1:10" ht="14.4">
      <c r="A4668" s="25"/>
      <c r="B4668" s="25"/>
      <c r="C4668" s="25"/>
      <c r="D4668" s="25"/>
      <c r="E4668" s="25"/>
      <c r="F4668" s="25"/>
      <c r="G4668" s="25"/>
      <c r="H4668" s="25"/>
      <c r="I4668" s="25"/>
      <c r="J4668" s="25"/>
    </row>
    <row r="4669" spans="1:10" ht="14.4">
      <c r="A4669" s="25"/>
      <c r="B4669" s="25"/>
      <c r="C4669" s="25"/>
      <c r="D4669" s="25"/>
      <c r="E4669" s="25"/>
      <c r="F4669" s="25"/>
      <c r="G4669" s="25"/>
      <c r="H4669" s="25"/>
      <c r="I4669" s="25"/>
      <c r="J4669" s="25"/>
    </row>
    <row r="4670" spans="1:10" ht="14.4">
      <c r="A4670" s="25"/>
      <c r="B4670" s="25"/>
      <c r="C4670" s="25"/>
      <c r="D4670" s="25"/>
      <c r="E4670" s="25"/>
      <c r="F4670" s="25"/>
      <c r="G4670" s="25"/>
      <c r="H4670" s="25"/>
      <c r="I4670" s="25"/>
      <c r="J4670" s="25"/>
    </row>
    <row r="4671" spans="1:10" ht="14.4">
      <c r="A4671" s="25"/>
      <c r="B4671" s="25"/>
      <c r="C4671" s="25"/>
      <c r="D4671" s="25"/>
      <c r="E4671" s="25"/>
      <c r="F4671" s="25"/>
      <c r="G4671" s="25"/>
      <c r="H4671" s="25"/>
      <c r="I4671" s="25"/>
      <c r="J4671" s="25"/>
    </row>
    <row r="4672" spans="1:10" ht="14.4">
      <c r="A4672" s="25"/>
      <c r="B4672" s="25"/>
      <c r="C4672" s="25"/>
      <c r="D4672" s="25"/>
      <c r="E4672" s="25"/>
      <c r="F4672" s="25"/>
      <c r="G4672" s="25"/>
      <c r="H4672" s="25"/>
      <c r="I4672" s="25"/>
      <c r="J4672" s="25"/>
    </row>
    <row r="4673" spans="1:10" ht="14.4">
      <c r="A4673" s="25"/>
      <c r="B4673" s="25"/>
      <c r="C4673" s="25"/>
      <c r="D4673" s="25"/>
      <c r="E4673" s="25"/>
      <c r="F4673" s="25"/>
      <c r="G4673" s="25"/>
      <c r="H4673" s="25"/>
      <c r="I4673" s="25"/>
      <c r="J4673" s="25"/>
    </row>
    <row r="4674" spans="1:10" ht="14.4">
      <c r="A4674" s="25"/>
      <c r="B4674" s="25"/>
      <c r="C4674" s="25"/>
      <c r="D4674" s="25"/>
      <c r="E4674" s="25"/>
      <c r="F4674" s="25"/>
      <c r="G4674" s="25"/>
      <c r="H4674" s="25"/>
      <c r="I4674" s="25"/>
      <c r="J4674" s="25"/>
    </row>
    <row r="4675" spans="1:10" ht="14.4">
      <c r="A4675" s="25"/>
      <c r="B4675" s="25"/>
      <c r="C4675" s="25"/>
      <c r="D4675" s="25"/>
      <c r="E4675" s="25"/>
      <c r="F4675" s="25"/>
      <c r="G4675" s="25"/>
      <c r="H4675" s="25"/>
      <c r="I4675" s="25"/>
      <c r="J4675" s="25"/>
    </row>
    <row r="4676" spans="1:10" ht="14.4">
      <c r="A4676" s="25"/>
      <c r="B4676" s="25"/>
      <c r="C4676" s="25"/>
      <c r="D4676" s="25"/>
      <c r="E4676" s="25"/>
      <c r="F4676" s="25"/>
      <c r="G4676" s="25"/>
      <c r="H4676" s="25"/>
      <c r="I4676" s="25"/>
      <c r="J4676" s="25"/>
    </row>
    <row r="4677" spans="1:10" ht="14.4">
      <c r="A4677" s="25"/>
      <c r="B4677" s="25"/>
      <c r="C4677" s="25"/>
      <c r="D4677" s="25"/>
      <c r="E4677" s="25"/>
      <c r="F4677" s="25"/>
      <c r="G4677" s="25"/>
      <c r="H4677" s="25"/>
      <c r="I4677" s="25"/>
      <c r="J4677" s="25"/>
    </row>
    <row r="4678" spans="1:10" ht="14.4">
      <c r="A4678" s="25"/>
      <c r="B4678" s="25"/>
      <c r="C4678" s="25"/>
      <c r="D4678" s="25"/>
      <c r="E4678" s="25"/>
      <c r="F4678" s="25"/>
      <c r="G4678" s="25"/>
      <c r="H4678" s="25"/>
      <c r="I4678" s="25"/>
      <c r="J4678" s="25"/>
    </row>
    <row r="4679" spans="1:10" ht="14.4">
      <c r="A4679" s="25"/>
      <c r="B4679" s="25"/>
      <c r="C4679" s="25"/>
      <c r="D4679" s="25"/>
      <c r="E4679" s="25"/>
      <c r="F4679" s="25"/>
      <c r="G4679" s="25"/>
      <c r="H4679" s="25"/>
      <c r="I4679" s="25"/>
      <c r="J4679" s="25"/>
    </row>
    <row r="4680" spans="1:10" ht="14.4">
      <c r="A4680" s="25"/>
      <c r="B4680" s="25"/>
      <c r="C4680" s="25"/>
      <c r="D4680" s="25"/>
      <c r="E4680" s="25"/>
      <c r="F4680" s="25"/>
      <c r="G4680" s="25"/>
      <c r="H4680" s="25"/>
      <c r="I4680" s="25"/>
      <c r="J4680" s="25"/>
    </row>
    <row r="4681" spans="1:10" ht="14.4">
      <c r="A4681" s="25"/>
      <c r="B4681" s="25"/>
      <c r="C4681" s="25"/>
      <c r="D4681" s="25"/>
      <c r="E4681" s="25"/>
      <c r="F4681" s="25"/>
      <c r="G4681" s="25"/>
      <c r="H4681" s="25"/>
      <c r="I4681" s="25"/>
      <c r="J4681" s="25"/>
    </row>
    <row r="4682" spans="1:10" ht="14.4">
      <c r="A4682" s="25"/>
      <c r="B4682" s="25"/>
      <c r="C4682" s="25"/>
      <c r="D4682" s="25"/>
      <c r="E4682" s="25"/>
      <c r="F4682" s="25"/>
      <c r="G4682" s="25"/>
      <c r="H4682" s="25"/>
      <c r="I4682" s="25"/>
      <c r="J4682" s="25"/>
    </row>
    <row r="4683" spans="1:10" ht="14.4">
      <c r="A4683" s="25"/>
      <c r="B4683" s="25"/>
      <c r="C4683" s="25"/>
      <c r="D4683" s="25"/>
      <c r="E4683" s="25"/>
      <c r="F4683" s="25"/>
      <c r="G4683" s="25"/>
      <c r="H4683" s="25"/>
      <c r="I4683" s="25"/>
      <c r="J4683" s="25"/>
    </row>
    <row r="4684" spans="1:10" ht="14.4">
      <c r="A4684" s="25"/>
      <c r="B4684" s="25"/>
      <c r="C4684" s="25"/>
      <c r="D4684" s="25"/>
      <c r="E4684" s="25"/>
      <c r="F4684" s="25"/>
      <c r="G4684" s="25"/>
      <c r="H4684" s="25"/>
      <c r="I4684" s="25"/>
      <c r="J4684" s="25"/>
    </row>
    <row r="4685" spans="1:10" ht="14.4">
      <c r="A4685" s="25"/>
      <c r="B4685" s="25"/>
      <c r="C4685" s="25"/>
      <c r="D4685" s="25"/>
      <c r="E4685" s="25"/>
      <c r="F4685" s="25"/>
      <c r="G4685" s="25"/>
      <c r="H4685" s="25"/>
      <c r="I4685" s="25"/>
      <c r="J4685" s="25"/>
    </row>
    <row r="4686" spans="1:10" ht="14.4">
      <c r="A4686" s="25"/>
      <c r="B4686" s="25"/>
      <c r="C4686" s="25"/>
      <c r="D4686" s="25"/>
      <c r="E4686" s="25"/>
      <c r="F4686" s="25"/>
      <c r="G4686" s="25"/>
      <c r="H4686" s="25"/>
      <c r="I4686" s="25"/>
      <c r="J4686" s="25"/>
    </row>
    <row r="4687" spans="1:10" ht="14.4">
      <c r="A4687" s="25"/>
      <c r="B4687" s="25"/>
      <c r="C4687" s="25"/>
      <c r="D4687" s="25"/>
      <c r="E4687" s="25"/>
      <c r="F4687" s="25"/>
      <c r="G4687" s="25"/>
      <c r="H4687" s="25"/>
      <c r="I4687" s="25"/>
      <c r="J4687" s="25"/>
    </row>
    <row r="4688" spans="1:10" ht="14.4">
      <c r="A4688" s="25"/>
      <c r="B4688" s="25"/>
      <c r="C4688" s="25"/>
      <c r="D4688" s="25"/>
      <c r="E4688" s="25"/>
      <c r="F4688" s="25"/>
      <c r="G4688" s="25"/>
      <c r="H4688" s="25"/>
      <c r="I4688" s="25"/>
      <c r="J4688" s="25"/>
    </row>
    <row r="4689" spans="1:10" ht="14.4">
      <c r="A4689" s="25"/>
      <c r="B4689" s="25"/>
      <c r="C4689" s="25"/>
      <c r="D4689" s="25"/>
      <c r="E4689" s="25"/>
      <c r="F4689" s="25"/>
      <c r="G4689" s="25"/>
      <c r="H4689" s="25"/>
      <c r="I4689" s="25"/>
      <c r="J4689" s="25"/>
    </row>
    <row r="4690" spans="1:10" ht="14.4">
      <c r="A4690" s="25"/>
      <c r="B4690" s="25"/>
      <c r="C4690" s="25"/>
      <c r="D4690" s="25"/>
      <c r="E4690" s="25"/>
      <c r="F4690" s="25"/>
      <c r="G4690" s="25"/>
      <c r="H4690" s="25"/>
      <c r="I4690" s="25"/>
      <c r="J4690" s="25"/>
    </row>
    <row r="4691" spans="1:10" ht="14.4">
      <c r="A4691" s="25"/>
      <c r="B4691" s="25"/>
      <c r="C4691" s="25"/>
      <c r="D4691" s="25"/>
      <c r="E4691" s="25"/>
      <c r="F4691" s="25"/>
      <c r="G4691" s="25"/>
      <c r="H4691" s="25"/>
      <c r="I4691" s="25"/>
      <c r="J4691" s="25"/>
    </row>
    <row r="4692" spans="1:10" ht="14.4">
      <c r="A4692" s="25"/>
      <c r="B4692" s="25"/>
      <c r="C4692" s="25"/>
      <c r="D4692" s="25"/>
      <c r="E4692" s="25"/>
      <c r="F4692" s="25"/>
      <c r="G4692" s="25"/>
      <c r="H4692" s="25"/>
      <c r="I4692" s="25"/>
      <c r="J4692" s="25"/>
    </row>
    <row r="4693" spans="1:10" ht="14.4">
      <c r="A4693" s="25"/>
      <c r="B4693" s="25"/>
      <c r="C4693" s="25"/>
      <c r="D4693" s="25"/>
      <c r="E4693" s="25"/>
      <c r="F4693" s="25"/>
      <c r="G4693" s="25"/>
      <c r="H4693" s="25"/>
      <c r="I4693" s="25"/>
      <c r="J4693" s="25"/>
    </row>
    <row r="4694" spans="1:10" ht="14.4">
      <c r="A4694" s="25"/>
      <c r="B4694" s="25"/>
      <c r="C4694" s="25"/>
      <c r="D4694" s="25"/>
      <c r="E4694" s="25"/>
      <c r="F4694" s="25"/>
      <c r="G4694" s="25"/>
      <c r="H4694" s="25"/>
      <c r="I4694" s="25"/>
      <c r="J4694" s="25"/>
    </row>
    <row r="4695" spans="1:10" ht="14.4">
      <c r="A4695" s="25"/>
      <c r="B4695" s="25"/>
      <c r="C4695" s="25"/>
      <c r="D4695" s="25"/>
      <c r="E4695" s="25"/>
      <c r="F4695" s="25"/>
      <c r="G4695" s="25"/>
      <c r="H4695" s="25"/>
      <c r="I4695" s="25"/>
      <c r="J4695" s="25"/>
    </row>
    <row r="4696" spans="1:10" ht="14.4">
      <c r="A4696" s="25"/>
      <c r="B4696" s="25"/>
      <c r="C4696" s="25"/>
      <c r="D4696" s="25"/>
      <c r="E4696" s="25"/>
      <c r="F4696" s="25"/>
      <c r="G4696" s="25"/>
      <c r="H4696" s="25"/>
      <c r="I4696" s="25"/>
      <c r="J4696" s="25"/>
    </row>
    <row r="4697" spans="1:10" ht="14.4">
      <c r="A4697" s="25"/>
      <c r="B4697" s="25"/>
      <c r="C4697" s="25"/>
      <c r="D4697" s="25"/>
      <c r="E4697" s="25"/>
      <c r="F4697" s="25"/>
      <c r="G4697" s="25"/>
      <c r="H4697" s="25"/>
      <c r="I4697" s="25"/>
      <c r="J4697" s="25"/>
    </row>
    <row r="4698" spans="1:10" ht="14.4">
      <c r="A4698" s="25"/>
      <c r="B4698" s="25"/>
      <c r="C4698" s="25"/>
      <c r="D4698" s="25"/>
      <c r="E4698" s="25"/>
      <c r="F4698" s="25"/>
      <c r="G4698" s="25"/>
      <c r="H4698" s="25"/>
      <c r="I4698" s="25"/>
      <c r="J4698" s="25"/>
    </row>
    <row r="4699" spans="1:10" ht="14.4">
      <c r="A4699" s="25"/>
      <c r="B4699" s="25"/>
      <c r="C4699" s="25"/>
      <c r="D4699" s="25"/>
      <c r="E4699" s="25"/>
      <c r="F4699" s="25"/>
      <c r="G4699" s="25"/>
      <c r="H4699" s="25"/>
      <c r="I4699" s="25"/>
      <c r="J4699" s="25"/>
    </row>
    <row r="4700" spans="1:10" ht="14.4">
      <c r="A4700" s="25"/>
      <c r="B4700" s="25"/>
      <c r="C4700" s="25"/>
      <c r="D4700" s="25"/>
      <c r="E4700" s="25"/>
      <c r="F4700" s="25"/>
      <c r="G4700" s="25"/>
      <c r="H4700" s="25"/>
      <c r="I4700" s="25"/>
      <c r="J4700" s="25"/>
    </row>
    <row r="4701" spans="1:10" ht="14.4">
      <c r="A4701" s="25"/>
      <c r="B4701" s="25"/>
      <c r="C4701" s="25"/>
      <c r="D4701" s="25"/>
      <c r="E4701" s="25"/>
      <c r="F4701" s="25"/>
      <c r="G4701" s="25"/>
      <c r="H4701" s="25"/>
      <c r="I4701" s="25"/>
      <c r="J4701" s="25"/>
    </row>
    <row r="4702" spans="1:10" ht="14.4">
      <c r="A4702" s="25"/>
      <c r="B4702" s="25"/>
      <c r="C4702" s="25"/>
      <c r="D4702" s="25"/>
      <c r="E4702" s="25"/>
      <c r="F4702" s="25"/>
      <c r="G4702" s="25"/>
      <c r="H4702" s="25"/>
      <c r="I4702" s="25"/>
      <c r="J4702" s="25"/>
    </row>
    <row r="4703" spans="1:10" ht="14.4">
      <c r="A4703" s="25"/>
      <c r="B4703" s="25"/>
      <c r="C4703" s="25"/>
      <c r="D4703" s="25"/>
      <c r="E4703" s="25"/>
      <c r="F4703" s="25"/>
      <c r="G4703" s="25"/>
      <c r="H4703" s="25"/>
      <c r="I4703" s="25"/>
      <c r="J4703" s="25"/>
    </row>
    <row r="4704" spans="1:10" ht="14.4">
      <c r="A4704" s="25"/>
      <c r="B4704" s="25"/>
      <c r="C4704" s="25"/>
      <c r="D4704" s="25"/>
      <c r="E4704" s="25"/>
      <c r="F4704" s="25"/>
      <c r="G4704" s="25"/>
      <c r="H4704" s="25"/>
      <c r="I4704" s="25"/>
      <c r="J4704" s="25"/>
    </row>
    <row r="4705" spans="1:10" ht="14.4">
      <c r="A4705" s="25"/>
      <c r="B4705" s="25"/>
      <c r="C4705" s="25"/>
      <c r="D4705" s="25"/>
      <c r="E4705" s="25"/>
      <c r="F4705" s="25"/>
      <c r="G4705" s="25"/>
      <c r="H4705" s="25"/>
      <c r="I4705" s="25"/>
      <c r="J4705" s="25"/>
    </row>
    <row r="4706" spans="1:10" ht="14.4">
      <c r="A4706" s="25"/>
      <c r="B4706" s="25"/>
      <c r="C4706" s="25"/>
      <c r="D4706" s="25"/>
      <c r="E4706" s="25"/>
      <c r="F4706" s="25"/>
      <c r="G4706" s="25"/>
      <c r="H4706" s="25"/>
      <c r="I4706" s="25"/>
      <c r="J4706" s="25"/>
    </row>
    <row r="4707" spans="1:10" ht="14.4">
      <c r="A4707" s="25"/>
      <c r="B4707" s="25"/>
      <c r="C4707" s="25"/>
      <c r="D4707" s="25"/>
      <c r="E4707" s="25"/>
      <c r="F4707" s="25"/>
      <c r="G4707" s="25"/>
      <c r="H4707" s="25"/>
      <c r="I4707" s="25"/>
      <c r="J4707" s="25"/>
    </row>
    <row r="4708" spans="1:10" ht="14.4">
      <c r="A4708" s="25"/>
      <c r="B4708" s="25"/>
      <c r="C4708" s="25"/>
      <c r="D4708" s="25"/>
      <c r="E4708" s="25"/>
      <c r="F4708" s="25"/>
      <c r="G4708" s="25"/>
      <c r="H4708" s="25"/>
      <c r="I4708" s="25"/>
      <c r="J4708" s="25"/>
    </row>
    <row r="4709" spans="1:10" ht="14.4">
      <c r="A4709" s="25"/>
      <c r="B4709" s="25"/>
      <c r="C4709" s="25"/>
      <c r="D4709" s="25"/>
      <c r="E4709" s="25"/>
      <c r="F4709" s="25"/>
      <c r="G4709" s="25"/>
      <c r="H4709" s="25"/>
      <c r="I4709" s="25"/>
      <c r="J4709" s="25"/>
    </row>
    <row r="4710" spans="1:10" ht="14.4">
      <c r="A4710" s="25"/>
      <c r="B4710" s="25"/>
      <c r="C4710" s="25"/>
      <c r="D4710" s="25"/>
      <c r="E4710" s="25"/>
      <c r="F4710" s="25"/>
      <c r="G4710" s="25"/>
      <c r="H4710" s="25"/>
      <c r="I4710" s="25"/>
      <c r="J4710" s="25"/>
    </row>
    <row r="4711" spans="1:10" ht="14.4">
      <c r="A4711" s="25"/>
      <c r="B4711" s="25"/>
      <c r="C4711" s="25"/>
      <c r="D4711" s="25"/>
      <c r="E4711" s="25"/>
      <c r="F4711" s="25"/>
      <c r="G4711" s="25"/>
      <c r="H4711" s="25"/>
      <c r="I4711" s="25"/>
      <c r="J4711" s="25"/>
    </row>
    <row r="4712" spans="1:10" ht="14.4">
      <c r="A4712" s="25"/>
      <c r="B4712" s="25"/>
      <c r="C4712" s="25"/>
      <c r="D4712" s="25"/>
      <c r="E4712" s="25"/>
      <c r="F4712" s="25"/>
      <c r="G4712" s="25"/>
      <c r="H4712" s="25"/>
      <c r="I4712" s="25"/>
      <c r="J4712" s="25"/>
    </row>
    <row r="4713" spans="1:10" ht="14.4">
      <c r="A4713" s="25"/>
      <c r="B4713" s="25"/>
      <c r="C4713" s="25"/>
      <c r="D4713" s="25"/>
      <c r="E4713" s="25"/>
      <c r="F4713" s="25"/>
      <c r="G4713" s="25"/>
      <c r="H4713" s="25"/>
      <c r="I4713" s="25"/>
      <c r="J4713" s="25"/>
    </row>
    <row r="4714" spans="1:10" ht="14.4">
      <c r="A4714" s="25"/>
      <c r="B4714" s="25"/>
      <c r="C4714" s="25"/>
      <c r="D4714" s="25"/>
      <c r="E4714" s="25"/>
      <c r="F4714" s="25"/>
      <c r="G4714" s="25"/>
      <c r="H4714" s="25"/>
      <c r="I4714" s="25"/>
      <c r="J4714" s="25"/>
    </row>
    <row r="4715" spans="1:10" ht="14.4">
      <c r="A4715" s="25"/>
      <c r="B4715" s="25"/>
      <c r="C4715" s="25"/>
      <c r="D4715" s="25"/>
      <c r="E4715" s="25"/>
      <c r="F4715" s="25"/>
      <c r="G4715" s="25"/>
      <c r="H4715" s="25"/>
      <c r="I4715" s="25"/>
      <c r="J4715" s="25"/>
    </row>
    <row r="4716" spans="1:10" ht="14.4">
      <c r="A4716" s="25"/>
      <c r="B4716" s="25"/>
      <c r="C4716" s="25"/>
      <c r="D4716" s="25"/>
      <c r="E4716" s="25"/>
      <c r="F4716" s="25"/>
      <c r="G4716" s="25"/>
      <c r="H4716" s="25"/>
      <c r="I4716" s="25"/>
      <c r="J4716" s="25"/>
    </row>
    <row r="4717" spans="1:10" ht="14.4">
      <c r="A4717" s="25"/>
      <c r="B4717" s="25"/>
      <c r="C4717" s="25"/>
      <c r="D4717" s="25"/>
      <c r="E4717" s="25"/>
      <c r="F4717" s="25"/>
      <c r="G4717" s="25"/>
      <c r="H4717" s="25"/>
      <c r="I4717" s="25"/>
      <c r="J4717" s="25"/>
    </row>
    <row r="4718" spans="1:10" ht="14.4">
      <c r="A4718" s="25"/>
      <c r="B4718" s="25"/>
      <c r="C4718" s="25"/>
      <c r="D4718" s="25"/>
      <c r="E4718" s="25"/>
      <c r="F4718" s="25"/>
      <c r="G4718" s="25"/>
      <c r="H4718" s="25"/>
      <c r="I4718" s="25"/>
      <c r="J4718" s="25"/>
    </row>
    <row r="4719" spans="1:10" ht="14.4">
      <c r="A4719" s="25"/>
      <c r="B4719" s="25"/>
      <c r="C4719" s="25"/>
      <c r="D4719" s="25"/>
      <c r="E4719" s="25"/>
      <c r="F4719" s="25"/>
      <c r="G4719" s="25"/>
      <c r="H4719" s="25"/>
      <c r="I4719" s="25"/>
      <c r="J4719" s="25"/>
    </row>
    <row r="4720" spans="1:10" ht="14.4">
      <c r="A4720" s="25"/>
      <c r="B4720" s="25"/>
      <c r="C4720" s="25"/>
      <c r="D4720" s="25"/>
      <c r="E4720" s="25"/>
      <c r="F4720" s="25"/>
      <c r="G4720" s="25"/>
      <c r="H4720" s="25"/>
      <c r="I4720" s="25"/>
      <c r="J4720" s="25"/>
    </row>
    <row r="4721" spans="1:10" ht="14.4">
      <c r="A4721" s="25"/>
      <c r="B4721" s="25"/>
      <c r="C4721" s="25"/>
      <c r="D4721" s="25"/>
      <c r="E4721" s="25"/>
      <c r="F4721" s="25"/>
      <c r="G4721" s="25"/>
      <c r="H4721" s="25"/>
      <c r="I4721" s="25"/>
      <c r="J4721" s="25"/>
    </row>
    <row r="4722" spans="1:10" ht="14.4">
      <c r="A4722" s="25"/>
      <c r="B4722" s="25"/>
      <c r="C4722" s="25"/>
      <c r="D4722" s="25"/>
      <c r="E4722" s="25"/>
      <c r="F4722" s="25"/>
      <c r="G4722" s="25"/>
      <c r="H4722" s="25"/>
      <c r="I4722" s="25"/>
      <c r="J4722" s="25"/>
    </row>
    <row r="4723" spans="1:10" ht="14.4">
      <c r="A4723" s="25"/>
      <c r="B4723" s="25"/>
      <c r="C4723" s="25"/>
      <c r="D4723" s="25"/>
      <c r="E4723" s="25"/>
      <c r="F4723" s="25"/>
      <c r="G4723" s="25"/>
      <c r="H4723" s="25"/>
      <c r="I4723" s="25"/>
      <c r="J4723" s="25"/>
    </row>
    <row r="4724" spans="1:10" ht="14.4">
      <c r="A4724" s="25"/>
      <c r="B4724" s="25"/>
      <c r="C4724" s="25"/>
      <c r="D4724" s="25"/>
      <c r="E4724" s="25"/>
      <c r="F4724" s="25"/>
      <c r="G4724" s="25"/>
      <c r="H4724" s="25"/>
      <c r="I4724" s="25"/>
      <c r="J4724" s="25"/>
    </row>
    <row r="4725" spans="1:10" ht="14.4">
      <c r="A4725" s="25"/>
      <c r="B4725" s="25"/>
      <c r="C4725" s="25"/>
      <c r="D4725" s="25"/>
      <c r="E4725" s="25"/>
      <c r="F4725" s="25"/>
      <c r="G4725" s="25"/>
      <c r="H4725" s="25"/>
      <c r="I4725" s="25"/>
      <c r="J4725" s="25"/>
    </row>
    <row r="4726" spans="1:10" ht="14.4">
      <c r="A4726" s="25"/>
      <c r="B4726" s="25"/>
      <c r="C4726" s="25"/>
      <c r="D4726" s="25"/>
      <c r="E4726" s="25"/>
      <c r="F4726" s="25"/>
      <c r="G4726" s="25"/>
      <c r="H4726" s="25"/>
      <c r="I4726" s="25"/>
      <c r="J4726" s="25"/>
    </row>
    <row r="4727" spans="1:10" ht="14.4">
      <c r="A4727" s="25"/>
      <c r="B4727" s="25"/>
      <c r="C4727" s="25"/>
      <c r="D4727" s="25"/>
      <c r="E4727" s="25"/>
      <c r="F4727" s="25"/>
      <c r="G4727" s="25"/>
      <c r="H4727" s="25"/>
      <c r="I4727" s="25"/>
      <c r="J4727" s="25"/>
    </row>
    <row r="4728" spans="1:10" ht="14.4">
      <c r="A4728" s="25"/>
      <c r="B4728" s="25"/>
      <c r="C4728" s="25"/>
      <c r="D4728" s="25"/>
      <c r="E4728" s="25"/>
      <c r="F4728" s="25"/>
      <c r="G4728" s="25"/>
      <c r="H4728" s="25"/>
      <c r="I4728" s="25"/>
      <c r="J4728" s="25"/>
    </row>
    <row r="4729" spans="1:10" ht="14.4">
      <c r="A4729" s="25"/>
      <c r="B4729" s="25"/>
      <c r="C4729" s="25"/>
      <c r="D4729" s="25"/>
      <c r="E4729" s="25"/>
      <c r="F4729" s="25"/>
      <c r="G4729" s="25"/>
      <c r="H4729" s="25"/>
      <c r="I4729" s="25"/>
      <c r="J4729" s="25"/>
    </row>
    <row r="4730" spans="1:10" ht="14.4">
      <c r="A4730" s="25"/>
      <c r="B4730" s="25"/>
      <c r="C4730" s="25"/>
      <c r="D4730" s="25"/>
      <c r="E4730" s="25"/>
      <c r="F4730" s="25"/>
      <c r="G4730" s="25"/>
      <c r="H4730" s="25"/>
      <c r="I4730" s="25"/>
      <c r="J4730" s="25"/>
    </row>
    <row r="4731" spans="1:10" ht="14.4">
      <c r="A4731" s="25"/>
      <c r="B4731" s="25"/>
      <c r="C4731" s="25"/>
      <c r="D4731" s="25"/>
      <c r="E4731" s="25"/>
      <c r="F4731" s="25"/>
      <c r="G4731" s="25"/>
      <c r="H4731" s="25"/>
      <c r="I4731" s="25"/>
      <c r="J4731" s="25"/>
    </row>
    <row r="4732" spans="1:10" ht="14.4">
      <c r="A4732" s="25"/>
      <c r="B4732" s="25"/>
      <c r="C4732" s="25"/>
      <c r="D4732" s="25"/>
      <c r="E4732" s="25"/>
      <c r="F4732" s="25"/>
      <c r="G4732" s="25"/>
      <c r="H4732" s="25"/>
      <c r="I4732" s="25"/>
      <c r="J4732" s="25"/>
    </row>
    <row r="4733" spans="1:10" ht="14.4">
      <c r="A4733" s="25"/>
      <c r="B4733" s="25"/>
      <c r="C4733" s="25"/>
      <c r="D4733" s="25"/>
      <c r="E4733" s="25"/>
      <c r="F4733" s="25"/>
      <c r="G4733" s="25"/>
      <c r="H4733" s="25"/>
      <c r="I4733" s="25"/>
      <c r="J4733" s="25"/>
    </row>
    <row r="4734" spans="1:10" ht="14.4">
      <c r="A4734" s="25"/>
      <c r="B4734" s="25"/>
      <c r="C4734" s="25"/>
      <c r="D4734" s="25"/>
      <c r="E4734" s="25"/>
      <c r="F4734" s="25"/>
      <c r="G4734" s="25"/>
      <c r="H4734" s="25"/>
      <c r="I4734" s="25"/>
      <c r="J4734" s="25"/>
    </row>
    <row r="4735" spans="1:10" ht="14.4">
      <c r="A4735" s="25"/>
      <c r="B4735" s="25"/>
      <c r="C4735" s="25"/>
      <c r="D4735" s="25"/>
      <c r="E4735" s="25"/>
      <c r="F4735" s="25"/>
      <c r="G4735" s="25"/>
      <c r="H4735" s="25"/>
      <c r="I4735" s="25"/>
      <c r="J4735" s="25"/>
    </row>
    <row r="4736" spans="1:10" ht="14.4">
      <c r="A4736" s="25"/>
      <c r="B4736" s="25"/>
      <c r="C4736" s="25"/>
      <c r="D4736" s="25"/>
      <c r="E4736" s="25"/>
      <c r="F4736" s="25"/>
      <c r="G4736" s="25"/>
      <c r="H4736" s="25"/>
      <c r="I4736" s="25"/>
      <c r="J4736" s="25"/>
    </row>
    <row r="4737" spans="1:10" ht="14.4">
      <c r="A4737" s="25"/>
      <c r="B4737" s="25"/>
      <c r="C4737" s="25"/>
      <c r="D4737" s="25"/>
      <c r="E4737" s="25"/>
      <c r="F4737" s="25"/>
      <c r="G4737" s="25"/>
      <c r="H4737" s="25"/>
      <c r="I4737" s="25"/>
      <c r="J4737" s="25"/>
    </row>
    <row r="4738" spans="1:10" ht="14.4">
      <c r="A4738" s="25"/>
      <c r="B4738" s="25"/>
      <c r="C4738" s="25"/>
      <c r="D4738" s="25"/>
      <c r="E4738" s="25"/>
      <c r="F4738" s="25"/>
      <c r="G4738" s="25"/>
      <c r="H4738" s="25"/>
      <c r="I4738" s="25"/>
      <c r="J4738" s="25"/>
    </row>
    <row r="4739" spans="1:10" ht="14.4">
      <c r="A4739" s="25"/>
      <c r="B4739" s="25"/>
      <c r="C4739" s="25"/>
      <c r="D4739" s="25"/>
      <c r="E4739" s="25"/>
      <c r="F4739" s="25"/>
      <c r="G4739" s="25"/>
      <c r="H4739" s="25"/>
      <c r="I4739" s="25"/>
      <c r="J4739" s="25"/>
    </row>
    <row r="4740" spans="1:10" ht="14.4">
      <c r="A4740" s="25"/>
      <c r="B4740" s="25"/>
      <c r="C4740" s="25"/>
      <c r="D4740" s="25"/>
      <c r="E4740" s="25"/>
      <c r="F4740" s="25"/>
      <c r="G4740" s="25"/>
      <c r="H4740" s="25"/>
      <c r="I4740" s="25"/>
      <c r="J4740" s="25"/>
    </row>
    <row r="4741" spans="1:10" ht="14.4">
      <c r="A4741" s="25"/>
      <c r="B4741" s="25"/>
      <c r="C4741" s="25"/>
      <c r="D4741" s="25"/>
      <c r="E4741" s="25"/>
      <c r="F4741" s="25"/>
      <c r="G4741" s="25"/>
      <c r="H4741" s="25"/>
      <c r="I4741" s="25"/>
      <c r="J4741" s="25"/>
    </row>
    <row r="4742" spans="1:10" ht="14.4">
      <c r="A4742" s="25"/>
      <c r="B4742" s="25"/>
      <c r="C4742" s="25"/>
      <c r="D4742" s="25"/>
      <c r="E4742" s="25"/>
      <c r="F4742" s="25"/>
      <c r="G4742" s="25"/>
      <c r="H4742" s="25"/>
      <c r="I4742" s="25"/>
      <c r="J4742" s="25"/>
    </row>
    <row r="4743" spans="1:10" ht="14.4">
      <c r="A4743" s="25"/>
      <c r="B4743" s="25"/>
      <c r="C4743" s="25"/>
      <c r="D4743" s="25"/>
      <c r="E4743" s="25"/>
      <c r="F4743" s="25"/>
      <c r="G4743" s="25"/>
      <c r="H4743" s="25"/>
      <c r="I4743" s="25"/>
      <c r="J4743" s="25"/>
    </row>
    <row r="4744" spans="1:10" ht="14.4">
      <c r="A4744" s="25"/>
      <c r="B4744" s="25"/>
      <c r="C4744" s="25"/>
      <c r="D4744" s="25"/>
      <c r="E4744" s="25"/>
      <c r="F4744" s="25"/>
      <c r="G4744" s="25"/>
      <c r="H4744" s="25"/>
      <c r="I4744" s="25"/>
      <c r="J4744" s="25"/>
    </row>
    <row r="4745" spans="1:10" ht="14.4">
      <c r="A4745" s="25"/>
      <c r="B4745" s="25"/>
      <c r="C4745" s="25"/>
      <c r="D4745" s="25"/>
      <c r="E4745" s="25"/>
      <c r="F4745" s="25"/>
      <c r="G4745" s="25"/>
      <c r="H4745" s="25"/>
      <c r="I4745" s="25"/>
      <c r="J4745" s="25"/>
    </row>
    <row r="4746" spans="1:10" ht="14.4">
      <c r="A4746" s="25"/>
      <c r="B4746" s="25"/>
      <c r="C4746" s="25"/>
      <c r="D4746" s="25"/>
      <c r="E4746" s="25"/>
      <c r="F4746" s="25"/>
      <c r="G4746" s="25"/>
      <c r="H4746" s="25"/>
      <c r="I4746" s="25"/>
      <c r="J4746" s="25"/>
    </row>
    <row r="4747" spans="1:10" ht="14.4">
      <c r="A4747" s="25"/>
      <c r="B4747" s="25"/>
      <c r="C4747" s="25"/>
      <c r="D4747" s="25"/>
      <c r="E4747" s="25"/>
      <c r="F4747" s="25"/>
      <c r="G4747" s="25"/>
      <c r="H4747" s="25"/>
      <c r="I4747" s="25"/>
      <c r="J4747" s="25"/>
    </row>
    <row r="4748" spans="1:10" ht="14.4">
      <c r="A4748" s="25"/>
      <c r="B4748" s="25"/>
      <c r="C4748" s="25"/>
      <c r="D4748" s="25"/>
      <c r="E4748" s="25"/>
      <c r="F4748" s="25"/>
      <c r="G4748" s="25"/>
      <c r="H4748" s="25"/>
      <c r="I4748" s="25"/>
      <c r="J4748" s="25"/>
    </row>
    <row r="4749" spans="1:10" ht="14.4">
      <c r="A4749" s="25"/>
      <c r="B4749" s="25"/>
      <c r="C4749" s="25"/>
      <c r="D4749" s="25"/>
      <c r="E4749" s="25"/>
      <c r="F4749" s="25"/>
      <c r="G4749" s="25"/>
      <c r="H4749" s="25"/>
      <c r="I4749" s="25"/>
      <c r="J4749" s="25"/>
    </row>
    <row r="4750" spans="1:10" ht="14.4">
      <c r="A4750" s="25"/>
      <c r="B4750" s="25"/>
      <c r="C4750" s="25"/>
      <c r="D4750" s="25"/>
      <c r="E4750" s="25"/>
      <c r="F4750" s="25"/>
      <c r="G4750" s="25"/>
      <c r="H4750" s="25"/>
      <c r="I4750" s="25"/>
      <c r="J4750" s="25"/>
    </row>
    <row r="4751" spans="1:10" ht="14.4">
      <c r="A4751" s="25"/>
      <c r="B4751" s="25"/>
      <c r="C4751" s="25"/>
      <c r="D4751" s="25"/>
      <c r="E4751" s="25"/>
      <c r="F4751" s="25"/>
      <c r="G4751" s="25"/>
      <c r="H4751" s="25"/>
      <c r="I4751" s="25"/>
      <c r="J4751" s="25"/>
    </row>
    <row r="4752" spans="1:10" ht="14.4">
      <c r="A4752" s="25"/>
      <c r="B4752" s="25"/>
      <c r="C4752" s="25"/>
      <c r="D4752" s="25"/>
      <c r="E4752" s="25"/>
      <c r="F4752" s="25"/>
      <c r="G4752" s="25"/>
      <c r="H4752" s="25"/>
      <c r="I4752" s="25"/>
      <c r="J4752" s="25"/>
    </row>
    <row r="4753" spans="1:10" ht="14.4">
      <c r="A4753" s="25"/>
      <c r="B4753" s="25"/>
      <c r="C4753" s="25"/>
      <c r="D4753" s="25"/>
      <c r="E4753" s="25"/>
      <c r="F4753" s="25"/>
      <c r="G4753" s="25"/>
      <c r="H4753" s="25"/>
      <c r="I4753" s="25"/>
      <c r="J4753" s="25"/>
    </row>
    <row r="4754" spans="1:10" ht="14.4">
      <c r="A4754" s="25"/>
      <c r="B4754" s="25"/>
      <c r="C4754" s="25"/>
      <c r="D4754" s="25"/>
      <c r="E4754" s="25"/>
      <c r="F4754" s="25"/>
      <c r="G4754" s="25"/>
      <c r="H4754" s="25"/>
      <c r="I4754" s="25"/>
      <c r="J4754" s="25"/>
    </row>
    <row r="4755" spans="1:10" ht="14.4">
      <c r="A4755" s="25"/>
      <c r="B4755" s="25"/>
      <c r="C4755" s="25"/>
      <c r="D4755" s="25"/>
      <c r="E4755" s="25"/>
      <c r="F4755" s="25"/>
      <c r="G4755" s="25"/>
      <c r="H4755" s="25"/>
      <c r="I4755" s="25"/>
      <c r="J4755" s="25"/>
    </row>
    <row r="4756" spans="1:10" ht="14.4">
      <c r="A4756" s="25"/>
      <c r="B4756" s="25"/>
      <c r="C4756" s="25"/>
      <c r="D4756" s="25"/>
      <c r="E4756" s="25"/>
      <c r="F4756" s="25"/>
      <c r="G4756" s="25"/>
      <c r="H4756" s="25"/>
      <c r="I4756" s="25"/>
      <c r="J4756" s="25"/>
    </row>
    <row r="4757" spans="1:10" ht="14.4">
      <c r="A4757" s="25"/>
      <c r="B4757" s="25"/>
      <c r="C4757" s="25"/>
      <c r="D4757" s="25"/>
      <c r="E4757" s="25"/>
      <c r="F4757" s="25"/>
      <c r="G4757" s="25"/>
      <c r="H4757" s="25"/>
      <c r="I4757" s="25"/>
      <c r="J4757" s="25"/>
    </row>
    <row r="4758" spans="1:10" ht="14.4">
      <c r="A4758" s="25"/>
      <c r="B4758" s="25"/>
      <c r="C4758" s="25"/>
      <c r="D4758" s="25"/>
      <c r="E4758" s="25"/>
      <c r="F4758" s="25"/>
      <c r="G4758" s="25"/>
      <c r="H4758" s="25"/>
      <c r="I4758" s="25"/>
      <c r="J4758" s="25"/>
    </row>
    <row r="4759" spans="1:10" ht="14.4">
      <c r="A4759" s="25"/>
      <c r="B4759" s="25"/>
      <c r="C4759" s="25"/>
      <c r="D4759" s="25"/>
      <c r="E4759" s="25"/>
      <c r="F4759" s="25"/>
      <c r="G4759" s="25"/>
      <c r="H4759" s="25"/>
      <c r="I4759" s="25"/>
      <c r="J4759" s="25"/>
    </row>
    <row r="4760" spans="1:10" ht="14.4">
      <c r="A4760" s="25"/>
      <c r="B4760" s="25"/>
      <c r="C4760" s="25"/>
      <c r="D4760" s="25"/>
      <c r="E4760" s="25"/>
      <c r="F4760" s="25"/>
      <c r="G4760" s="25"/>
      <c r="H4760" s="25"/>
      <c r="I4760" s="25"/>
      <c r="J4760" s="25"/>
    </row>
    <row r="4761" spans="1:10" ht="14.4">
      <c r="A4761" s="25"/>
      <c r="B4761" s="25"/>
      <c r="C4761" s="25"/>
      <c r="D4761" s="25"/>
      <c r="E4761" s="25"/>
      <c r="F4761" s="25"/>
      <c r="G4761" s="25"/>
      <c r="H4761" s="25"/>
      <c r="I4761" s="25"/>
      <c r="J4761" s="25"/>
    </row>
    <row r="4762" spans="1:10" ht="14.4">
      <c r="A4762" s="25"/>
      <c r="B4762" s="25"/>
      <c r="C4762" s="25"/>
      <c r="D4762" s="25"/>
      <c r="E4762" s="25"/>
      <c r="F4762" s="25"/>
      <c r="G4762" s="25"/>
      <c r="H4762" s="25"/>
      <c r="I4762" s="25"/>
      <c r="J4762" s="25"/>
    </row>
    <row r="4763" spans="1:10" ht="14.4">
      <c r="A4763" s="25"/>
      <c r="B4763" s="25"/>
      <c r="C4763" s="25"/>
      <c r="D4763" s="25"/>
      <c r="E4763" s="25"/>
      <c r="F4763" s="25"/>
      <c r="G4763" s="25"/>
      <c r="H4763" s="25"/>
      <c r="I4763" s="25"/>
      <c r="J4763" s="25"/>
    </row>
    <row r="4764" spans="1:10" ht="14.4">
      <c r="A4764" s="25"/>
      <c r="B4764" s="25"/>
      <c r="C4764" s="25"/>
      <c r="D4764" s="25"/>
      <c r="E4764" s="25"/>
      <c r="F4764" s="25"/>
      <c r="G4764" s="25"/>
      <c r="H4764" s="25"/>
      <c r="I4764" s="25"/>
      <c r="J4764" s="25"/>
    </row>
    <row r="4765" spans="1:10" ht="14.4">
      <c r="A4765" s="25"/>
      <c r="B4765" s="25"/>
      <c r="C4765" s="25"/>
      <c r="D4765" s="25"/>
      <c r="E4765" s="25"/>
      <c r="F4765" s="25"/>
      <c r="G4765" s="25"/>
      <c r="H4765" s="25"/>
      <c r="I4765" s="25"/>
      <c r="J4765" s="25"/>
    </row>
    <row r="4766" spans="1:10" ht="14.4">
      <c r="A4766" s="25"/>
      <c r="B4766" s="25"/>
      <c r="C4766" s="25"/>
      <c r="D4766" s="25"/>
      <c r="E4766" s="25"/>
      <c r="F4766" s="25"/>
      <c r="G4766" s="25"/>
      <c r="H4766" s="25"/>
      <c r="I4766" s="25"/>
      <c r="J4766" s="25"/>
    </row>
    <row r="4767" spans="1:10" ht="14.4">
      <c r="A4767" s="25"/>
      <c r="B4767" s="25"/>
      <c r="C4767" s="25"/>
      <c r="D4767" s="25"/>
      <c r="E4767" s="25"/>
      <c r="F4767" s="25"/>
      <c r="G4767" s="25"/>
      <c r="H4767" s="25"/>
      <c r="I4767" s="25"/>
      <c r="J4767" s="25"/>
    </row>
    <row r="4768" spans="1:10" ht="14.4">
      <c r="A4768" s="25"/>
      <c r="B4768" s="25"/>
      <c r="C4768" s="25"/>
      <c r="D4768" s="25"/>
      <c r="E4768" s="25"/>
      <c r="F4768" s="25"/>
      <c r="G4768" s="25"/>
      <c r="H4768" s="25"/>
      <c r="I4768" s="25"/>
      <c r="J4768" s="25"/>
    </row>
    <row r="4769" spans="1:10" ht="14.4">
      <c r="A4769" s="25"/>
      <c r="B4769" s="25"/>
      <c r="C4769" s="25"/>
      <c r="D4769" s="25"/>
      <c r="E4769" s="25"/>
      <c r="F4769" s="25"/>
      <c r="G4769" s="25"/>
      <c r="H4769" s="25"/>
      <c r="I4769" s="25"/>
      <c r="J4769" s="25"/>
    </row>
    <row r="4770" spans="1:10" ht="14.4">
      <c r="A4770" s="25"/>
      <c r="B4770" s="25"/>
      <c r="C4770" s="25"/>
      <c r="D4770" s="25"/>
      <c r="E4770" s="25"/>
      <c r="F4770" s="25"/>
      <c r="G4770" s="25"/>
      <c r="H4770" s="25"/>
      <c r="I4770" s="25"/>
      <c r="J4770" s="25"/>
    </row>
    <row r="4771" spans="1:10" ht="14.4">
      <c r="A4771" s="25"/>
      <c r="B4771" s="25"/>
      <c r="C4771" s="25"/>
      <c r="D4771" s="25"/>
      <c r="E4771" s="25"/>
      <c r="F4771" s="25"/>
      <c r="G4771" s="25"/>
      <c r="H4771" s="25"/>
      <c r="I4771" s="25"/>
      <c r="J4771" s="25"/>
    </row>
    <row r="4772" spans="1:10" ht="14.4">
      <c r="A4772" s="25"/>
      <c r="B4772" s="25"/>
      <c r="C4772" s="25"/>
      <c r="D4772" s="25"/>
      <c r="E4772" s="25"/>
      <c r="F4772" s="25"/>
      <c r="G4772" s="25"/>
      <c r="H4772" s="25"/>
      <c r="I4772" s="25"/>
      <c r="J4772" s="25"/>
    </row>
    <row r="4773" spans="1:10" ht="14.4">
      <c r="A4773" s="25"/>
      <c r="B4773" s="25"/>
      <c r="C4773" s="25"/>
      <c r="D4773" s="25"/>
      <c r="E4773" s="25"/>
      <c r="F4773" s="25"/>
      <c r="G4773" s="25"/>
      <c r="H4773" s="25"/>
      <c r="I4773" s="25"/>
      <c r="J4773" s="25"/>
    </row>
    <row r="4774" spans="1:10" ht="14.4">
      <c r="A4774" s="25"/>
      <c r="B4774" s="25"/>
      <c r="C4774" s="25"/>
      <c r="D4774" s="25"/>
      <c r="E4774" s="25"/>
      <c r="F4774" s="25"/>
      <c r="G4774" s="25"/>
      <c r="H4774" s="25"/>
      <c r="I4774" s="25"/>
      <c r="J4774" s="25"/>
    </row>
    <row r="4775" spans="1:10" ht="14.4">
      <c r="A4775" s="25"/>
      <c r="B4775" s="25"/>
      <c r="C4775" s="25"/>
      <c r="D4775" s="25"/>
      <c r="E4775" s="25"/>
      <c r="F4775" s="25"/>
      <c r="G4775" s="25"/>
      <c r="H4775" s="25"/>
      <c r="I4775" s="25"/>
      <c r="J4775" s="25"/>
    </row>
    <row r="4776" spans="1:10" ht="14.4">
      <c r="A4776" s="25"/>
      <c r="B4776" s="25"/>
      <c r="C4776" s="25"/>
      <c r="D4776" s="25"/>
      <c r="E4776" s="25"/>
      <c r="F4776" s="25"/>
      <c r="G4776" s="25"/>
      <c r="H4776" s="25"/>
      <c r="I4776" s="25"/>
      <c r="J4776" s="25"/>
    </row>
    <row r="4777" spans="1:10" ht="14.4">
      <c r="A4777" s="25"/>
      <c r="B4777" s="25"/>
      <c r="C4777" s="25"/>
      <c r="D4777" s="25"/>
      <c r="E4777" s="25"/>
      <c r="F4777" s="25"/>
      <c r="G4777" s="25"/>
      <c r="H4777" s="25"/>
      <c r="I4777" s="25"/>
      <c r="J4777" s="25"/>
    </row>
    <row r="4778" spans="1:10" ht="14.4">
      <c r="A4778" s="25"/>
      <c r="B4778" s="25"/>
      <c r="C4778" s="25"/>
      <c r="D4778" s="25"/>
      <c r="E4778" s="25"/>
      <c r="F4778" s="25"/>
      <c r="G4778" s="25"/>
      <c r="H4778" s="25"/>
      <c r="I4778" s="25"/>
      <c r="J4778" s="25"/>
    </row>
    <row r="4779" spans="1:10" ht="14.4">
      <c r="A4779" s="25"/>
      <c r="B4779" s="25"/>
      <c r="C4779" s="25"/>
      <c r="D4779" s="25"/>
      <c r="E4779" s="25"/>
      <c r="F4779" s="25"/>
      <c r="G4779" s="25"/>
      <c r="H4779" s="25"/>
      <c r="I4779" s="25"/>
      <c r="J4779" s="25"/>
    </row>
    <row r="4780" spans="1:10" ht="14.4">
      <c r="A4780" s="25"/>
      <c r="B4780" s="25"/>
      <c r="C4780" s="25"/>
      <c r="D4780" s="25"/>
      <c r="E4780" s="25"/>
      <c r="F4780" s="25"/>
      <c r="G4780" s="25"/>
      <c r="H4780" s="25"/>
      <c r="I4780" s="25"/>
      <c r="J4780" s="25"/>
    </row>
    <row r="4781" spans="1:10" ht="14.4">
      <c r="A4781" s="25"/>
      <c r="B4781" s="25"/>
      <c r="C4781" s="25"/>
      <c r="D4781" s="25"/>
      <c r="E4781" s="25"/>
      <c r="F4781" s="25"/>
      <c r="G4781" s="25"/>
      <c r="H4781" s="25"/>
      <c r="I4781" s="25"/>
      <c r="J4781" s="25"/>
    </row>
    <row r="4782" spans="1:10" ht="14.4">
      <c r="A4782" s="25"/>
      <c r="B4782" s="25"/>
      <c r="C4782" s="25"/>
      <c r="D4782" s="25"/>
      <c r="E4782" s="25"/>
      <c r="F4782" s="25"/>
      <c r="G4782" s="25"/>
      <c r="H4782" s="25"/>
      <c r="I4782" s="25"/>
      <c r="J4782" s="25"/>
    </row>
    <row r="4783" spans="1:10" ht="14.4">
      <c r="A4783" s="25"/>
      <c r="B4783" s="25"/>
      <c r="C4783" s="25"/>
      <c r="D4783" s="25"/>
      <c r="E4783" s="25"/>
      <c r="F4783" s="25"/>
      <c r="G4783" s="25"/>
      <c r="H4783" s="25"/>
      <c r="I4783" s="25"/>
      <c r="J4783" s="25"/>
    </row>
    <row r="4784" spans="1:10" ht="14.4">
      <c r="A4784" s="25"/>
      <c r="B4784" s="25"/>
      <c r="C4784" s="25"/>
      <c r="D4784" s="25"/>
      <c r="E4784" s="25"/>
      <c r="F4784" s="25"/>
      <c r="G4784" s="25"/>
      <c r="H4784" s="25"/>
      <c r="I4784" s="25"/>
      <c r="J4784" s="25"/>
    </row>
    <row r="4785" spans="1:10" ht="14.4">
      <c r="A4785" s="25"/>
      <c r="B4785" s="25"/>
      <c r="C4785" s="25"/>
      <c r="D4785" s="25"/>
      <c r="E4785" s="25"/>
      <c r="F4785" s="25"/>
      <c r="G4785" s="25"/>
      <c r="H4785" s="25"/>
      <c r="I4785" s="25"/>
      <c r="J4785" s="25"/>
    </row>
    <row r="4786" spans="1:10" ht="14.4">
      <c r="A4786" s="25"/>
      <c r="B4786" s="25"/>
      <c r="C4786" s="25"/>
      <c r="D4786" s="25"/>
      <c r="E4786" s="25"/>
      <c r="F4786" s="25"/>
      <c r="G4786" s="25"/>
      <c r="H4786" s="25"/>
      <c r="I4786" s="25"/>
      <c r="J4786" s="25"/>
    </row>
    <row r="4787" spans="1:10" ht="14.4">
      <c r="A4787" s="25"/>
      <c r="B4787" s="25"/>
      <c r="C4787" s="25"/>
      <c r="D4787" s="25"/>
      <c r="E4787" s="25"/>
      <c r="F4787" s="25"/>
      <c r="G4787" s="25"/>
      <c r="H4787" s="25"/>
      <c r="I4787" s="25"/>
      <c r="J4787" s="25"/>
    </row>
    <row r="4788" spans="1:10" ht="14.4">
      <c r="A4788" s="25"/>
      <c r="B4788" s="25"/>
      <c r="C4788" s="25"/>
      <c r="D4788" s="25"/>
      <c r="E4788" s="25"/>
      <c r="F4788" s="25"/>
      <c r="G4788" s="25"/>
      <c r="H4788" s="25"/>
      <c r="I4788" s="25"/>
      <c r="J4788" s="25"/>
    </row>
    <row r="4789" spans="1:10" ht="14.4">
      <c r="A4789" s="25"/>
      <c r="B4789" s="25"/>
      <c r="C4789" s="25"/>
      <c r="D4789" s="25"/>
      <c r="E4789" s="25"/>
      <c r="F4789" s="25"/>
      <c r="G4789" s="25"/>
      <c r="H4789" s="25"/>
      <c r="I4789" s="25"/>
      <c r="J4789" s="25"/>
    </row>
    <row r="4790" spans="1:10" ht="14.4">
      <c r="A4790" s="25"/>
      <c r="B4790" s="25"/>
      <c r="C4790" s="25"/>
      <c r="D4790" s="25"/>
      <c r="E4790" s="25"/>
      <c r="F4790" s="25"/>
      <c r="G4790" s="25"/>
      <c r="H4790" s="25"/>
      <c r="I4790" s="25"/>
      <c r="J4790" s="25"/>
    </row>
    <row r="4791" spans="1:10" ht="14.4">
      <c r="A4791" s="25"/>
      <c r="B4791" s="25"/>
      <c r="C4791" s="25"/>
      <c r="D4791" s="25"/>
      <c r="E4791" s="25"/>
      <c r="F4791" s="25"/>
      <c r="G4791" s="25"/>
      <c r="H4791" s="25"/>
      <c r="I4791" s="25"/>
      <c r="J4791" s="25"/>
    </row>
    <row r="4792" spans="1:10" ht="14.4">
      <c r="A4792" s="25"/>
      <c r="B4792" s="25"/>
      <c r="C4792" s="25"/>
      <c r="D4792" s="25"/>
      <c r="E4792" s="25"/>
      <c r="F4792" s="25"/>
      <c r="G4792" s="25"/>
      <c r="H4792" s="25"/>
      <c r="I4792" s="25"/>
      <c r="J4792" s="25"/>
    </row>
    <row r="4793" spans="1:10" ht="14.4">
      <c r="A4793" s="25"/>
      <c r="B4793" s="25"/>
      <c r="C4793" s="25"/>
      <c r="D4793" s="25"/>
      <c r="E4793" s="25"/>
      <c r="F4793" s="25"/>
      <c r="G4793" s="25"/>
      <c r="H4793" s="25"/>
      <c r="I4793" s="25"/>
      <c r="J4793" s="25"/>
    </row>
    <row r="4794" spans="1:10" ht="14.4">
      <c r="A4794" s="25"/>
      <c r="B4794" s="25"/>
      <c r="C4794" s="25"/>
      <c r="D4794" s="25"/>
      <c r="E4794" s="25"/>
      <c r="F4794" s="25"/>
      <c r="G4794" s="25"/>
      <c r="H4794" s="25"/>
      <c r="I4794" s="25"/>
      <c r="J4794" s="25"/>
    </row>
    <row r="4795" spans="1:10" ht="14.4">
      <c r="A4795" s="25"/>
      <c r="B4795" s="25"/>
      <c r="C4795" s="25"/>
      <c r="D4795" s="25"/>
      <c r="E4795" s="25"/>
      <c r="F4795" s="25"/>
      <c r="G4795" s="25"/>
      <c r="H4795" s="25"/>
      <c r="I4795" s="25"/>
      <c r="J4795" s="25"/>
    </row>
    <row r="4796" spans="1:10" ht="14.4">
      <c r="A4796" s="25"/>
      <c r="B4796" s="25"/>
      <c r="C4796" s="25"/>
      <c r="D4796" s="25"/>
      <c r="E4796" s="25"/>
      <c r="F4796" s="25"/>
      <c r="G4796" s="25"/>
      <c r="H4796" s="25"/>
      <c r="I4796" s="25"/>
      <c r="J4796" s="25"/>
    </row>
    <row r="4797" spans="1:10" ht="14.4">
      <c r="A4797" s="25"/>
      <c r="B4797" s="25"/>
      <c r="C4797" s="25"/>
      <c r="D4797" s="25"/>
      <c r="E4797" s="25"/>
      <c r="F4797" s="25"/>
      <c r="G4797" s="25"/>
      <c r="H4797" s="25"/>
      <c r="I4797" s="25"/>
      <c r="J4797" s="25"/>
    </row>
    <row r="4798" spans="1:10" ht="14.4">
      <c r="A4798" s="25"/>
      <c r="B4798" s="25"/>
      <c r="C4798" s="25"/>
      <c r="D4798" s="25"/>
      <c r="E4798" s="25"/>
      <c r="F4798" s="25"/>
      <c r="G4798" s="25"/>
      <c r="H4798" s="25"/>
      <c r="I4798" s="25"/>
      <c r="J4798" s="25"/>
    </row>
    <row r="4799" spans="1:10" ht="14.4">
      <c r="A4799" s="25"/>
      <c r="B4799" s="25"/>
      <c r="C4799" s="25"/>
      <c r="D4799" s="25"/>
      <c r="E4799" s="25"/>
      <c r="F4799" s="25"/>
      <c r="G4799" s="25"/>
      <c r="H4799" s="25"/>
      <c r="I4799" s="25"/>
      <c r="J4799" s="25"/>
    </row>
    <row r="4800" spans="1:10" ht="14.4">
      <c r="A4800" s="25"/>
      <c r="B4800" s="25"/>
      <c r="C4800" s="25"/>
      <c r="D4800" s="25"/>
      <c r="E4800" s="25"/>
      <c r="F4800" s="25"/>
      <c r="G4800" s="25"/>
      <c r="H4800" s="25"/>
      <c r="I4800" s="25"/>
      <c r="J4800" s="25"/>
    </row>
    <row r="4801" spans="1:10" ht="14.4">
      <c r="A4801" s="25"/>
      <c r="B4801" s="25"/>
      <c r="C4801" s="25"/>
      <c r="D4801" s="25"/>
      <c r="E4801" s="25"/>
      <c r="F4801" s="25"/>
      <c r="G4801" s="25"/>
      <c r="H4801" s="25"/>
      <c r="I4801" s="25"/>
      <c r="J4801" s="25"/>
    </row>
    <row r="4802" spans="1:10" ht="14.4">
      <c r="A4802" s="25"/>
      <c r="B4802" s="25"/>
      <c r="C4802" s="25"/>
      <c r="D4802" s="25"/>
      <c r="E4802" s="25"/>
      <c r="F4802" s="25"/>
      <c r="G4802" s="25"/>
      <c r="H4802" s="25"/>
      <c r="I4802" s="25"/>
      <c r="J4802" s="25"/>
    </row>
    <row r="4803" spans="1:10" ht="14.4">
      <c r="A4803" s="25"/>
      <c r="B4803" s="25"/>
      <c r="C4803" s="25"/>
      <c r="D4803" s="25"/>
      <c r="E4803" s="25"/>
      <c r="F4803" s="25"/>
      <c r="G4803" s="25"/>
      <c r="H4803" s="25"/>
      <c r="I4803" s="25"/>
      <c r="J4803" s="25"/>
    </row>
    <row r="4804" spans="1:10" ht="14.4">
      <c r="A4804" s="25"/>
      <c r="B4804" s="25"/>
      <c r="C4804" s="25"/>
      <c r="D4804" s="25"/>
      <c r="E4804" s="25"/>
      <c r="F4804" s="25"/>
      <c r="G4804" s="25"/>
      <c r="H4804" s="25"/>
      <c r="I4804" s="25"/>
      <c r="J4804" s="25"/>
    </row>
    <row r="4805" spans="1:10" ht="14.4">
      <c r="A4805" s="25"/>
      <c r="B4805" s="25"/>
      <c r="C4805" s="25"/>
      <c r="D4805" s="25"/>
      <c r="E4805" s="25"/>
      <c r="F4805" s="25"/>
      <c r="G4805" s="25"/>
      <c r="H4805" s="25"/>
      <c r="I4805" s="25"/>
      <c r="J4805" s="25"/>
    </row>
    <row r="4806" spans="1:10" ht="14.4">
      <c r="A4806" s="25"/>
      <c r="B4806" s="25"/>
      <c r="C4806" s="25"/>
      <c r="D4806" s="25"/>
      <c r="E4806" s="25"/>
      <c r="F4806" s="25"/>
      <c r="G4806" s="25"/>
      <c r="H4806" s="25"/>
      <c r="I4806" s="25"/>
      <c r="J4806" s="25"/>
    </row>
    <row r="4807" spans="1:10" ht="14.4">
      <c r="A4807" s="25"/>
      <c r="B4807" s="25"/>
      <c r="C4807" s="25"/>
      <c r="D4807" s="25"/>
      <c r="E4807" s="25"/>
      <c r="F4807" s="25"/>
      <c r="G4807" s="25"/>
      <c r="H4807" s="25"/>
      <c r="I4807" s="25"/>
      <c r="J4807" s="25"/>
    </row>
    <row r="4808" spans="1:10" ht="14.4">
      <c r="A4808" s="25"/>
      <c r="B4808" s="25"/>
      <c r="C4808" s="25"/>
      <c r="D4808" s="25"/>
      <c r="E4808" s="25"/>
      <c r="F4808" s="25"/>
      <c r="G4808" s="25"/>
      <c r="H4808" s="25"/>
      <c r="I4808" s="25"/>
      <c r="J4808" s="25"/>
    </row>
    <row r="4809" spans="1:10" ht="14.4">
      <c r="A4809" s="25"/>
      <c r="B4809" s="25"/>
      <c r="C4809" s="25"/>
      <c r="D4809" s="25"/>
      <c r="E4809" s="25"/>
      <c r="F4809" s="25"/>
      <c r="G4809" s="25"/>
      <c r="H4809" s="25"/>
      <c r="I4809" s="25"/>
      <c r="J4809" s="25"/>
    </row>
    <row r="4810" spans="1:10" ht="14.4">
      <c r="A4810" s="25"/>
      <c r="B4810" s="25"/>
      <c r="C4810" s="25"/>
      <c r="D4810" s="25"/>
      <c r="E4810" s="25"/>
      <c r="F4810" s="25"/>
      <c r="G4810" s="25"/>
      <c r="H4810" s="25"/>
      <c r="I4810" s="25"/>
      <c r="J4810" s="25"/>
    </row>
    <row r="4811" spans="1:10" ht="14.4">
      <c r="A4811" s="25"/>
      <c r="B4811" s="25"/>
      <c r="C4811" s="25"/>
      <c r="D4811" s="25"/>
      <c r="E4811" s="25"/>
      <c r="F4811" s="25"/>
      <c r="G4811" s="25"/>
      <c r="H4811" s="25"/>
      <c r="I4811" s="25"/>
      <c r="J4811" s="25"/>
    </row>
    <row r="4812" spans="1:10" ht="14.4">
      <c r="A4812" s="25"/>
      <c r="B4812" s="25"/>
      <c r="C4812" s="25"/>
      <c r="D4812" s="25"/>
      <c r="E4812" s="25"/>
      <c r="F4812" s="25"/>
      <c r="G4812" s="25"/>
      <c r="H4812" s="25"/>
      <c r="I4812" s="25"/>
      <c r="J4812" s="25"/>
    </row>
    <row r="4813" spans="1:10" ht="14.4">
      <c r="A4813" s="25"/>
      <c r="B4813" s="25"/>
      <c r="C4813" s="25"/>
      <c r="D4813" s="25"/>
      <c r="E4813" s="25"/>
      <c r="F4813" s="25"/>
      <c r="G4813" s="25"/>
      <c r="H4813" s="25"/>
      <c r="I4813" s="25"/>
      <c r="J4813" s="25"/>
    </row>
    <row r="4814" spans="1:10" ht="14.4">
      <c r="A4814" s="25"/>
      <c r="B4814" s="25"/>
      <c r="C4814" s="25"/>
      <c r="D4814" s="25"/>
      <c r="E4814" s="25"/>
      <c r="F4814" s="25"/>
      <c r="G4814" s="25"/>
      <c r="H4814" s="25"/>
      <c r="I4814" s="25"/>
      <c r="J4814" s="25"/>
    </row>
    <row r="4815" spans="1:10" ht="14.4">
      <c r="A4815" s="25"/>
      <c r="B4815" s="25"/>
      <c r="C4815" s="25"/>
      <c r="D4815" s="25"/>
      <c r="E4815" s="25"/>
      <c r="F4815" s="25"/>
      <c r="G4815" s="25"/>
      <c r="H4815" s="25"/>
      <c r="I4815" s="25"/>
      <c r="J4815" s="25"/>
    </row>
    <row r="4816" spans="1:10" ht="14.4">
      <c r="A4816" s="25"/>
      <c r="B4816" s="25"/>
      <c r="C4816" s="25"/>
      <c r="D4816" s="25"/>
      <c r="E4816" s="25"/>
      <c r="F4816" s="25"/>
      <c r="G4816" s="25"/>
      <c r="H4816" s="25"/>
      <c r="I4816" s="25"/>
      <c r="J4816" s="25"/>
    </row>
    <row r="4817" spans="1:10" ht="14.4">
      <c r="A4817" s="25"/>
      <c r="B4817" s="25"/>
      <c r="C4817" s="25"/>
      <c r="D4817" s="25"/>
      <c r="E4817" s="25"/>
      <c r="F4817" s="25"/>
      <c r="G4817" s="25"/>
      <c r="H4817" s="25"/>
      <c r="I4817" s="25"/>
      <c r="J4817" s="25"/>
    </row>
    <row r="4818" spans="1:10" ht="14.4">
      <c r="A4818" s="25"/>
      <c r="B4818" s="25"/>
      <c r="C4818" s="25"/>
      <c r="D4818" s="25"/>
      <c r="E4818" s="25"/>
      <c r="F4818" s="25"/>
      <c r="G4818" s="25"/>
      <c r="H4818" s="25"/>
      <c r="I4818" s="25"/>
      <c r="J4818" s="25"/>
    </row>
    <row r="4819" spans="1:10" ht="14.4">
      <c r="A4819" s="25"/>
      <c r="B4819" s="25"/>
      <c r="C4819" s="25"/>
      <c r="D4819" s="25"/>
      <c r="E4819" s="25"/>
      <c r="F4819" s="25"/>
      <c r="G4819" s="25"/>
      <c r="H4819" s="25"/>
      <c r="I4819" s="25"/>
      <c r="J4819" s="25"/>
    </row>
    <row r="4820" spans="1:10" ht="14.4">
      <c r="A4820" s="25"/>
      <c r="B4820" s="25"/>
      <c r="C4820" s="25"/>
      <c r="D4820" s="25"/>
      <c r="E4820" s="25"/>
      <c r="F4820" s="25"/>
      <c r="G4820" s="25"/>
      <c r="H4820" s="25"/>
      <c r="I4820" s="25"/>
      <c r="J4820" s="25"/>
    </row>
    <row r="4821" spans="1:10" ht="14.4">
      <c r="A4821" s="25"/>
      <c r="B4821" s="25"/>
      <c r="C4821" s="25"/>
      <c r="D4821" s="25"/>
      <c r="E4821" s="25"/>
      <c r="F4821" s="25"/>
      <c r="G4821" s="25"/>
      <c r="H4821" s="25"/>
      <c r="I4821" s="25"/>
      <c r="J4821" s="25"/>
    </row>
    <row r="4822" spans="1:10" ht="14.4">
      <c r="A4822" s="25"/>
      <c r="B4822" s="25"/>
      <c r="C4822" s="25"/>
      <c r="D4822" s="25"/>
      <c r="E4822" s="25"/>
      <c r="F4822" s="25"/>
      <c r="G4822" s="25"/>
      <c r="H4822" s="25"/>
      <c r="I4822" s="25"/>
      <c r="J4822" s="25"/>
    </row>
    <row r="4823" spans="1:10" ht="14.4">
      <c r="A4823" s="25"/>
      <c r="B4823" s="25"/>
      <c r="C4823" s="25"/>
      <c r="D4823" s="25"/>
      <c r="E4823" s="25"/>
      <c r="F4823" s="25"/>
      <c r="G4823" s="25"/>
      <c r="H4823" s="25"/>
      <c r="I4823" s="25"/>
      <c r="J4823" s="25"/>
    </row>
    <row r="4824" spans="1:10" ht="14.4">
      <c r="A4824" s="25"/>
      <c r="B4824" s="25"/>
      <c r="C4824" s="25"/>
      <c r="D4824" s="25"/>
      <c r="E4824" s="25"/>
      <c r="F4824" s="25"/>
      <c r="G4824" s="25"/>
      <c r="H4824" s="25"/>
      <c r="I4824" s="25"/>
      <c r="J4824" s="25"/>
    </row>
    <row r="4825" spans="1:10" ht="14.4">
      <c r="A4825" s="25"/>
      <c r="B4825" s="25"/>
      <c r="C4825" s="25"/>
      <c r="D4825" s="25"/>
      <c r="E4825" s="25"/>
      <c r="F4825" s="25"/>
      <c r="G4825" s="25"/>
      <c r="H4825" s="25"/>
      <c r="I4825" s="25"/>
      <c r="J4825" s="25"/>
    </row>
    <row r="4826" spans="1:10" ht="14.4">
      <c r="A4826" s="25"/>
      <c r="B4826" s="25"/>
      <c r="C4826" s="25"/>
      <c r="D4826" s="25"/>
      <c r="E4826" s="25"/>
      <c r="F4826" s="25"/>
      <c r="G4826" s="25"/>
      <c r="H4826" s="25"/>
      <c r="I4826" s="25"/>
      <c r="J4826" s="25"/>
    </row>
    <row r="4827" spans="1:10" ht="14.4">
      <c r="A4827" s="25"/>
      <c r="B4827" s="25"/>
      <c r="C4827" s="25"/>
      <c r="D4827" s="25"/>
      <c r="E4827" s="25"/>
      <c r="F4827" s="25"/>
      <c r="G4827" s="25"/>
      <c r="H4827" s="25"/>
      <c r="I4827" s="25"/>
      <c r="J4827" s="25"/>
    </row>
    <row r="4828" spans="1:10" ht="14.4">
      <c r="A4828" s="25"/>
      <c r="B4828" s="25"/>
      <c r="C4828" s="25"/>
      <c r="D4828" s="25"/>
      <c r="E4828" s="25"/>
      <c r="F4828" s="25"/>
      <c r="G4828" s="25"/>
      <c r="H4828" s="25"/>
      <c r="I4828" s="25"/>
      <c r="J4828" s="25"/>
    </row>
    <row r="4829" spans="1:10" ht="14.4">
      <c r="A4829" s="25"/>
      <c r="B4829" s="25"/>
      <c r="C4829" s="25"/>
      <c r="D4829" s="25"/>
      <c r="E4829" s="25"/>
      <c r="F4829" s="25"/>
      <c r="G4829" s="25"/>
      <c r="H4829" s="25"/>
      <c r="I4829" s="25"/>
      <c r="J4829" s="25"/>
    </row>
    <row r="4830" spans="1:10" ht="14.4">
      <c r="A4830" s="25"/>
      <c r="B4830" s="25"/>
      <c r="C4830" s="25"/>
      <c r="D4830" s="25"/>
      <c r="E4830" s="25"/>
      <c r="F4830" s="25"/>
      <c r="G4830" s="25"/>
      <c r="H4830" s="25"/>
      <c r="I4830" s="25"/>
      <c r="J4830" s="25"/>
    </row>
    <row r="4831" spans="1:10" ht="14.4">
      <c r="A4831" s="25"/>
      <c r="B4831" s="25"/>
      <c r="C4831" s="25"/>
      <c r="D4831" s="25"/>
      <c r="E4831" s="25"/>
      <c r="F4831" s="25"/>
      <c r="G4831" s="25"/>
      <c r="H4831" s="25"/>
      <c r="I4831" s="25"/>
      <c r="J4831" s="25"/>
    </row>
    <row r="4832" spans="1:10" ht="14.4">
      <c r="A4832" s="25"/>
      <c r="B4832" s="25"/>
      <c r="C4832" s="25"/>
      <c r="D4832" s="25"/>
      <c r="E4832" s="25"/>
      <c r="F4832" s="25"/>
      <c r="G4832" s="25"/>
      <c r="H4832" s="25"/>
      <c r="I4832" s="25"/>
      <c r="J4832" s="25"/>
    </row>
    <row r="4833" spans="1:10" ht="14.4">
      <c r="A4833" s="25"/>
      <c r="B4833" s="25"/>
      <c r="C4833" s="25"/>
      <c r="D4833" s="25"/>
      <c r="E4833" s="25"/>
      <c r="F4833" s="25"/>
      <c r="G4833" s="25"/>
      <c r="H4833" s="25"/>
      <c r="I4833" s="25"/>
      <c r="J4833" s="25"/>
    </row>
    <row r="4834" spans="1:10" ht="14.4">
      <c r="A4834" s="25"/>
      <c r="B4834" s="25"/>
      <c r="C4834" s="25"/>
      <c r="D4834" s="25"/>
      <c r="E4834" s="25"/>
      <c r="F4834" s="25"/>
      <c r="G4834" s="25"/>
      <c r="H4834" s="25"/>
      <c r="I4834" s="25"/>
      <c r="J4834" s="25"/>
    </row>
    <row r="4835" spans="1:10" ht="14.4">
      <c r="A4835" s="25"/>
      <c r="B4835" s="25"/>
      <c r="C4835" s="25"/>
      <c r="D4835" s="25"/>
      <c r="E4835" s="25"/>
      <c r="F4835" s="25"/>
      <c r="G4835" s="25"/>
      <c r="H4835" s="25"/>
      <c r="I4835" s="25"/>
      <c r="J4835" s="25"/>
    </row>
    <row r="4836" spans="1:10" ht="14.4">
      <c r="A4836" s="25"/>
      <c r="B4836" s="25"/>
      <c r="C4836" s="25"/>
      <c r="D4836" s="25"/>
      <c r="E4836" s="25"/>
      <c r="F4836" s="25"/>
      <c r="G4836" s="25"/>
      <c r="H4836" s="25"/>
      <c r="I4836" s="25"/>
      <c r="J4836" s="25"/>
    </row>
    <row r="4837" spans="1:10" ht="14.4">
      <c r="A4837" s="25"/>
      <c r="B4837" s="25"/>
      <c r="C4837" s="25"/>
      <c r="D4837" s="25"/>
      <c r="E4837" s="25"/>
      <c r="F4837" s="25"/>
      <c r="G4837" s="25"/>
      <c r="H4837" s="25"/>
      <c r="I4837" s="25"/>
      <c r="J4837" s="25"/>
    </row>
    <row r="4838" spans="1:10" ht="14.4">
      <c r="A4838" s="25"/>
      <c r="B4838" s="25"/>
      <c r="C4838" s="25"/>
      <c r="D4838" s="25"/>
      <c r="E4838" s="25"/>
      <c r="F4838" s="25"/>
      <c r="G4838" s="25"/>
      <c r="H4838" s="25"/>
      <c r="I4838" s="25"/>
      <c r="J4838" s="25"/>
    </row>
    <row r="4839" spans="1:10" ht="14.4">
      <c r="A4839" s="25"/>
      <c r="B4839" s="25"/>
      <c r="C4839" s="25"/>
      <c r="D4839" s="25"/>
      <c r="E4839" s="25"/>
      <c r="F4839" s="25"/>
      <c r="G4839" s="25"/>
      <c r="H4839" s="25"/>
      <c r="I4839" s="25"/>
      <c r="J4839" s="25"/>
    </row>
    <row r="4840" spans="1:10" ht="14.4">
      <c r="A4840" s="25"/>
      <c r="B4840" s="25"/>
      <c r="C4840" s="25"/>
      <c r="D4840" s="25"/>
      <c r="E4840" s="25"/>
      <c r="F4840" s="25"/>
      <c r="G4840" s="25"/>
      <c r="H4840" s="25"/>
      <c r="I4840" s="25"/>
      <c r="J4840" s="25"/>
    </row>
    <row r="4841" spans="1:10" ht="14.4">
      <c r="A4841" s="25"/>
      <c r="B4841" s="25"/>
      <c r="C4841" s="25"/>
      <c r="D4841" s="25"/>
      <c r="E4841" s="25"/>
      <c r="F4841" s="25"/>
      <c r="G4841" s="25"/>
      <c r="H4841" s="25"/>
      <c r="I4841" s="25"/>
      <c r="J4841" s="25"/>
    </row>
    <row r="4842" spans="1:10" ht="14.4">
      <c r="A4842" s="25"/>
      <c r="B4842" s="25"/>
      <c r="C4842" s="25"/>
      <c r="D4842" s="25"/>
      <c r="E4842" s="25"/>
      <c r="F4842" s="25"/>
      <c r="G4842" s="25"/>
      <c r="H4842" s="25"/>
      <c r="I4842" s="25"/>
      <c r="J4842" s="25"/>
    </row>
    <row r="4843" spans="1:10" ht="14.4">
      <c r="A4843" s="25"/>
      <c r="B4843" s="25"/>
      <c r="C4843" s="25"/>
      <c r="D4843" s="25"/>
      <c r="E4843" s="25"/>
      <c r="F4843" s="25"/>
      <c r="G4843" s="25"/>
      <c r="H4843" s="25"/>
      <c r="I4843" s="25"/>
      <c r="J4843" s="25"/>
    </row>
    <row r="4844" spans="1:10" ht="14.4">
      <c r="A4844" s="25"/>
      <c r="B4844" s="25"/>
      <c r="C4844" s="25"/>
      <c r="D4844" s="25"/>
      <c r="E4844" s="25"/>
      <c r="F4844" s="25"/>
      <c r="G4844" s="25"/>
      <c r="H4844" s="25"/>
      <c r="I4844" s="25"/>
      <c r="J4844" s="25"/>
    </row>
    <row r="4845" spans="1:10" ht="14.4">
      <c r="A4845" s="25"/>
      <c r="B4845" s="25"/>
      <c r="C4845" s="25"/>
      <c r="D4845" s="25"/>
      <c r="E4845" s="25"/>
      <c r="F4845" s="25"/>
      <c r="G4845" s="25"/>
      <c r="H4845" s="25"/>
      <c r="I4845" s="25"/>
      <c r="J4845" s="25"/>
    </row>
    <row r="4846" spans="1:10" ht="14.4">
      <c r="A4846" s="25"/>
      <c r="B4846" s="25"/>
      <c r="C4846" s="25"/>
      <c r="D4846" s="25"/>
      <c r="E4846" s="25"/>
      <c r="F4846" s="25"/>
      <c r="G4846" s="25"/>
      <c r="H4846" s="25"/>
      <c r="I4846" s="25"/>
      <c r="J4846" s="25"/>
    </row>
    <row r="4847" spans="1:10" ht="14.4">
      <c r="A4847" s="25"/>
      <c r="B4847" s="25"/>
      <c r="C4847" s="25"/>
      <c r="D4847" s="25"/>
      <c r="E4847" s="25"/>
      <c r="F4847" s="25"/>
      <c r="G4847" s="25"/>
      <c r="H4847" s="25"/>
      <c r="I4847" s="25"/>
      <c r="J4847" s="25"/>
    </row>
    <row r="4848" spans="1:10" ht="14.4">
      <c r="A4848" s="25"/>
      <c r="B4848" s="25"/>
      <c r="C4848" s="25"/>
      <c r="D4848" s="25"/>
      <c r="E4848" s="25"/>
      <c r="F4848" s="25"/>
      <c r="G4848" s="25"/>
      <c r="H4848" s="25"/>
      <c r="I4848" s="25"/>
      <c r="J4848" s="25"/>
    </row>
    <row r="4849" spans="1:10" ht="14.4">
      <c r="A4849" s="25"/>
      <c r="B4849" s="25"/>
      <c r="C4849" s="25"/>
      <c r="D4849" s="25"/>
      <c r="E4849" s="25"/>
      <c r="F4849" s="25"/>
      <c r="G4849" s="25"/>
      <c r="H4849" s="25"/>
      <c r="I4849" s="25"/>
      <c r="J4849" s="25"/>
    </row>
    <row r="4850" spans="1:10" ht="14.4">
      <c r="A4850" s="25"/>
      <c r="B4850" s="25"/>
      <c r="C4850" s="25"/>
      <c r="D4850" s="25"/>
      <c r="E4850" s="25"/>
      <c r="F4850" s="25"/>
      <c r="G4850" s="25"/>
      <c r="H4850" s="25"/>
      <c r="I4850" s="25"/>
      <c r="J4850" s="25"/>
    </row>
    <row r="4851" spans="1:10" ht="14.4">
      <c r="A4851" s="25"/>
      <c r="B4851" s="25"/>
      <c r="C4851" s="25"/>
      <c r="D4851" s="25"/>
      <c r="E4851" s="25"/>
      <c r="F4851" s="25"/>
      <c r="G4851" s="25"/>
      <c r="H4851" s="25"/>
      <c r="I4851" s="25"/>
      <c r="J4851" s="25"/>
    </row>
    <row r="4852" spans="1:10" ht="14.4">
      <c r="A4852" s="25"/>
      <c r="B4852" s="25"/>
      <c r="C4852" s="25"/>
      <c r="D4852" s="25"/>
      <c r="E4852" s="25"/>
      <c r="F4852" s="25"/>
      <c r="G4852" s="25"/>
      <c r="H4852" s="25"/>
      <c r="I4852" s="25"/>
      <c r="J4852" s="25"/>
    </row>
    <row r="4853" spans="1:10" ht="14.4">
      <c r="A4853" s="25"/>
      <c r="B4853" s="25"/>
      <c r="C4853" s="25"/>
      <c r="D4853" s="25"/>
      <c r="E4853" s="25"/>
      <c r="F4853" s="25"/>
      <c r="G4853" s="25"/>
      <c r="H4853" s="25"/>
      <c r="I4853" s="25"/>
      <c r="J4853" s="25"/>
    </row>
    <row r="4854" spans="1:10" ht="14.4">
      <c r="A4854" s="25"/>
      <c r="B4854" s="25"/>
      <c r="C4854" s="25"/>
      <c r="D4854" s="25"/>
      <c r="E4854" s="25"/>
      <c r="F4854" s="25"/>
      <c r="G4854" s="25"/>
      <c r="H4854" s="25"/>
      <c r="I4854" s="25"/>
      <c r="J4854" s="25"/>
    </row>
    <row r="4855" spans="1:10" ht="14.4">
      <c r="A4855" s="25"/>
      <c r="B4855" s="25"/>
      <c r="C4855" s="25"/>
      <c r="D4855" s="25"/>
      <c r="E4855" s="25"/>
      <c r="F4855" s="25"/>
      <c r="G4855" s="25"/>
      <c r="H4855" s="25"/>
      <c r="I4855" s="25"/>
      <c r="J4855" s="25"/>
    </row>
    <row r="4856" spans="1:10" ht="14.4">
      <c r="A4856" s="25"/>
      <c r="B4856" s="25"/>
      <c r="C4856" s="25"/>
      <c r="D4856" s="25"/>
      <c r="E4856" s="25"/>
      <c r="F4856" s="25"/>
      <c r="G4856" s="25"/>
      <c r="H4856" s="25"/>
      <c r="I4856" s="25"/>
      <c r="J4856" s="25"/>
    </row>
    <row r="4857" spans="1:10" ht="14.4">
      <c r="A4857" s="25"/>
      <c r="B4857" s="25"/>
      <c r="C4857" s="25"/>
      <c r="D4857" s="25"/>
      <c r="E4857" s="25"/>
      <c r="F4857" s="25"/>
      <c r="G4857" s="25"/>
      <c r="H4857" s="25"/>
      <c r="I4857" s="25"/>
      <c r="J4857" s="25"/>
    </row>
    <row r="4858" spans="1:10" ht="14.4">
      <c r="A4858" s="25"/>
      <c r="B4858" s="25"/>
      <c r="C4858" s="25"/>
      <c r="D4858" s="25"/>
      <c r="E4858" s="25"/>
      <c r="F4858" s="25"/>
      <c r="G4858" s="25"/>
      <c r="H4858" s="25"/>
      <c r="I4858" s="25"/>
      <c r="J4858" s="25"/>
    </row>
    <row r="4859" spans="1:10" ht="14.4">
      <c r="A4859" s="25"/>
      <c r="B4859" s="25"/>
      <c r="C4859" s="25"/>
      <c r="D4859" s="25"/>
      <c r="E4859" s="25"/>
      <c r="F4859" s="25"/>
      <c r="G4859" s="25"/>
      <c r="H4859" s="25"/>
      <c r="I4859" s="25"/>
      <c r="J4859" s="25"/>
    </row>
    <row r="4860" spans="1:10" ht="14.4">
      <c r="A4860" s="25"/>
      <c r="B4860" s="25"/>
      <c r="C4860" s="25"/>
      <c r="D4860" s="25"/>
      <c r="E4860" s="25"/>
      <c r="F4860" s="25"/>
      <c r="G4860" s="25"/>
      <c r="H4860" s="25"/>
      <c r="I4860" s="25"/>
      <c r="J4860" s="25"/>
    </row>
    <row r="4861" spans="1:10" ht="14.4">
      <c r="A4861" s="25"/>
      <c r="B4861" s="25"/>
      <c r="C4861" s="25"/>
      <c r="D4861" s="25"/>
      <c r="E4861" s="25"/>
      <c r="F4861" s="25"/>
      <c r="G4861" s="25"/>
      <c r="H4861" s="25"/>
      <c r="I4861" s="25"/>
      <c r="J4861" s="25"/>
    </row>
    <row r="4862" spans="1:10" ht="14.4">
      <c r="A4862" s="25"/>
      <c r="B4862" s="25"/>
      <c r="C4862" s="25"/>
      <c r="D4862" s="25"/>
      <c r="E4862" s="25"/>
      <c r="F4862" s="25"/>
      <c r="G4862" s="25"/>
      <c r="H4862" s="25"/>
      <c r="I4862" s="25"/>
      <c r="J4862" s="25"/>
    </row>
    <row r="4863" spans="1:10" ht="14.4">
      <c r="A4863" s="25"/>
      <c r="B4863" s="25"/>
      <c r="C4863" s="25"/>
      <c r="D4863" s="25"/>
      <c r="E4863" s="25"/>
      <c r="F4863" s="25"/>
      <c r="G4863" s="25"/>
      <c r="H4863" s="25"/>
      <c r="I4863" s="25"/>
      <c r="J4863" s="25"/>
    </row>
    <row r="4864" spans="1:10" ht="14.4">
      <c r="A4864" s="25"/>
      <c r="B4864" s="25"/>
      <c r="C4864" s="25"/>
      <c r="D4864" s="25"/>
      <c r="E4864" s="25"/>
      <c r="F4864" s="25"/>
      <c r="G4864" s="25"/>
      <c r="H4864" s="25"/>
      <c r="I4864" s="25"/>
      <c r="J4864" s="25"/>
    </row>
    <row r="4865" spans="1:10" ht="14.4">
      <c r="A4865" s="25"/>
      <c r="B4865" s="25"/>
      <c r="C4865" s="25"/>
      <c r="D4865" s="25"/>
      <c r="E4865" s="25"/>
      <c r="F4865" s="25"/>
      <c r="G4865" s="25"/>
      <c r="H4865" s="25"/>
      <c r="I4865" s="25"/>
      <c r="J4865" s="25"/>
    </row>
    <row r="4866" spans="1:10" ht="14.4">
      <c r="A4866" s="25"/>
      <c r="B4866" s="25"/>
      <c r="C4866" s="25"/>
      <c r="D4866" s="25"/>
      <c r="E4866" s="25"/>
      <c r="F4866" s="25"/>
      <c r="G4866" s="25"/>
      <c r="H4866" s="25"/>
      <c r="I4866" s="25"/>
      <c r="J4866" s="25"/>
    </row>
    <row r="4867" spans="1:10" ht="14.4">
      <c r="A4867" s="25"/>
      <c r="B4867" s="25"/>
      <c r="C4867" s="25"/>
      <c r="D4867" s="25"/>
      <c r="E4867" s="25"/>
      <c r="F4867" s="25"/>
      <c r="G4867" s="25"/>
      <c r="H4867" s="25"/>
      <c r="I4867" s="25"/>
      <c r="J4867" s="25"/>
    </row>
    <row r="4868" spans="1:10" ht="14.4">
      <c r="A4868" s="25"/>
      <c r="B4868" s="25"/>
      <c r="C4868" s="25"/>
      <c r="D4868" s="25"/>
      <c r="E4868" s="25"/>
      <c r="F4868" s="25"/>
      <c r="G4868" s="25"/>
      <c r="H4868" s="25"/>
      <c r="I4868" s="25"/>
      <c r="J4868" s="25"/>
    </row>
    <row r="4869" spans="1:10" ht="14.4">
      <c r="A4869" s="25"/>
      <c r="B4869" s="25"/>
      <c r="C4869" s="25"/>
      <c r="D4869" s="25"/>
      <c r="E4869" s="25"/>
      <c r="F4869" s="25"/>
      <c r="G4869" s="25"/>
      <c r="H4869" s="25"/>
      <c r="I4869" s="25"/>
      <c r="J4869" s="25"/>
    </row>
    <row r="4870" spans="1:10" ht="14.4">
      <c r="A4870" s="25"/>
      <c r="B4870" s="25"/>
      <c r="C4870" s="25"/>
      <c r="D4870" s="25"/>
      <c r="E4870" s="25"/>
      <c r="F4870" s="25"/>
      <c r="G4870" s="25"/>
      <c r="H4870" s="25"/>
      <c r="I4870" s="25"/>
      <c r="J4870" s="25"/>
    </row>
    <row r="4871" spans="1:10" ht="14.4">
      <c r="A4871" s="25"/>
      <c r="B4871" s="25"/>
      <c r="C4871" s="25"/>
      <c r="D4871" s="25"/>
      <c r="E4871" s="25"/>
      <c r="F4871" s="25"/>
      <c r="G4871" s="25"/>
      <c r="H4871" s="25"/>
      <c r="I4871" s="25"/>
      <c r="J4871" s="25"/>
    </row>
    <row r="4872" spans="1:10" ht="14.4">
      <c r="A4872" s="25"/>
      <c r="B4872" s="25"/>
      <c r="C4872" s="25"/>
      <c r="D4872" s="25"/>
      <c r="E4872" s="25"/>
      <c r="F4872" s="25"/>
      <c r="G4872" s="25"/>
      <c r="H4872" s="25"/>
      <c r="I4872" s="25"/>
      <c r="J4872" s="25"/>
    </row>
    <row r="4873" spans="1:10" ht="14.4">
      <c r="A4873" s="25"/>
      <c r="B4873" s="25"/>
      <c r="C4873" s="25"/>
      <c r="D4873" s="25"/>
      <c r="E4873" s="25"/>
      <c r="F4873" s="25"/>
      <c r="G4873" s="25"/>
      <c r="H4873" s="25"/>
      <c r="I4873" s="25"/>
      <c r="J4873" s="25"/>
    </row>
    <row r="4874" spans="1:10" ht="14.4">
      <c r="A4874" s="25"/>
      <c r="B4874" s="25"/>
      <c r="C4874" s="25"/>
      <c r="D4874" s="25"/>
      <c r="E4874" s="25"/>
      <c r="F4874" s="25"/>
      <c r="G4874" s="25"/>
      <c r="H4874" s="25"/>
      <c r="I4874" s="25"/>
      <c r="J4874" s="25"/>
    </row>
    <row r="4875" spans="1:10" ht="14.4">
      <c r="A4875" s="25"/>
      <c r="B4875" s="25"/>
      <c r="C4875" s="25"/>
      <c r="D4875" s="25"/>
      <c r="E4875" s="25"/>
      <c r="F4875" s="25"/>
      <c r="G4875" s="25"/>
      <c r="H4875" s="25"/>
      <c r="I4875" s="25"/>
      <c r="J4875" s="25"/>
    </row>
    <row r="4876" spans="1:10" ht="14.4">
      <c r="A4876" s="25"/>
      <c r="B4876" s="25"/>
      <c r="C4876" s="25"/>
      <c r="D4876" s="25"/>
      <c r="E4876" s="25"/>
      <c r="F4876" s="25"/>
      <c r="G4876" s="25"/>
      <c r="H4876" s="25"/>
      <c r="I4876" s="25"/>
      <c r="J4876" s="25"/>
    </row>
    <row r="4877" spans="1:10" ht="14.4">
      <c r="A4877" s="25"/>
      <c r="B4877" s="25"/>
      <c r="C4877" s="25"/>
      <c r="D4877" s="25"/>
      <c r="E4877" s="25"/>
      <c r="F4877" s="25"/>
      <c r="G4877" s="25"/>
      <c r="H4877" s="25"/>
      <c r="I4877" s="25"/>
      <c r="J4877" s="25"/>
    </row>
    <row r="4878" spans="1:10" ht="14.4">
      <c r="A4878" s="25"/>
      <c r="B4878" s="25"/>
      <c r="C4878" s="25"/>
      <c r="D4878" s="25"/>
      <c r="E4878" s="25"/>
      <c r="F4878" s="25"/>
      <c r="G4878" s="25"/>
      <c r="H4878" s="25"/>
      <c r="I4878" s="25"/>
      <c r="J4878" s="25"/>
    </row>
    <row r="4879" spans="1:10" ht="14.4">
      <c r="A4879" s="25"/>
      <c r="B4879" s="25"/>
      <c r="C4879" s="25"/>
      <c r="D4879" s="25"/>
      <c r="E4879" s="25"/>
      <c r="F4879" s="25"/>
      <c r="G4879" s="25"/>
      <c r="H4879" s="25"/>
      <c r="I4879" s="25"/>
      <c r="J4879" s="25"/>
    </row>
    <row r="4880" spans="1:10" ht="14.4">
      <c r="A4880" s="25"/>
      <c r="B4880" s="25"/>
      <c r="C4880" s="25"/>
      <c r="D4880" s="25"/>
      <c r="E4880" s="25"/>
      <c r="F4880" s="25"/>
      <c r="G4880" s="25"/>
      <c r="H4880" s="25"/>
      <c r="I4880" s="25"/>
      <c r="J4880" s="25"/>
    </row>
    <row r="4881" spans="1:10" ht="14.4">
      <c r="A4881" s="25"/>
      <c r="B4881" s="25"/>
      <c r="C4881" s="25"/>
      <c r="D4881" s="25"/>
      <c r="E4881" s="25"/>
      <c r="F4881" s="25"/>
      <c r="G4881" s="25"/>
      <c r="H4881" s="25"/>
      <c r="I4881" s="25"/>
      <c r="J4881" s="25"/>
    </row>
    <row r="4882" spans="1:10" ht="14.4">
      <c r="A4882" s="25"/>
      <c r="B4882" s="25"/>
      <c r="C4882" s="25"/>
      <c r="D4882" s="25"/>
      <c r="E4882" s="25"/>
      <c r="F4882" s="25"/>
      <c r="G4882" s="25"/>
      <c r="H4882" s="25"/>
      <c r="I4882" s="25"/>
      <c r="J4882" s="25"/>
    </row>
    <row r="4883" spans="1:10" ht="14.4">
      <c r="A4883" s="25"/>
      <c r="B4883" s="25"/>
      <c r="C4883" s="25"/>
      <c r="D4883" s="25"/>
      <c r="E4883" s="25"/>
      <c r="F4883" s="25"/>
      <c r="G4883" s="25"/>
      <c r="H4883" s="25"/>
      <c r="I4883" s="25"/>
      <c r="J4883" s="25"/>
    </row>
    <row r="4884" spans="1:10" ht="14.4">
      <c r="A4884" s="25"/>
      <c r="B4884" s="25"/>
      <c r="C4884" s="25"/>
      <c r="D4884" s="25"/>
      <c r="E4884" s="25"/>
      <c r="F4884" s="25"/>
      <c r="G4884" s="25"/>
      <c r="H4884" s="25"/>
      <c r="I4884" s="25"/>
      <c r="J4884" s="25"/>
    </row>
    <row r="4885" spans="1:10" ht="14.4">
      <c r="A4885" s="25"/>
      <c r="B4885" s="25"/>
      <c r="C4885" s="25"/>
      <c r="D4885" s="25"/>
      <c r="E4885" s="25"/>
      <c r="F4885" s="25"/>
      <c r="G4885" s="25"/>
      <c r="H4885" s="25"/>
      <c r="I4885" s="25"/>
      <c r="J4885" s="25"/>
    </row>
    <row r="4886" spans="1:10" ht="14.4">
      <c r="A4886" s="25"/>
      <c r="B4886" s="25"/>
      <c r="C4886" s="25"/>
      <c r="D4886" s="25"/>
      <c r="E4886" s="25"/>
      <c r="F4886" s="25"/>
      <c r="G4886" s="25"/>
      <c r="H4886" s="25"/>
      <c r="I4886" s="25"/>
      <c r="J4886" s="25"/>
    </row>
    <row r="4887" spans="1:10" ht="14.4">
      <c r="A4887" s="25"/>
      <c r="B4887" s="25"/>
      <c r="C4887" s="25"/>
      <c r="D4887" s="25"/>
      <c r="E4887" s="25"/>
      <c r="F4887" s="25"/>
      <c r="G4887" s="25"/>
      <c r="H4887" s="25"/>
      <c r="I4887" s="25"/>
      <c r="J4887" s="25"/>
    </row>
    <row r="4888" spans="1:10" ht="14.4">
      <c r="A4888" s="25"/>
      <c r="B4888" s="25"/>
      <c r="C4888" s="25"/>
      <c r="D4888" s="25"/>
      <c r="E4888" s="25"/>
      <c r="F4888" s="25"/>
      <c r="G4888" s="25"/>
      <c r="H4888" s="25"/>
      <c r="I4888" s="25"/>
      <c r="J4888" s="25"/>
    </row>
    <row r="4889" spans="1:10" ht="14.4">
      <c r="A4889" s="25"/>
      <c r="B4889" s="25"/>
      <c r="C4889" s="25"/>
      <c r="D4889" s="25"/>
      <c r="E4889" s="25"/>
      <c r="F4889" s="25"/>
      <c r="G4889" s="25"/>
      <c r="H4889" s="25"/>
      <c r="I4889" s="25"/>
      <c r="J4889" s="25"/>
    </row>
    <row r="4890" spans="1:10" ht="14.4">
      <c r="A4890" s="25"/>
      <c r="B4890" s="25"/>
      <c r="C4890" s="25"/>
      <c r="D4890" s="25"/>
      <c r="E4890" s="25"/>
      <c r="F4890" s="25"/>
      <c r="G4890" s="25"/>
      <c r="H4890" s="25"/>
      <c r="I4890" s="25"/>
      <c r="J4890" s="25"/>
    </row>
    <row r="4891" spans="1:10" ht="14.4">
      <c r="A4891" s="25"/>
      <c r="B4891" s="25"/>
      <c r="C4891" s="25"/>
      <c r="D4891" s="25"/>
      <c r="E4891" s="25"/>
      <c r="F4891" s="25"/>
      <c r="G4891" s="25"/>
      <c r="H4891" s="25"/>
      <c r="I4891" s="25"/>
      <c r="J4891" s="25"/>
    </row>
    <row r="4892" spans="1:10" ht="14.4">
      <c r="A4892" s="25"/>
      <c r="B4892" s="25"/>
      <c r="C4892" s="25"/>
      <c r="D4892" s="25"/>
      <c r="E4892" s="25"/>
      <c r="F4892" s="25"/>
      <c r="G4892" s="25"/>
      <c r="H4892" s="25"/>
      <c r="I4892" s="25"/>
      <c r="J4892" s="25"/>
    </row>
    <row r="4893" spans="1:10" ht="14.4">
      <c r="A4893" s="25"/>
      <c r="B4893" s="25"/>
      <c r="C4893" s="25"/>
      <c r="D4893" s="25"/>
      <c r="E4893" s="25"/>
      <c r="F4893" s="25"/>
      <c r="G4893" s="25"/>
      <c r="H4893" s="25"/>
      <c r="I4893" s="25"/>
      <c r="J4893" s="25"/>
    </row>
    <row r="4894" spans="1:10" ht="14.4">
      <c r="A4894" s="25"/>
      <c r="B4894" s="25"/>
      <c r="C4894" s="25"/>
      <c r="D4894" s="25"/>
      <c r="E4894" s="25"/>
      <c r="F4894" s="25"/>
      <c r="G4894" s="25"/>
      <c r="H4894" s="25"/>
      <c r="I4894" s="25"/>
      <c r="J4894" s="25"/>
    </row>
    <row r="4895" spans="1:10" ht="14.4">
      <c r="A4895" s="25"/>
      <c r="B4895" s="25"/>
      <c r="C4895" s="25"/>
      <c r="D4895" s="25"/>
      <c r="E4895" s="25"/>
      <c r="F4895" s="25"/>
      <c r="G4895" s="25"/>
      <c r="H4895" s="25"/>
      <c r="I4895" s="25"/>
      <c r="J4895" s="25"/>
    </row>
    <row r="4896" spans="1:10" ht="14.4">
      <c r="A4896" s="25"/>
      <c r="B4896" s="25"/>
      <c r="C4896" s="25"/>
      <c r="D4896" s="25"/>
      <c r="E4896" s="25"/>
      <c r="F4896" s="25"/>
      <c r="G4896" s="25"/>
      <c r="H4896" s="25"/>
      <c r="I4896" s="25"/>
      <c r="J4896" s="25"/>
    </row>
    <row r="4897" spans="1:10" ht="14.4">
      <c r="A4897" s="25"/>
      <c r="B4897" s="25"/>
      <c r="C4897" s="25"/>
      <c r="D4897" s="25"/>
      <c r="E4897" s="25"/>
      <c r="F4897" s="25"/>
      <c r="G4897" s="25"/>
      <c r="H4897" s="25"/>
      <c r="I4897" s="25"/>
      <c r="J4897" s="25"/>
    </row>
    <row r="4898" spans="1:10" ht="14.4">
      <c r="A4898" s="25"/>
      <c r="B4898" s="25"/>
      <c r="C4898" s="25"/>
      <c r="D4898" s="25"/>
      <c r="E4898" s="25"/>
      <c r="F4898" s="25"/>
      <c r="G4898" s="25"/>
      <c r="H4898" s="25"/>
      <c r="I4898" s="25"/>
      <c r="J4898" s="25"/>
    </row>
    <row r="4899" spans="1:10" ht="14.4">
      <c r="A4899" s="25"/>
      <c r="B4899" s="25"/>
      <c r="C4899" s="25"/>
      <c r="D4899" s="25"/>
      <c r="E4899" s="25"/>
      <c r="F4899" s="25"/>
      <c r="G4899" s="25"/>
      <c r="H4899" s="25"/>
      <c r="I4899" s="25"/>
      <c r="J4899" s="25"/>
    </row>
    <row r="4900" spans="1:10" ht="14.4">
      <c r="A4900" s="25"/>
      <c r="B4900" s="25"/>
      <c r="C4900" s="25"/>
      <c r="D4900" s="25"/>
      <c r="E4900" s="25"/>
      <c r="F4900" s="25"/>
      <c r="G4900" s="25"/>
      <c r="H4900" s="25"/>
      <c r="I4900" s="25"/>
      <c r="J4900" s="25"/>
    </row>
    <row r="4901" spans="1:10" ht="14.4">
      <c r="A4901" s="25"/>
      <c r="B4901" s="25"/>
      <c r="C4901" s="25"/>
      <c r="D4901" s="25"/>
      <c r="E4901" s="25"/>
      <c r="F4901" s="25"/>
      <c r="G4901" s="25"/>
      <c r="H4901" s="25"/>
      <c r="I4901" s="25"/>
      <c r="J4901" s="25"/>
    </row>
    <row r="4902" spans="1:10" ht="14.4">
      <c r="A4902" s="25"/>
      <c r="B4902" s="25"/>
      <c r="C4902" s="25"/>
      <c r="D4902" s="25"/>
      <c r="E4902" s="25"/>
      <c r="F4902" s="25"/>
      <c r="G4902" s="25"/>
      <c r="H4902" s="25"/>
      <c r="I4902" s="25"/>
      <c r="J4902" s="25"/>
    </row>
    <row r="4903" spans="1:10" ht="14.4">
      <c r="A4903" s="25"/>
      <c r="B4903" s="25"/>
      <c r="C4903" s="25"/>
      <c r="D4903" s="25"/>
      <c r="E4903" s="25"/>
      <c r="F4903" s="25"/>
      <c r="G4903" s="25"/>
      <c r="H4903" s="25"/>
      <c r="I4903" s="25"/>
      <c r="J4903" s="25"/>
    </row>
    <row r="4904" spans="1:10" ht="14.4">
      <c r="A4904" s="25"/>
      <c r="B4904" s="25"/>
      <c r="C4904" s="25"/>
      <c r="D4904" s="25"/>
      <c r="E4904" s="25"/>
      <c r="F4904" s="25"/>
      <c r="G4904" s="25"/>
      <c r="H4904" s="25"/>
      <c r="I4904" s="25"/>
      <c r="J4904" s="25"/>
    </row>
    <row r="4905" spans="1:10" ht="14.4">
      <c r="A4905" s="25"/>
      <c r="B4905" s="25"/>
      <c r="C4905" s="25"/>
      <c r="D4905" s="25"/>
      <c r="E4905" s="25"/>
      <c r="F4905" s="25"/>
      <c r="G4905" s="25"/>
      <c r="H4905" s="25"/>
      <c r="I4905" s="25"/>
      <c r="J4905" s="25"/>
    </row>
    <row r="4906" spans="1:10" ht="14.4">
      <c r="A4906" s="25"/>
      <c r="B4906" s="25"/>
      <c r="C4906" s="25"/>
      <c r="D4906" s="25"/>
      <c r="E4906" s="25"/>
      <c r="F4906" s="25"/>
      <c r="G4906" s="25"/>
      <c r="H4906" s="25"/>
      <c r="I4906" s="25"/>
      <c r="J4906" s="25"/>
    </row>
    <row r="4907" spans="1:10" ht="14.4">
      <c r="A4907" s="25"/>
      <c r="B4907" s="25"/>
      <c r="C4907" s="25"/>
      <c r="D4907" s="25"/>
      <c r="E4907" s="25"/>
      <c r="F4907" s="25"/>
      <c r="G4907" s="25"/>
      <c r="H4907" s="25"/>
      <c r="I4907" s="25"/>
      <c r="J4907" s="25"/>
    </row>
    <row r="4908" spans="1:10" ht="14.4">
      <c r="A4908" s="25"/>
      <c r="B4908" s="25"/>
      <c r="C4908" s="25"/>
      <c r="D4908" s="25"/>
      <c r="E4908" s="25"/>
      <c r="F4908" s="25"/>
      <c r="G4908" s="25"/>
      <c r="H4908" s="25"/>
      <c r="I4908" s="25"/>
      <c r="J4908" s="25"/>
    </row>
    <row r="4909" spans="1:10" ht="14.4">
      <c r="A4909" s="25"/>
      <c r="B4909" s="25"/>
      <c r="C4909" s="25"/>
      <c r="D4909" s="25"/>
      <c r="E4909" s="25"/>
      <c r="F4909" s="25"/>
      <c r="G4909" s="25"/>
      <c r="H4909" s="25"/>
      <c r="I4909" s="25"/>
      <c r="J4909" s="25"/>
    </row>
    <row r="4910" spans="1:10" ht="14.4">
      <c r="A4910" s="25"/>
      <c r="B4910" s="25"/>
      <c r="C4910" s="25"/>
      <c r="D4910" s="25"/>
      <c r="E4910" s="25"/>
      <c r="F4910" s="25"/>
      <c r="G4910" s="25"/>
      <c r="H4910" s="25"/>
      <c r="I4910" s="25"/>
      <c r="J4910" s="25"/>
    </row>
    <row r="4911" spans="1:10" ht="14.4">
      <c r="A4911" s="25"/>
      <c r="B4911" s="25"/>
      <c r="C4911" s="25"/>
      <c r="D4911" s="25"/>
      <c r="E4911" s="25"/>
      <c r="F4911" s="25"/>
      <c r="G4911" s="25"/>
      <c r="H4911" s="25"/>
      <c r="I4911" s="25"/>
      <c r="J4911" s="25"/>
    </row>
    <row r="4912" spans="1:10" ht="14.4">
      <c r="A4912" s="25"/>
      <c r="B4912" s="25"/>
      <c r="C4912" s="25"/>
      <c r="D4912" s="25"/>
      <c r="E4912" s="25"/>
      <c r="F4912" s="25"/>
      <c r="G4912" s="25"/>
      <c r="H4912" s="25"/>
      <c r="I4912" s="25"/>
      <c r="J4912" s="25"/>
    </row>
    <row r="4913" spans="1:10" ht="14.4">
      <c r="A4913" s="25"/>
      <c r="B4913" s="25"/>
      <c r="C4913" s="25"/>
      <c r="D4913" s="25"/>
      <c r="E4913" s="25"/>
      <c r="F4913" s="25"/>
      <c r="G4913" s="25"/>
      <c r="H4913" s="25"/>
      <c r="I4913" s="25"/>
      <c r="J4913" s="25"/>
    </row>
    <row r="4914" spans="1:10" ht="14.4">
      <c r="A4914" s="25"/>
      <c r="B4914" s="25"/>
      <c r="C4914" s="25"/>
      <c r="D4914" s="25"/>
      <c r="E4914" s="25"/>
      <c r="F4914" s="25"/>
      <c r="G4914" s="25"/>
      <c r="H4914" s="25"/>
      <c r="I4914" s="25"/>
      <c r="J4914" s="25"/>
    </row>
    <row r="4915" spans="1:10" ht="14.4">
      <c r="A4915" s="25"/>
      <c r="B4915" s="25"/>
      <c r="C4915" s="25"/>
      <c r="D4915" s="25"/>
      <c r="E4915" s="25"/>
      <c r="F4915" s="25"/>
      <c r="G4915" s="25"/>
      <c r="H4915" s="25"/>
      <c r="I4915" s="25"/>
      <c r="J4915" s="25"/>
    </row>
    <row r="4916" spans="1:10" ht="14.4">
      <c r="A4916" s="25"/>
      <c r="B4916" s="25"/>
      <c r="C4916" s="25"/>
      <c r="D4916" s="25"/>
      <c r="E4916" s="25"/>
      <c r="F4916" s="25"/>
      <c r="G4916" s="25"/>
      <c r="H4916" s="25"/>
      <c r="I4916" s="25"/>
      <c r="J4916" s="25"/>
    </row>
    <row r="4917" spans="1:10" ht="14.4">
      <c r="A4917" s="25"/>
      <c r="B4917" s="25"/>
      <c r="C4917" s="25"/>
      <c r="D4917" s="25"/>
      <c r="E4917" s="25"/>
      <c r="F4917" s="25"/>
      <c r="G4917" s="25"/>
      <c r="H4917" s="25"/>
      <c r="I4917" s="25"/>
      <c r="J4917" s="25"/>
    </row>
    <row r="4918" spans="1:10" ht="14.4">
      <c r="A4918" s="25"/>
      <c r="B4918" s="25"/>
      <c r="C4918" s="25"/>
      <c r="D4918" s="25"/>
      <c r="E4918" s="25"/>
      <c r="F4918" s="25"/>
      <c r="G4918" s="25"/>
      <c r="H4918" s="25"/>
      <c r="I4918" s="25"/>
      <c r="J4918" s="25"/>
    </row>
    <row r="4919" spans="1:10" ht="14.4">
      <c r="A4919" s="25"/>
      <c r="B4919" s="25"/>
      <c r="C4919" s="25"/>
      <c r="D4919" s="25"/>
      <c r="E4919" s="25"/>
      <c r="F4919" s="25"/>
      <c r="G4919" s="25"/>
      <c r="H4919" s="25"/>
      <c r="I4919" s="25"/>
      <c r="J4919" s="25"/>
    </row>
    <row r="4920" spans="1:10" ht="14.4">
      <c r="A4920" s="25"/>
      <c r="B4920" s="25"/>
      <c r="C4920" s="25"/>
      <c r="D4920" s="25"/>
      <c r="E4920" s="25"/>
      <c r="F4920" s="25"/>
      <c r="G4920" s="25"/>
      <c r="H4920" s="25"/>
      <c r="I4920" s="25"/>
      <c r="J4920" s="25"/>
    </row>
    <row r="4921" spans="1:10" ht="14.4">
      <c r="A4921" s="25"/>
      <c r="B4921" s="25"/>
      <c r="C4921" s="25"/>
      <c r="D4921" s="25"/>
      <c r="E4921" s="25"/>
      <c r="F4921" s="25"/>
      <c r="G4921" s="25"/>
      <c r="H4921" s="25"/>
      <c r="I4921" s="25"/>
      <c r="J4921" s="25"/>
    </row>
    <row r="4922" spans="1:10" ht="14.4">
      <c r="A4922" s="25"/>
      <c r="B4922" s="25"/>
      <c r="C4922" s="25"/>
      <c r="D4922" s="25"/>
      <c r="E4922" s="25"/>
      <c r="F4922" s="25"/>
      <c r="G4922" s="25"/>
      <c r="H4922" s="25"/>
      <c r="I4922" s="25"/>
      <c r="J4922" s="25"/>
    </row>
    <row r="4923" spans="1:10" ht="14.4">
      <c r="A4923" s="25"/>
      <c r="B4923" s="25"/>
      <c r="C4923" s="25"/>
      <c r="D4923" s="25"/>
      <c r="E4923" s="25"/>
      <c r="F4923" s="25"/>
      <c r="G4923" s="25"/>
      <c r="H4923" s="25"/>
      <c r="I4923" s="25"/>
      <c r="J4923" s="25"/>
    </row>
    <row r="4924" spans="1:10" ht="14.4">
      <c r="A4924" s="25"/>
      <c r="B4924" s="25"/>
      <c r="C4924" s="25"/>
      <c r="D4924" s="25"/>
      <c r="E4924" s="25"/>
      <c r="F4924" s="25"/>
      <c r="G4924" s="25"/>
      <c r="H4924" s="25"/>
      <c r="I4924" s="25"/>
      <c r="J4924" s="25"/>
    </row>
    <row r="4925" spans="1:10" ht="14.4">
      <c r="A4925" s="25"/>
      <c r="B4925" s="25"/>
      <c r="C4925" s="25"/>
      <c r="D4925" s="25"/>
      <c r="E4925" s="25"/>
      <c r="F4925" s="25"/>
      <c r="G4925" s="25"/>
      <c r="H4925" s="25"/>
      <c r="I4925" s="25"/>
      <c r="J4925" s="25"/>
    </row>
    <row r="4926" spans="1:10" ht="14.4">
      <c r="A4926" s="25"/>
      <c r="B4926" s="25"/>
      <c r="C4926" s="25"/>
      <c r="D4926" s="25"/>
      <c r="E4926" s="25"/>
      <c r="F4926" s="25"/>
      <c r="G4926" s="25"/>
      <c r="H4926" s="25"/>
      <c r="I4926" s="25"/>
      <c r="J4926" s="25"/>
    </row>
    <row r="4927" spans="1:10" ht="14.4">
      <c r="A4927" s="25"/>
      <c r="B4927" s="25"/>
      <c r="C4927" s="25"/>
      <c r="D4927" s="25"/>
      <c r="E4927" s="25"/>
      <c r="F4927" s="25"/>
      <c r="G4927" s="25"/>
      <c r="H4927" s="25"/>
      <c r="I4927" s="25"/>
      <c r="J4927" s="25"/>
    </row>
    <row r="4928" spans="1:10" ht="14.4">
      <c r="A4928" s="25"/>
      <c r="B4928" s="25"/>
      <c r="C4928" s="25"/>
      <c r="D4928" s="25"/>
      <c r="E4928" s="25"/>
      <c r="F4928" s="25"/>
      <c r="G4928" s="25"/>
      <c r="H4928" s="25"/>
      <c r="I4928" s="25"/>
      <c r="J4928" s="25"/>
    </row>
    <row r="4929" spans="1:10" ht="14.4">
      <c r="A4929" s="25"/>
      <c r="B4929" s="25"/>
      <c r="C4929" s="25"/>
      <c r="D4929" s="25"/>
      <c r="E4929" s="25"/>
      <c r="F4929" s="25"/>
      <c r="G4929" s="25"/>
      <c r="H4929" s="25"/>
      <c r="I4929" s="25"/>
      <c r="J4929" s="25"/>
    </row>
    <row r="4930" spans="1:10" ht="14.4">
      <c r="A4930" s="25"/>
      <c r="B4930" s="25"/>
      <c r="C4930" s="25"/>
      <c r="D4930" s="25"/>
      <c r="E4930" s="25"/>
      <c r="F4930" s="25"/>
      <c r="G4930" s="25"/>
      <c r="H4930" s="25"/>
      <c r="I4930" s="25"/>
      <c r="J4930" s="25"/>
    </row>
    <row r="4931" spans="1:10" ht="14.4">
      <c r="A4931" s="25"/>
      <c r="B4931" s="25"/>
      <c r="C4931" s="25"/>
      <c r="D4931" s="25"/>
      <c r="E4931" s="25"/>
      <c r="F4931" s="25"/>
      <c r="G4931" s="25"/>
      <c r="H4931" s="25"/>
      <c r="I4931" s="25"/>
      <c r="J4931" s="25"/>
    </row>
    <row r="4932" spans="1:10" ht="14.4">
      <c r="A4932" s="25"/>
      <c r="B4932" s="25"/>
      <c r="C4932" s="25"/>
      <c r="D4932" s="25"/>
      <c r="E4932" s="25"/>
      <c r="F4932" s="25"/>
      <c r="G4932" s="25"/>
      <c r="H4932" s="25"/>
      <c r="I4932" s="25"/>
      <c r="J4932" s="25"/>
    </row>
    <row r="4933" spans="1:10" ht="14.4">
      <c r="A4933" s="25"/>
      <c r="B4933" s="25"/>
      <c r="C4933" s="25"/>
      <c r="D4933" s="25"/>
      <c r="E4933" s="25"/>
      <c r="F4933" s="25"/>
      <c r="G4933" s="25"/>
      <c r="H4933" s="25"/>
      <c r="I4933" s="25"/>
      <c r="J4933" s="25"/>
    </row>
    <row r="4934" spans="1:10" ht="14.4">
      <c r="A4934" s="25"/>
      <c r="B4934" s="25"/>
      <c r="C4934" s="25"/>
      <c r="D4934" s="25"/>
      <c r="E4934" s="25"/>
      <c r="F4934" s="25"/>
      <c r="G4934" s="25"/>
      <c r="H4934" s="25"/>
      <c r="I4934" s="25"/>
      <c r="J4934" s="25"/>
    </row>
    <row r="4935" spans="1:10" ht="14.4">
      <c r="A4935" s="25"/>
      <c r="B4935" s="25"/>
      <c r="C4935" s="25"/>
      <c r="D4935" s="25"/>
      <c r="E4935" s="25"/>
      <c r="F4935" s="25"/>
      <c r="G4935" s="25"/>
      <c r="H4935" s="25"/>
      <c r="I4935" s="25"/>
      <c r="J4935" s="25"/>
    </row>
    <row r="4936" spans="1:10" ht="14.4">
      <c r="A4936" s="25"/>
      <c r="B4936" s="25"/>
      <c r="C4936" s="25"/>
      <c r="D4936" s="25"/>
      <c r="E4936" s="25"/>
      <c r="F4936" s="25"/>
      <c r="G4936" s="25"/>
      <c r="H4936" s="25"/>
      <c r="I4936" s="25"/>
      <c r="J4936" s="25"/>
    </row>
    <row r="4937" spans="1:10" ht="14.4">
      <c r="A4937" s="25"/>
      <c r="B4937" s="25"/>
      <c r="C4937" s="25"/>
      <c r="D4937" s="25"/>
      <c r="E4937" s="25"/>
      <c r="F4937" s="25"/>
      <c r="G4937" s="25"/>
      <c r="H4937" s="25"/>
      <c r="I4937" s="25"/>
      <c r="J4937" s="25"/>
    </row>
    <row r="4938" spans="1:10" ht="14.4">
      <c r="A4938" s="25"/>
      <c r="B4938" s="25"/>
      <c r="C4938" s="25"/>
      <c r="D4938" s="25"/>
      <c r="E4938" s="25"/>
      <c r="F4938" s="25"/>
      <c r="G4938" s="25"/>
      <c r="H4938" s="25"/>
      <c r="I4938" s="25"/>
      <c r="J4938" s="25"/>
    </row>
    <row r="4939" spans="1:10" ht="14.4">
      <c r="A4939" s="25"/>
      <c r="B4939" s="25"/>
      <c r="C4939" s="25"/>
      <c r="D4939" s="25"/>
      <c r="E4939" s="25"/>
      <c r="F4939" s="25"/>
      <c r="G4939" s="25"/>
      <c r="H4939" s="25"/>
      <c r="I4939" s="25"/>
      <c r="J4939" s="25"/>
    </row>
    <row r="4940" spans="1:10" ht="14.4">
      <c r="A4940" s="25"/>
      <c r="B4940" s="25"/>
      <c r="C4940" s="25"/>
      <c r="D4940" s="25"/>
      <c r="E4940" s="25"/>
      <c r="F4940" s="25"/>
      <c r="G4940" s="25"/>
      <c r="H4940" s="25"/>
      <c r="I4940" s="25"/>
      <c r="J4940" s="25"/>
    </row>
    <row r="4941" spans="1:10" ht="14.4">
      <c r="A4941" s="25"/>
      <c r="B4941" s="25"/>
      <c r="C4941" s="25"/>
      <c r="D4941" s="25"/>
      <c r="E4941" s="25"/>
      <c r="F4941" s="25"/>
      <c r="G4941" s="25"/>
      <c r="H4941" s="25"/>
      <c r="I4941" s="25"/>
      <c r="J4941" s="25"/>
    </row>
    <row r="4942" spans="1:10" ht="14.4">
      <c r="A4942" s="25"/>
      <c r="B4942" s="25"/>
      <c r="C4942" s="25"/>
      <c r="D4942" s="25"/>
      <c r="E4942" s="25"/>
      <c r="F4942" s="25"/>
      <c r="G4942" s="25"/>
      <c r="H4942" s="25"/>
      <c r="I4942" s="25"/>
      <c r="J4942" s="25"/>
    </row>
    <row r="4943" spans="1:10" ht="14.4">
      <c r="A4943" s="25"/>
      <c r="B4943" s="25"/>
      <c r="C4943" s="25"/>
      <c r="D4943" s="25"/>
      <c r="E4943" s="25"/>
      <c r="F4943" s="25"/>
      <c r="G4943" s="25"/>
      <c r="H4943" s="25"/>
      <c r="I4943" s="25"/>
      <c r="J4943" s="25"/>
    </row>
    <row r="4944" spans="1:10" ht="14.4">
      <c r="A4944" s="25"/>
      <c r="B4944" s="25"/>
      <c r="C4944" s="25"/>
      <c r="D4944" s="25"/>
      <c r="E4944" s="25"/>
      <c r="F4944" s="25"/>
      <c r="G4944" s="25"/>
      <c r="H4944" s="25"/>
      <c r="I4944" s="25"/>
      <c r="J4944" s="25"/>
    </row>
    <row r="4945" spans="1:10" ht="14.4">
      <c r="A4945" s="25"/>
      <c r="B4945" s="25"/>
      <c r="C4945" s="25"/>
      <c r="D4945" s="25"/>
      <c r="E4945" s="25"/>
      <c r="F4945" s="25"/>
      <c r="G4945" s="25"/>
      <c r="H4945" s="25"/>
      <c r="I4945" s="25"/>
      <c r="J4945" s="25"/>
    </row>
    <row r="4946" spans="1:10" ht="14.4">
      <c r="A4946" s="25"/>
      <c r="B4946" s="25"/>
      <c r="C4946" s="25"/>
      <c r="D4946" s="25"/>
      <c r="E4946" s="25"/>
      <c r="F4946" s="25"/>
      <c r="G4946" s="25"/>
      <c r="H4946" s="25"/>
      <c r="I4946" s="25"/>
      <c r="J4946" s="25"/>
    </row>
    <row r="4947" spans="1:10" ht="14.4">
      <c r="A4947" s="25"/>
      <c r="B4947" s="25"/>
      <c r="C4947" s="25"/>
      <c r="D4947" s="25"/>
      <c r="E4947" s="25"/>
      <c r="F4947" s="25"/>
      <c r="G4947" s="25"/>
      <c r="H4947" s="25"/>
      <c r="I4947" s="25"/>
      <c r="J4947" s="25"/>
    </row>
    <row r="4948" spans="1:10" ht="14.4">
      <c r="A4948" s="25"/>
      <c r="B4948" s="25"/>
      <c r="C4948" s="25"/>
      <c r="D4948" s="25"/>
      <c r="E4948" s="25"/>
      <c r="F4948" s="25"/>
      <c r="G4948" s="25"/>
      <c r="H4948" s="25"/>
      <c r="I4948" s="25"/>
      <c r="J4948" s="25"/>
    </row>
    <row r="4949" spans="1:10" ht="14.4">
      <c r="A4949" s="25"/>
      <c r="B4949" s="25"/>
      <c r="C4949" s="25"/>
      <c r="D4949" s="25"/>
      <c r="E4949" s="25"/>
      <c r="F4949" s="25"/>
      <c r="G4949" s="25"/>
      <c r="H4949" s="25"/>
      <c r="I4949" s="25"/>
      <c r="J4949" s="25"/>
    </row>
    <row r="4950" spans="1:10" ht="14.4">
      <c r="A4950" s="25"/>
      <c r="B4950" s="25"/>
      <c r="C4950" s="25"/>
      <c r="D4950" s="25"/>
      <c r="E4950" s="25"/>
      <c r="F4950" s="25"/>
      <c r="G4950" s="25"/>
      <c r="H4950" s="25"/>
      <c r="I4950" s="25"/>
      <c r="J4950" s="25"/>
    </row>
    <row r="4951" spans="1:10" ht="14.4">
      <c r="A4951" s="25"/>
      <c r="B4951" s="25"/>
      <c r="C4951" s="25"/>
      <c r="D4951" s="25"/>
      <c r="E4951" s="25"/>
      <c r="F4951" s="25"/>
      <c r="G4951" s="25"/>
      <c r="H4951" s="25"/>
      <c r="I4951" s="25"/>
      <c r="J4951" s="25"/>
    </row>
    <row r="4952" spans="1:10" ht="14.4">
      <c r="A4952" s="25"/>
      <c r="B4952" s="25"/>
      <c r="C4952" s="25"/>
      <c r="D4952" s="25"/>
      <c r="E4952" s="25"/>
      <c r="F4952" s="25"/>
      <c r="G4952" s="25"/>
      <c r="H4952" s="25"/>
      <c r="I4952" s="25"/>
      <c r="J4952" s="25"/>
    </row>
    <row r="4953" spans="1:10" ht="14.4">
      <c r="A4953" s="25"/>
      <c r="B4953" s="25"/>
      <c r="C4953" s="25"/>
      <c r="D4953" s="25"/>
      <c r="E4953" s="25"/>
      <c r="F4953" s="25"/>
      <c r="G4953" s="25"/>
      <c r="H4953" s="25"/>
      <c r="I4953" s="25"/>
      <c r="J4953" s="25"/>
    </row>
    <row r="4954" spans="1:10" ht="14.4">
      <c r="A4954" s="25"/>
      <c r="B4954" s="25"/>
      <c r="C4954" s="25"/>
      <c r="D4954" s="25"/>
      <c r="E4954" s="25"/>
      <c r="F4954" s="25"/>
      <c r="G4954" s="25"/>
      <c r="H4954" s="25"/>
      <c r="I4954" s="25"/>
      <c r="J4954" s="25"/>
    </row>
    <row r="4955" spans="1:10" ht="14.4">
      <c r="A4955" s="25"/>
      <c r="B4955" s="25"/>
      <c r="C4955" s="25"/>
      <c r="D4955" s="25"/>
      <c r="E4955" s="25"/>
      <c r="F4955" s="25"/>
      <c r="G4955" s="25"/>
      <c r="H4955" s="25"/>
      <c r="I4955" s="25"/>
      <c r="J4955" s="25"/>
    </row>
    <row r="4956" spans="1:10" ht="14.4">
      <c r="A4956" s="25"/>
      <c r="B4956" s="25"/>
      <c r="C4956" s="25"/>
      <c r="D4956" s="25"/>
      <c r="E4956" s="25"/>
      <c r="F4956" s="25"/>
      <c r="G4956" s="25"/>
      <c r="H4956" s="25"/>
      <c r="I4956" s="25"/>
      <c r="J4956" s="25"/>
    </row>
    <row r="4957" spans="1:10" ht="14.4">
      <c r="A4957" s="25"/>
      <c r="B4957" s="25"/>
      <c r="C4957" s="25"/>
      <c r="D4957" s="25"/>
      <c r="E4957" s="25"/>
      <c r="F4957" s="25"/>
      <c r="G4957" s="25"/>
      <c r="H4957" s="25"/>
      <c r="I4957" s="25"/>
      <c r="J4957" s="25"/>
    </row>
    <row r="4958" spans="1:10" ht="14.4">
      <c r="A4958" s="25"/>
      <c r="B4958" s="25"/>
      <c r="C4958" s="25"/>
      <c r="D4958" s="25"/>
      <c r="E4958" s="25"/>
      <c r="F4958" s="25"/>
      <c r="G4958" s="25"/>
      <c r="H4958" s="25"/>
      <c r="I4958" s="25"/>
      <c r="J4958" s="25"/>
    </row>
    <row r="4959" spans="1:10" ht="14.4">
      <c r="A4959" s="25"/>
      <c r="B4959" s="25"/>
      <c r="C4959" s="25"/>
      <c r="D4959" s="25"/>
      <c r="E4959" s="25"/>
      <c r="F4959" s="25"/>
      <c r="G4959" s="25"/>
      <c r="H4959" s="25"/>
      <c r="I4959" s="25"/>
      <c r="J4959" s="25"/>
    </row>
    <row r="4960" spans="1:10" ht="14.4">
      <c r="A4960" s="25"/>
      <c r="B4960" s="25"/>
      <c r="C4960" s="25"/>
      <c r="D4960" s="25"/>
      <c r="E4960" s="25"/>
      <c r="F4960" s="25"/>
      <c r="G4960" s="25"/>
      <c r="H4960" s="25"/>
      <c r="I4960" s="25"/>
      <c r="J4960" s="25"/>
    </row>
    <row r="4961" spans="1:10" ht="14.4">
      <c r="A4961" s="25"/>
      <c r="B4961" s="25"/>
      <c r="C4961" s="25"/>
      <c r="D4961" s="25"/>
      <c r="E4961" s="25"/>
      <c r="F4961" s="25"/>
      <c r="G4961" s="25"/>
      <c r="H4961" s="25"/>
      <c r="I4961" s="25"/>
      <c r="J4961" s="25"/>
    </row>
    <row r="4962" spans="1:10" ht="14.4">
      <c r="A4962" s="25"/>
      <c r="B4962" s="25"/>
      <c r="C4962" s="25"/>
      <c r="D4962" s="25"/>
      <c r="E4962" s="25"/>
      <c r="F4962" s="25"/>
      <c r="G4962" s="25"/>
      <c r="H4962" s="25"/>
      <c r="I4962" s="25"/>
      <c r="J4962" s="25"/>
    </row>
    <row r="4963" spans="1:10" ht="14.4">
      <c r="A4963" s="25"/>
      <c r="B4963" s="25"/>
      <c r="C4963" s="25"/>
      <c r="D4963" s="25"/>
      <c r="E4963" s="25"/>
      <c r="F4963" s="25"/>
      <c r="G4963" s="25"/>
      <c r="H4963" s="25"/>
      <c r="I4963" s="25"/>
      <c r="J4963" s="25"/>
    </row>
    <row r="4964" spans="1:10" ht="14.4">
      <c r="A4964" s="25"/>
      <c r="B4964" s="25"/>
      <c r="C4964" s="25"/>
      <c r="D4964" s="25"/>
      <c r="E4964" s="25"/>
      <c r="F4964" s="25"/>
      <c r="G4964" s="25"/>
      <c r="H4964" s="25"/>
      <c r="I4964" s="25"/>
      <c r="J4964" s="25"/>
    </row>
    <row r="4965" spans="1:10" ht="14.4">
      <c r="A4965" s="25"/>
      <c r="B4965" s="25"/>
      <c r="C4965" s="25"/>
      <c r="D4965" s="25"/>
      <c r="E4965" s="25"/>
      <c r="F4965" s="25"/>
      <c r="G4965" s="25"/>
      <c r="H4965" s="25"/>
      <c r="I4965" s="25"/>
      <c r="J4965" s="25"/>
    </row>
    <row r="4966" spans="1:10" ht="14.4">
      <c r="A4966" s="25"/>
      <c r="B4966" s="25"/>
      <c r="C4966" s="25"/>
      <c r="D4966" s="25"/>
      <c r="E4966" s="25"/>
      <c r="F4966" s="25"/>
      <c r="G4966" s="25"/>
      <c r="H4966" s="25"/>
      <c r="I4966" s="25"/>
      <c r="J4966" s="25"/>
    </row>
    <row r="4967" spans="1:10" ht="14.4">
      <c r="A4967" s="25"/>
      <c r="B4967" s="25"/>
      <c r="C4967" s="25"/>
      <c r="D4967" s="25"/>
      <c r="E4967" s="25"/>
      <c r="F4967" s="25"/>
      <c r="G4967" s="25"/>
      <c r="H4967" s="25"/>
      <c r="I4967" s="25"/>
      <c r="J4967" s="25"/>
    </row>
    <row r="4968" spans="1:10" ht="14.4">
      <c r="A4968" s="25"/>
      <c r="B4968" s="25"/>
      <c r="C4968" s="25"/>
      <c r="D4968" s="25"/>
      <c r="E4968" s="25"/>
      <c r="F4968" s="25"/>
      <c r="G4968" s="25"/>
      <c r="H4968" s="25"/>
      <c r="I4968" s="25"/>
      <c r="J4968" s="25"/>
    </row>
    <row r="4969" spans="1:10" ht="14.4">
      <c r="A4969" s="25"/>
      <c r="B4969" s="25"/>
      <c r="C4969" s="25"/>
      <c r="D4969" s="25"/>
      <c r="E4969" s="25"/>
      <c r="F4969" s="25"/>
      <c r="G4969" s="25"/>
      <c r="H4969" s="25"/>
      <c r="I4969" s="25"/>
      <c r="J4969" s="25"/>
    </row>
    <row r="4970" spans="1:10" ht="14.4">
      <c r="A4970" s="25"/>
      <c r="B4970" s="25"/>
      <c r="C4970" s="25"/>
      <c r="D4970" s="25"/>
      <c r="E4970" s="25"/>
      <c r="F4970" s="25"/>
      <c r="G4970" s="25"/>
      <c r="H4970" s="25"/>
      <c r="I4970" s="25"/>
      <c r="J4970" s="25"/>
    </row>
    <row r="4971" spans="1:10" ht="14.4">
      <c r="A4971" s="25"/>
      <c r="B4971" s="25"/>
      <c r="C4971" s="25"/>
      <c r="D4971" s="25"/>
      <c r="E4971" s="25"/>
      <c r="F4971" s="25"/>
      <c r="G4971" s="25"/>
      <c r="H4971" s="25"/>
      <c r="I4971" s="25"/>
      <c r="J4971" s="25"/>
    </row>
    <row r="4972" spans="1:10" ht="14.4">
      <c r="A4972" s="25"/>
      <c r="B4972" s="25"/>
      <c r="C4972" s="25"/>
      <c r="D4972" s="25"/>
      <c r="E4972" s="25"/>
      <c r="F4972" s="25"/>
      <c r="G4972" s="25"/>
      <c r="H4972" s="25"/>
      <c r="I4972" s="25"/>
      <c r="J4972" s="25"/>
    </row>
    <row r="4973" spans="1:10" ht="14.4">
      <c r="A4973" s="25"/>
      <c r="B4973" s="25"/>
      <c r="C4973" s="25"/>
      <c r="D4973" s="25"/>
      <c r="E4973" s="25"/>
      <c r="F4973" s="25"/>
      <c r="G4973" s="25"/>
      <c r="H4973" s="25"/>
      <c r="I4973" s="25"/>
      <c r="J4973" s="25"/>
    </row>
    <row r="4974" spans="1:10" ht="14.4">
      <c r="A4974" s="25"/>
      <c r="B4974" s="25"/>
      <c r="C4974" s="25"/>
      <c r="D4974" s="25"/>
      <c r="E4974" s="25"/>
      <c r="F4974" s="25"/>
      <c r="G4974" s="25"/>
      <c r="H4974" s="25"/>
      <c r="I4974" s="25"/>
      <c r="J4974" s="25"/>
    </row>
    <row r="4975" spans="1:10" ht="14.4">
      <c r="A4975" s="25"/>
      <c r="B4975" s="25"/>
      <c r="C4975" s="25"/>
      <c r="D4975" s="25"/>
      <c r="E4975" s="25"/>
      <c r="F4975" s="25"/>
      <c r="G4975" s="25"/>
      <c r="H4975" s="25"/>
      <c r="I4975" s="25"/>
      <c r="J4975" s="25"/>
    </row>
    <row r="4976" spans="1:10" ht="14.4">
      <c r="A4976" s="25"/>
      <c r="B4976" s="25"/>
      <c r="C4976" s="25"/>
      <c r="D4976" s="25"/>
      <c r="E4976" s="25"/>
      <c r="F4976" s="25"/>
      <c r="G4976" s="25"/>
      <c r="H4976" s="25"/>
      <c r="I4976" s="25"/>
      <c r="J4976" s="25"/>
    </row>
    <row r="4977" spans="1:10" ht="14.4">
      <c r="A4977" s="25"/>
      <c r="B4977" s="25"/>
      <c r="C4977" s="25"/>
      <c r="D4977" s="25"/>
      <c r="E4977" s="25"/>
      <c r="F4977" s="25"/>
      <c r="G4977" s="25"/>
      <c r="H4977" s="25"/>
      <c r="I4977" s="25"/>
      <c r="J4977" s="25"/>
    </row>
    <row r="4978" spans="1:10" ht="14.4">
      <c r="A4978" s="25"/>
      <c r="B4978" s="25"/>
      <c r="C4978" s="25"/>
      <c r="D4978" s="25"/>
      <c r="E4978" s="25"/>
      <c r="F4978" s="25"/>
      <c r="G4978" s="25"/>
      <c r="H4978" s="25"/>
      <c r="I4978" s="25"/>
      <c r="J4978" s="25"/>
    </row>
    <row r="4979" spans="1:10" ht="14.4">
      <c r="A4979" s="25"/>
      <c r="B4979" s="25"/>
      <c r="C4979" s="25"/>
      <c r="D4979" s="25"/>
      <c r="E4979" s="25"/>
      <c r="F4979" s="25"/>
      <c r="G4979" s="25"/>
      <c r="H4979" s="25"/>
      <c r="I4979" s="25"/>
      <c r="J4979" s="25"/>
    </row>
    <row r="4980" spans="1:10" ht="14.4">
      <c r="A4980" s="25"/>
      <c r="B4980" s="25"/>
      <c r="C4980" s="25"/>
      <c r="D4980" s="25"/>
      <c r="E4980" s="25"/>
      <c r="F4980" s="25"/>
      <c r="G4980" s="25"/>
      <c r="H4980" s="25"/>
      <c r="I4980" s="25"/>
      <c r="J4980" s="25"/>
    </row>
    <row r="4981" spans="1:10" ht="14.4">
      <c r="A4981" s="25"/>
      <c r="B4981" s="25"/>
      <c r="C4981" s="25"/>
      <c r="D4981" s="25"/>
      <c r="E4981" s="25"/>
      <c r="F4981" s="25"/>
      <c r="G4981" s="25"/>
      <c r="H4981" s="25"/>
      <c r="I4981" s="25"/>
      <c r="J4981" s="25"/>
    </row>
    <row r="4982" spans="1:10" ht="14.4">
      <c r="A4982" s="25"/>
      <c r="B4982" s="25"/>
      <c r="C4982" s="25"/>
      <c r="D4982" s="25"/>
      <c r="E4982" s="25"/>
      <c r="F4982" s="25"/>
      <c r="G4982" s="25"/>
      <c r="H4982" s="25"/>
      <c r="I4982" s="25"/>
      <c r="J4982" s="25"/>
    </row>
    <row r="4983" spans="1:10" ht="14.4">
      <c r="A4983" s="25"/>
      <c r="B4983" s="25"/>
      <c r="C4983" s="25"/>
      <c r="D4983" s="25"/>
      <c r="E4983" s="25"/>
      <c r="F4983" s="25"/>
      <c r="G4983" s="25"/>
      <c r="H4983" s="25"/>
      <c r="I4983" s="25"/>
      <c r="J4983" s="25"/>
    </row>
    <row r="4984" spans="1:10" ht="14.4">
      <c r="A4984" s="25"/>
      <c r="B4984" s="25"/>
      <c r="C4984" s="25"/>
      <c r="D4984" s="25"/>
      <c r="E4984" s="25"/>
      <c r="F4984" s="25"/>
      <c r="G4984" s="25"/>
      <c r="H4984" s="25"/>
      <c r="I4984" s="25"/>
      <c r="J4984" s="25"/>
    </row>
    <row r="4985" spans="1:10" ht="14.4">
      <c r="A4985" s="25"/>
      <c r="B4985" s="25"/>
      <c r="C4985" s="25"/>
      <c r="D4985" s="25"/>
      <c r="E4985" s="25"/>
      <c r="F4985" s="25"/>
      <c r="G4985" s="25"/>
      <c r="H4985" s="25"/>
      <c r="I4985" s="25"/>
      <c r="J4985" s="25"/>
    </row>
    <row r="4986" spans="1:10" ht="14.4">
      <c r="A4986" s="25"/>
      <c r="B4986" s="25"/>
      <c r="C4986" s="25"/>
      <c r="D4986" s="25"/>
      <c r="E4986" s="25"/>
      <c r="F4986" s="25"/>
      <c r="G4986" s="25"/>
      <c r="H4986" s="25"/>
      <c r="I4986" s="25"/>
      <c r="J4986" s="25"/>
    </row>
    <row r="4987" spans="1:10" ht="14.4">
      <c r="A4987" s="25"/>
      <c r="B4987" s="25"/>
      <c r="C4987" s="25"/>
      <c r="D4987" s="25"/>
      <c r="E4987" s="25"/>
      <c r="F4987" s="25"/>
      <c r="G4987" s="25"/>
      <c r="H4987" s="25"/>
      <c r="I4987" s="25"/>
      <c r="J4987" s="25"/>
    </row>
    <row r="4988" spans="1:10" ht="14.4">
      <c r="A4988" s="25"/>
      <c r="B4988" s="25"/>
      <c r="C4988" s="25"/>
      <c r="D4988" s="25"/>
      <c r="E4988" s="25"/>
      <c r="F4988" s="25"/>
      <c r="G4988" s="25"/>
      <c r="H4988" s="25"/>
      <c r="I4988" s="25"/>
      <c r="J4988" s="25"/>
    </row>
    <row r="4989" spans="1:10" ht="14.4">
      <c r="A4989" s="25"/>
      <c r="B4989" s="25"/>
      <c r="C4989" s="25"/>
      <c r="D4989" s="25"/>
      <c r="E4989" s="25"/>
      <c r="F4989" s="25"/>
      <c r="G4989" s="25"/>
      <c r="H4989" s="25"/>
      <c r="I4989" s="25"/>
      <c r="J4989" s="25"/>
    </row>
    <row r="4990" spans="1:10" ht="14.4">
      <c r="A4990" s="25"/>
      <c r="B4990" s="25"/>
      <c r="C4990" s="25"/>
      <c r="D4990" s="25"/>
      <c r="E4990" s="25"/>
      <c r="F4990" s="25"/>
      <c r="G4990" s="25"/>
      <c r="H4990" s="25"/>
      <c r="I4990" s="25"/>
      <c r="J4990" s="25"/>
    </row>
    <row r="4991" spans="1:10" ht="14.4">
      <c r="A4991" s="25"/>
      <c r="B4991" s="25"/>
      <c r="C4991" s="25"/>
      <c r="D4991" s="25"/>
      <c r="E4991" s="25"/>
      <c r="F4991" s="25"/>
      <c r="G4991" s="25"/>
      <c r="H4991" s="25"/>
      <c r="I4991" s="25"/>
      <c r="J4991" s="25"/>
    </row>
    <row r="4992" spans="1:10" ht="14.4">
      <c r="A4992" s="25"/>
      <c r="B4992" s="25"/>
      <c r="C4992" s="25"/>
      <c r="D4992" s="25"/>
      <c r="E4992" s="25"/>
      <c r="F4992" s="25"/>
      <c r="G4992" s="25"/>
      <c r="H4992" s="25"/>
      <c r="I4992" s="25"/>
      <c r="J4992" s="25"/>
    </row>
    <row r="4993" spans="1:10" ht="14.4">
      <c r="A4993" s="25"/>
      <c r="B4993" s="25"/>
      <c r="C4993" s="25"/>
      <c r="D4993" s="25"/>
      <c r="E4993" s="25"/>
      <c r="F4993" s="25"/>
      <c r="G4993" s="25"/>
      <c r="H4993" s="25"/>
      <c r="I4993" s="25"/>
      <c r="J4993" s="25"/>
    </row>
    <row r="4994" spans="1:10" ht="14.4">
      <c r="A4994" s="25"/>
      <c r="B4994" s="25"/>
      <c r="C4994" s="25"/>
      <c r="D4994" s="25"/>
      <c r="E4994" s="25"/>
      <c r="F4994" s="25"/>
      <c r="G4994" s="25"/>
      <c r="H4994" s="25"/>
      <c r="I4994" s="25"/>
      <c r="J4994" s="25"/>
    </row>
    <row r="4995" spans="1:10" ht="14.4">
      <c r="A4995" s="25"/>
      <c r="B4995" s="25"/>
      <c r="C4995" s="25"/>
      <c r="D4995" s="25"/>
      <c r="E4995" s="25"/>
      <c r="F4995" s="25"/>
      <c r="G4995" s="25"/>
      <c r="H4995" s="25"/>
      <c r="I4995" s="25"/>
      <c r="J4995" s="25"/>
    </row>
    <row r="4996" spans="1:10" ht="14.4">
      <c r="A4996" s="25"/>
      <c r="B4996" s="25"/>
      <c r="C4996" s="25"/>
      <c r="D4996" s="25"/>
      <c r="E4996" s="25"/>
      <c r="F4996" s="25"/>
      <c r="G4996" s="25"/>
      <c r="H4996" s="25"/>
      <c r="I4996" s="25"/>
      <c r="J4996" s="25"/>
    </row>
    <row r="4997" spans="1:10" ht="14.4">
      <c r="A4997" s="25"/>
      <c r="B4997" s="25"/>
      <c r="C4997" s="25"/>
      <c r="D4997" s="25"/>
      <c r="E4997" s="25"/>
      <c r="F4997" s="25"/>
      <c r="G4997" s="25"/>
      <c r="H4997" s="25"/>
      <c r="I4997" s="25"/>
      <c r="J4997" s="25"/>
    </row>
    <row r="4998" spans="1:10" ht="14.4">
      <c r="A4998" s="25"/>
      <c r="B4998" s="25"/>
      <c r="C4998" s="25"/>
      <c r="D4998" s="25"/>
      <c r="E4998" s="25"/>
      <c r="F4998" s="25"/>
      <c r="G4998" s="25"/>
      <c r="H4998" s="25"/>
      <c r="I4998" s="25"/>
      <c r="J4998" s="25"/>
    </row>
    <row r="4999" spans="1:10" ht="14.4">
      <c r="A4999" s="25"/>
      <c r="B4999" s="25"/>
      <c r="C4999" s="25"/>
      <c r="D4999" s="25"/>
      <c r="E4999" s="25"/>
      <c r="F4999" s="25"/>
      <c r="G4999" s="25"/>
      <c r="H4999" s="25"/>
      <c r="I4999" s="25"/>
      <c r="J4999" s="25"/>
    </row>
    <row r="5000" spans="1:10" ht="14.4">
      <c r="A5000" s="25"/>
      <c r="B5000" s="25"/>
      <c r="C5000" s="25"/>
      <c r="D5000" s="25"/>
      <c r="E5000" s="25"/>
      <c r="F5000" s="25"/>
      <c r="G5000" s="25"/>
      <c r="H5000" s="25"/>
      <c r="I5000" s="25"/>
      <c r="J5000" s="25"/>
    </row>
    <row r="5001" spans="1:10" ht="14.4">
      <c r="A5001" s="25"/>
      <c r="B5001" s="25"/>
      <c r="C5001" s="25"/>
      <c r="D5001" s="25"/>
      <c r="E5001" s="25"/>
      <c r="F5001" s="25"/>
      <c r="G5001" s="25"/>
      <c r="H5001" s="25"/>
      <c r="I5001" s="25"/>
      <c r="J5001" s="25"/>
    </row>
    <row r="5002" spans="1:10" ht="14.4">
      <c r="A5002" s="25"/>
      <c r="B5002" s="25"/>
      <c r="C5002" s="25"/>
      <c r="D5002" s="25"/>
      <c r="E5002" s="25"/>
      <c r="F5002" s="25"/>
      <c r="G5002" s="25"/>
      <c r="H5002" s="25"/>
      <c r="I5002" s="25"/>
      <c r="J5002" s="25"/>
    </row>
    <row r="5003" spans="1:10" ht="14.4">
      <c r="A5003" s="25"/>
      <c r="B5003" s="25"/>
      <c r="C5003" s="25"/>
      <c r="D5003" s="25"/>
      <c r="E5003" s="25"/>
      <c r="F5003" s="25"/>
      <c r="G5003" s="25"/>
      <c r="H5003" s="25"/>
      <c r="I5003" s="25"/>
      <c r="J5003" s="25"/>
    </row>
    <row r="5004" spans="1:10" ht="14.4">
      <c r="A5004" s="25"/>
      <c r="B5004" s="25"/>
      <c r="C5004" s="25"/>
      <c r="D5004" s="25"/>
      <c r="E5004" s="25"/>
      <c r="F5004" s="25"/>
      <c r="G5004" s="25"/>
      <c r="H5004" s="25"/>
      <c r="I5004" s="25"/>
      <c r="J5004" s="25"/>
    </row>
    <row r="5005" spans="1:10" ht="14.4">
      <c r="A5005" s="25"/>
      <c r="B5005" s="25"/>
      <c r="C5005" s="25"/>
      <c r="D5005" s="25"/>
      <c r="E5005" s="25"/>
      <c r="F5005" s="25"/>
      <c r="G5005" s="25"/>
      <c r="H5005" s="25"/>
      <c r="I5005" s="25"/>
      <c r="J5005" s="25"/>
    </row>
    <row r="5006" spans="1:10" ht="14.4">
      <c r="A5006" s="25"/>
      <c r="B5006" s="25"/>
      <c r="C5006" s="25"/>
      <c r="D5006" s="25"/>
      <c r="E5006" s="25"/>
      <c r="F5006" s="25"/>
      <c r="G5006" s="25"/>
      <c r="H5006" s="25"/>
      <c r="I5006" s="25"/>
      <c r="J5006" s="25"/>
    </row>
    <row r="5007" spans="1:10" ht="14.4">
      <c r="A5007" s="25"/>
      <c r="B5007" s="25"/>
      <c r="C5007" s="25"/>
      <c r="D5007" s="25"/>
      <c r="E5007" s="25"/>
      <c r="F5007" s="25"/>
      <c r="G5007" s="25"/>
      <c r="H5007" s="25"/>
      <c r="I5007" s="25"/>
      <c r="J5007" s="25"/>
    </row>
    <row r="5008" spans="1:10" ht="14.4">
      <c r="A5008" s="25"/>
      <c r="B5008" s="25"/>
      <c r="C5008" s="25"/>
      <c r="D5008" s="25"/>
      <c r="E5008" s="25"/>
      <c r="F5008" s="25"/>
      <c r="G5008" s="25"/>
      <c r="H5008" s="25"/>
      <c r="I5008" s="25"/>
      <c r="J5008" s="25"/>
    </row>
    <row r="5009" spans="1:10" ht="14.4">
      <c r="A5009" s="25"/>
      <c r="B5009" s="25"/>
      <c r="C5009" s="25"/>
      <c r="D5009" s="25"/>
      <c r="E5009" s="25"/>
      <c r="F5009" s="25"/>
      <c r="G5009" s="25"/>
      <c r="H5009" s="25"/>
      <c r="I5009" s="25"/>
      <c r="J5009" s="25"/>
    </row>
    <row r="5010" spans="1:10" ht="14.4">
      <c r="A5010" s="25"/>
      <c r="B5010" s="25"/>
      <c r="C5010" s="25"/>
      <c r="D5010" s="25"/>
      <c r="E5010" s="25"/>
      <c r="F5010" s="25"/>
      <c r="G5010" s="25"/>
      <c r="H5010" s="25"/>
      <c r="I5010" s="25"/>
      <c r="J5010" s="25"/>
    </row>
    <row r="5011" spans="1:10" ht="14.4">
      <c r="A5011" s="25"/>
      <c r="B5011" s="25"/>
      <c r="C5011" s="25"/>
      <c r="D5011" s="25"/>
      <c r="E5011" s="25"/>
      <c r="F5011" s="25"/>
      <c r="G5011" s="25"/>
      <c r="H5011" s="25"/>
      <c r="I5011" s="25"/>
      <c r="J5011" s="25"/>
    </row>
    <row r="5012" spans="1:10" ht="14.4">
      <c r="A5012" s="25"/>
      <c r="B5012" s="25"/>
      <c r="C5012" s="25"/>
      <c r="D5012" s="25"/>
      <c r="E5012" s="25"/>
      <c r="F5012" s="25"/>
      <c r="G5012" s="25"/>
      <c r="H5012" s="25"/>
      <c r="I5012" s="25"/>
      <c r="J5012" s="25"/>
    </row>
    <row r="5013" spans="1:10" ht="14.4">
      <c r="A5013" s="25"/>
      <c r="B5013" s="25"/>
      <c r="C5013" s="25"/>
      <c r="D5013" s="25"/>
      <c r="E5013" s="25"/>
      <c r="F5013" s="25"/>
      <c r="G5013" s="25"/>
      <c r="H5013" s="25"/>
      <c r="I5013" s="25"/>
      <c r="J5013" s="25"/>
    </row>
    <row r="5014" spans="1:10" ht="14.4">
      <c r="A5014" s="25"/>
      <c r="B5014" s="25"/>
      <c r="C5014" s="25"/>
      <c r="D5014" s="25"/>
      <c r="E5014" s="25"/>
      <c r="F5014" s="25"/>
      <c r="G5014" s="25"/>
      <c r="H5014" s="25"/>
      <c r="I5014" s="25"/>
      <c r="J5014" s="25"/>
    </row>
    <row r="5015" spans="1:10" ht="14.4">
      <c r="A5015" s="25"/>
      <c r="B5015" s="25"/>
      <c r="C5015" s="25"/>
      <c r="D5015" s="25"/>
      <c r="E5015" s="25"/>
      <c r="F5015" s="25"/>
      <c r="G5015" s="25"/>
      <c r="H5015" s="25"/>
      <c r="I5015" s="25"/>
      <c r="J5015" s="25"/>
    </row>
    <row r="5016" spans="1:10" ht="14.4">
      <c r="A5016" s="25"/>
      <c r="B5016" s="25"/>
      <c r="C5016" s="25"/>
      <c r="D5016" s="25"/>
      <c r="E5016" s="25"/>
      <c r="F5016" s="25"/>
      <c r="G5016" s="25"/>
      <c r="H5016" s="25"/>
      <c r="I5016" s="25"/>
      <c r="J5016" s="25"/>
    </row>
    <row r="5017" spans="1:10" ht="14.4">
      <c r="A5017" s="25"/>
      <c r="B5017" s="25"/>
      <c r="C5017" s="25"/>
      <c r="D5017" s="25"/>
      <c r="E5017" s="25"/>
      <c r="F5017" s="25"/>
      <c r="G5017" s="25"/>
      <c r="H5017" s="25"/>
      <c r="I5017" s="25"/>
      <c r="J5017" s="25"/>
    </row>
    <row r="5018" spans="1:10" ht="14.4">
      <c r="A5018" s="25"/>
      <c r="B5018" s="25"/>
      <c r="C5018" s="25"/>
      <c r="D5018" s="25"/>
      <c r="E5018" s="25"/>
      <c r="F5018" s="25"/>
      <c r="G5018" s="25"/>
      <c r="H5018" s="25"/>
      <c r="I5018" s="25"/>
      <c r="J5018" s="25"/>
    </row>
    <row r="5019" spans="1:10" ht="14.4">
      <c r="A5019" s="25"/>
      <c r="B5019" s="25"/>
      <c r="C5019" s="25"/>
      <c r="D5019" s="25"/>
      <c r="E5019" s="25"/>
      <c r="F5019" s="25"/>
      <c r="G5019" s="25"/>
      <c r="H5019" s="25"/>
      <c r="I5019" s="25"/>
      <c r="J5019" s="25"/>
    </row>
    <row r="5020" spans="1:10" ht="14.4">
      <c r="A5020" s="25"/>
      <c r="B5020" s="25"/>
      <c r="C5020" s="25"/>
      <c r="D5020" s="25"/>
      <c r="E5020" s="25"/>
      <c r="F5020" s="25"/>
      <c r="G5020" s="25"/>
      <c r="H5020" s="25"/>
      <c r="I5020" s="25"/>
      <c r="J5020" s="25"/>
    </row>
    <row r="5021" spans="1:10" ht="14.4">
      <c r="A5021" s="25"/>
      <c r="B5021" s="25"/>
      <c r="C5021" s="25"/>
      <c r="D5021" s="25"/>
      <c r="E5021" s="25"/>
      <c r="F5021" s="25"/>
      <c r="G5021" s="25"/>
      <c r="H5021" s="25"/>
      <c r="I5021" s="25"/>
      <c r="J5021" s="25"/>
    </row>
    <row r="5022" spans="1:10" ht="14.4">
      <c r="A5022" s="25"/>
      <c r="B5022" s="25"/>
      <c r="C5022" s="25"/>
      <c r="D5022" s="25"/>
      <c r="E5022" s="25"/>
      <c r="F5022" s="25"/>
      <c r="G5022" s="25"/>
      <c r="H5022" s="25"/>
      <c r="I5022" s="25"/>
      <c r="J5022" s="25"/>
    </row>
    <row r="5023" spans="1:10" ht="14.4">
      <c r="A5023" s="25"/>
      <c r="B5023" s="25"/>
      <c r="C5023" s="25"/>
      <c r="D5023" s="25"/>
      <c r="E5023" s="25"/>
      <c r="F5023" s="25"/>
      <c r="G5023" s="25"/>
      <c r="H5023" s="25"/>
      <c r="I5023" s="25"/>
      <c r="J5023" s="25"/>
    </row>
    <row r="5024" spans="1:10" ht="14.4">
      <c r="A5024" s="25"/>
      <c r="B5024" s="25"/>
      <c r="C5024" s="25"/>
      <c r="D5024" s="25"/>
      <c r="E5024" s="25"/>
      <c r="F5024" s="25"/>
      <c r="G5024" s="25"/>
      <c r="H5024" s="25"/>
      <c r="I5024" s="25"/>
      <c r="J5024" s="25"/>
    </row>
    <row r="5025" spans="1:10" ht="14.4">
      <c r="A5025" s="25"/>
      <c r="B5025" s="25"/>
      <c r="C5025" s="25"/>
      <c r="D5025" s="25"/>
      <c r="E5025" s="25"/>
      <c r="F5025" s="25"/>
      <c r="G5025" s="25"/>
      <c r="H5025" s="25"/>
      <c r="I5025" s="25"/>
      <c r="J5025" s="25"/>
    </row>
    <row r="5026" spans="1:10" ht="14.4">
      <c r="A5026" s="25"/>
      <c r="B5026" s="25"/>
      <c r="C5026" s="25"/>
      <c r="D5026" s="25"/>
      <c r="E5026" s="25"/>
      <c r="F5026" s="25"/>
      <c r="G5026" s="25"/>
      <c r="H5026" s="25"/>
      <c r="I5026" s="25"/>
      <c r="J5026" s="25"/>
    </row>
    <row r="5027" spans="1:10" ht="14.4">
      <c r="A5027" s="25"/>
      <c r="B5027" s="25"/>
      <c r="C5027" s="25"/>
      <c r="D5027" s="25"/>
      <c r="E5027" s="25"/>
      <c r="F5027" s="25"/>
      <c r="G5027" s="25"/>
      <c r="H5027" s="25"/>
      <c r="I5027" s="25"/>
      <c r="J5027" s="25"/>
    </row>
    <row r="5028" spans="1:10" ht="14.4">
      <c r="A5028" s="25"/>
      <c r="B5028" s="25"/>
      <c r="C5028" s="25"/>
      <c r="D5028" s="25"/>
      <c r="E5028" s="25"/>
      <c r="F5028" s="25"/>
      <c r="G5028" s="25"/>
      <c r="H5028" s="25"/>
      <c r="I5028" s="25"/>
      <c r="J5028" s="25"/>
    </row>
    <row r="5029" spans="1:10" ht="14.4">
      <c r="A5029" s="25"/>
      <c r="B5029" s="25"/>
      <c r="C5029" s="25"/>
      <c r="D5029" s="25"/>
      <c r="E5029" s="25"/>
      <c r="F5029" s="25"/>
      <c r="G5029" s="25"/>
      <c r="H5029" s="25"/>
      <c r="I5029" s="25"/>
      <c r="J5029" s="25"/>
    </row>
    <row r="5030" spans="1:10" ht="14.4">
      <c r="A5030" s="25"/>
      <c r="B5030" s="25"/>
      <c r="C5030" s="25"/>
      <c r="D5030" s="25"/>
      <c r="E5030" s="25"/>
      <c r="F5030" s="25"/>
      <c r="G5030" s="25"/>
      <c r="H5030" s="25"/>
      <c r="I5030" s="25"/>
      <c r="J5030" s="25"/>
    </row>
    <row r="5031" spans="1:10" ht="14.4">
      <c r="A5031" s="25"/>
      <c r="B5031" s="25"/>
      <c r="C5031" s="25"/>
      <c r="D5031" s="25"/>
      <c r="E5031" s="25"/>
      <c r="F5031" s="25"/>
      <c r="G5031" s="25"/>
      <c r="H5031" s="25"/>
      <c r="I5031" s="25"/>
      <c r="J5031" s="25"/>
    </row>
    <row r="5032" spans="1:10" ht="14.4">
      <c r="A5032" s="25"/>
      <c r="B5032" s="25"/>
      <c r="C5032" s="25"/>
      <c r="D5032" s="25"/>
      <c r="E5032" s="25"/>
      <c r="F5032" s="25"/>
      <c r="G5032" s="25"/>
      <c r="H5032" s="25"/>
      <c r="I5032" s="25"/>
      <c r="J5032" s="25"/>
    </row>
    <row r="5033" spans="1:10" ht="14.4">
      <c r="A5033" s="25"/>
      <c r="B5033" s="25"/>
      <c r="C5033" s="25"/>
      <c r="D5033" s="25"/>
      <c r="E5033" s="25"/>
      <c r="F5033" s="25"/>
      <c r="G5033" s="25"/>
      <c r="H5033" s="25"/>
      <c r="I5033" s="25"/>
      <c r="J5033" s="25"/>
    </row>
    <row r="5034" spans="1:10" ht="14.4">
      <c r="A5034" s="25"/>
      <c r="B5034" s="25"/>
      <c r="C5034" s="25"/>
      <c r="D5034" s="25"/>
      <c r="E5034" s="25"/>
      <c r="F5034" s="25"/>
      <c r="G5034" s="25"/>
      <c r="H5034" s="25"/>
      <c r="I5034" s="25"/>
      <c r="J5034" s="25"/>
    </row>
    <row r="5035" spans="1:10" ht="14.4">
      <c r="A5035" s="25"/>
      <c r="B5035" s="25"/>
      <c r="C5035" s="25"/>
      <c r="D5035" s="25"/>
      <c r="E5035" s="25"/>
      <c r="F5035" s="25"/>
      <c r="G5035" s="25"/>
      <c r="H5035" s="25"/>
      <c r="I5035" s="25"/>
      <c r="J5035" s="25"/>
    </row>
    <row r="5036" spans="1:10" ht="14.4">
      <c r="A5036" s="25"/>
      <c r="B5036" s="25"/>
      <c r="C5036" s="25"/>
      <c r="D5036" s="25"/>
      <c r="E5036" s="25"/>
      <c r="F5036" s="25"/>
      <c r="G5036" s="25"/>
      <c r="H5036" s="25"/>
      <c r="I5036" s="25"/>
      <c r="J5036" s="25"/>
    </row>
    <row r="5037" spans="1:10" ht="14.4">
      <c r="A5037" s="25"/>
      <c r="B5037" s="25"/>
      <c r="C5037" s="25"/>
      <c r="D5037" s="25"/>
      <c r="E5037" s="25"/>
      <c r="F5037" s="25"/>
      <c r="G5037" s="25"/>
      <c r="H5037" s="25"/>
      <c r="I5037" s="25"/>
      <c r="J5037" s="25"/>
    </row>
    <row r="5038" spans="1:10" ht="14.4">
      <c r="A5038" s="25"/>
      <c r="B5038" s="25"/>
      <c r="C5038" s="25"/>
      <c r="D5038" s="25"/>
      <c r="E5038" s="25"/>
      <c r="F5038" s="25"/>
      <c r="G5038" s="25"/>
      <c r="H5038" s="25"/>
      <c r="I5038" s="25"/>
      <c r="J5038" s="25"/>
    </row>
    <row r="5039" spans="1:10" ht="14.4">
      <c r="A5039" s="25"/>
      <c r="B5039" s="25"/>
      <c r="C5039" s="25"/>
      <c r="D5039" s="25"/>
      <c r="E5039" s="25"/>
      <c r="F5039" s="25"/>
      <c r="G5039" s="25"/>
      <c r="H5039" s="25"/>
      <c r="I5039" s="25"/>
      <c r="J5039" s="25"/>
    </row>
    <row r="5040" spans="1:10" ht="14.4">
      <c r="A5040" s="25"/>
      <c r="B5040" s="25"/>
      <c r="C5040" s="25"/>
      <c r="D5040" s="25"/>
      <c r="E5040" s="25"/>
      <c r="F5040" s="25"/>
      <c r="G5040" s="25"/>
      <c r="H5040" s="25"/>
      <c r="I5040" s="25"/>
      <c r="J5040" s="25"/>
    </row>
    <row r="5041" spans="1:10" ht="14.4">
      <c r="A5041" s="25"/>
      <c r="B5041" s="25"/>
      <c r="C5041" s="25"/>
      <c r="D5041" s="25"/>
      <c r="E5041" s="25"/>
      <c r="F5041" s="25"/>
      <c r="G5041" s="25"/>
      <c r="H5041" s="25"/>
      <c r="I5041" s="25"/>
      <c r="J5041" s="25"/>
    </row>
    <row r="5042" spans="1:10" ht="14.4">
      <c r="A5042" s="25"/>
      <c r="B5042" s="25"/>
      <c r="C5042" s="25"/>
      <c r="D5042" s="25"/>
      <c r="E5042" s="25"/>
      <c r="F5042" s="25"/>
      <c r="G5042" s="25"/>
      <c r="H5042" s="25"/>
      <c r="I5042" s="25"/>
      <c r="J5042" s="25"/>
    </row>
    <row r="5043" spans="1:10" ht="14.4">
      <c r="A5043" s="25"/>
      <c r="B5043" s="25"/>
      <c r="C5043" s="25"/>
      <c r="D5043" s="25"/>
      <c r="E5043" s="25"/>
      <c r="F5043" s="25"/>
      <c r="G5043" s="25"/>
      <c r="H5043" s="25"/>
      <c r="I5043" s="25"/>
      <c r="J5043" s="25"/>
    </row>
    <row r="5044" spans="1:10" ht="14.4">
      <c r="A5044" s="25"/>
      <c r="B5044" s="25"/>
      <c r="C5044" s="25"/>
      <c r="D5044" s="25"/>
      <c r="E5044" s="25"/>
      <c r="F5044" s="25"/>
      <c r="G5044" s="25"/>
      <c r="H5044" s="25"/>
      <c r="I5044" s="25"/>
      <c r="J5044" s="25"/>
    </row>
    <row r="5045" spans="1:10" ht="14.4">
      <c r="A5045" s="25"/>
      <c r="B5045" s="25"/>
      <c r="C5045" s="25"/>
      <c r="D5045" s="25"/>
      <c r="E5045" s="25"/>
      <c r="F5045" s="25"/>
      <c r="G5045" s="25"/>
      <c r="H5045" s="25"/>
      <c r="I5045" s="25"/>
      <c r="J5045" s="25"/>
    </row>
    <row r="5046" spans="1:10" ht="14.4">
      <c r="A5046" s="25"/>
      <c r="B5046" s="25"/>
      <c r="C5046" s="25"/>
      <c r="D5046" s="25"/>
      <c r="E5046" s="25"/>
      <c r="F5046" s="25"/>
      <c r="G5046" s="25"/>
      <c r="H5046" s="25"/>
      <c r="I5046" s="25"/>
      <c r="J5046" s="25"/>
    </row>
    <row r="5047" spans="1:10" ht="14.4">
      <c r="A5047" s="25"/>
      <c r="B5047" s="25"/>
      <c r="C5047" s="25"/>
      <c r="D5047" s="25"/>
      <c r="E5047" s="25"/>
      <c r="F5047" s="25"/>
      <c r="G5047" s="25"/>
      <c r="H5047" s="25"/>
      <c r="I5047" s="25"/>
      <c r="J5047" s="25"/>
    </row>
    <row r="5048" spans="1:10" ht="14.4">
      <c r="A5048" s="25"/>
      <c r="B5048" s="25"/>
      <c r="C5048" s="25"/>
      <c r="D5048" s="25"/>
      <c r="E5048" s="25"/>
      <c r="F5048" s="25"/>
      <c r="G5048" s="25"/>
      <c r="H5048" s="25"/>
      <c r="I5048" s="25"/>
      <c r="J5048" s="25"/>
    </row>
    <row r="5049" spans="1:10" ht="14.4">
      <c r="A5049" s="25"/>
      <c r="B5049" s="25"/>
      <c r="C5049" s="25"/>
      <c r="D5049" s="25"/>
      <c r="E5049" s="25"/>
      <c r="F5049" s="25"/>
      <c r="G5049" s="25"/>
      <c r="H5049" s="25"/>
      <c r="I5049" s="25"/>
      <c r="J5049" s="25"/>
    </row>
    <row r="5050" spans="1:10" ht="14.4">
      <c r="A5050" s="25"/>
      <c r="B5050" s="25"/>
      <c r="C5050" s="25"/>
      <c r="D5050" s="25"/>
      <c r="E5050" s="25"/>
      <c r="F5050" s="25"/>
      <c r="G5050" s="25"/>
      <c r="H5050" s="25"/>
      <c r="I5050" s="25"/>
      <c r="J5050" s="25"/>
    </row>
    <row r="5051" spans="1:10" ht="14.4">
      <c r="A5051" s="25"/>
      <c r="B5051" s="25"/>
      <c r="C5051" s="25"/>
      <c r="D5051" s="25"/>
      <c r="E5051" s="25"/>
      <c r="F5051" s="25"/>
      <c r="G5051" s="25"/>
      <c r="H5051" s="25"/>
      <c r="I5051" s="25"/>
      <c r="J5051" s="25"/>
    </row>
    <row r="5052" spans="1:10" ht="14.4">
      <c r="A5052" s="25"/>
      <c r="B5052" s="25"/>
      <c r="C5052" s="25"/>
      <c r="D5052" s="25"/>
      <c r="E5052" s="25"/>
      <c r="F5052" s="25"/>
      <c r="G5052" s="25"/>
      <c r="H5052" s="25"/>
      <c r="I5052" s="25"/>
      <c r="J5052" s="25"/>
    </row>
    <row r="5053" spans="1:10" ht="14.4">
      <c r="A5053" s="25"/>
      <c r="B5053" s="25"/>
      <c r="C5053" s="25"/>
      <c r="D5053" s="25"/>
      <c r="E5053" s="25"/>
      <c r="F5053" s="25"/>
      <c r="G5053" s="25"/>
      <c r="H5053" s="25"/>
      <c r="I5053" s="25"/>
      <c r="J5053" s="25"/>
    </row>
    <row r="5054" spans="1:10" ht="14.4">
      <c r="A5054" s="25"/>
      <c r="B5054" s="25"/>
      <c r="C5054" s="25"/>
      <c r="D5054" s="25"/>
      <c r="E5054" s="25"/>
      <c r="F5054" s="25"/>
      <c r="G5054" s="25"/>
      <c r="H5054" s="25"/>
      <c r="I5054" s="25"/>
      <c r="J5054" s="25"/>
    </row>
    <row r="5055" spans="1:10" ht="14.4">
      <c r="A5055" s="25"/>
      <c r="B5055" s="25"/>
      <c r="C5055" s="25"/>
      <c r="D5055" s="25"/>
      <c r="E5055" s="25"/>
      <c r="F5055" s="25"/>
      <c r="G5055" s="25"/>
      <c r="H5055" s="25"/>
      <c r="I5055" s="25"/>
      <c r="J5055" s="25"/>
    </row>
    <row r="5056" spans="1:10" ht="14.4">
      <c r="A5056" s="25"/>
      <c r="B5056" s="25"/>
      <c r="C5056" s="25"/>
      <c r="D5056" s="25"/>
      <c r="E5056" s="25"/>
      <c r="F5056" s="25"/>
      <c r="G5056" s="25"/>
      <c r="H5056" s="25"/>
      <c r="I5056" s="25"/>
      <c r="J5056" s="25"/>
    </row>
    <row r="5057" spans="1:10" ht="14.4">
      <c r="A5057" s="25"/>
      <c r="B5057" s="25"/>
      <c r="C5057" s="25"/>
      <c r="D5057" s="25"/>
      <c r="E5057" s="25"/>
      <c r="F5057" s="25"/>
      <c r="G5057" s="25"/>
      <c r="H5057" s="25"/>
      <c r="I5057" s="25"/>
      <c r="J5057" s="25"/>
    </row>
    <row r="5058" spans="1:10" ht="14.4">
      <c r="A5058" s="25"/>
      <c r="B5058" s="25"/>
      <c r="C5058" s="25"/>
      <c r="D5058" s="25"/>
      <c r="E5058" s="25"/>
      <c r="F5058" s="25"/>
      <c r="G5058" s="25"/>
      <c r="H5058" s="25"/>
      <c r="I5058" s="25"/>
      <c r="J5058" s="25"/>
    </row>
    <row r="5059" spans="1:10" ht="14.4">
      <c r="A5059" s="25"/>
      <c r="B5059" s="25"/>
      <c r="C5059" s="25"/>
      <c r="D5059" s="25"/>
      <c r="E5059" s="25"/>
      <c r="F5059" s="25"/>
      <c r="G5059" s="25"/>
      <c r="H5059" s="25"/>
      <c r="I5059" s="25"/>
      <c r="J5059" s="25"/>
    </row>
    <row r="5060" spans="1:10" ht="14.4">
      <c r="A5060" s="25"/>
      <c r="B5060" s="25"/>
      <c r="C5060" s="25"/>
      <c r="D5060" s="25"/>
      <c r="E5060" s="25"/>
      <c r="F5060" s="25"/>
      <c r="G5060" s="25"/>
      <c r="H5060" s="25"/>
      <c r="I5060" s="25"/>
      <c r="J5060" s="25"/>
    </row>
    <row r="5061" spans="1:10" ht="14.4">
      <c r="A5061" s="25"/>
      <c r="B5061" s="25"/>
      <c r="C5061" s="25"/>
      <c r="D5061" s="25"/>
      <c r="E5061" s="25"/>
      <c r="F5061" s="25"/>
      <c r="G5061" s="25"/>
      <c r="H5061" s="25"/>
      <c r="I5061" s="25"/>
      <c r="J5061" s="25"/>
    </row>
    <row r="5062" spans="1:10" ht="14.4">
      <c r="A5062" s="25"/>
      <c r="B5062" s="25"/>
      <c r="C5062" s="25"/>
      <c r="D5062" s="25"/>
      <c r="E5062" s="25"/>
      <c r="F5062" s="25"/>
      <c r="G5062" s="25"/>
      <c r="H5062" s="25"/>
      <c r="I5062" s="25"/>
      <c r="J5062" s="25"/>
    </row>
    <row r="5063" spans="1:10" ht="14.4">
      <c r="A5063" s="25"/>
      <c r="B5063" s="25"/>
      <c r="C5063" s="25"/>
      <c r="D5063" s="25"/>
      <c r="E5063" s="25"/>
      <c r="F5063" s="25"/>
      <c r="G5063" s="25"/>
      <c r="H5063" s="25"/>
      <c r="I5063" s="25"/>
      <c r="J5063" s="25"/>
    </row>
    <row r="5064" spans="1:10" ht="14.4">
      <c r="A5064" s="25"/>
      <c r="B5064" s="25"/>
      <c r="C5064" s="25"/>
      <c r="D5064" s="25"/>
      <c r="E5064" s="25"/>
      <c r="F5064" s="25"/>
      <c r="G5064" s="25"/>
      <c r="H5064" s="25"/>
      <c r="I5064" s="25"/>
      <c r="J5064" s="25"/>
    </row>
    <row r="5065" spans="1:10" ht="14.4">
      <c r="A5065" s="25"/>
      <c r="B5065" s="25"/>
      <c r="C5065" s="25"/>
      <c r="D5065" s="25"/>
      <c r="E5065" s="25"/>
      <c r="F5065" s="25"/>
      <c r="G5065" s="25"/>
      <c r="H5065" s="25"/>
      <c r="I5065" s="25"/>
      <c r="J5065" s="25"/>
    </row>
    <row r="5066" spans="1:10" ht="14.4">
      <c r="A5066" s="25"/>
      <c r="B5066" s="25"/>
      <c r="C5066" s="25"/>
      <c r="D5066" s="25"/>
      <c r="E5066" s="25"/>
      <c r="F5066" s="25"/>
      <c r="G5066" s="25"/>
      <c r="H5066" s="25"/>
      <c r="I5066" s="25"/>
      <c r="J5066" s="25"/>
    </row>
    <row r="5067" spans="1:10" ht="14.4">
      <c r="A5067" s="25"/>
      <c r="B5067" s="25"/>
      <c r="C5067" s="25"/>
      <c r="D5067" s="25"/>
      <c r="E5067" s="25"/>
      <c r="F5067" s="25"/>
      <c r="G5067" s="25"/>
      <c r="H5067" s="25"/>
      <c r="I5067" s="25"/>
      <c r="J5067" s="25"/>
    </row>
    <row r="5068" spans="1:10" ht="14.4">
      <c r="A5068" s="25"/>
      <c r="B5068" s="25"/>
      <c r="C5068" s="25"/>
      <c r="D5068" s="25"/>
      <c r="E5068" s="25"/>
      <c r="F5068" s="25"/>
      <c r="G5068" s="25"/>
      <c r="H5068" s="25"/>
      <c r="I5068" s="25"/>
      <c r="J5068" s="25"/>
    </row>
    <row r="5069" spans="1:10" ht="14.4">
      <c r="A5069" s="25"/>
      <c r="B5069" s="25"/>
      <c r="C5069" s="25"/>
      <c r="D5069" s="25"/>
      <c r="E5069" s="25"/>
      <c r="F5069" s="25"/>
      <c r="G5069" s="25"/>
      <c r="H5069" s="25"/>
      <c r="I5069" s="25"/>
      <c r="J5069" s="25"/>
    </row>
    <row r="5070" spans="1:10" ht="14.4">
      <c r="A5070" s="25"/>
      <c r="B5070" s="25"/>
      <c r="C5070" s="25"/>
      <c r="D5070" s="25"/>
      <c r="E5070" s="25"/>
      <c r="F5070" s="25"/>
      <c r="G5070" s="25"/>
      <c r="H5070" s="25"/>
      <c r="I5070" s="25"/>
      <c r="J5070" s="25"/>
    </row>
    <row r="5071" spans="1:10" ht="14.4">
      <c r="A5071" s="25"/>
      <c r="B5071" s="25"/>
      <c r="C5071" s="25"/>
      <c r="D5071" s="25"/>
      <c r="E5071" s="25"/>
      <c r="F5071" s="25"/>
      <c r="G5071" s="25"/>
      <c r="H5071" s="25"/>
      <c r="I5071" s="25"/>
      <c r="J5071" s="25"/>
    </row>
    <row r="5072" spans="1:10" ht="14.4">
      <c r="A5072" s="25"/>
      <c r="B5072" s="25"/>
      <c r="C5072" s="25"/>
      <c r="D5072" s="25"/>
      <c r="E5072" s="25"/>
      <c r="F5072" s="25"/>
      <c r="G5072" s="25"/>
      <c r="H5072" s="25"/>
      <c r="I5072" s="25"/>
      <c r="J5072" s="25"/>
    </row>
    <row r="5073" spans="1:10" ht="14.4">
      <c r="A5073" s="25"/>
      <c r="B5073" s="25"/>
      <c r="C5073" s="25"/>
      <c r="D5073" s="25"/>
      <c r="E5073" s="25"/>
      <c r="F5073" s="25"/>
      <c r="G5073" s="25"/>
      <c r="H5073" s="25"/>
      <c r="I5073" s="25"/>
      <c r="J5073" s="25"/>
    </row>
    <row r="5074" spans="1:10" ht="14.4">
      <c r="A5074" s="25"/>
      <c r="B5074" s="25"/>
      <c r="C5074" s="25"/>
      <c r="D5074" s="25"/>
      <c r="E5074" s="25"/>
      <c r="F5074" s="25"/>
      <c r="G5074" s="25"/>
      <c r="H5074" s="25"/>
      <c r="I5074" s="25"/>
      <c r="J5074" s="25"/>
    </row>
    <row r="5075" spans="1:10" ht="14.4">
      <c r="A5075" s="25"/>
      <c r="B5075" s="25"/>
      <c r="C5075" s="25"/>
      <c r="D5075" s="25"/>
      <c r="E5075" s="25"/>
      <c r="F5075" s="25"/>
      <c r="G5075" s="25"/>
      <c r="H5075" s="25"/>
      <c r="I5075" s="25"/>
      <c r="J5075" s="25"/>
    </row>
    <row r="5076" spans="1:10" ht="14.4">
      <c r="A5076" s="25"/>
      <c r="B5076" s="25"/>
      <c r="C5076" s="25"/>
      <c r="D5076" s="25"/>
      <c r="E5076" s="25"/>
      <c r="F5076" s="25"/>
      <c r="G5076" s="25"/>
      <c r="H5076" s="25"/>
      <c r="I5076" s="25"/>
      <c r="J5076" s="25"/>
    </row>
    <row r="5077" spans="1:10" ht="14.4">
      <c r="A5077" s="25"/>
      <c r="B5077" s="25"/>
      <c r="C5077" s="25"/>
      <c r="D5077" s="25"/>
      <c r="E5077" s="25"/>
      <c r="F5077" s="25"/>
      <c r="G5077" s="25"/>
      <c r="H5077" s="25"/>
      <c r="I5077" s="25"/>
      <c r="J5077" s="25"/>
    </row>
    <row r="5078" spans="1:10" ht="14.4">
      <c r="A5078" s="25"/>
      <c r="B5078" s="25"/>
      <c r="C5078" s="25"/>
      <c r="D5078" s="25"/>
      <c r="E5078" s="25"/>
      <c r="F5078" s="25"/>
      <c r="G5078" s="25"/>
      <c r="H5078" s="25"/>
      <c r="I5078" s="25"/>
      <c r="J5078" s="25"/>
    </row>
    <row r="5079" spans="1:10" ht="14.4">
      <c r="A5079" s="25"/>
      <c r="B5079" s="25"/>
      <c r="C5079" s="25"/>
      <c r="D5079" s="25"/>
      <c r="E5079" s="25"/>
      <c r="F5079" s="25"/>
      <c r="G5079" s="25"/>
      <c r="H5079" s="25"/>
      <c r="I5079" s="25"/>
      <c r="J5079" s="25"/>
    </row>
    <row r="5080" spans="1:10" ht="14.4">
      <c r="A5080" s="25"/>
      <c r="B5080" s="25"/>
      <c r="C5080" s="25"/>
      <c r="D5080" s="25"/>
      <c r="E5080" s="25"/>
      <c r="F5080" s="25"/>
      <c r="G5080" s="25"/>
      <c r="H5080" s="25"/>
      <c r="I5080" s="25"/>
      <c r="J5080" s="25"/>
    </row>
    <row r="5081" spans="1:10" ht="14.4">
      <c r="A5081" s="25"/>
      <c r="B5081" s="25"/>
      <c r="C5081" s="25"/>
      <c r="D5081" s="25"/>
      <c r="E5081" s="25"/>
      <c r="F5081" s="25"/>
      <c r="G5081" s="25"/>
      <c r="H5081" s="25"/>
      <c r="I5081" s="25"/>
      <c r="J5081" s="25"/>
    </row>
    <row r="5082" spans="1:10" ht="14.4">
      <c r="A5082" s="25"/>
      <c r="B5082" s="25"/>
      <c r="C5082" s="25"/>
      <c r="D5082" s="25"/>
      <c r="E5082" s="25"/>
      <c r="F5082" s="25"/>
      <c r="G5082" s="25"/>
      <c r="H5082" s="25"/>
      <c r="I5082" s="25"/>
      <c r="J5082" s="25"/>
    </row>
    <row r="5083" spans="1:10" ht="14.4">
      <c r="A5083" s="25"/>
      <c r="B5083" s="25"/>
      <c r="C5083" s="25"/>
      <c r="D5083" s="25"/>
      <c r="E5083" s="25"/>
      <c r="F5083" s="25"/>
      <c r="G5083" s="25"/>
      <c r="H5083" s="25"/>
      <c r="I5083" s="25"/>
      <c r="J5083" s="25"/>
    </row>
    <row r="5084" spans="1:10" ht="14.4">
      <c r="A5084" s="25"/>
      <c r="B5084" s="25"/>
      <c r="C5084" s="25"/>
      <c r="D5084" s="25"/>
      <c r="E5084" s="25"/>
      <c r="F5084" s="25"/>
      <c r="G5084" s="25"/>
      <c r="H5084" s="25"/>
      <c r="I5084" s="25"/>
      <c r="J5084" s="25"/>
    </row>
    <row r="5085" spans="1:10" ht="14.4">
      <c r="A5085" s="25"/>
      <c r="B5085" s="25"/>
      <c r="C5085" s="25"/>
      <c r="D5085" s="25"/>
      <c r="E5085" s="25"/>
      <c r="F5085" s="25"/>
      <c r="G5085" s="25"/>
      <c r="H5085" s="25"/>
      <c r="I5085" s="25"/>
      <c r="J5085" s="25"/>
    </row>
    <row r="5086" spans="1:10" ht="14.4">
      <c r="A5086" s="25"/>
      <c r="B5086" s="25"/>
      <c r="C5086" s="25"/>
      <c r="D5086" s="25"/>
      <c r="E5086" s="25"/>
      <c r="F5086" s="25"/>
      <c r="G5086" s="25"/>
      <c r="H5086" s="25"/>
      <c r="I5086" s="25"/>
      <c r="J5086" s="25"/>
    </row>
    <row r="5087" spans="1:10" ht="14.4">
      <c r="A5087" s="25"/>
      <c r="B5087" s="25"/>
      <c r="C5087" s="25"/>
      <c r="D5087" s="25"/>
      <c r="E5087" s="25"/>
      <c r="F5087" s="25"/>
      <c r="G5087" s="25"/>
      <c r="H5087" s="25"/>
      <c r="I5087" s="25"/>
      <c r="J5087" s="25"/>
    </row>
    <row r="5088" spans="1:10" ht="14.4">
      <c r="A5088" s="25"/>
      <c r="B5088" s="25"/>
      <c r="C5088" s="25"/>
      <c r="D5088" s="25"/>
      <c r="E5088" s="25"/>
      <c r="F5088" s="25"/>
      <c r="G5088" s="25"/>
      <c r="H5088" s="25"/>
      <c r="I5088" s="25"/>
      <c r="J5088" s="25"/>
    </row>
    <row r="5089" spans="1:10" ht="14.4">
      <c r="A5089" s="25"/>
      <c r="B5089" s="25"/>
      <c r="C5089" s="25"/>
      <c r="D5089" s="25"/>
      <c r="E5089" s="25"/>
      <c r="F5089" s="25"/>
      <c r="G5089" s="25"/>
      <c r="H5089" s="25"/>
      <c r="I5089" s="25"/>
      <c r="J5089" s="25"/>
    </row>
    <row r="5090" spans="1:10" ht="14.4">
      <c r="A5090" s="25"/>
      <c r="B5090" s="25"/>
      <c r="C5090" s="25"/>
      <c r="D5090" s="25"/>
      <c r="E5090" s="25"/>
      <c r="F5090" s="25"/>
      <c r="G5090" s="25"/>
      <c r="H5090" s="25"/>
      <c r="I5090" s="25"/>
      <c r="J5090" s="25"/>
    </row>
    <row r="5091" spans="1:10" ht="14.4">
      <c r="A5091" s="25"/>
      <c r="B5091" s="25"/>
      <c r="C5091" s="25"/>
      <c r="D5091" s="25"/>
      <c r="E5091" s="25"/>
      <c r="F5091" s="25"/>
      <c r="G5091" s="25"/>
      <c r="H5091" s="25"/>
      <c r="I5091" s="25"/>
      <c r="J5091" s="25"/>
    </row>
    <row r="5092" spans="1:10" ht="14.4">
      <c r="A5092" s="25"/>
      <c r="B5092" s="25"/>
      <c r="C5092" s="25"/>
      <c r="D5092" s="25"/>
      <c r="E5092" s="25"/>
      <c r="F5092" s="25"/>
      <c r="G5092" s="25"/>
      <c r="H5092" s="25"/>
      <c r="I5092" s="25"/>
      <c r="J5092" s="25"/>
    </row>
    <row r="5093" spans="1:10" ht="14.4">
      <c r="A5093" s="25"/>
      <c r="B5093" s="25"/>
      <c r="C5093" s="25"/>
      <c r="D5093" s="25"/>
      <c r="E5093" s="25"/>
      <c r="F5093" s="25"/>
      <c r="G5093" s="25"/>
      <c r="H5093" s="25"/>
      <c r="I5093" s="25"/>
      <c r="J5093" s="25"/>
    </row>
    <row r="5094" spans="1:10" ht="14.4">
      <c r="A5094" s="25"/>
      <c r="B5094" s="25"/>
      <c r="C5094" s="25"/>
      <c r="D5094" s="25"/>
      <c r="E5094" s="25"/>
      <c r="F5094" s="25"/>
      <c r="G5094" s="25"/>
      <c r="H5094" s="25"/>
      <c r="I5094" s="25"/>
      <c r="J5094" s="25"/>
    </row>
    <row r="5095" spans="1:10" ht="14.4">
      <c r="A5095" s="25"/>
      <c r="B5095" s="25"/>
      <c r="C5095" s="25"/>
      <c r="D5095" s="25"/>
      <c r="E5095" s="25"/>
      <c r="F5095" s="25"/>
      <c r="G5095" s="25"/>
      <c r="H5095" s="25"/>
      <c r="I5095" s="25"/>
      <c r="J5095" s="25"/>
    </row>
    <row r="5096" spans="1:10" ht="14.4">
      <c r="A5096" s="25"/>
      <c r="B5096" s="25"/>
      <c r="C5096" s="25"/>
      <c r="D5096" s="25"/>
      <c r="E5096" s="25"/>
      <c r="F5096" s="25"/>
      <c r="G5096" s="25"/>
      <c r="H5096" s="25"/>
      <c r="I5096" s="25"/>
      <c r="J5096" s="25"/>
    </row>
    <row r="5097" spans="1:10" ht="14.4">
      <c r="A5097" s="25"/>
      <c r="B5097" s="25"/>
      <c r="C5097" s="25"/>
      <c r="D5097" s="25"/>
      <c r="E5097" s="25"/>
      <c r="F5097" s="25"/>
      <c r="G5097" s="25"/>
      <c r="H5097" s="25"/>
      <c r="I5097" s="25"/>
      <c r="J5097" s="25"/>
    </row>
    <row r="5098" spans="1:10" ht="14.4">
      <c r="A5098" s="25"/>
      <c r="B5098" s="25"/>
      <c r="C5098" s="25"/>
      <c r="D5098" s="25"/>
      <c r="E5098" s="25"/>
      <c r="F5098" s="25"/>
      <c r="G5098" s="25"/>
      <c r="H5098" s="25"/>
      <c r="I5098" s="25"/>
      <c r="J5098" s="25"/>
    </row>
    <row r="5099" spans="1:10" ht="14.4">
      <c r="A5099" s="25"/>
      <c r="B5099" s="25"/>
      <c r="C5099" s="25"/>
      <c r="D5099" s="25"/>
      <c r="E5099" s="25"/>
      <c r="F5099" s="25"/>
      <c r="G5099" s="25"/>
      <c r="H5099" s="25"/>
      <c r="I5099" s="25"/>
      <c r="J5099" s="25"/>
    </row>
    <row r="5100" spans="1:10" ht="14.4">
      <c r="A5100" s="25"/>
      <c r="B5100" s="25"/>
      <c r="C5100" s="25"/>
      <c r="D5100" s="25"/>
      <c r="E5100" s="25"/>
      <c r="F5100" s="25"/>
      <c r="G5100" s="25"/>
      <c r="H5100" s="25"/>
      <c r="I5100" s="25"/>
      <c r="J5100" s="25"/>
    </row>
    <row r="5101" spans="1:10" ht="14.4">
      <c r="A5101" s="25"/>
      <c r="B5101" s="25"/>
      <c r="C5101" s="25"/>
      <c r="D5101" s="25"/>
      <c r="E5101" s="25"/>
      <c r="F5101" s="25"/>
      <c r="G5101" s="25"/>
      <c r="H5101" s="25"/>
      <c r="I5101" s="25"/>
      <c r="J5101" s="25"/>
    </row>
    <row r="5102" spans="1:10" ht="14.4">
      <c r="A5102" s="25"/>
      <c r="B5102" s="25"/>
      <c r="C5102" s="25"/>
      <c r="D5102" s="25"/>
      <c r="E5102" s="25"/>
      <c r="F5102" s="25"/>
      <c r="G5102" s="25"/>
      <c r="H5102" s="25"/>
      <c r="I5102" s="25"/>
      <c r="J5102" s="25"/>
    </row>
    <row r="5103" spans="1:10" ht="14.4">
      <c r="A5103" s="25"/>
      <c r="B5103" s="25"/>
      <c r="C5103" s="25"/>
      <c r="D5103" s="25"/>
      <c r="E5103" s="25"/>
      <c r="F5103" s="25"/>
      <c r="G5103" s="25"/>
      <c r="H5103" s="25"/>
      <c r="I5103" s="25"/>
      <c r="J5103" s="25"/>
    </row>
    <row r="5104" spans="1:10" ht="14.4">
      <c r="A5104" s="25"/>
      <c r="B5104" s="25"/>
      <c r="C5104" s="25"/>
      <c r="D5104" s="25"/>
      <c r="E5104" s="25"/>
      <c r="F5104" s="25"/>
      <c r="G5104" s="25"/>
      <c r="H5104" s="25"/>
      <c r="I5104" s="25"/>
      <c r="J5104" s="25"/>
    </row>
    <row r="5105" spans="1:10" ht="14.4">
      <c r="A5105" s="25"/>
      <c r="B5105" s="25"/>
      <c r="C5105" s="25"/>
      <c r="D5105" s="25"/>
      <c r="E5105" s="25"/>
      <c r="F5105" s="25"/>
      <c r="G5105" s="25"/>
      <c r="H5105" s="25"/>
      <c r="I5105" s="25"/>
      <c r="J5105" s="25"/>
    </row>
    <row r="5106" spans="1:10" ht="14.4">
      <c r="A5106" s="25"/>
      <c r="B5106" s="25"/>
      <c r="C5106" s="25"/>
      <c r="D5106" s="25"/>
      <c r="E5106" s="25"/>
      <c r="F5106" s="25"/>
      <c r="G5106" s="25"/>
      <c r="H5106" s="25"/>
      <c r="I5106" s="25"/>
      <c r="J5106" s="25"/>
    </row>
    <row r="5107" spans="1:10" ht="14.4">
      <c r="A5107" s="25"/>
      <c r="B5107" s="25"/>
      <c r="C5107" s="25"/>
      <c r="D5107" s="25"/>
      <c r="E5107" s="25"/>
      <c r="F5107" s="25"/>
      <c r="G5107" s="25"/>
      <c r="H5107" s="25"/>
      <c r="I5107" s="25"/>
      <c r="J5107" s="25"/>
    </row>
    <row r="5108" spans="1:10" ht="14.4">
      <c r="A5108" s="25"/>
      <c r="B5108" s="25"/>
      <c r="C5108" s="25"/>
      <c r="D5108" s="25"/>
      <c r="E5108" s="25"/>
      <c r="F5108" s="25"/>
      <c r="G5108" s="25"/>
      <c r="H5108" s="25"/>
      <c r="I5108" s="25"/>
      <c r="J5108" s="25"/>
    </row>
    <row r="5109" spans="1:10" ht="14.4">
      <c r="A5109" s="25"/>
      <c r="B5109" s="25"/>
      <c r="C5109" s="25"/>
      <c r="D5109" s="25"/>
      <c r="E5109" s="25"/>
      <c r="F5109" s="25"/>
      <c r="G5109" s="25"/>
      <c r="H5109" s="25"/>
      <c r="I5109" s="25"/>
      <c r="J5109" s="25"/>
    </row>
    <row r="5110" spans="1:10" ht="14.4">
      <c r="A5110" s="25"/>
      <c r="B5110" s="25"/>
      <c r="C5110" s="25"/>
      <c r="D5110" s="25"/>
      <c r="E5110" s="25"/>
      <c r="F5110" s="25"/>
      <c r="G5110" s="25"/>
      <c r="H5110" s="25"/>
      <c r="I5110" s="25"/>
      <c r="J5110" s="25"/>
    </row>
    <row r="5111" spans="1:10" ht="14.4">
      <c r="A5111" s="25"/>
      <c r="B5111" s="25"/>
      <c r="C5111" s="25"/>
      <c r="D5111" s="25"/>
      <c r="E5111" s="25"/>
      <c r="F5111" s="25"/>
      <c r="G5111" s="25"/>
      <c r="H5111" s="25"/>
      <c r="I5111" s="25"/>
      <c r="J5111" s="25"/>
    </row>
    <row r="5112" spans="1:10" ht="14.4">
      <c r="A5112" s="25"/>
      <c r="B5112" s="25"/>
      <c r="C5112" s="25"/>
      <c r="D5112" s="25"/>
      <c r="E5112" s="25"/>
      <c r="F5112" s="25"/>
      <c r="G5112" s="25"/>
      <c r="H5112" s="25"/>
      <c r="I5112" s="25"/>
      <c r="J5112" s="25"/>
    </row>
    <row r="5113" spans="1:10" ht="14.4">
      <c r="A5113" s="25"/>
      <c r="B5113" s="25"/>
      <c r="C5113" s="25"/>
      <c r="D5113" s="25"/>
      <c r="E5113" s="25"/>
      <c r="F5113" s="25"/>
      <c r="G5113" s="25"/>
      <c r="H5113" s="25"/>
      <c r="I5113" s="25"/>
      <c r="J5113" s="25"/>
    </row>
    <row r="5114" spans="1:10" ht="14.4">
      <c r="A5114" s="25"/>
      <c r="B5114" s="25"/>
      <c r="C5114" s="25"/>
      <c r="D5114" s="25"/>
      <c r="E5114" s="25"/>
      <c r="F5114" s="25"/>
      <c r="G5114" s="25"/>
      <c r="H5114" s="25"/>
      <c r="I5114" s="25"/>
      <c r="J5114" s="25"/>
    </row>
    <row r="5115" spans="1:10" ht="14.4">
      <c r="A5115" s="25"/>
      <c r="B5115" s="25"/>
      <c r="C5115" s="25"/>
      <c r="D5115" s="25"/>
      <c r="E5115" s="25"/>
      <c r="F5115" s="25"/>
      <c r="G5115" s="25"/>
      <c r="H5115" s="25"/>
      <c r="I5115" s="25"/>
      <c r="J5115" s="25"/>
    </row>
    <row r="5116" spans="1:10" ht="14.4">
      <c r="A5116" s="25"/>
      <c r="B5116" s="25"/>
      <c r="C5116" s="25"/>
      <c r="D5116" s="25"/>
      <c r="E5116" s="25"/>
      <c r="F5116" s="25"/>
      <c r="G5116" s="25"/>
      <c r="H5116" s="25"/>
      <c r="I5116" s="25"/>
      <c r="J5116" s="25"/>
    </row>
    <row r="5117" spans="1:10" ht="14.4">
      <c r="A5117" s="25"/>
      <c r="B5117" s="25"/>
      <c r="C5117" s="25"/>
      <c r="D5117" s="25"/>
      <c r="E5117" s="25"/>
      <c r="F5117" s="25"/>
      <c r="G5117" s="25"/>
      <c r="H5117" s="25"/>
      <c r="I5117" s="25"/>
      <c r="J5117" s="25"/>
    </row>
    <row r="5118" spans="1:10" ht="14.4">
      <c r="A5118" s="25"/>
      <c r="B5118" s="25"/>
      <c r="C5118" s="25"/>
      <c r="D5118" s="25"/>
      <c r="E5118" s="25"/>
      <c r="F5118" s="25"/>
      <c r="G5118" s="25"/>
      <c r="H5118" s="25"/>
      <c r="I5118" s="25"/>
      <c r="J5118" s="25"/>
    </row>
    <row r="5119" spans="1:10" ht="14.4">
      <c r="A5119" s="25"/>
      <c r="B5119" s="25"/>
      <c r="C5119" s="25"/>
      <c r="D5119" s="25"/>
      <c r="E5119" s="25"/>
      <c r="F5119" s="25"/>
      <c r="G5119" s="25"/>
      <c r="H5119" s="25"/>
      <c r="I5119" s="25"/>
      <c r="J5119" s="25"/>
    </row>
    <row r="5120" spans="1:10" ht="14.4">
      <c r="A5120" s="25"/>
      <c r="B5120" s="25"/>
      <c r="C5120" s="25"/>
      <c r="D5120" s="25"/>
      <c r="E5120" s="25"/>
      <c r="F5120" s="25"/>
      <c r="G5120" s="25"/>
      <c r="H5120" s="25"/>
      <c r="I5120" s="25"/>
      <c r="J5120" s="25"/>
    </row>
    <row r="5121" spans="1:10" ht="14.4">
      <c r="A5121" s="25"/>
      <c r="B5121" s="25"/>
      <c r="C5121" s="25"/>
      <c r="D5121" s="25"/>
      <c r="E5121" s="25"/>
      <c r="F5121" s="25"/>
      <c r="G5121" s="25"/>
      <c r="H5121" s="25"/>
      <c r="I5121" s="25"/>
      <c r="J5121" s="25"/>
    </row>
    <row r="5122" spans="1:10" ht="14.4">
      <c r="A5122" s="25"/>
      <c r="B5122" s="25"/>
      <c r="C5122" s="25"/>
      <c r="D5122" s="25"/>
      <c r="E5122" s="25"/>
      <c r="F5122" s="25"/>
      <c r="G5122" s="25"/>
      <c r="H5122" s="25"/>
      <c r="I5122" s="25"/>
      <c r="J5122" s="25"/>
    </row>
    <row r="5123" spans="1:10" ht="14.4">
      <c r="A5123" s="25"/>
      <c r="B5123" s="25"/>
      <c r="C5123" s="25"/>
      <c r="D5123" s="25"/>
      <c r="E5123" s="25"/>
      <c r="F5123" s="25"/>
      <c r="G5123" s="25"/>
      <c r="H5123" s="25"/>
      <c r="I5123" s="25"/>
      <c r="J5123" s="25"/>
    </row>
    <row r="5124" spans="1:10" ht="14.4">
      <c r="A5124" s="25"/>
      <c r="B5124" s="25"/>
      <c r="C5124" s="25"/>
      <c r="D5124" s="25"/>
      <c r="E5124" s="25"/>
      <c r="F5124" s="25"/>
      <c r="G5124" s="25"/>
      <c r="H5124" s="25"/>
      <c r="I5124" s="25"/>
      <c r="J5124" s="25"/>
    </row>
    <row r="5125" spans="1:10" ht="14.4">
      <c r="A5125" s="25"/>
      <c r="B5125" s="25"/>
      <c r="C5125" s="25"/>
      <c r="D5125" s="25"/>
      <c r="E5125" s="25"/>
      <c r="F5125" s="25"/>
      <c r="G5125" s="25"/>
      <c r="H5125" s="25"/>
      <c r="I5125" s="25"/>
      <c r="J5125" s="25"/>
    </row>
    <row r="5126" spans="1:10" ht="14.4">
      <c r="A5126" s="25"/>
      <c r="B5126" s="25"/>
      <c r="C5126" s="25"/>
      <c r="D5126" s="25"/>
      <c r="E5126" s="25"/>
      <c r="F5126" s="25"/>
      <c r="G5126" s="25"/>
      <c r="H5126" s="25"/>
      <c r="I5126" s="25"/>
      <c r="J5126" s="25"/>
    </row>
    <row r="5127" spans="1:10" ht="14.4">
      <c r="A5127" s="25"/>
      <c r="B5127" s="25"/>
      <c r="C5127" s="25"/>
      <c r="D5127" s="25"/>
      <c r="E5127" s="25"/>
      <c r="F5127" s="25"/>
      <c r="G5127" s="25"/>
      <c r="H5127" s="25"/>
      <c r="I5127" s="25"/>
      <c r="J5127" s="25"/>
    </row>
    <row r="5128" spans="1:10" ht="14.4">
      <c r="A5128" s="25"/>
      <c r="B5128" s="25"/>
      <c r="C5128" s="25"/>
      <c r="D5128" s="25"/>
      <c r="E5128" s="25"/>
      <c r="F5128" s="25"/>
      <c r="G5128" s="25"/>
      <c r="H5128" s="25"/>
      <c r="I5128" s="25"/>
      <c r="J5128" s="25"/>
    </row>
    <row r="5129" spans="1:10" ht="14.4">
      <c r="A5129" s="25"/>
      <c r="B5129" s="25"/>
      <c r="C5129" s="25"/>
      <c r="D5129" s="25"/>
      <c r="E5129" s="25"/>
      <c r="F5129" s="25"/>
      <c r="G5129" s="25"/>
      <c r="H5129" s="25"/>
      <c r="I5129" s="25"/>
      <c r="J5129" s="25"/>
    </row>
    <row r="5130" spans="1:10" ht="14.4">
      <c r="A5130" s="25"/>
      <c r="B5130" s="25"/>
      <c r="C5130" s="25"/>
      <c r="D5130" s="25"/>
      <c r="E5130" s="25"/>
      <c r="F5130" s="25"/>
      <c r="G5130" s="25"/>
      <c r="H5130" s="25"/>
      <c r="I5130" s="25"/>
      <c r="J5130" s="25"/>
    </row>
    <row r="5131" spans="1:10" ht="14.4">
      <c r="A5131" s="25"/>
      <c r="B5131" s="25"/>
      <c r="C5131" s="25"/>
      <c r="D5131" s="25"/>
      <c r="E5131" s="25"/>
      <c r="F5131" s="25"/>
      <c r="G5131" s="25"/>
      <c r="H5131" s="25"/>
      <c r="I5131" s="25"/>
      <c r="J5131" s="25"/>
    </row>
    <row r="5132" spans="1:10" ht="14.4">
      <c r="A5132" s="25"/>
      <c r="B5132" s="25"/>
      <c r="C5132" s="25"/>
      <c r="D5132" s="25"/>
      <c r="E5132" s="25"/>
      <c r="F5132" s="25"/>
      <c r="G5132" s="25"/>
      <c r="H5132" s="25"/>
      <c r="I5132" s="25"/>
      <c r="J5132" s="25"/>
    </row>
    <row r="5133" spans="1:10" ht="14.4">
      <c r="A5133" s="25"/>
      <c r="B5133" s="25"/>
      <c r="C5133" s="25"/>
      <c r="D5133" s="25"/>
      <c r="E5133" s="25"/>
      <c r="F5133" s="25"/>
      <c r="G5133" s="25"/>
      <c r="H5133" s="25"/>
      <c r="I5133" s="25"/>
      <c r="J5133" s="25"/>
    </row>
    <row r="5134" spans="1:10" ht="14.4">
      <c r="A5134" s="25"/>
      <c r="B5134" s="25"/>
      <c r="C5134" s="25"/>
      <c r="D5134" s="25"/>
      <c r="E5134" s="25"/>
      <c r="F5134" s="25"/>
      <c r="G5134" s="25"/>
      <c r="H5134" s="25"/>
      <c r="I5134" s="25"/>
      <c r="J5134" s="25"/>
    </row>
    <row r="5135" spans="1:10" ht="14.4">
      <c r="A5135" s="25"/>
      <c r="B5135" s="25"/>
      <c r="C5135" s="25"/>
      <c r="D5135" s="25"/>
      <c r="E5135" s="25"/>
      <c r="F5135" s="25"/>
      <c r="G5135" s="25"/>
      <c r="H5135" s="25"/>
      <c r="I5135" s="25"/>
      <c r="J5135" s="25"/>
    </row>
    <row r="5136" spans="1:10" ht="14.4">
      <c r="A5136" s="25"/>
      <c r="B5136" s="25"/>
      <c r="C5136" s="25"/>
      <c r="D5136" s="25"/>
      <c r="E5136" s="25"/>
      <c r="F5136" s="25"/>
      <c r="G5136" s="25"/>
      <c r="H5136" s="25"/>
      <c r="I5136" s="25"/>
      <c r="J5136" s="25"/>
    </row>
    <row r="5137" spans="1:10" ht="14.4">
      <c r="A5137" s="25"/>
      <c r="B5137" s="25"/>
      <c r="C5137" s="25"/>
      <c r="D5137" s="25"/>
      <c r="E5137" s="25"/>
      <c r="F5137" s="25"/>
      <c r="G5137" s="25"/>
      <c r="H5137" s="25"/>
      <c r="I5137" s="25"/>
      <c r="J5137" s="25"/>
    </row>
    <row r="5138" spans="1:10" ht="14.4">
      <c r="A5138" s="25"/>
      <c r="B5138" s="25"/>
      <c r="C5138" s="25"/>
      <c r="D5138" s="25"/>
      <c r="E5138" s="25"/>
      <c r="F5138" s="25"/>
      <c r="G5138" s="25"/>
      <c r="H5138" s="25"/>
      <c r="I5138" s="25"/>
      <c r="J5138" s="25"/>
    </row>
    <row r="5139" spans="1:10" ht="14.4">
      <c r="A5139" s="25"/>
      <c r="B5139" s="25"/>
      <c r="C5139" s="25"/>
      <c r="D5139" s="25"/>
      <c r="E5139" s="25"/>
      <c r="F5139" s="25"/>
      <c r="G5139" s="25"/>
      <c r="H5139" s="25"/>
      <c r="I5139" s="25"/>
      <c r="J5139" s="25"/>
    </row>
    <row r="5140" spans="1:10" ht="14.4">
      <c r="A5140" s="25"/>
      <c r="B5140" s="25"/>
      <c r="C5140" s="25"/>
      <c r="D5140" s="25"/>
      <c r="E5140" s="25"/>
      <c r="F5140" s="25"/>
      <c r="G5140" s="25"/>
      <c r="H5140" s="25"/>
      <c r="I5140" s="25"/>
      <c r="J5140" s="25"/>
    </row>
    <row r="5141" spans="1:10" ht="14.4">
      <c r="A5141" s="25"/>
      <c r="B5141" s="25"/>
      <c r="C5141" s="25"/>
      <c r="D5141" s="25"/>
      <c r="E5141" s="25"/>
      <c r="F5141" s="25"/>
      <c r="G5141" s="25"/>
      <c r="H5141" s="25"/>
      <c r="I5141" s="25"/>
      <c r="J5141" s="25"/>
    </row>
    <row r="5142" spans="1:10" ht="14.4">
      <c r="A5142" s="25"/>
      <c r="B5142" s="25"/>
      <c r="C5142" s="25"/>
      <c r="D5142" s="25"/>
      <c r="E5142" s="25"/>
      <c r="F5142" s="25"/>
      <c r="G5142" s="25"/>
      <c r="H5142" s="25"/>
      <c r="I5142" s="25"/>
      <c r="J5142" s="25"/>
    </row>
    <row r="5143" spans="1:10" ht="14.4">
      <c r="A5143" s="25"/>
      <c r="B5143" s="25"/>
      <c r="C5143" s="25"/>
      <c r="D5143" s="25"/>
      <c r="E5143" s="25"/>
      <c r="F5143" s="25"/>
      <c r="G5143" s="25"/>
      <c r="H5143" s="25"/>
      <c r="I5143" s="25"/>
      <c r="J5143" s="25"/>
    </row>
    <row r="5144" spans="1:10" ht="14.4">
      <c r="A5144" s="25"/>
      <c r="B5144" s="25"/>
      <c r="C5144" s="25"/>
      <c r="D5144" s="25"/>
      <c r="E5144" s="25"/>
      <c r="F5144" s="25"/>
      <c r="G5144" s="25"/>
      <c r="H5144" s="25"/>
      <c r="I5144" s="25"/>
      <c r="J5144" s="25"/>
    </row>
    <row r="5145" spans="1:10" ht="14.4">
      <c r="A5145" s="25"/>
      <c r="B5145" s="25"/>
      <c r="C5145" s="25"/>
      <c r="D5145" s="25"/>
      <c r="E5145" s="25"/>
      <c r="F5145" s="25"/>
      <c r="G5145" s="25"/>
      <c r="H5145" s="25"/>
      <c r="I5145" s="25"/>
      <c r="J5145" s="25"/>
    </row>
    <row r="5146" spans="1:10" ht="14.4">
      <c r="A5146" s="25"/>
      <c r="B5146" s="25"/>
      <c r="C5146" s="25"/>
      <c r="D5146" s="25"/>
      <c r="E5146" s="25"/>
      <c r="F5146" s="25"/>
      <c r="G5146" s="25"/>
      <c r="H5146" s="25"/>
      <c r="I5146" s="25"/>
      <c r="J5146" s="25"/>
    </row>
    <row r="5147" spans="1:10" ht="14.4">
      <c r="A5147" s="25"/>
      <c r="B5147" s="25"/>
      <c r="C5147" s="25"/>
      <c r="D5147" s="25"/>
      <c r="E5147" s="25"/>
      <c r="F5147" s="25"/>
      <c r="G5147" s="25"/>
      <c r="H5147" s="25"/>
      <c r="I5147" s="25"/>
      <c r="J5147" s="25"/>
    </row>
    <row r="5148" spans="1:10" ht="14.4">
      <c r="A5148" s="25"/>
      <c r="B5148" s="25"/>
      <c r="C5148" s="25"/>
      <c r="D5148" s="25"/>
      <c r="E5148" s="25"/>
      <c r="F5148" s="25"/>
      <c r="G5148" s="25"/>
      <c r="H5148" s="25"/>
      <c r="I5148" s="25"/>
      <c r="J5148" s="25"/>
    </row>
    <row r="5149" spans="1:10" ht="14.4">
      <c r="A5149" s="25"/>
      <c r="B5149" s="25"/>
      <c r="C5149" s="25"/>
      <c r="D5149" s="25"/>
      <c r="E5149" s="25"/>
      <c r="F5149" s="25"/>
      <c r="G5149" s="25"/>
      <c r="H5149" s="25"/>
      <c r="I5149" s="25"/>
      <c r="J5149" s="25"/>
    </row>
    <row r="5150" spans="1:10" ht="14.4">
      <c r="A5150" s="25"/>
      <c r="B5150" s="25"/>
      <c r="C5150" s="25"/>
      <c r="D5150" s="25"/>
      <c r="E5150" s="25"/>
      <c r="F5150" s="25"/>
      <c r="G5150" s="25"/>
      <c r="H5150" s="25"/>
      <c r="I5150" s="25"/>
      <c r="J5150" s="25"/>
    </row>
    <row r="5151" spans="1:10" ht="14.4">
      <c r="A5151" s="25"/>
      <c r="B5151" s="25"/>
      <c r="C5151" s="25"/>
      <c r="D5151" s="25"/>
      <c r="E5151" s="25"/>
      <c r="F5151" s="25"/>
      <c r="G5151" s="25"/>
      <c r="H5151" s="25"/>
      <c r="I5151" s="25"/>
      <c r="J5151" s="25"/>
    </row>
    <row r="5152" spans="1:10" ht="14.4">
      <c r="A5152" s="25"/>
      <c r="B5152" s="25"/>
      <c r="C5152" s="25"/>
      <c r="D5152" s="25"/>
      <c r="E5152" s="25"/>
      <c r="F5152" s="25"/>
      <c r="G5152" s="25"/>
      <c r="H5152" s="25"/>
      <c r="I5152" s="25"/>
      <c r="J5152" s="25"/>
    </row>
    <row r="5153" spans="1:10" ht="14.4">
      <c r="A5153" s="25"/>
      <c r="B5153" s="25"/>
      <c r="C5153" s="25"/>
      <c r="D5153" s="25"/>
      <c r="E5153" s="25"/>
      <c r="F5153" s="25"/>
      <c r="G5153" s="25"/>
      <c r="H5153" s="25"/>
      <c r="I5153" s="25"/>
      <c r="J5153" s="25"/>
    </row>
    <row r="5154" spans="1:10" ht="14.4">
      <c r="A5154" s="25"/>
      <c r="B5154" s="25"/>
      <c r="C5154" s="25"/>
      <c r="D5154" s="25"/>
      <c r="E5154" s="25"/>
      <c r="F5154" s="25"/>
      <c r="G5154" s="25"/>
      <c r="H5154" s="25"/>
      <c r="I5154" s="25"/>
      <c r="J5154" s="25"/>
    </row>
    <row r="5155" spans="1:10" ht="14.4">
      <c r="A5155" s="25"/>
      <c r="B5155" s="25"/>
      <c r="C5155" s="25"/>
      <c r="D5155" s="25"/>
      <c r="E5155" s="25"/>
      <c r="F5155" s="25"/>
      <c r="G5155" s="25"/>
      <c r="H5155" s="25"/>
      <c r="I5155" s="25"/>
      <c r="J5155" s="25"/>
    </row>
    <row r="5156" spans="1:10" ht="14.4">
      <c r="A5156" s="25"/>
      <c r="B5156" s="25"/>
      <c r="C5156" s="25"/>
      <c r="D5156" s="25"/>
      <c r="E5156" s="25"/>
      <c r="F5156" s="25"/>
      <c r="G5156" s="25"/>
      <c r="H5156" s="25"/>
      <c r="I5156" s="25"/>
      <c r="J5156" s="25"/>
    </row>
    <row r="5157" spans="1:10" ht="14.4">
      <c r="A5157" s="25"/>
      <c r="B5157" s="25"/>
      <c r="C5157" s="25"/>
      <c r="D5157" s="25"/>
      <c r="E5157" s="25"/>
      <c r="F5157" s="25"/>
      <c r="G5157" s="25"/>
      <c r="H5157" s="25"/>
      <c r="I5157" s="25"/>
      <c r="J5157" s="25"/>
    </row>
    <row r="5158" spans="1:10" ht="14.4">
      <c r="A5158" s="25"/>
      <c r="B5158" s="25"/>
      <c r="C5158" s="25"/>
      <c r="D5158" s="25"/>
      <c r="E5158" s="25"/>
      <c r="F5158" s="25"/>
      <c r="G5158" s="25"/>
      <c r="H5158" s="25"/>
      <c r="I5158" s="25"/>
      <c r="J5158" s="25"/>
    </row>
    <row r="5159" spans="1:10" ht="14.4">
      <c r="A5159" s="25"/>
      <c r="B5159" s="25"/>
      <c r="C5159" s="25"/>
      <c r="D5159" s="25"/>
      <c r="E5159" s="25"/>
      <c r="F5159" s="25"/>
      <c r="G5159" s="25"/>
      <c r="H5159" s="25"/>
      <c r="I5159" s="25"/>
      <c r="J5159" s="25"/>
    </row>
    <row r="5160" spans="1:10" ht="14.4">
      <c r="A5160" s="25"/>
      <c r="B5160" s="25"/>
      <c r="C5160" s="25"/>
      <c r="D5160" s="25"/>
      <c r="E5160" s="25"/>
      <c r="F5160" s="25"/>
      <c r="G5160" s="25"/>
      <c r="H5160" s="25"/>
      <c r="I5160" s="25"/>
      <c r="J5160" s="25"/>
    </row>
    <row r="5161" spans="1:10" ht="14.4">
      <c r="A5161" s="25"/>
      <c r="B5161" s="25"/>
      <c r="C5161" s="25"/>
      <c r="D5161" s="25"/>
      <c r="E5161" s="25"/>
      <c r="F5161" s="25"/>
      <c r="G5161" s="25"/>
      <c r="H5161" s="25"/>
      <c r="I5161" s="25"/>
      <c r="J5161" s="25"/>
    </row>
    <row r="5162" spans="1:10" ht="14.4">
      <c r="A5162" s="25"/>
      <c r="B5162" s="25"/>
      <c r="C5162" s="25"/>
      <c r="D5162" s="25"/>
      <c r="E5162" s="25"/>
      <c r="F5162" s="25"/>
      <c r="G5162" s="25"/>
      <c r="H5162" s="25"/>
      <c r="I5162" s="25"/>
      <c r="J5162" s="25"/>
    </row>
    <row r="5163" spans="1:10" ht="14.4">
      <c r="A5163" s="25"/>
      <c r="B5163" s="25"/>
      <c r="C5163" s="25"/>
      <c r="D5163" s="25"/>
      <c r="E5163" s="25"/>
      <c r="F5163" s="25"/>
      <c r="G5163" s="25"/>
      <c r="H5163" s="25"/>
      <c r="I5163" s="25"/>
      <c r="J5163" s="25"/>
    </row>
    <row r="5164" spans="1:10" ht="14.4">
      <c r="A5164" s="25"/>
      <c r="B5164" s="25"/>
      <c r="C5164" s="25"/>
      <c r="D5164" s="25"/>
      <c r="E5164" s="25"/>
      <c r="F5164" s="25"/>
      <c r="G5164" s="25"/>
      <c r="H5164" s="25"/>
      <c r="I5164" s="25"/>
      <c r="J5164" s="25"/>
    </row>
    <row r="5165" spans="1:10" ht="14.4">
      <c r="A5165" s="25"/>
      <c r="B5165" s="25"/>
      <c r="C5165" s="25"/>
      <c r="D5165" s="25"/>
      <c r="E5165" s="25"/>
      <c r="F5165" s="25"/>
      <c r="G5165" s="25"/>
      <c r="H5165" s="25"/>
      <c r="I5165" s="25"/>
      <c r="J5165" s="25"/>
    </row>
    <row r="5166" spans="1:10" ht="14.4">
      <c r="A5166" s="25"/>
      <c r="B5166" s="25"/>
      <c r="C5166" s="25"/>
      <c r="D5166" s="25"/>
      <c r="E5166" s="25"/>
      <c r="F5166" s="25"/>
      <c r="G5166" s="25"/>
      <c r="H5166" s="25"/>
      <c r="I5166" s="25"/>
      <c r="J5166" s="25"/>
    </row>
    <row r="5167" spans="1:10" ht="14.4">
      <c r="A5167" s="25"/>
      <c r="B5167" s="25"/>
      <c r="C5167" s="25"/>
      <c r="D5167" s="25"/>
      <c r="E5167" s="25"/>
      <c r="F5167" s="25"/>
      <c r="G5167" s="25"/>
      <c r="H5167" s="25"/>
      <c r="I5167" s="25"/>
      <c r="J5167" s="25"/>
    </row>
    <row r="5168" spans="1:10" ht="14.4">
      <c r="A5168" s="25"/>
      <c r="B5168" s="25"/>
      <c r="C5168" s="25"/>
      <c r="D5168" s="25"/>
      <c r="E5168" s="25"/>
      <c r="F5168" s="25"/>
      <c r="G5168" s="25"/>
      <c r="H5168" s="25"/>
      <c r="I5168" s="25"/>
      <c r="J5168" s="25"/>
    </row>
    <row r="5169" spans="1:10" ht="14.4">
      <c r="A5169" s="25"/>
      <c r="B5169" s="25"/>
      <c r="C5169" s="25"/>
      <c r="D5169" s="25"/>
      <c r="E5169" s="25"/>
      <c r="F5169" s="25"/>
      <c r="G5169" s="25"/>
      <c r="H5169" s="25"/>
      <c r="I5169" s="25"/>
      <c r="J5169" s="25"/>
    </row>
    <row r="5170" spans="1:10" ht="14.4">
      <c r="A5170" s="25"/>
      <c r="B5170" s="25"/>
      <c r="C5170" s="25"/>
      <c r="D5170" s="25"/>
      <c r="E5170" s="25"/>
      <c r="F5170" s="25"/>
      <c r="G5170" s="25"/>
      <c r="H5170" s="25"/>
      <c r="I5170" s="25"/>
      <c r="J5170" s="25"/>
    </row>
    <row r="5171" spans="1:10" ht="14.4">
      <c r="A5171" s="25"/>
      <c r="B5171" s="25"/>
      <c r="C5171" s="25"/>
      <c r="D5171" s="25"/>
      <c r="E5171" s="25"/>
      <c r="F5171" s="25"/>
      <c r="G5171" s="25"/>
      <c r="H5171" s="25"/>
      <c r="I5171" s="25"/>
      <c r="J5171" s="25"/>
    </row>
    <row r="5172" spans="1:10" ht="14.4">
      <c r="A5172" s="25"/>
      <c r="B5172" s="25"/>
      <c r="C5172" s="25"/>
      <c r="D5172" s="25"/>
      <c r="E5172" s="25"/>
      <c r="F5172" s="25"/>
      <c r="G5172" s="25"/>
      <c r="H5172" s="25"/>
      <c r="I5172" s="25"/>
      <c r="J5172" s="25"/>
    </row>
    <row r="5173" spans="1:10" ht="14.4">
      <c r="A5173" s="25"/>
      <c r="B5173" s="25"/>
      <c r="C5173" s="25"/>
      <c r="D5173" s="25"/>
      <c r="E5173" s="25"/>
      <c r="F5173" s="25"/>
      <c r="G5173" s="25"/>
      <c r="H5173" s="25"/>
      <c r="I5173" s="25"/>
      <c r="J5173" s="25"/>
    </row>
    <row r="5174" spans="1:10" ht="14.4">
      <c r="A5174" s="25"/>
      <c r="B5174" s="25"/>
      <c r="C5174" s="25"/>
      <c r="D5174" s="25"/>
      <c r="E5174" s="25"/>
      <c r="F5174" s="25"/>
      <c r="G5174" s="25"/>
      <c r="H5174" s="25"/>
      <c r="I5174" s="25"/>
      <c r="J5174" s="25"/>
    </row>
    <row r="5175" spans="1:10" ht="14.4">
      <c r="A5175" s="25"/>
      <c r="B5175" s="25"/>
      <c r="C5175" s="25"/>
      <c r="D5175" s="25"/>
      <c r="E5175" s="25"/>
      <c r="F5175" s="25"/>
      <c r="G5175" s="25"/>
      <c r="H5175" s="25"/>
      <c r="I5175" s="25"/>
      <c r="J5175" s="25"/>
    </row>
    <row r="5176" spans="1:10" ht="14.4">
      <c r="A5176" s="25"/>
      <c r="B5176" s="25"/>
      <c r="C5176" s="25"/>
      <c r="D5176" s="25"/>
      <c r="E5176" s="25"/>
      <c r="F5176" s="25"/>
      <c r="G5176" s="25"/>
      <c r="H5176" s="25"/>
      <c r="I5176" s="25"/>
      <c r="J5176" s="25"/>
    </row>
    <row r="5177" spans="1:10" ht="14.4">
      <c r="A5177" s="25"/>
      <c r="B5177" s="25"/>
      <c r="C5177" s="25"/>
      <c r="D5177" s="25"/>
      <c r="E5177" s="25"/>
      <c r="F5177" s="25"/>
      <c r="G5177" s="25"/>
      <c r="H5177" s="25"/>
      <c r="I5177" s="25"/>
      <c r="J5177" s="25"/>
    </row>
    <row r="5178" spans="1:10" ht="14.4">
      <c r="A5178" s="25"/>
      <c r="B5178" s="25"/>
      <c r="C5178" s="25"/>
      <c r="D5178" s="25"/>
      <c r="E5178" s="25"/>
      <c r="F5178" s="25"/>
      <c r="G5178" s="25"/>
      <c r="H5178" s="25"/>
      <c r="I5178" s="25"/>
      <c r="J5178" s="25"/>
    </row>
    <row r="5179" spans="1:10" ht="14.4">
      <c r="A5179" s="25"/>
      <c r="B5179" s="25"/>
      <c r="C5179" s="25"/>
      <c r="D5179" s="25"/>
      <c r="E5179" s="25"/>
      <c r="F5179" s="25"/>
      <c r="G5179" s="25"/>
      <c r="H5179" s="25"/>
      <c r="I5179" s="25"/>
      <c r="J5179" s="25"/>
    </row>
    <row r="5180" spans="1:10" ht="14.4">
      <c r="A5180" s="25"/>
      <c r="B5180" s="25"/>
      <c r="C5180" s="25"/>
      <c r="D5180" s="25"/>
      <c r="E5180" s="25"/>
      <c r="F5180" s="25"/>
      <c r="G5180" s="25"/>
      <c r="H5180" s="25"/>
      <c r="I5180" s="25"/>
      <c r="J5180" s="25"/>
    </row>
    <row r="5181" spans="1:10" ht="14.4">
      <c r="A5181" s="25"/>
      <c r="B5181" s="25"/>
      <c r="C5181" s="25"/>
      <c r="D5181" s="25"/>
      <c r="E5181" s="25"/>
      <c r="F5181" s="25"/>
      <c r="G5181" s="25"/>
      <c r="H5181" s="25"/>
      <c r="I5181" s="25"/>
      <c r="J5181" s="25"/>
    </row>
    <row r="5182" spans="1:10" ht="14.4">
      <c r="A5182" s="25"/>
      <c r="B5182" s="25"/>
      <c r="C5182" s="25"/>
      <c r="D5182" s="25"/>
      <c r="E5182" s="25"/>
      <c r="F5182" s="25"/>
      <c r="G5182" s="25"/>
      <c r="H5182" s="25"/>
      <c r="I5182" s="25"/>
      <c r="J5182" s="25"/>
    </row>
    <row r="5183" spans="1:10" ht="14.4">
      <c r="A5183" s="25"/>
      <c r="B5183" s="25"/>
      <c r="C5183" s="25"/>
      <c r="D5183" s="25"/>
      <c r="E5183" s="25"/>
      <c r="F5183" s="25"/>
      <c r="G5183" s="25"/>
      <c r="H5183" s="25"/>
      <c r="I5183" s="25"/>
      <c r="J5183" s="25"/>
    </row>
    <row r="5184" spans="1:10" ht="14.4">
      <c r="A5184" s="25"/>
      <c r="B5184" s="25"/>
      <c r="C5184" s="25"/>
      <c r="D5184" s="25"/>
      <c r="E5184" s="25"/>
      <c r="F5184" s="25"/>
      <c r="G5184" s="25"/>
      <c r="H5184" s="25"/>
      <c r="I5184" s="25"/>
      <c r="J5184" s="25"/>
    </row>
    <row r="5185" spans="1:10" ht="14.4">
      <c r="A5185" s="25"/>
      <c r="B5185" s="25"/>
      <c r="C5185" s="25"/>
      <c r="D5185" s="25"/>
      <c r="E5185" s="25"/>
      <c r="F5185" s="25"/>
      <c r="G5185" s="25"/>
      <c r="H5185" s="25"/>
      <c r="I5185" s="25"/>
      <c r="J5185" s="25"/>
    </row>
    <row r="5186" spans="1:10" ht="14.4">
      <c r="A5186" s="25"/>
      <c r="B5186" s="25"/>
      <c r="C5186" s="25"/>
      <c r="D5186" s="25"/>
      <c r="E5186" s="25"/>
      <c r="F5186" s="25"/>
      <c r="G5186" s="25"/>
      <c r="H5186" s="25"/>
      <c r="I5186" s="25"/>
      <c r="J5186" s="25"/>
    </row>
    <row r="5187" spans="1:10" ht="14.4">
      <c r="A5187" s="25"/>
      <c r="B5187" s="25"/>
      <c r="C5187" s="25"/>
      <c r="D5187" s="25"/>
      <c r="E5187" s="25"/>
      <c r="F5187" s="25"/>
      <c r="G5187" s="25"/>
      <c r="H5187" s="25"/>
      <c r="I5187" s="25"/>
      <c r="J5187" s="25"/>
    </row>
    <row r="5188" spans="1:10" ht="14.4">
      <c r="A5188" s="25"/>
      <c r="B5188" s="25"/>
      <c r="C5188" s="25"/>
      <c r="D5188" s="25"/>
      <c r="E5188" s="25"/>
      <c r="F5188" s="25"/>
      <c r="G5188" s="25"/>
      <c r="H5188" s="25"/>
      <c r="I5188" s="25"/>
      <c r="J5188" s="25"/>
    </row>
    <row r="5189" spans="1:10" ht="14.4">
      <c r="A5189" s="25"/>
      <c r="B5189" s="25"/>
      <c r="C5189" s="25"/>
      <c r="D5189" s="25"/>
      <c r="E5189" s="25"/>
      <c r="F5189" s="25"/>
      <c r="G5189" s="25"/>
      <c r="H5189" s="25"/>
      <c r="I5189" s="25"/>
      <c r="J5189" s="25"/>
    </row>
    <row r="5190" spans="1:10" ht="14.4">
      <c r="A5190" s="25"/>
      <c r="B5190" s="25"/>
      <c r="C5190" s="25"/>
      <c r="D5190" s="25"/>
      <c r="E5190" s="25"/>
      <c r="F5190" s="25"/>
      <c r="G5190" s="25"/>
      <c r="H5190" s="25"/>
      <c r="I5190" s="25"/>
      <c r="J5190" s="25"/>
    </row>
    <row r="5191" spans="1:10" ht="14.4">
      <c r="A5191" s="25"/>
      <c r="B5191" s="25"/>
      <c r="C5191" s="25"/>
      <c r="D5191" s="25"/>
      <c r="E5191" s="25"/>
      <c r="F5191" s="25"/>
      <c r="G5191" s="25"/>
      <c r="H5191" s="25"/>
      <c r="I5191" s="25"/>
      <c r="J5191" s="25"/>
    </row>
    <row r="5192" spans="1:10" ht="14.4">
      <c r="A5192" s="25"/>
      <c r="B5192" s="25"/>
      <c r="C5192" s="25"/>
      <c r="D5192" s="25"/>
      <c r="E5192" s="25"/>
      <c r="F5192" s="25"/>
      <c r="G5192" s="25"/>
      <c r="H5192" s="25"/>
      <c r="I5192" s="25"/>
      <c r="J5192" s="25"/>
    </row>
    <row r="5193" spans="1:10" ht="14.4">
      <c r="A5193" s="25"/>
      <c r="B5193" s="25"/>
      <c r="C5193" s="25"/>
      <c r="D5193" s="25"/>
      <c r="E5193" s="25"/>
      <c r="F5193" s="25"/>
      <c r="G5193" s="25"/>
      <c r="H5193" s="25"/>
      <c r="I5193" s="25"/>
      <c r="J5193" s="25"/>
    </row>
    <row r="5194" spans="1:10" ht="14.4">
      <c r="A5194" s="25"/>
      <c r="B5194" s="25"/>
      <c r="C5194" s="25"/>
      <c r="D5194" s="25"/>
      <c r="E5194" s="25"/>
      <c r="F5194" s="25"/>
      <c r="G5194" s="25"/>
      <c r="H5194" s="25"/>
      <c r="I5194" s="25"/>
      <c r="J5194" s="25"/>
    </row>
    <row r="5195" spans="1:10" ht="14.4">
      <c r="A5195" s="25"/>
      <c r="B5195" s="25"/>
      <c r="C5195" s="25"/>
      <c r="D5195" s="25"/>
      <c r="E5195" s="25"/>
      <c r="F5195" s="25"/>
      <c r="G5195" s="25"/>
      <c r="H5195" s="25"/>
      <c r="I5195" s="25"/>
      <c r="J5195" s="25"/>
    </row>
    <row r="5196" spans="1:10" ht="14.4">
      <c r="A5196" s="25"/>
      <c r="B5196" s="25"/>
      <c r="C5196" s="25"/>
      <c r="D5196" s="25"/>
      <c r="E5196" s="25"/>
      <c r="F5196" s="25"/>
      <c r="G5196" s="25"/>
      <c r="H5196" s="25"/>
      <c r="I5196" s="25"/>
      <c r="J5196" s="25"/>
    </row>
    <row r="5197" spans="1:10" ht="14.4">
      <c r="A5197" s="25"/>
      <c r="B5197" s="25"/>
      <c r="C5197" s="25"/>
      <c r="D5197" s="25"/>
      <c r="E5197" s="25"/>
      <c r="F5197" s="25"/>
      <c r="G5197" s="25"/>
      <c r="H5197" s="25"/>
      <c r="I5197" s="25"/>
      <c r="J5197" s="25"/>
    </row>
    <row r="5198" spans="1:10" ht="14.4">
      <c r="A5198" s="25"/>
      <c r="B5198" s="25"/>
      <c r="C5198" s="25"/>
      <c r="D5198" s="25"/>
      <c r="E5198" s="25"/>
      <c r="F5198" s="25"/>
      <c r="G5198" s="25"/>
      <c r="H5198" s="25"/>
      <c r="I5198" s="25"/>
      <c r="J5198" s="25"/>
    </row>
    <row r="5199" spans="1:10" ht="14.4">
      <c r="A5199" s="25"/>
      <c r="B5199" s="25"/>
      <c r="C5199" s="25"/>
      <c r="D5199" s="25"/>
      <c r="E5199" s="25"/>
      <c r="F5199" s="25"/>
      <c r="G5199" s="25"/>
      <c r="H5199" s="25"/>
      <c r="I5199" s="25"/>
      <c r="J5199" s="25"/>
    </row>
    <row r="5200" spans="1:10" ht="14.4">
      <c r="A5200" s="25"/>
      <c r="B5200" s="25"/>
      <c r="C5200" s="25"/>
      <c r="D5200" s="25"/>
      <c r="E5200" s="25"/>
      <c r="F5200" s="25"/>
      <c r="G5200" s="25"/>
      <c r="H5200" s="25"/>
      <c r="I5200" s="25"/>
      <c r="J5200" s="25"/>
    </row>
    <row r="5201" spans="1:10" ht="14.4">
      <c r="A5201" s="25"/>
      <c r="B5201" s="25"/>
      <c r="C5201" s="25"/>
      <c r="D5201" s="25"/>
      <c r="E5201" s="25"/>
      <c r="F5201" s="25"/>
      <c r="G5201" s="25"/>
      <c r="H5201" s="25"/>
      <c r="I5201" s="25"/>
      <c r="J5201" s="25"/>
    </row>
    <row r="5202" spans="1:10" ht="14.4">
      <c r="A5202" s="25"/>
      <c r="B5202" s="25"/>
      <c r="C5202" s="25"/>
      <c r="D5202" s="25"/>
      <c r="E5202" s="25"/>
      <c r="F5202" s="25"/>
      <c r="G5202" s="25"/>
      <c r="H5202" s="25"/>
      <c r="I5202" s="25"/>
      <c r="J5202" s="25"/>
    </row>
    <row r="5203" spans="1:10" ht="14.4">
      <c r="A5203" s="25"/>
      <c r="B5203" s="25"/>
      <c r="C5203" s="25"/>
      <c r="D5203" s="25"/>
      <c r="E5203" s="25"/>
      <c r="F5203" s="25"/>
      <c r="G5203" s="25"/>
      <c r="H5203" s="25"/>
      <c r="I5203" s="25"/>
      <c r="J5203" s="25"/>
    </row>
    <row r="5204" spans="1:10" ht="14.4">
      <c r="A5204" s="25"/>
      <c r="B5204" s="25"/>
      <c r="C5204" s="25"/>
      <c r="D5204" s="25"/>
      <c r="E5204" s="25"/>
      <c r="F5204" s="25"/>
      <c r="G5204" s="25"/>
      <c r="H5204" s="25"/>
      <c r="I5204" s="25"/>
      <c r="J5204" s="25"/>
    </row>
    <row r="5205" spans="1:10" ht="14.4">
      <c r="A5205" s="25"/>
      <c r="B5205" s="25"/>
      <c r="C5205" s="25"/>
      <c r="D5205" s="25"/>
      <c r="E5205" s="25"/>
      <c r="F5205" s="25"/>
      <c r="G5205" s="25"/>
      <c r="H5205" s="25"/>
      <c r="I5205" s="25"/>
      <c r="J5205" s="25"/>
    </row>
    <row r="5206" spans="1:10" ht="14.4">
      <c r="A5206" s="25"/>
      <c r="B5206" s="25"/>
      <c r="C5206" s="25"/>
      <c r="D5206" s="25"/>
      <c r="E5206" s="25"/>
      <c r="F5206" s="25"/>
      <c r="G5206" s="25"/>
      <c r="H5206" s="25"/>
      <c r="I5206" s="25"/>
      <c r="J5206" s="25"/>
    </row>
    <row r="5207" spans="1:10" ht="14.4">
      <c r="A5207" s="25"/>
      <c r="B5207" s="25"/>
      <c r="C5207" s="25"/>
      <c r="D5207" s="25"/>
      <c r="E5207" s="25"/>
      <c r="F5207" s="25"/>
      <c r="G5207" s="25"/>
      <c r="H5207" s="25"/>
      <c r="I5207" s="25"/>
      <c r="J5207" s="25"/>
    </row>
    <row r="5208" spans="1:10" ht="14.4">
      <c r="A5208" s="25"/>
      <c r="B5208" s="25"/>
      <c r="C5208" s="25"/>
      <c r="D5208" s="25"/>
      <c r="E5208" s="25"/>
      <c r="F5208" s="25"/>
      <c r="G5208" s="25"/>
      <c r="H5208" s="25"/>
      <c r="I5208" s="25"/>
      <c r="J5208" s="25"/>
    </row>
    <row r="5209" spans="1:10" ht="14.4">
      <c r="A5209" s="25"/>
      <c r="B5209" s="25"/>
      <c r="C5209" s="25"/>
      <c r="D5209" s="25"/>
      <c r="E5209" s="25"/>
      <c r="F5209" s="25"/>
      <c r="G5209" s="25"/>
      <c r="H5209" s="25"/>
      <c r="I5209" s="25"/>
      <c r="J5209" s="25"/>
    </row>
    <row r="5210" spans="1:10" ht="14.4">
      <c r="A5210" s="25"/>
      <c r="B5210" s="25"/>
      <c r="C5210" s="25"/>
      <c r="D5210" s="25"/>
      <c r="E5210" s="25"/>
      <c r="F5210" s="25"/>
      <c r="G5210" s="25"/>
      <c r="H5210" s="25"/>
      <c r="I5210" s="25"/>
      <c r="J5210" s="25"/>
    </row>
    <row r="5211" spans="1:10" ht="14.4">
      <c r="A5211" s="25"/>
      <c r="B5211" s="25"/>
      <c r="C5211" s="25"/>
      <c r="D5211" s="25"/>
      <c r="E5211" s="25"/>
      <c r="F5211" s="25"/>
      <c r="G5211" s="25"/>
      <c r="H5211" s="25"/>
      <c r="I5211" s="25"/>
      <c r="J5211" s="25"/>
    </row>
    <row r="5212" spans="1:10" ht="14.4">
      <c r="A5212" s="25"/>
      <c r="B5212" s="25"/>
      <c r="C5212" s="25"/>
      <c r="D5212" s="25"/>
      <c r="E5212" s="25"/>
      <c r="F5212" s="25"/>
      <c r="G5212" s="25"/>
      <c r="H5212" s="25"/>
      <c r="I5212" s="25"/>
      <c r="J5212" s="25"/>
    </row>
    <row r="5213" spans="1:10" ht="14.4">
      <c r="A5213" s="25"/>
      <c r="B5213" s="25"/>
      <c r="C5213" s="25"/>
      <c r="D5213" s="25"/>
      <c r="E5213" s="25"/>
      <c r="F5213" s="25"/>
      <c r="G5213" s="25"/>
      <c r="H5213" s="25"/>
      <c r="I5213" s="25"/>
      <c r="J5213" s="25"/>
    </row>
    <row r="5214" spans="1:10" ht="14.4">
      <c r="A5214" s="25"/>
      <c r="B5214" s="25"/>
      <c r="C5214" s="25"/>
      <c r="D5214" s="25"/>
      <c r="E5214" s="25"/>
      <c r="F5214" s="25"/>
      <c r="G5214" s="25"/>
      <c r="H5214" s="25"/>
      <c r="I5214" s="25"/>
      <c r="J5214" s="25"/>
    </row>
    <row r="5215" spans="1:10" ht="14.4">
      <c r="A5215" s="25"/>
      <c r="B5215" s="25"/>
      <c r="C5215" s="25"/>
      <c r="D5215" s="25"/>
      <c r="E5215" s="25"/>
      <c r="F5215" s="25"/>
      <c r="G5215" s="25"/>
      <c r="H5215" s="25"/>
      <c r="I5215" s="25"/>
      <c r="J5215" s="25"/>
    </row>
    <row r="5216" spans="1:10" ht="14.4">
      <c r="A5216" s="25"/>
      <c r="B5216" s="25"/>
      <c r="C5216" s="25"/>
      <c r="D5216" s="25"/>
      <c r="E5216" s="25"/>
      <c r="F5216" s="25"/>
      <c r="G5216" s="25"/>
      <c r="H5216" s="25"/>
      <c r="I5216" s="25"/>
      <c r="J5216" s="25"/>
    </row>
    <row r="5217" spans="1:10" ht="14.4">
      <c r="A5217" s="25"/>
      <c r="B5217" s="25"/>
      <c r="C5217" s="25"/>
      <c r="D5217" s="25"/>
      <c r="E5217" s="25"/>
      <c r="F5217" s="25"/>
      <c r="G5217" s="25"/>
      <c r="H5217" s="25"/>
      <c r="I5217" s="25"/>
      <c r="J5217" s="25"/>
    </row>
    <row r="5218" spans="1:10" ht="14.4">
      <c r="A5218" s="25"/>
      <c r="B5218" s="25"/>
      <c r="C5218" s="25"/>
      <c r="D5218" s="25"/>
      <c r="E5218" s="25"/>
      <c r="F5218" s="25"/>
      <c r="G5218" s="25"/>
      <c r="H5218" s="25"/>
      <c r="I5218" s="25"/>
      <c r="J5218" s="25"/>
    </row>
    <row r="5219" spans="1:10" ht="14.4">
      <c r="A5219" s="25"/>
      <c r="B5219" s="25"/>
      <c r="C5219" s="25"/>
      <c r="D5219" s="25"/>
      <c r="E5219" s="25"/>
      <c r="F5219" s="25"/>
      <c r="G5219" s="25"/>
      <c r="H5219" s="25"/>
      <c r="I5219" s="25"/>
      <c r="J5219" s="25"/>
    </row>
    <row r="5220" spans="1:10" ht="14.4">
      <c r="A5220" s="25"/>
      <c r="B5220" s="25"/>
      <c r="C5220" s="25"/>
      <c r="D5220" s="25"/>
      <c r="E5220" s="25"/>
      <c r="F5220" s="25"/>
      <c r="G5220" s="25"/>
      <c r="H5220" s="25"/>
      <c r="I5220" s="25"/>
      <c r="J5220" s="25"/>
    </row>
    <row r="5221" spans="1:10" ht="14.4">
      <c r="A5221" s="25"/>
      <c r="B5221" s="25"/>
      <c r="C5221" s="25"/>
      <c r="D5221" s="25"/>
      <c r="E5221" s="25"/>
      <c r="F5221" s="25"/>
      <c r="G5221" s="25"/>
      <c r="H5221" s="25"/>
      <c r="I5221" s="25"/>
      <c r="J5221" s="25"/>
    </row>
    <row r="5222" spans="1:10" ht="14.4">
      <c r="A5222" s="25"/>
      <c r="B5222" s="25"/>
      <c r="C5222" s="25"/>
      <c r="D5222" s="25"/>
      <c r="E5222" s="25"/>
      <c r="F5222" s="25"/>
      <c r="G5222" s="25"/>
      <c r="H5222" s="25"/>
      <c r="I5222" s="25"/>
      <c r="J5222" s="25"/>
    </row>
    <row r="5223" spans="1:10" ht="14.4">
      <c r="A5223" s="25"/>
      <c r="B5223" s="25"/>
      <c r="C5223" s="25"/>
      <c r="D5223" s="25"/>
      <c r="E5223" s="25"/>
      <c r="F5223" s="25"/>
      <c r="G5223" s="25"/>
      <c r="H5223" s="25"/>
      <c r="I5223" s="25"/>
      <c r="J5223" s="25"/>
    </row>
    <row r="5224" spans="1:10" ht="14.4">
      <c r="A5224" s="25"/>
      <c r="B5224" s="25"/>
      <c r="C5224" s="25"/>
      <c r="D5224" s="25"/>
      <c r="E5224" s="25"/>
      <c r="F5224" s="25"/>
      <c r="G5224" s="25"/>
      <c r="H5224" s="25"/>
      <c r="I5224" s="25"/>
      <c r="J5224" s="25"/>
    </row>
    <row r="5225" spans="1:10" ht="14.4">
      <c r="A5225" s="25"/>
      <c r="B5225" s="25"/>
      <c r="C5225" s="25"/>
      <c r="D5225" s="25"/>
      <c r="E5225" s="25"/>
      <c r="F5225" s="25"/>
      <c r="G5225" s="25"/>
      <c r="H5225" s="25"/>
      <c r="I5225" s="25"/>
      <c r="J5225" s="25"/>
    </row>
    <row r="5226" spans="1:10" ht="14.4">
      <c r="A5226" s="25"/>
      <c r="B5226" s="25"/>
      <c r="C5226" s="25"/>
      <c r="D5226" s="25"/>
      <c r="E5226" s="25"/>
      <c r="F5226" s="25"/>
      <c r="G5226" s="25"/>
      <c r="H5226" s="25"/>
      <c r="I5226" s="25"/>
      <c r="J5226" s="25"/>
    </row>
    <row r="5227" spans="1:10" ht="14.4">
      <c r="A5227" s="25"/>
      <c r="B5227" s="25"/>
      <c r="C5227" s="25"/>
      <c r="D5227" s="25"/>
      <c r="E5227" s="25"/>
      <c r="F5227" s="25"/>
      <c r="G5227" s="25"/>
      <c r="H5227" s="25"/>
      <c r="I5227" s="25"/>
      <c r="J5227" s="25"/>
    </row>
    <row r="5228" spans="1:10" ht="14.4">
      <c r="A5228" s="25"/>
      <c r="B5228" s="25"/>
      <c r="C5228" s="25"/>
      <c r="D5228" s="25"/>
      <c r="E5228" s="25"/>
      <c r="F5228" s="25"/>
      <c r="G5228" s="25"/>
      <c r="H5228" s="25"/>
      <c r="I5228" s="25"/>
      <c r="J5228" s="25"/>
    </row>
    <row r="5229" spans="1:10" ht="14.4">
      <c r="A5229" s="25"/>
      <c r="B5229" s="25"/>
      <c r="C5229" s="25"/>
      <c r="D5229" s="25"/>
      <c r="E5229" s="25"/>
      <c r="F5229" s="25"/>
      <c r="G5229" s="25"/>
      <c r="H5229" s="25"/>
      <c r="I5229" s="25"/>
      <c r="J5229" s="25"/>
    </row>
    <row r="5230" spans="1:10" ht="14.4">
      <c r="A5230" s="25"/>
      <c r="B5230" s="25"/>
      <c r="C5230" s="25"/>
      <c r="D5230" s="25"/>
      <c r="E5230" s="25"/>
      <c r="F5230" s="25"/>
      <c r="G5230" s="25"/>
      <c r="H5230" s="25"/>
      <c r="I5230" s="25"/>
      <c r="J5230" s="25"/>
    </row>
    <row r="5231" spans="1:10" ht="14.4">
      <c r="A5231" s="25"/>
      <c r="B5231" s="25"/>
      <c r="C5231" s="25"/>
      <c r="D5231" s="25"/>
      <c r="E5231" s="25"/>
      <c r="F5231" s="25"/>
      <c r="G5231" s="25"/>
      <c r="H5231" s="25"/>
      <c r="I5231" s="25"/>
      <c r="J5231" s="25"/>
    </row>
    <row r="5232" spans="1:10" ht="14.4">
      <c r="A5232" s="25"/>
      <c r="B5232" s="25"/>
      <c r="C5232" s="25"/>
      <c r="D5232" s="25"/>
      <c r="E5232" s="25"/>
      <c r="F5232" s="25"/>
      <c r="G5232" s="25"/>
      <c r="H5232" s="25"/>
      <c r="I5232" s="25"/>
      <c r="J5232" s="25"/>
    </row>
    <row r="5233" spans="1:10" ht="14.4">
      <c r="A5233" s="25"/>
      <c r="B5233" s="25"/>
      <c r="C5233" s="25"/>
      <c r="D5233" s="25"/>
      <c r="E5233" s="25"/>
      <c r="F5233" s="25"/>
      <c r="G5233" s="25"/>
      <c r="H5233" s="25"/>
      <c r="I5233" s="25"/>
      <c r="J5233" s="25"/>
    </row>
    <row r="5234" spans="1:10" ht="14.4">
      <c r="A5234" s="25"/>
      <c r="B5234" s="25"/>
      <c r="C5234" s="25"/>
      <c r="D5234" s="25"/>
      <c r="E5234" s="25"/>
      <c r="F5234" s="25"/>
      <c r="G5234" s="25"/>
      <c r="H5234" s="25"/>
      <c r="I5234" s="25"/>
      <c r="J5234" s="25"/>
    </row>
    <row r="5235" spans="1:10" ht="14.4">
      <c r="A5235" s="25"/>
      <c r="B5235" s="25"/>
      <c r="C5235" s="25"/>
      <c r="D5235" s="25"/>
      <c r="E5235" s="25"/>
      <c r="F5235" s="25"/>
      <c r="G5235" s="25"/>
      <c r="H5235" s="25"/>
      <c r="I5235" s="25"/>
      <c r="J5235" s="25"/>
    </row>
    <row r="5236" spans="1:10" ht="14.4">
      <c r="A5236" s="25"/>
      <c r="B5236" s="25"/>
      <c r="C5236" s="25"/>
      <c r="D5236" s="25"/>
      <c r="E5236" s="25"/>
      <c r="F5236" s="25"/>
      <c r="G5236" s="25"/>
      <c r="H5236" s="25"/>
      <c r="I5236" s="25"/>
      <c r="J5236" s="25"/>
    </row>
    <row r="5237" spans="1:10" ht="14.4">
      <c r="A5237" s="25"/>
      <c r="B5237" s="25"/>
      <c r="C5237" s="25"/>
      <c r="D5237" s="25"/>
      <c r="E5237" s="25"/>
      <c r="F5237" s="25"/>
      <c r="G5237" s="25"/>
      <c r="H5237" s="25"/>
      <c r="I5237" s="25"/>
      <c r="J5237" s="25"/>
    </row>
    <row r="5238" spans="1:10" ht="14.4">
      <c r="A5238" s="25"/>
      <c r="B5238" s="25"/>
      <c r="C5238" s="25"/>
      <c r="D5238" s="25"/>
      <c r="E5238" s="25"/>
      <c r="F5238" s="25"/>
      <c r="G5238" s="25"/>
      <c r="H5238" s="25"/>
      <c r="I5238" s="25"/>
      <c r="J5238" s="25"/>
    </row>
    <row r="5239" spans="1:10" ht="14.4">
      <c r="A5239" s="25"/>
      <c r="B5239" s="25"/>
      <c r="C5239" s="25"/>
      <c r="D5239" s="25"/>
      <c r="E5239" s="25"/>
      <c r="F5239" s="25"/>
      <c r="G5239" s="25"/>
      <c r="H5239" s="25"/>
      <c r="I5239" s="25"/>
      <c r="J5239" s="25"/>
    </row>
    <row r="5240" spans="1:10" ht="14.4">
      <c r="A5240" s="25"/>
      <c r="B5240" s="25"/>
      <c r="C5240" s="25"/>
      <c r="D5240" s="25"/>
      <c r="E5240" s="25"/>
      <c r="F5240" s="25"/>
      <c r="G5240" s="25"/>
      <c r="H5240" s="25"/>
      <c r="I5240" s="25"/>
      <c r="J5240" s="25"/>
    </row>
    <row r="5241" spans="1:10" ht="14.4">
      <c r="A5241" s="25"/>
      <c r="B5241" s="25"/>
      <c r="C5241" s="25"/>
      <c r="D5241" s="25"/>
      <c r="E5241" s="25"/>
      <c r="F5241" s="25"/>
      <c r="G5241" s="25"/>
      <c r="H5241" s="25"/>
      <c r="I5241" s="25"/>
      <c r="J5241" s="25"/>
    </row>
    <row r="5242" spans="1:10" ht="14.4">
      <c r="A5242" s="25"/>
      <c r="B5242" s="25"/>
      <c r="C5242" s="25"/>
      <c r="D5242" s="25"/>
      <c r="E5242" s="25"/>
      <c r="F5242" s="25"/>
      <c r="G5242" s="25"/>
      <c r="H5242" s="25"/>
      <c r="I5242" s="25"/>
      <c r="J5242" s="25"/>
    </row>
    <row r="5243" spans="1:10" ht="14.4">
      <c r="A5243" s="25"/>
      <c r="B5243" s="25"/>
      <c r="C5243" s="25"/>
      <c r="D5243" s="25"/>
      <c r="E5243" s="25"/>
      <c r="F5243" s="25"/>
      <c r="G5243" s="25"/>
      <c r="H5243" s="25"/>
      <c r="I5243" s="25"/>
      <c r="J5243" s="25"/>
    </row>
    <row r="5244" spans="1:10" ht="14.4">
      <c r="A5244" s="25"/>
      <c r="B5244" s="25"/>
      <c r="C5244" s="25"/>
      <c r="D5244" s="25"/>
      <c r="E5244" s="25"/>
      <c r="F5244" s="25"/>
      <c r="G5244" s="25"/>
      <c r="H5244" s="25"/>
      <c r="I5244" s="25"/>
      <c r="J5244" s="25"/>
    </row>
    <row r="5245" spans="1:10" ht="14.4">
      <c r="A5245" s="25"/>
      <c r="B5245" s="25"/>
      <c r="C5245" s="25"/>
      <c r="D5245" s="25"/>
      <c r="E5245" s="25"/>
      <c r="F5245" s="25"/>
      <c r="G5245" s="25"/>
      <c r="H5245" s="25"/>
      <c r="I5245" s="25"/>
      <c r="J5245" s="25"/>
    </row>
    <row r="5246" spans="1:10" ht="14.4">
      <c r="A5246" s="25"/>
      <c r="B5246" s="25"/>
      <c r="C5246" s="25"/>
      <c r="D5246" s="25"/>
      <c r="E5246" s="25"/>
      <c r="F5246" s="25"/>
      <c r="G5246" s="25"/>
      <c r="H5246" s="25"/>
      <c r="I5246" s="25"/>
      <c r="J5246" s="25"/>
    </row>
    <row r="5247" spans="1:10" ht="14.4">
      <c r="A5247" s="25"/>
      <c r="B5247" s="25"/>
      <c r="C5247" s="25"/>
      <c r="D5247" s="25"/>
      <c r="E5247" s="25"/>
      <c r="F5247" s="25"/>
      <c r="G5247" s="25"/>
      <c r="H5247" s="25"/>
      <c r="I5247" s="25"/>
      <c r="J5247" s="25"/>
    </row>
    <row r="5248" spans="1:10" ht="14.4">
      <c r="A5248" s="25"/>
      <c r="B5248" s="25"/>
      <c r="C5248" s="25"/>
      <c r="D5248" s="25"/>
      <c r="E5248" s="25"/>
      <c r="F5248" s="25"/>
      <c r="G5248" s="25"/>
      <c r="H5248" s="25"/>
      <c r="I5248" s="25"/>
      <c r="J5248" s="25"/>
    </row>
    <row r="5249" spans="1:10" ht="14.4">
      <c r="A5249" s="25"/>
      <c r="B5249" s="25"/>
      <c r="C5249" s="25"/>
      <c r="D5249" s="25"/>
      <c r="E5249" s="25"/>
      <c r="F5249" s="25"/>
      <c r="G5249" s="25"/>
      <c r="H5249" s="25"/>
      <c r="I5249" s="25"/>
      <c r="J5249" s="25"/>
    </row>
    <row r="5250" spans="1:10" ht="14.4">
      <c r="A5250" s="25"/>
      <c r="B5250" s="25"/>
      <c r="C5250" s="25"/>
      <c r="D5250" s="25"/>
      <c r="E5250" s="25"/>
      <c r="F5250" s="25"/>
      <c r="G5250" s="25"/>
      <c r="H5250" s="25"/>
      <c r="I5250" s="25"/>
      <c r="J5250" s="25"/>
    </row>
    <row r="5251" spans="1:10" ht="14.4">
      <c r="A5251" s="25"/>
      <c r="B5251" s="25"/>
      <c r="C5251" s="25"/>
      <c r="D5251" s="25"/>
      <c r="E5251" s="25"/>
      <c r="F5251" s="25"/>
      <c r="G5251" s="25"/>
      <c r="H5251" s="25"/>
      <c r="I5251" s="25"/>
      <c r="J5251" s="25"/>
    </row>
    <row r="5252" spans="1:10" ht="14.4">
      <c r="A5252" s="25"/>
      <c r="B5252" s="25"/>
      <c r="C5252" s="25"/>
      <c r="D5252" s="25"/>
      <c r="E5252" s="25"/>
      <c r="F5252" s="25"/>
      <c r="G5252" s="25"/>
      <c r="H5252" s="25"/>
      <c r="I5252" s="25"/>
      <c r="J5252" s="25"/>
    </row>
    <row r="5253" spans="1:10" ht="14.4">
      <c r="A5253" s="25"/>
      <c r="B5253" s="25"/>
      <c r="C5253" s="25"/>
      <c r="D5253" s="25"/>
      <c r="E5253" s="25"/>
      <c r="F5253" s="25"/>
      <c r="G5253" s="25"/>
      <c r="H5253" s="25"/>
      <c r="I5253" s="25"/>
      <c r="J5253" s="25"/>
    </row>
    <row r="5254" spans="1:10" ht="14.4">
      <c r="A5254" s="25"/>
      <c r="B5254" s="25"/>
      <c r="C5254" s="25"/>
      <c r="D5254" s="25"/>
      <c r="E5254" s="25"/>
      <c r="F5254" s="25"/>
      <c r="G5254" s="25"/>
      <c r="H5254" s="25"/>
      <c r="I5254" s="25"/>
      <c r="J5254" s="25"/>
    </row>
    <row r="5255" spans="1:10" ht="14.4">
      <c r="A5255" s="25"/>
      <c r="B5255" s="25"/>
      <c r="C5255" s="25"/>
      <c r="D5255" s="25"/>
      <c r="E5255" s="25"/>
      <c r="F5255" s="25"/>
      <c r="G5255" s="25"/>
      <c r="H5255" s="25"/>
      <c r="I5255" s="25"/>
      <c r="J5255" s="25"/>
    </row>
    <row r="5256" spans="1:10" ht="14.4">
      <c r="A5256" s="25"/>
      <c r="B5256" s="25"/>
      <c r="C5256" s="25"/>
      <c r="D5256" s="25"/>
      <c r="E5256" s="25"/>
      <c r="F5256" s="25"/>
      <c r="G5256" s="25"/>
      <c r="H5256" s="25"/>
      <c r="I5256" s="25"/>
      <c r="J5256" s="25"/>
    </row>
    <row r="5257" spans="1:10" ht="14.4">
      <c r="A5257" s="25"/>
      <c r="B5257" s="25"/>
      <c r="C5257" s="25"/>
      <c r="D5257" s="25"/>
      <c r="E5257" s="25"/>
      <c r="F5257" s="25"/>
      <c r="G5257" s="25"/>
      <c r="H5257" s="25"/>
      <c r="I5257" s="25"/>
      <c r="J5257" s="25"/>
    </row>
    <row r="5258" spans="1:10" ht="14.4">
      <c r="A5258" s="25"/>
      <c r="B5258" s="25"/>
      <c r="C5258" s="25"/>
      <c r="D5258" s="25"/>
      <c r="E5258" s="25"/>
      <c r="F5258" s="25"/>
      <c r="G5258" s="25"/>
      <c r="H5258" s="25"/>
      <c r="I5258" s="25"/>
      <c r="J5258" s="25"/>
    </row>
    <row r="5259" spans="1:10" ht="14.4">
      <c r="A5259" s="25"/>
      <c r="B5259" s="25"/>
      <c r="C5259" s="25"/>
      <c r="D5259" s="25"/>
      <c r="E5259" s="25"/>
      <c r="F5259" s="25"/>
      <c r="G5259" s="25"/>
      <c r="H5259" s="25"/>
      <c r="I5259" s="25"/>
      <c r="J5259" s="25"/>
    </row>
    <row r="5260" spans="1:10" ht="14.4">
      <c r="A5260" s="25"/>
      <c r="B5260" s="25"/>
      <c r="C5260" s="25"/>
      <c r="D5260" s="25"/>
      <c r="E5260" s="25"/>
      <c r="F5260" s="25"/>
      <c r="G5260" s="25"/>
      <c r="H5260" s="25"/>
      <c r="I5260" s="25"/>
      <c r="J5260" s="25"/>
    </row>
    <row r="5261" spans="1:10" ht="14.4">
      <c r="A5261" s="25"/>
      <c r="B5261" s="25"/>
      <c r="C5261" s="25"/>
      <c r="D5261" s="25"/>
      <c r="E5261" s="25"/>
      <c r="F5261" s="25"/>
      <c r="G5261" s="25"/>
      <c r="H5261" s="25"/>
      <c r="I5261" s="25"/>
      <c r="J5261" s="25"/>
    </row>
    <row r="5262" spans="1:10" ht="14.4">
      <c r="A5262" s="25"/>
      <c r="B5262" s="25"/>
      <c r="C5262" s="25"/>
      <c r="D5262" s="25"/>
      <c r="E5262" s="25"/>
      <c r="F5262" s="25"/>
      <c r="G5262" s="25"/>
      <c r="H5262" s="25"/>
      <c r="I5262" s="25"/>
      <c r="J5262" s="25"/>
    </row>
    <row r="5263" spans="1:10" ht="14.4">
      <c r="A5263" s="25"/>
      <c r="B5263" s="25"/>
      <c r="C5263" s="25"/>
      <c r="D5263" s="25"/>
      <c r="E5263" s="25"/>
      <c r="F5263" s="25"/>
      <c r="G5263" s="25"/>
      <c r="H5263" s="25"/>
      <c r="I5263" s="25"/>
      <c r="J5263" s="25"/>
    </row>
    <row r="5264" spans="1:10" ht="14.4">
      <c r="A5264" s="25"/>
      <c r="B5264" s="25"/>
      <c r="C5264" s="25"/>
      <c r="D5264" s="25"/>
      <c r="E5264" s="25"/>
      <c r="F5264" s="25"/>
      <c r="G5264" s="25"/>
      <c r="H5264" s="25"/>
      <c r="I5264" s="25"/>
      <c r="J5264" s="25"/>
    </row>
    <row r="5265" spans="1:10" ht="14.4">
      <c r="A5265" s="25"/>
      <c r="B5265" s="25"/>
      <c r="C5265" s="25"/>
      <c r="D5265" s="25"/>
      <c r="E5265" s="25"/>
      <c r="F5265" s="25"/>
      <c r="G5265" s="25"/>
      <c r="H5265" s="25"/>
      <c r="I5265" s="25"/>
      <c r="J5265" s="25"/>
    </row>
    <row r="5266" spans="1:10" ht="14.4">
      <c r="A5266" s="25"/>
      <c r="B5266" s="25"/>
      <c r="C5266" s="25"/>
      <c r="D5266" s="25"/>
      <c r="E5266" s="25"/>
      <c r="F5266" s="25"/>
      <c r="G5266" s="25"/>
      <c r="H5266" s="25"/>
      <c r="I5266" s="25"/>
      <c r="J5266" s="25"/>
    </row>
    <row r="5267" spans="1:10" ht="14.4">
      <c r="A5267" s="25"/>
      <c r="B5267" s="25"/>
      <c r="C5267" s="25"/>
      <c r="D5267" s="25"/>
      <c r="E5267" s="25"/>
      <c r="F5267" s="25"/>
      <c r="G5267" s="25"/>
      <c r="H5267" s="25"/>
      <c r="I5267" s="25"/>
      <c r="J5267" s="25"/>
    </row>
    <row r="5268" spans="1:10" ht="14.4">
      <c r="A5268" s="25"/>
      <c r="B5268" s="25"/>
      <c r="C5268" s="25"/>
      <c r="D5268" s="25"/>
      <c r="E5268" s="25"/>
      <c r="F5268" s="25"/>
      <c r="G5268" s="25"/>
      <c r="H5268" s="25"/>
      <c r="I5268" s="25"/>
      <c r="J5268" s="25"/>
    </row>
    <row r="5269" spans="1:10" ht="14.4">
      <c r="A5269" s="25"/>
      <c r="B5269" s="25"/>
      <c r="C5269" s="25"/>
      <c r="D5269" s="25"/>
      <c r="E5269" s="25"/>
      <c r="F5269" s="25"/>
      <c r="G5269" s="25"/>
      <c r="H5269" s="25"/>
      <c r="I5269" s="25"/>
      <c r="J5269" s="25"/>
    </row>
    <row r="5270" spans="1:10" ht="14.4">
      <c r="A5270" s="25"/>
      <c r="B5270" s="25"/>
      <c r="C5270" s="25"/>
      <c r="D5270" s="25"/>
      <c r="E5270" s="25"/>
      <c r="F5270" s="25"/>
      <c r="G5270" s="25"/>
      <c r="H5270" s="25"/>
      <c r="I5270" s="25"/>
      <c r="J5270" s="25"/>
    </row>
    <row r="5271" spans="1:10" ht="14.4">
      <c r="A5271" s="25"/>
      <c r="B5271" s="25"/>
      <c r="C5271" s="25"/>
      <c r="D5271" s="25"/>
      <c r="E5271" s="25"/>
      <c r="F5271" s="25"/>
      <c r="G5271" s="25"/>
      <c r="H5271" s="25"/>
      <c r="I5271" s="25"/>
      <c r="J5271" s="25"/>
    </row>
    <row r="5272" spans="1:10" ht="14.4">
      <c r="A5272" s="25"/>
      <c r="B5272" s="25"/>
      <c r="C5272" s="25"/>
      <c r="D5272" s="25"/>
      <c r="E5272" s="25"/>
      <c r="F5272" s="25"/>
      <c r="G5272" s="25"/>
      <c r="H5272" s="25"/>
      <c r="I5272" s="25"/>
      <c r="J5272" s="25"/>
    </row>
    <row r="5273" spans="1:10" ht="14.4">
      <c r="A5273" s="25"/>
      <c r="B5273" s="25"/>
      <c r="C5273" s="25"/>
      <c r="D5273" s="25"/>
      <c r="E5273" s="25"/>
      <c r="F5273" s="25"/>
      <c r="G5273" s="25"/>
      <c r="H5273" s="25"/>
      <c r="I5273" s="25"/>
      <c r="J5273" s="25"/>
    </row>
    <row r="5274" spans="1:10" ht="14.4">
      <c r="A5274" s="25"/>
      <c r="B5274" s="25"/>
      <c r="C5274" s="25"/>
      <c r="D5274" s="25"/>
      <c r="E5274" s="25"/>
      <c r="F5274" s="25"/>
      <c r="G5274" s="25"/>
      <c r="H5274" s="25"/>
      <c r="I5274" s="25"/>
      <c r="J5274" s="25"/>
    </row>
    <row r="5275" spans="1:10" ht="14.4">
      <c r="A5275" s="25"/>
      <c r="B5275" s="25"/>
      <c r="C5275" s="25"/>
      <c r="D5275" s="25"/>
      <c r="E5275" s="25"/>
      <c r="F5275" s="25"/>
      <c r="G5275" s="25"/>
      <c r="H5275" s="25"/>
      <c r="I5275" s="25"/>
      <c r="J5275" s="25"/>
    </row>
    <row r="5276" spans="1:10" ht="14.4">
      <c r="A5276" s="25"/>
      <c r="B5276" s="25"/>
      <c r="C5276" s="25"/>
      <c r="D5276" s="25"/>
      <c r="E5276" s="25"/>
      <c r="F5276" s="25"/>
      <c r="G5276" s="25"/>
      <c r="H5276" s="25"/>
      <c r="I5276" s="25"/>
      <c r="J5276" s="25"/>
    </row>
    <row r="5277" spans="1:10" ht="14.4">
      <c r="A5277" s="25"/>
      <c r="B5277" s="25"/>
      <c r="C5277" s="25"/>
      <c r="D5277" s="25"/>
      <c r="E5277" s="25"/>
      <c r="F5277" s="25"/>
      <c r="G5277" s="25"/>
      <c r="H5277" s="25"/>
      <c r="I5277" s="25"/>
      <c r="J5277" s="25"/>
    </row>
    <row r="5278" spans="1:10" ht="14.4">
      <c r="A5278" s="25"/>
      <c r="B5278" s="25"/>
      <c r="C5278" s="25"/>
      <c r="D5278" s="25"/>
      <c r="E5278" s="25"/>
      <c r="F5278" s="25"/>
      <c r="G5278" s="25"/>
      <c r="H5278" s="25"/>
      <c r="I5278" s="25"/>
      <c r="J5278" s="25"/>
    </row>
    <row r="5279" spans="1:10" ht="14.4">
      <c r="A5279" s="25"/>
      <c r="B5279" s="25"/>
      <c r="C5279" s="25"/>
      <c r="D5279" s="25"/>
      <c r="E5279" s="25"/>
      <c r="F5279" s="25"/>
      <c r="G5279" s="25"/>
      <c r="H5279" s="25"/>
      <c r="I5279" s="25"/>
      <c r="J5279" s="25"/>
    </row>
    <row r="5280" spans="1:10" ht="14.4">
      <c r="A5280" s="25"/>
      <c r="B5280" s="25"/>
      <c r="C5280" s="25"/>
      <c r="D5280" s="25"/>
      <c r="E5280" s="25"/>
      <c r="F5280" s="25"/>
      <c r="G5280" s="25"/>
      <c r="H5280" s="25"/>
      <c r="I5280" s="25"/>
      <c r="J5280" s="25"/>
    </row>
    <row r="5281" spans="1:10" ht="14.4">
      <c r="A5281" s="25"/>
      <c r="B5281" s="25"/>
      <c r="C5281" s="25"/>
      <c r="D5281" s="25"/>
      <c r="E5281" s="25"/>
      <c r="F5281" s="25"/>
      <c r="G5281" s="25"/>
      <c r="H5281" s="25"/>
      <c r="I5281" s="25"/>
      <c r="J5281" s="25"/>
    </row>
    <row r="5282" spans="1:10" ht="14.4">
      <c r="A5282" s="25"/>
      <c r="B5282" s="25"/>
      <c r="C5282" s="25"/>
      <c r="D5282" s="25"/>
      <c r="E5282" s="25"/>
      <c r="F5282" s="25"/>
      <c r="G5282" s="25"/>
      <c r="H5282" s="25"/>
      <c r="I5282" s="25"/>
      <c r="J5282" s="25"/>
    </row>
    <row r="5283" spans="1:10" ht="14.4">
      <c r="A5283" s="25"/>
      <c r="B5283" s="25"/>
      <c r="C5283" s="25"/>
      <c r="D5283" s="25"/>
      <c r="E5283" s="25"/>
      <c r="F5283" s="25"/>
      <c r="G5283" s="25"/>
      <c r="H5283" s="25"/>
      <c r="I5283" s="25"/>
      <c r="J5283" s="25"/>
    </row>
    <row r="5284" spans="1:10" ht="14.4">
      <c r="A5284" s="25"/>
      <c r="B5284" s="25"/>
      <c r="C5284" s="25"/>
      <c r="D5284" s="25"/>
      <c r="E5284" s="25"/>
      <c r="F5284" s="25"/>
      <c r="G5284" s="25"/>
      <c r="H5284" s="25"/>
      <c r="I5284" s="25"/>
      <c r="J5284" s="25"/>
    </row>
    <row r="5285" spans="1:10" ht="14.4">
      <c r="A5285" s="25"/>
      <c r="B5285" s="25"/>
      <c r="C5285" s="25"/>
      <c r="D5285" s="25"/>
      <c r="E5285" s="25"/>
      <c r="F5285" s="25"/>
      <c r="G5285" s="25"/>
      <c r="H5285" s="25"/>
      <c r="I5285" s="25"/>
      <c r="J5285" s="25"/>
    </row>
    <row r="5286" spans="1:10" ht="14.4">
      <c r="A5286" s="25"/>
      <c r="B5286" s="25"/>
      <c r="C5286" s="25"/>
      <c r="D5286" s="25"/>
      <c r="E5286" s="25"/>
      <c r="F5286" s="25"/>
      <c r="G5286" s="25"/>
      <c r="H5286" s="25"/>
      <c r="I5286" s="25"/>
      <c r="J5286" s="25"/>
    </row>
    <row r="5287" spans="1:10" ht="14.4">
      <c r="A5287" s="25"/>
      <c r="B5287" s="25"/>
      <c r="C5287" s="25"/>
      <c r="D5287" s="25"/>
      <c r="E5287" s="25"/>
      <c r="F5287" s="25"/>
      <c r="G5287" s="25"/>
      <c r="H5287" s="25"/>
      <c r="I5287" s="25"/>
      <c r="J5287" s="25"/>
    </row>
    <row r="5288" spans="1:10" ht="14.4">
      <c r="A5288" s="25"/>
      <c r="B5288" s="25"/>
      <c r="C5288" s="25"/>
      <c r="D5288" s="25"/>
      <c r="E5288" s="25"/>
      <c r="F5288" s="25"/>
      <c r="G5288" s="25"/>
      <c r="H5288" s="25"/>
      <c r="I5288" s="25"/>
      <c r="J5288" s="25"/>
    </row>
    <row r="5289" spans="1:10" ht="14.4">
      <c r="A5289" s="25"/>
      <c r="B5289" s="25"/>
      <c r="C5289" s="25"/>
      <c r="D5289" s="25"/>
      <c r="E5289" s="25"/>
      <c r="F5289" s="25"/>
      <c r="G5289" s="25"/>
      <c r="H5289" s="25"/>
      <c r="I5289" s="25"/>
      <c r="J5289" s="25"/>
    </row>
    <row r="5290" spans="1:10" ht="14.4">
      <c r="A5290" s="25"/>
      <c r="B5290" s="25"/>
      <c r="C5290" s="25"/>
      <c r="D5290" s="25"/>
      <c r="E5290" s="25"/>
      <c r="F5290" s="25"/>
      <c r="G5290" s="25"/>
      <c r="H5290" s="25"/>
      <c r="I5290" s="25"/>
      <c r="J5290" s="25"/>
    </row>
    <row r="5291" spans="1:10" ht="14.4">
      <c r="A5291" s="25"/>
      <c r="B5291" s="25"/>
      <c r="C5291" s="25"/>
      <c r="D5291" s="25"/>
      <c r="E5291" s="25"/>
      <c r="F5291" s="25"/>
      <c r="G5291" s="25"/>
      <c r="H5291" s="25"/>
      <c r="I5291" s="25"/>
      <c r="J5291" s="25"/>
    </row>
    <row r="5292" spans="1:10" ht="14.4">
      <c r="A5292" s="25"/>
      <c r="B5292" s="25"/>
      <c r="C5292" s="25"/>
      <c r="D5292" s="25"/>
      <c r="E5292" s="25"/>
      <c r="F5292" s="25"/>
      <c r="G5292" s="25"/>
      <c r="H5292" s="25"/>
      <c r="I5292" s="25"/>
      <c r="J5292" s="25"/>
    </row>
    <row r="5293" spans="1:10" ht="14.4">
      <c r="A5293" s="25"/>
      <c r="B5293" s="25"/>
      <c r="C5293" s="25"/>
      <c r="D5293" s="25"/>
      <c r="E5293" s="25"/>
      <c r="F5293" s="25"/>
      <c r="G5293" s="25"/>
      <c r="H5293" s="25"/>
      <c r="I5293" s="25"/>
      <c r="J5293" s="25"/>
    </row>
    <row r="5294" spans="1:10" ht="14.4">
      <c r="A5294" s="25"/>
      <c r="B5294" s="25"/>
      <c r="C5294" s="25"/>
      <c r="D5294" s="25"/>
      <c r="E5294" s="25"/>
      <c r="F5294" s="25"/>
      <c r="G5294" s="25"/>
      <c r="H5294" s="25"/>
      <c r="I5294" s="25"/>
      <c r="J5294" s="25"/>
    </row>
    <row r="5295" spans="1:10" ht="14.4">
      <c r="A5295" s="25"/>
      <c r="B5295" s="25"/>
      <c r="C5295" s="25"/>
      <c r="D5295" s="25"/>
      <c r="E5295" s="25"/>
      <c r="F5295" s="25"/>
      <c r="G5295" s="25"/>
      <c r="H5295" s="25"/>
      <c r="I5295" s="25"/>
      <c r="J5295" s="25"/>
    </row>
    <row r="5296" spans="1:10" ht="14.4">
      <c r="A5296" s="25"/>
      <c r="B5296" s="25"/>
      <c r="C5296" s="25"/>
      <c r="D5296" s="25"/>
      <c r="E5296" s="25"/>
      <c r="F5296" s="25"/>
      <c r="G5296" s="25"/>
      <c r="H5296" s="25"/>
      <c r="I5296" s="25"/>
      <c r="J5296" s="25"/>
    </row>
    <row r="5297" spans="1:10" ht="14.4">
      <c r="A5297" s="25"/>
      <c r="B5297" s="25"/>
      <c r="C5297" s="25"/>
      <c r="D5297" s="25"/>
      <c r="E5297" s="25"/>
      <c r="F5297" s="25"/>
      <c r="G5297" s="25"/>
      <c r="H5297" s="25"/>
      <c r="I5297" s="25"/>
      <c r="J5297" s="25"/>
    </row>
    <row r="5298" spans="1:10" ht="14.4">
      <c r="A5298" s="25"/>
      <c r="B5298" s="25"/>
      <c r="C5298" s="25"/>
      <c r="D5298" s="25"/>
      <c r="E5298" s="25"/>
      <c r="F5298" s="25"/>
      <c r="G5298" s="25"/>
      <c r="H5298" s="25"/>
      <c r="I5298" s="25"/>
      <c r="J5298" s="25"/>
    </row>
    <row r="5299" spans="1:10" ht="14.4">
      <c r="A5299" s="25"/>
      <c r="B5299" s="25"/>
      <c r="C5299" s="25"/>
      <c r="D5299" s="25"/>
      <c r="E5299" s="25"/>
      <c r="F5299" s="25"/>
      <c r="G5299" s="25"/>
      <c r="H5299" s="25"/>
      <c r="I5299" s="25"/>
      <c r="J5299" s="25"/>
    </row>
    <row r="5300" spans="1:10" ht="14.4">
      <c r="A5300" s="25"/>
      <c r="B5300" s="25"/>
      <c r="C5300" s="25"/>
      <c r="D5300" s="25"/>
      <c r="E5300" s="25"/>
      <c r="F5300" s="25"/>
      <c r="G5300" s="25"/>
      <c r="H5300" s="25"/>
      <c r="I5300" s="25"/>
      <c r="J5300" s="25"/>
    </row>
    <row r="5301" spans="1:10" ht="14.4">
      <c r="A5301" s="25"/>
      <c r="B5301" s="25"/>
      <c r="C5301" s="25"/>
      <c r="D5301" s="25"/>
      <c r="E5301" s="25"/>
      <c r="F5301" s="25"/>
      <c r="G5301" s="25"/>
      <c r="H5301" s="25"/>
      <c r="I5301" s="25"/>
      <c r="J5301" s="25"/>
    </row>
    <row r="5302" spans="1:10" ht="14.4">
      <c r="A5302" s="25"/>
      <c r="B5302" s="25"/>
      <c r="C5302" s="25"/>
      <c r="D5302" s="25"/>
      <c r="E5302" s="25"/>
      <c r="F5302" s="25"/>
      <c r="G5302" s="25"/>
      <c r="H5302" s="25"/>
      <c r="I5302" s="25"/>
      <c r="J5302" s="25"/>
    </row>
    <row r="5303" spans="1:10" ht="14.4">
      <c r="A5303" s="25"/>
      <c r="B5303" s="25"/>
      <c r="C5303" s="25"/>
      <c r="D5303" s="25"/>
      <c r="E5303" s="25"/>
      <c r="F5303" s="25"/>
      <c r="G5303" s="25"/>
      <c r="H5303" s="25"/>
      <c r="I5303" s="25"/>
      <c r="J5303" s="25"/>
    </row>
    <row r="5304" spans="1:10" ht="14.4">
      <c r="A5304" s="25"/>
      <c r="B5304" s="25"/>
      <c r="C5304" s="25"/>
      <c r="D5304" s="25"/>
      <c r="E5304" s="25"/>
      <c r="F5304" s="25"/>
      <c r="G5304" s="25"/>
      <c r="H5304" s="25"/>
      <c r="I5304" s="25"/>
      <c r="J5304" s="25"/>
    </row>
    <row r="5305" spans="1:10" ht="14.4">
      <c r="A5305" s="25"/>
      <c r="B5305" s="25"/>
      <c r="C5305" s="25"/>
      <c r="D5305" s="25"/>
      <c r="E5305" s="25"/>
      <c r="F5305" s="25"/>
      <c r="G5305" s="25"/>
      <c r="H5305" s="25"/>
      <c r="I5305" s="25"/>
      <c r="J5305" s="25"/>
    </row>
    <row r="5306" spans="1:10" ht="14.4">
      <c r="A5306" s="25"/>
      <c r="B5306" s="25"/>
      <c r="C5306" s="25"/>
      <c r="D5306" s="25"/>
      <c r="E5306" s="25"/>
      <c r="F5306" s="25"/>
      <c r="G5306" s="25"/>
      <c r="H5306" s="25"/>
      <c r="I5306" s="25"/>
      <c r="J5306" s="25"/>
    </row>
    <row r="5307" spans="1:10" ht="14.4">
      <c r="A5307" s="25"/>
      <c r="B5307" s="25"/>
      <c r="C5307" s="25"/>
      <c r="D5307" s="25"/>
      <c r="E5307" s="25"/>
      <c r="F5307" s="25"/>
      <c r="G5307" s="25"/>
      <c r="H5307" s="25"/>
      <c r="I5307" s="25"/>
      <c r="J5307" s="25"/>
    </row>
    <row r="5308" spans="1:10" ht="14.4">
      <c r="A5308" s="25"/>
      <c r="B5308" s="25"/>
      <c r="C5308" s="25"/>
      <c r="D5308" s="25"/>
      <c r="E5308" s="25"/>
      <c r="F5308" s="25"/>
      <c r="G5308" s="25"/>
      <c r="H5308" s="25"/>
      <c r="I5308" s="25"/>
      <c r="J5308" s="25"/>
    </row>
    <row r="5309" spans="1:10" ht="14.4">
      <c r="A5309" s="25"/>
      <c r="B5309" s="25"/>
      <c r="C5309" s="25"/>
      <c r="D5309" s="25"/>
      <c r="E5309" s="25"/>
      <c r="F5309" s="25"/>
      <c r="G5309" s="25"/>
      <c r="H5309" s="25"/>
      <c r="I5309" s="25"/>
      <c r="J5309" s="25"/>
    </row>
    <row r="5310" spans="1:10" ht="14.4">
      <c r="A5310" s="25"/>
      <c r="B5310" s="25"/>
      <c r="C5310" s="25"/>
      <c r="D5310" s="25"/>
      <c r="E5310" s="25"/>
      <c r="F5310" s="25"/>
      <c r="G5310" s="25"/>
      <c r="H5310" s="25"/>
      <c r="I5310" s="25"/>
      <c r="J5310" s="25"/>
    </row>
    <row r="5311" spans="1:10" ht="14.4">
      <c r="A5311" s="25"/>
      <c r="B5311" s="25"/>
      <c r="C5311" s="25"/>
      <c r="D5311" s="25"/>
      <c r="E5311" s="25"/>
      <c r="F5311" s="25"/>
      <c r="G5311" s="25"/>
      <c r="H5311" s="25"/>
      <c r="I5311" s="25"/>
      <c r="J5311" s="25"/>
    </row>
    <row r="5312" spans="1:10" ht="14.4">
      <c r="A5312" s="25"/>
      <c r="B5312" s="25"/>
      <c r="C5312" s="25"/>
      <c r="D5312" s="25"/>
      <c r="E5312" s="25"/>
      <c r="F5312" s="25"/>
      <c r="G5312" s="25"/>
      <c r="H5312" s="25"/>
      <c r="I5312" s="25"/>
      <c r="J5312" s="25"/>
    </row>
    <row r="5313" spans="1:10" ht="14.4">
      <c r="A5313" s="25"/>
      <c r="B5313" s="25"/>
      <c r="C5313" s="25"/>
      <c r="D5313" s="25"/>
      <c r="E5313" s="25"/>
      <c r="F5313" s="25"/>
      <c r="G5313" s="25"/>
      <c r="H5313" s="25"/>
      <c r="I5313" s="25"/>
      <c r="J5313" s="25"/>
    </row>
    <row r="5314" spans="1:10" ht="14.4">
      <c r="A5314" s="25"/>
      <c r="B5314" s="25"/>
      <c r="C5314" s="25"/>
      <c r="D5314" s="25"/>
      <c r="E5314" s="25"/>
      <c r="F5314" s="25"/>
      <c r="G5314" s="25"/>
      <c r="H5314" s="25"/>
      <c r="I5314" s="25"/>
      <c r="J5314" s="25"/>
    </row>
    <row r="5315" spans="1:10" ht="14.4">
      <c r="A5315" s="25"/>
      <c r="B5315" s="25"/>
      <c r="C5315" s="25"/>
      <c r="D5315" s="25"/>
      <c r="E5315" s="25"/>
      <c r="F5315" s="25"/>
      <c r="G5315" s="25"/>
      <c r="H5315" s="25"/>
      <c r="I5315" s="25"/>
      <c r="J5315" s="25"/>
    </row>
    <row r="5316" spans="1:10" ht="14.4">
      <c r="A5316" s="25"/>
      <c r="B5316" s="25"/>
      <c r="C5316" s="25"/>
      <c r="D5316" s="25"/>
      <c r="E5316" s="25"/>
      <c r="F5316" s="25"/>
      <c r="G5316" s="25"/>
      <c r="H5316" s="25"/>
      <c r="I5316" s="25"/>
      <c r="J5316" s="25"/>
    </row>
    <row r="5317" spans="1:10" ht="14.4">
      <c r="A5317" s="25"/>
      <c r="B5317" s="25"/>
      <c r="C5317" s="25"/>
      <c r="D5317" s="25"/>
      <c r="E5317" s="25"/>
      <c r="F5317" s="25"/>
      <c r="G5317" s="25"/>
      <c r="H5317" s="25"/>
      <c r="I5317" s="25"/>
      <c r="J5317" s="25"/>
    </row>
    <row r="5318" spans="1:10" ht="14.4">
      <c r="A5318" s="25"/>
      <c r="B5318" s="25"/>
      <c r="C5318" s="25"/>
      <c r="D5318" s="25"/>
      <c r="E5318" s="25"/>
      <c r="F5318" s="25"/>
      <c r="G5318" s="25"/>
      <c r="H5318" s="25"/>
      <c r="I5318" s="25"/>
      <c r="J5318" s="25"/>
    </row>
    <row r="5319" spans="1:10" ht="14.4">
      <c r="A5319" s="25"/>
      <c r="B5319" s="25"/>
      <c r="C5319" s="25"/>
      <c r="D5319" s="25"/>
      <c r="E5319" s="25"/>
      <c r="F5319" s="25"/>
      <c r="G5319" s="25"/>
      <c r="H5319" s="25"/>
      <c r="I5319" s="25"/>
      <c r="J5319" s="25"/>
    </row>
    <row r="5320" spans="1:10" ht="14.4">
      <c r="A5320" s="25"/>
      <c r="B5320" s="25"/>
      <c r="C5320" s="25"/>
      <c r="D5320" s="25"/>
      <c r="E5320" s="25"/>
      <c r="F5320" s="25"/>
      <c r="G5320" s="25"/>
      <c r="H5320" s="25"/>
      <c r="I5320" s="25"/>
      <c r="J5320" s="25"/>
    </row>
    <row r="5321" spans="1:10" ht="14.4">
      <c r="A5321" s="25"/>
      <c r="B5321" s="25"/>
      <c r="C5321" s="25"/>
      <c r="D5321" s="25"/>
      <c r="E5321" s="25"/>
      <c r="F5321" s="25"/>
      <c r="G5321" s="25"/>
      <c r="H5321" s="25"/>
      <c r="I5321" s="25"/>
      <c r="J5321" s="25"/>
    </row>
    <row r="5322" spans="1:10" ht="14.4">
      <c r="A5322" s="25"/>
      <c r="B5322" s="25"/>
      <c r="C5322" s="25"/>
      <c r="D5322" s="25"/>
      <c r="E5322" s="25"/>
      <c r="F5322" s="25"/>
      <c r="G5322" s="25"/>
      <c r="H5322" s="25"/>
      <c r="I5322" s="25"/>
      <c r="J5322" s="25"/>
    </row>
    <row r="5323" spans="1:10" ht="14.4">
      <c r="A5323" s="25"/>
      <c r="B5323" s="25"/>
      <c r="C5323" s="25"/>
      <c r="D5323" s="25"/>
      <c r="E5323" s="25"/>
      <c r="F5323" s="25"/>
      <c r="G5323" s="25"/>
      <c r="H5323" s="25"/>
      <c r="I5323" s="25"/>
      <c r="J5323" s="25"/>
    </row>
    <row r="5324" spans="1:10" ht="14.4">
      <c r="A5324" s="25"/>
      <c r="B5324" s="25"/>
      <c r="C5324" s="25"/>
      <c r="D5324" s="25"/>
      <c r="E5324" s="25"/>
      <c r="F5324" s="25"/>
      <c r="G5324" s="25"/>
      <c r="H5324" s="25"/>
      <c r="I5324" s="25"/>
      <c r="J5324" s="25"/>
    </row>
    <row r="5325" spans="1:10" ht="14.4">
      <c r="A5325" s="25"/>
      <c r="B5325" s="25"/>
      <c r="C5325" s="25"/>
      <c r="D5325" s="25"/>
      <c r="E5325" s="25"/>
      <c r="F5325" s="25"/>
      <c r="G5325" s="25"/>
      <c r="H5325" s="25"/>
      <c r="I5325" s="25"/>
      <c r="J5325" s="25"/>
    </row>
    <row r="5326" spans="1:10" ht="14.4">
      <c r="A5326" s="25"/>
      <c r="B5326" s="25"/>
      <c r="C5326" s="25"/>
      <c r="D5326" s="25"/>
      <c r="E5326" s="25"/>
      <c r="F5326" s="25"/>
      <c r="G5326" s="25"/>
      <c r="H5326" s="25"/>
      <c r="I5326" s="25"/>
      <c r="J5326" s="25"/>
    </row>
    <row r="5327" spans="1:10" ht="14.4">
      <c r="A5327" s="25"/>
      <c r="B5327" s="25"/>
      <c r="C5327" s="25"/>
      <c r="D5327" s="25"/>
      <c r="E5327" s="25"/>
      <c r="F5327" s="25"/>
      <c r="G5327" s="25"/>
      <c r="H5327" s="25"/>
      <c r="I5327" s="25"/>
      <c r="J5327" s="25"/>
    </row>
    <row r="5328" spans="1:10" ht="14.4">
      <c r="A5328" s="25"/>
      <c r="B5328" s="25"/>
      <c r="C5328" s="25"/>
      <c r="D5328" s="25"/>
      <c r="E5328" s="25"/>
      <c r="F5328" s="25"/>
      <c r="G5328" s="25"/>
      <c r="H5328" s="25"/>
      <c r="I5328" s="25"/>
      <c r="J5328" s="25"/>
    </row>
    <row r="5329" spans="1:10" ht="14.4">
      <c r="A5329" s="25"/>
      <c r="B5329" s="25"/>
      <c r="C5329" s="25"/>
      <c r="D5329" s="25"/>
      <c r="E5329" s="25"/>
      <c r="F5329" s="25"/>
      <c r="G5329" s="25"/>
      <c r="H5329" s="25"/>
      <c r="I5329" s="25"/>
      <c r="J5329" s="25"/>
    </row>
    <row r="5330" spans="1:10" ht="14.4">
      <c r="A5330" s="25"/>
      <c r="B5330" s="25"/>
      <c r="C5330" s="25"/>
      <c r="D5330" s="25"/>
      <c r="E5330" s="25"/>
      <c r="F5330" s="25"/>
      <c r="G5330" s="25"/>
      <c r="H5330" s="25"/>
      <c r="I5330" s="25"/>
      <c r="J5330" s="25"/>
    </row>
    <row r="5331" spans="1:10" ht="14.4">
      <c r="A5331" s="25"/>
      <c r="B5331" s="25"/>
      <c r="C5331" s="25"/>
      <c r="D5331" s="25"/>
      <c r="E5331" s="25"/>
      <c r="F5331" s="25"/>
      <c r="G5331" s="25"/>
      <c r="H5331" s="25"/>
      <c r="I5331" s="25"/>
      <c r="J5331" s="25"/>
    </row>
    <row r="5332" spans="1:10" ht="14.4">
      <c r="A5332" s="25"/>
      <c r="B5332" s="25"/>
      <c r="C5332" s="25"/>
      <c r="D5332" s="25"/>
      <c r="E5332" s="25"/>
      <c r="F5332" s="25"/>
      <c r="G5332" s="25"/>
      <c r="H5332" s="25"/>
      <c r="I5332" s="25"/>
      <c r="J5332" s="25"/>
    </row>
    <row r="5333" spans="1:10" ht="14.4">
      <c r="A5333" s="25"/>
      <c r="B5333" s="25"/>
      <c r="C5333" s="25"/>
      <c r="D5333" s="25"/>
      <c r="E5333" s="25"/>
      <c r="F5333" s="25"/>
      <c r="G5333" s="25"/>
      <c r="H5333" s="25"/>
      <c r="I5333" s="25"/>
      <c r="J5333" s="25"/>
    </row>
    <row r="5334" spans="1:10" ht="14.4">
      <c r="A5334" s="25"/>
      <c r="B5334" s="25"/>
      <c r="C5334" s="25"/>
      <c r="D5334" s="25"/>
      <c r="E5334" s="25"/>
      <c r="F5334" s="25"/>
      <c r="G5334" s="25"/>
      <c r="H5334" s="25"/>
      <c r="I5334" s="25"/>
      <c r="J5334" s="25"/>
    </row>
    <row r="5335" spans="1:10" ht="14.4">
      <c r="A5335" s="25"/>
      <c r="B5335" s="25"/>
      <c r="C5335" s="25"/>
      <c r="D5335" s="25"/>
      <c r="E5335" s="25"/>
      <c r="F5335" s="25"/>
      <c r="G5335" s="25"/>
      <c r="H5335" s="25"/>
      <c r="I5335" s="25"/>
      <c r="J5335" s="25"/>
    </row>
    <row r="5336" spans="1:10" ht="14.4">
      <c r="A5336" s="25"/>
      <c r="B5336" s="25"/>
      <c r="C5336" s="25"/>
      <c r="D5336" s="25"/>
      <c r="E5336" s="25"/>
      <c r="F5336" s="25"/>
      <c r="G5336" s="25"/>
      <c r="H5336" s="25"/>
      <c r="I5336" s="25"/>
      <c r="J5336" s="25"/>
    </row>
    <row r="5337" spans="1:10" ht="14.4">
      <c r="A5337" s="25"/>
      <c r="B5337" s="25"/>
      <c r="C5337" s="25"/>
      <c r="D5337" s="25"/>
      <c r="E5337" s="25"/>
      <c r="F5337" s="25"/>
      <c r="G5337" s="25"/>
      <c r="H5337" s="25"/>
      <c r="I5337" s="25"/>
      <c r="J5337" s="25"/>
    </row>
    <row r="5338" spans="1:10" ht="14.4">
      <c r="A5338" s="25"/>
      <c r="B5338" s="25"/>
      <c r="C5338" s="25"/>
      <c r="D5338" s="25"/>
      <c r="E5338" s="25"/>
      <c r="F5338" s="25"/>
      <c r="G5338" s="25"/>
      <c r="H5338" s="25"/>
      <c r="I5338" s="25"/>
      <c r="J5338" s="25"/>
    </row>
    <row r="5339" spans="1:10" ht="14.4">
      <c r="A5339" s="25"/>
      <c r="B5339" s="25"/>
      <c r="C5339" s="25"/>
      <c r="D5339" s="25"/>
      <c r="E5339" s="25"/>
      <c r="F5339" s="25"/>
      <c r="G5339" s="25"/>
      <c r="H5339" s="25"/>
      <c r="I5339" s="25"/>
      <c r="J5339" s="25"/>
    </row>
    <row r="5340" spans="1:10" ht="14.4">
      <c r="A5340" s="25"/>
      <c r="B5340" s="25"/>
      <c r="C5340" s="25"/>
      <c r="D5340" s="25"/>
      <c r="E5340" s="25"/>
      <c r="F5340" s="25"/>
      <c r="G5340" s="25"/>
      <c r="H5340" s="25"/>
      <c r="I5340" s="25"/>
      <c r="J5340" s="25"/>
    </row>
    <row r="5341" spans="1:10" ht="14.4">
      <c r="A5341" s="25"/>
      <c r="B5341" s="25"/>
      <c r="C5341" s="25"/>
      <c r="D5341" s="25"/>
      <c r="E5341" s="25"/>
      <c r="F5341" s="25"/>
      <c r="G5341" s="25"/>
      <c r="H5341" s="25"/>
      <c r="I5341" s="25"/>
      <c r="J5341" s="25"/>
    </row>
    <row r="5342" spans="1:10" ht="14.4">
      <c r="A5342" s="25"/>
      <c r="B5342" s="25"/>
      <c r="C5342" s="25"/>
      <c r="D5342" s="25"/>
      <c r="E5342" s="25"/>
      <c r="F5342" s="25"/>
      <c r="G5342" s="25"/>
      <c r="H5342" s="25"/>
      <c r="I5342" s="25"/>
      <c r="J5342" s="25"/>
    </row>
    <row r="5343" spans="1:10" ht="14.4">
      <c r="A5343" s="25"/>
      <c r="B5343" s="25"/>
      <c r="C5343" s="25"/>
      <c r="D5343" s="25"/>
      <c r="E5343" s="25"/>
      <c r="F5343" s="25"/>
      <c r="G5343" s="25"/>
      <c r="H5343" s="25"/>
      <c r="I5343" s="25"/>
      <c r="J5343" s="25"/>
    </row>
    <row r="5344" spans="1:10" ht="14.4">
      <c r="A5344" s="25"/>
      <c r="B5344" s="25"/>
      <c r="C5344" s="25"/>
      <c r="D5344" s="25"/>
      <c r="E5344" s="25"/>
      <c r="F5344" s="25"/>
      <c r="G5344" s="25"/>
      <c r="H5344" s="25"/>
      <c r="I5344" s="25"/>
      <c r="J5344" s="25"/>
    </row>
    <row r="5345" spans="1:10" ht="14.4">
      <c r="A5345" s="25"/>
      <c r="B5345" s="25"/>
      <c r="C5345" s="25"/>
      <c r="D5345" s="25"/>
      <c r="E5345" s="25"/>
      <c r="F5345" s="25"/>
      <c r="G5345" s="25"/>
      <c r="H5345" s="25"/>
      <c r="I5345" s="25"/>
      <c r="J5345" s="25"/>
    </row>
    <row r="5346" spans="1:10" ht="14.4">
      <c r="A5346" s="25"/>
      <c r="B5346" s="25"/>
      <c r="C5346" s="25"/>
      <c r="D5346" s="25"/>
      <c r="E5346" s="25"/>
      <c r="F5346" s="25"/>
      <c r="G5346" s="25"/>
      <c r="H5346" s="25"/>
      <c r="I5346" s="25"/>
      <c r="J5346" s="25"/>
    </row>
    <row r="5347" spans="1:10" ht="14.4">
      <c r="A5347" s="25"/>
      <c r="B5347" s="25"/>
      <c r="C5347" s="25"/>
      <c r="D5347" s="25"/>
      <c r="E5347" s="25"/>
      <c r="F5347" s="25"/>
      <c r="G5347" s="25"/>
      <c r="H5347" s="25"/>
      <c r="I5347" s="25"/>
      <c r="J5347" s="25"/>
    </row>
    <row r="5348" spans="1:10" ht="14.4">
      <c r="A5348" s="25"/>
      <c r="B5348" s="25"/>
      <c r="C5348" s="25"/>
      <c r="D5348" s="25"/>
      <c r="E5348" s="25"/>
      <c r="F5348" s="25"/>
      <c r="G5348" s="25"/>
      <c r="H5348" s="25"/>
      <c r="I5348" s="25"/>
      <c r="J5348" s="25"/>
    </row>
    <row r="5349" spans="1:10" ht="14.4">
      <c r="A5349" s="25"/>
      <c r="B5349" s="25"/>
      <c r="C5349" s="25"/>
      <c r="D5349" s="25"/>
      <c r="E5349" s="25"/>
      <c r="F5349" s="25"/>
      <c r="G5349" s="25"/>
      <c r="H5349" s="25"/>
      <c r="I5349" s="25"/>
      <c r="J5349" s="25"/>
    </row>
    <row r="5350" spans="1:10" ht="14.4">
      <c r="A5350" s="25"/>
      <c r="B5350" s="25"/>
      <c r="C5350" s="25"/>
      <c r="D5350" s="25"/>
      <c r="E5350" s="25"/>
      <c r="F5350" s="25"/>
      <c r="G5350" s="25"/>
      <c r="H5350" s="25"/>
      <c r="I5350" s="25"/>
      <c r="J5350" s="25"/>
    </row>
    <row r="5351" spans="1:10" ht="14.4">
      <c r="A5351" s="25"/>
      <c r="B5351" s="25"/>
      <c r="C5351" s="25"/>
      <c r="D5351" s="25"/>
      <c r="E5351" s="25"/>
      <c r="F5351" s="25"/>
      <c r="G5351" s="25"/>
      <c r="H5351" s="25"/>
      <c r="I5351" s="25"/>
      <c r="J5351" s="25"/>
    </row>
    <row r="5352" spans="1:10" ht="14.4">
      <c r="A5352" s="25"/>
      <c r="B5352" s="25"/>
      <c r="C5352" s="25"/>
      <c r="D5352" s="25"/>
      <c r="E5352" s="25"/>
      <c r="F5352" s="25"/>
      <c r="G5352" s="25"/>
      <c r="H5352" s="25"/>
      <c r="I5352" s="25"/>
      <c r="J5352" s="25"/>
    </row>
    <row r="5353" spans="1:10" ht="14.4">
      <c r="A5353" s="25"/>
      <c r="B5353" s="25"/>
      <c r="C5353" s="25"/>
      <c r="D5353" s="25"/>
      <c r="E5353" s="25"/>
      <c r="F5353" s="25"/>
      <c r="G5353" s="25"/>
      <c r="H5353" s="25"/>
      <c r="I5353" s="25"/>
      <c r="J5353" s="25"/>
    </row>
    <row r="5354" spans="1:10" ht="14.4">
      <c r="A5354" s="25"/>
      <c r="B5354" s="25"/>
      <c r="C5354" s="25"/>
      <c r="D5354" s="25"/>
      <c r="E5354" s="25"/>
      <c r="F5354" s="25"/>
      <c r="G5354" s="25"/>
      <c r="H5354" s="25"/>
      <c r="I5354" s="25"/>
      <c r="J5354" s="25"/>
    </row>
    <row r="5355" spans="1:10" ht="14.4">
      <c r="A5355" s="25"/>
      <c r="B5355" s="25"/>
      <c r="C5355" s="25"/>
      <c r="D5355" s="25"/>
      <c r="E5355" s="25"/>
      <c r="F5355" s="25"/>
      <c r="G5355" s="25"/>
      <c r="H5355" s="25"/>
      <c r="I5355" s="25"/>
      <c r="J5355" s="25"/>
    </row>
    <row r="5356" spans="1:10" ht="14.4">
      <c r="A5356" s="25"/>
      <c r="B5356" s="25"/>
      <c r="C5356" s="25"/>
      <c r="D5356" s="25"/>
      <c r="E5356" s="25"/>
      <c r="F5356" s="25"/>
      <c r="G5356" s="25"/>
      <c r="H5356" s="25"/>
      <c r="I5356" s="25"/>
      <c r="J5356" s="25"/>
    </row>
    <row r="5357" spans="1:10" ht="14.4">
      <c r="A5357" s="25"/>
      <c r="B5357" s="25"/>
      <c r="C5357" s="25"/>
      <c r="D5357" s="25"/>
      <c r="E5357" s="25"/>
      <c r="F5357" s="25"/>
      <c r="G5357" s="25"/>
      <c r="H5357" s="25"/>
      <c r="I5357" s="25"/>
      <c r="J5357" s="25"/>
    </row>
    <row r="5358" spans="1:10" ht="14.4">
      <c r="A5358" s="25"/>
      <c r="B5358" s="25"/>
      <c r="C5358" s="25"/>
      <c r="D5358" s="25"/>
      <c r="E5358" s="25"/>
      <c r="F5358" s="25"/>
      <c r="G5358" s="25"/>
      <c r="H5358" s="25"/>
      <c r="I5358" s="25"/>
      <c r="J5358" s="25"/>
    </row>
    <row r="5359" spans="1:10" ht="14.4">
      <c r="A5359" s="25"/>
      <c r="B5359" s="25"/>
      <c r="C5359" s="25"/>
      <c r="D5359" s="25"/>
      <c r="E5359" s="25"/>
      <c r="F5359" s="25"/>
      <c r="G5359" s="25"/>
      <c r="H5359" s="25"/>
      <c r="I5359" s="25"/>
      <c r="J5359" s="25"/>
    </row>
    <row r="5360" spans="1:10" ht="14.4">
      <c r="A5360" s="25"/>
      <c r="B5360" s="25"/>
      <c r="C5360" s="25"/>
      <c r="D5360" s="25"/>
      <c r="E5360" s="25"/>
      <c r="F5360" s="25"/>
      <c r="G5360" s="25"/>
      <c r="H5360" s="25"/>
      <c r="I5360" s="25"/>
      <c r="J5360" s="25"/>
    </row>
    <row r="5361" spans="1:10" ht="14.4">
      <c r="A5361" s="25"/>
      <c r="B5361" s="25"/>
      <c r="C5361" s="25"/>
      <c r="D5361" s="25"/>
      <c r="E5361" s="25"/>
      <c r="F5361" s="25"/>
      <c r="G5361" s="25"/>
      <c r="H5361" s="25"/>
      <c r="I5361" s="25"/>
      <c r="J5361" s="25"/>
    </row>
    <row r="5362" spans="1:10" ht="14.4">
      <c r="A5362" s="25"/>
      <c r="B5362" s="25"/>
      <c r="C5362" s="25"/>
      <c r="D5362" s="25"/>
      <c r="E5362" s="25"/>
      <c r="F5362" s="25"/>
      <c r="G5362" s="25"/>
      <c r="H5362" s="25"/>
      <c r="I5362" s="25"/>
      <c r="J5362" s="25"/>
    </row>
    <row r="5363" spans="1:10" ht="14.4">
      <c r="A5363" s="25"/>
      <c r="B5363" s="25"/>
      <c r="C5363" s="25"/>
      <c r="D5363" s="25"/>
      <c r="E5363" s="25"/>
      <c r="F5363" s="25"/>
      <c r="G5363" s="25"/>
      <c r="H5363" s="25"/>
      <c r="I5363" s="25"/>
      <c r="J5363" s="25"/>
    </row>
    <row r="5364" spans="1:10" ht="14.4">
      <c r="A5364" s="25"/>
      <c r="B5364" s="25"/>
      <c r="C5364" s="25"/>
      <c r="D5364" s="25"/>
      <c r="E5364" s="25"/>
      <c r="F5364" s="25"/>
      <c r="G5364" s="25"/>
      <c r="H5364" s="25"/>
      <c r="I5364" s="25"/>
      <c r="J5364" s="25"/>
    </row>
    <row r="5365" spans="1:10" ht="14.4">
      <c r="A5365" s="25"/>
      <c r="B5365" s="25"/>
      <c r="C5365" s="25"/>
      <c r="D5365" s="25"/>
      <c r="E5365" s="25"/>
      <c r="F5365" s="25"/>
      <c r="G5365" s="25"/>
      <c r="H5365" s="25"/>
      <c r="I5365" s="25"/>
      <c r="J5365" s="25"/>
    </row>
    <row r="5366" spans="1:10" ht="14.4">
      <c r="A5366" s="25"/>
      <c r="B5366" s="25"/>
      <c r="C5366" s="25"/>
      <c r="D5366" s="25"/>
      <c r="E5366" s="25"/>
      <c r="F5366" s="25"/>
      <c r="G5366" s="25"/>
      <c r="H5366" s="25"/>
      <c r="I5366" s="25"/>
      <c r="J5366" s="25"/>
    </row>
    <row r="5367" spans="1:10" ht="14.4">
      <c r="A5367" s="25"/>
      <c r="B5367" s="25"/>
      <c r="C5367" s="25"/>
      <c r="D5367" s="25"/>
      <c r="E5367" s="25"/>
      <c r="F5367" s="25"/>
      <c r="G5367" s="25"/>
      <c r="H5367" s="25"/>
      <c r="I5367" s="25"/>
      <c r="J5367" s="25"/>
    </row>
    <row r="5368" spans="1:10" ht="14.4">
      <c r="A5368" s="25"/>
      <c r="B5368" s="25"/>
      <c r="C5368" s="25"/>
      <c r="D5368" s="25"/>
      <c r="E5368" s="25"/>
      <c r="F5368" s="25"/>
      <c r="G5368" s="25"/>
      <c r="H5368" s="25"/>
      <c r="I5368" s="25"/>
      <c r="J5368" s="25"/>
    </row>
    <row r="5369" spans="1:10" ht="14.4">
      <c r="A5369" s="25"/>
      <c r="B5369" s="25"/>
      <c r="C5369" s="25"/>
      <c r="D5369" s="25"/>
      <c r="E5369" s="25"/>
      <c r="F5369" s="25"/>
      <c r="G5369" s="25"/>
      <c r="H5369" s="25"/>
      <c r="I5369" s="25"/>
      <c r="J5369" s="25"/>
    </row>
    <row r="5370" spans="1:10" ht="14.4">
      <c r="A5370" s="25"/>
      <c r="B5370" s="25"/>
      <c r="C5370" s="25"/>
      <c r="D5370" s="25"/>
      <c r="E5370" s="25"/>
      <c r="F5370" s="25"/>
      <c r="G5370" s="25"/>
      <c r="H5370" s="25"/>
      <c r="I5370" s="25"/>
      <c r="J5370" s="25"/>
    </row>
    <row r="5371" spans="1:10" ht="14.4">
      <c r="A5371" s="25"/>
      <c r="B5371" s="25"/>
      <c r="C5371" s="25"/>
      <c r="D5371" s="25"/>
      <c r="E5371" s="25"/>
      <c r="F5371" s="25"/>
      <c r="G5371" s="25"/>
      <c r="H5371" s="25"/>
      <c r="I5371" s="25"/>
      <c r="J5371" s="25"/>
    </row>
    <row r="5372" spans="1:10" ht="14.4">
      <c r="A5372" s="25"/>
      <c r="B5372" s="25"/>
      <c r="C5372" s="25"/>
      <c r="D5372" s="25"/>
      <c r="E5372" s="25"/>
      <c r="F5372" s="25"/>
      <c r="G5372" s="25"/>
      <c r="H5372" s="25"/>
      <c r="I5372" s="25"/>
      <c r="J5372" s="25"/>
    </row>
    <row r="5373" spans="1:10" ht="14.4">
      <c r="A5373" s="25"/>
      <c r="B5373" s="25"/>
      <c r="C5373" s="25"/>
      <c r="D5373" s="25"/>
      <c r="E5373" s="25"/>
      <c r="F5373" s="25"/>
      <c r="G5373" s="25"/>
      <c r="H5373" s="25"/>
      <c r="I5373" s="25"/>
      <c r="J5373" s="25"/>
    </row>
    <row r="5374" spans="1:10" ht="14.4">
      <c r="A5374" s="25"/>
      <c r="B5374" s="25"/>
      <c r="C5374" s="25"/>
      <c r="D5374" s="25"/>
      <c r="E5374" s="25"/>
      <c r="F5374" s="25"/>
      <c r="G5374" s="25"/>
      <c r="H5374" s="25"/>
      <c r="I5374" s="25"/>
      <c r="J5374" s="25"/>
    </row>
    <row r="5375" spans="1:10" ht="14.4">
      <c r="A5375" s="25"/>
      <c r="B5375" s="25"/>
      <c r="C5375" s="25"/>
      <c r="D5375" s="25"/>
      <c r="E5375" s="25"/>
      <c r="F5375" s="25"/>
      <c r="G5375" s="25"/>
      <c r="H5375" s="25"/>
      <c r="I5375" s="25"/>
      <c r="J5375" s="25"/>
    </row>
    <row r="5376" spans="1:10" ht="14.4">
      <c r="A5376" s="25"/>
      <c r="B5376" s="25"/>
      <c r="C5376" s="25"/>
      <c r="D5376" s="25"/>
      <c r="E5376" s="25"/>
      <c r="F5376" s="25"/>
      <c r="G5376" s="25"/>
      <c r="H5376" s="25"/>
      <c r="I5376" s="25"/>
      <c r="J5376" s="25"/>
    </row>
    <row r="5377" spans="1:10" ht="14.4">
      <c r="A5377" s="25"/>
      <c r="B5377" s="25"/>
      <c r="C5377" s="25"/>
      <c r="D5377" s="25"/>
      <c r="E5377" s="25"/>
      <c r="F5377" s="25"/>
      <c r="G5377" s="25"/>
      <c r="H5377" s="25"/>
      <c r="I5377" s="25"/>
      <c r="J5377" s="25"/>
    </row>
    <row r="5378" spans="1:10" ht="14.4">
      <c r="A5378" s="25"/>
      <c r="B5378" s="25"/>
      <c r="C5378" s="25"/>
      <c r="D5378" s="25"/>
      <c r="E5378" s="25"/>
      <c r="F5378" s="25"/>
      <c r="G5378" s="25"/>
      <c r="H5378" s="25"/>
      <c r="I5378" s="25"/>
      <c r="J5378" s="25"/>
    </row>
    <row r="5379" spans="1:10" ht="14.4">
      <c r="A5379" s="25"/>
      <c r="B5379" s="25"/>
      <c r="C5379" s="25"/>
      <c r="D5379" s="25"/>
      <c r="E5379" s="25"/>
      <c r="F5379" s="25"/>
      <c r="G5379" s="25"/>
      <c r="H5379" s="25"/>
      <c r="I5379" s="25"/>
      <c r="J5379" s="25"/>
    </row>
    <row r="5380" spans="1:10" ht="14.4">
      <c r="A5380" s="25"/>
      <c r="B5380" s="25"/>
      <c r="C5380" s="25"/>
      <c r="D5380" s="25"/>
      <c r="E5380" s="25"/>
      <c r="F5380" s="25"/>
      <c r="G5380" s="25"/>
      <c r="H5380" s="25"/>
      <c r="I5380" s="25"/>
      <c r="J5380" s="25"/>
    </row>
    <row r="5381" spans="1:10" ht="14.4">
      <c r="A5381" s="25"/>
      <c r="B5381" s="25"/>
      <c r="C5381" s="25"/>
      <c r="D5381" s="25"/>
      <c r="E5381" s="25"/>
      <c r="F5381" s="25"/>
      <c r="G5381" s="25"/>
      <c r="H5381" s="25"/>
      <c r="I5381" s="25"/>
      <c r="J5381" s="25"/>
    </row>
    <row r="5382" spans="1:10" ht="14.4">
      <c r="A5382" s="25"/>
      <c r="B5382" s="25"/>
      <c r="C5382" s="25"/>
      <c r="D5382" s="25"/>
      <c r="E5382" s="25"/>
      <c r="F5382" s="25"/>
      <c r="G5382" s="25"/>
      <c r="H5382" s="25"/>
      <c r="I5382" s="25"/>
      <c r="J5382" s="25"/>
    </row>
    <row r="5383" spans="1:10" ht="14.4">
      <c r="A5383" s="25"/>
      <c r="B5383" s="25"/>
      <c r="C5383" s="25"/>
      <c r="D5383" s="25"/>
      <c r="E5383" s="25"/>
      <c r="F5383" s="25"/>
      <c r="G5383" s="25"/>
      <c r="H5383" s="25"/>
      <c r="I5383" s="25"/>
      <c r="J5383" s="25"/>
    </row>
    <row r="5384" spans="1:10" ht="14.4">
      <c r="A5384" s="25"/>
      <c r="B5384" s="25"/>
      <c r="C5384" s="25"/>
      <c r="D5384" s="25"/>
      <c r="E5384" s="25"/>
      <c r="F5384" s="25"/>
      <c r="G5384" s="25"/>
      <c r="H5384" s="25"/>
      <c r="I5384" s="25"/>
      <c r="J5384" s="25"/>
    </row>
    <row r="5385" spans="1:10" ht="14.4">
      <c r="A5385" s="25"/>
      <c r="B5385" s="25"/>
      <c r="C5385" s="25"/>
      <c r="D5385" s="25"/>
      <c r="E5385" s="25"/>
      <c r="F5385" s="25"/>
      <c r="G5385" s="25"/>
      <c r="H5385" s="25"/>
      <c r="I5385" s="25"/>
      <c r="J5385" s="25"/>
    </row>
    <row r="5386" spans="1:10" ht="14.4">
      <c r="A5386" s="25"/>
      <c r="B5386" s="25"/>
      <c r="C5386" s="25"/>
      <c r="D5386" s="25"/>
      <c r="E5386" s="25"/>
      <c r="F5386" s="25"/>
      <c r="G5386" s="25"/>
      <c r="H5386" s="25"/>
      <c r="I5386" s="25"/>
      <c r="J5386" s="25"/>
    </row>
    <row r="5387" spans="1:10" ht="14.4">
      <c r="A5387" s="25"/>
      <c r="B5387" s="25"/>
      <c r="C5387" s="25"/>
      <c r="D5387" s="25"/>
      <c r="E5387" s="25"/>
      <c r="F5387" s="25"/>
      <c r="G5387" s="25"/>
      <c r="H5387" s="25"/>
      <c r="I5387" s="25"/>
      <c r="J5387" s="25"/>
    </row>
    <row r="5388" spans="1:10" ht="14.4">
      <c r="A5388" s="25"/>
      <c r="B5388" s="25"/>
      <c r="C5388" s="25"/>
      <c r="D5388" s="25"/>
      <c r="E5388" s="25"/>
      <c r="F5388" s="25"/>
      <c r="G5388" s="25"/>
      <c r="H5388" s="25"/>
      <c r="I5388" s="25"/>
      <c r="J5388" s="25"/>
    </row>
    <row r="5389" spans="1:10" ht="14.4">
      <c r="A5389" s="25"/>
      <c r="B5389" s="25"/>
      <c r="C5389" s="25"/>
      <c r="D5389" s="25"/>
      <c r="E5389" s="25"/>
      <c r="F5389" s="25"/>
      <c r="G5389" s="25"/>
      <c r="H5389" s="25"/>
      <c r="I5389" s="25"/>
      <c r="J5389" s="25"/>
    </row>
    <row r="5390" spans="1:10" ht="14.4">
      <c r="A5390" s="25"/>
      <c r="B5390" s="25"/>
      <c r="C5390" s="25"/>
      <c r="D5390" s="25"/>
      <c r="E5390" s="25"/>
      <c r="F5390" s="25"/>
      <c r="G5390" s="25"/>
      <c r="H5390" s="25"/>
      <c r="I5390" s="25"/>
      <c r="J5390" s="25"/>
    </row>
    <row r="5391" spans="1:10" ht="14.4">
      <c r="A5391" s="25"/>
      <c r="B5391" s="25"/>
      <c r="C5391" s="25"/>
      <c r="D5391" s="25"/>
      <c r="E5391" s="25"/>
      <c r="F5391" s="25"/>
      <c r="G5391" s="25"/>
      <c r="H5391" s="25"/>
      <c r="I5391" s="25"/>
      <c r="J5391" s="25"/>
    </row>
    <row r="5392" spans="1:10" ht="14.4">
      <c r="A5392" s="25"/>
      <c r="B5392" s="25"/>
      <c r="C5392" s="25"/>
      <c r="D5392" s="25"/>
      <c r="E5392" s="25"/>
      <c r="F5392" s="25"/>
      <c r="G5392" s="25"/>
      <c r="H5392" s="25"/>
      <c r="I5392" s="25"/>
      <c r="J5392" s="25"/>
    </row>
    <row r="5393" spans="1:10" ht="14.4">
      <c r="A5393" s="25"/>
      <c r="B5393" s="25"/>
      <c r="C5393" s="25"/>
      <c r="D5393" s="25"/>
      <c r="E5393" s="25"/>
      <c r="F5393" s="25"/>
      <c r="G5393" s="25"/>
      <c r="H5393" s="25"/>
      <c r="I5393" s="25"/>
      <c r="J5393" s="25"/>
    </row>
    <row r="5394" spans="1:10" ht="14.4">
      <c r="A5394" s="25"/>
      <c r="B5394" s="25"/>
      <c r="C5394" s="25"/>
      <c r="D5394" s="25"/>
      <c r="E5394" s="25"/>
      <c r="F5394" s="25"/>
      <c r="G5394" s="25"/>
      <c r="H5394" s="25"/>
      <c r="I5394" s="25"/>
      <c r="J5394" s="25"/>
    </row>
    <row r="5395" spans="1:10" ht="14.4">
      <c r="A5395" s="25"/>
      <c r="B5395" s="25"/>
      <c r="C5395" s="25"/>
      <c r="D5395" s="25"/>
      <c r="E5395" s="25"/>
      <c r="F5395" s="25"/>
      <c r="G5395" s="25"/>
      <c r="H5395" s="25"/>
      <c r="I5395" s="25"/>
      <c r="J5395" s="25"/>
    </row>
    <row r="5396" spans="1:10" ht="14.4">
      <c r="A5396" s="25"/>
      <c r="B5396" s="25"/>
      <c r="C5396" s="25"/>
      <c r="D5396" s="25"/>
      <c r="E5396" s="25"/>
      <c r="F5396" s="25"/>
      <c r="G5396" s="25"/>
      <c r="H5396" s="25"/>
      <c r="I5396" s="25"/>
      <c r="J5396" s="25"/>
    </row>
    <row r="5397" spans="1:10" ht="14.4">
      <c r="A5397" s="25"/>
      <c r="B5397" s="25"/>
      <c r="C5397" s="25"/>
      <c r="D5397" s="25"/>
      <c r="E5397" s="25"/>
      <c r="F5397" s="25"/>
      <c r="G5397" s="25"/>
      <c r="H5397" s="25"/>
      <c r="I5397" s="25"/>
      <c r="J5397" s="25"/>
    </row>
    <row r="5398" spans="1:10" ht="14.4">
      <c r="A5398" s="25"/>
      <c r="B5398" s="25"/>
      <c r="C5398" s="25"/>
      <c r="D5398" s="25"/>
      <c r="E5398" s="25"/>
      <c r="F5398" s="25"/>
      <c r="G5398" s="25"/>
      <c r="H5398" s="25"/>
      <c r="I5398" s="25"/>
      <c r="J5398" s="25"/>
    </row>
    <row r="5399" spans="1:10" ht="14.4">
      <c r="A5399" s="25"/>
      <c r="B5399" s="25"/>
      <c r="C5399" s="25"/>
      <c r="D5399" s="25"/>
      <c r="E5399" s="25"/>
      <c r="F5399" s="25"/>
      <c r="G5399" s="25"/>
      <c r="H5399" s="25"/>
      <c r="I5399" s="25"/>
      <c r="J5399" s="25"/>
    </row>
    <row r="5400" spans="1:10" ht="14.4">
      <c r="A5400" s="25"/>
      <c r="B5400" s="25"/>
      <c r="C5400" s="25"/>
      <c r="D5400" s="25"/>
      <c r="E5400" s="25"/>
      <c r="F5400" s="25"/>
      <c r="G5400" s="25"/>
      <c r="H5400" s="25"/>
      <c r="I5400" s="25"/>
      <c r="J5400" s="25"/>
    </row>
    <row r="5401" spans="1:10" ht="14.4">
      <c r="A5401" s="25"/>
      <c r="B5401" s="25"/>
      <c r="C5401" s="25"/>
      <c r="D5401" s="25"/>
      <c r="E5401" s="25"/>
      <c r="F5401" s="25"/>
      <c r="G5401" s="25"/>
      <c r="H5401" s="25"/>
      <c r="I5401" s="25"/>
      <c r="J5401" s="25"/>
    </row>
    <row r="5402" spans="1:10" ht="14.4">
      <c r="A5402" s="25"/>
      <c r="B5402" s="25"/>
      <c r="C5402" s="25"/>
      <c r="D5402" s="25"/>
      <c r="E5402" s="25"/>
      <c r="F5402" s="25"/>
      <c r="G5402" s="25"/>
      <c r="H5402" s="25"/>
      <c r="I5402" s="25"/>
      <c r="J5402" s="25"/>
    </row>
    <row r="5403" spans="1:10" ht="14.4">
      <c r="A5403" s="25"/>
      <c r="B5403" s="25"/>
      <c r="C5403" s="25"/>
      <c r="D5403" s="25"/>
      <c r="E5403" s="25"/>
      <c r="F5403" s="25"/>
      <c r="G5403" s="25"/>
      <c r="H5403" s="25"/>
      <c r="I5403" s="25"/>
      <c r="J5403" s="25"/>
    </row>
    <row r="5404" spans="1:10" ht="14.4">
      <c r="A5404" s="25"/>
      <c r="B5404" s="25"/>
      <c r="C5404" s="25"/>
      <c r="D5404" s="25"/>
      <c r="E5404" s="25"/>
      <c r="F5404" s="25"/>
      <c r="G5404" s="25"/>
      <c r="H5404" s="25"/>
      <c r="I5404" s="25"/>
      <c r="J5404" s="25"/>
    </row>
    <row r="5405" spans="1:10" ht="14.4">
      <c r="A5405" s="25"/>
      <c r="B5405" s="25"/>
      <c r="C5405" s="25"/>
      <c r="D5405" s="25"/>
      <c r="E5405" s="25"/>
      <c r="F5405" s="25"/>
      <c r="G5405" s="25"/>
      <c r="H5405" s="25"/>
      <c r="I5405" s="25"/>
      <c r="J5405" s="25"/>
    </row>
    <row r="5406" spans="1:10" ht="14.4">
      <c r="A5406" s="25"/>
      <c r="B5406" s="25"/>
      <c r="C5406" s="25"/>
      <c r="D5406" s="25"/>
      <c r="E5406" s="25"/>
      <c r="F5406" s="25"/>
      <c r="G5406" s="25"/>
      <c r="H5406" s="25"/>
      <c r="I5406" s="25"/>
      <c r="J5406" s="25"/>
    </row>
    <row r="5407" spans="1:10" ht="14.4">
      <c r="A5407" s="25"/>
      <c r="B5407" s="25"/>
      <c r="C5407" s="25"/>
      <c r="D5407" s="25"/>
      <c r="E5407" s="25"/>
      <c r="F5407" s="25"/>
      <c r="G5407" s="25"/>
      <c r="H5407" s="25"/>
      <c r="I5407" s="25"/>
      <c r="J5407" s="25"/>
    </row>
    <row r="5408" spans="1:10" ht="14.4">
      <c r="A5408" s="25"/>
      <c r="B5408" s="25"/>
      <c r="C5408" s="25"/>
      <c r="D5408" s="25"/>
      <c r="E5408" s="25"/>
      <c r="F5408" s="25"/>
      <c r="G5408" s="25"/>
      <c r="H5408" s="25"/>
      <c r="I5408" s="25"/>
      <c r="J5408" s="25"/>
    </row>
    <row r="5409" spans="1:10" ht="14.4">
      <c r="A5409" s="25"/>
      <c r="B5409" s="25"/>
      <c r="C5409" s="25"/>
      <c r="D5409" s="25"/>
      <c r="E5409" s="25"/>
      <c r="F5409" s="25"/>
      <c r="G5409" s="25"/>
      <c r="H5409" s="25"/>
      <c r="I5409" s="25"/>
      <c r="J5409" s="25"/>
    </row>
    <row r="5410" spans="1:10" ht="14.4">
      <c r="A5410" s="25"/>
      <c r="B5410" s="25"/>
      <c r="C5410" s="25"/>
      <c r="D5410" s="25"/>
      <c r="E5410" s="25"/>
      <c r="F5410" s="25"/>
      <c r="G5410" s="25"/>
      <c r="H5410" s="25"/>
      <c r="I5410" s="25"/>
      <c r="J5410" s="25"/>
    </row>
    <row r="5411" spans="1:10" ht="14.4">
      <c r="A5411" s="25"/>
      <c r="B5411" s="25"/>
      <c r="C5411" s="25"/>
      <c r="D5411" s="25"/>
      <c r="E5411" s="25"/>
      <c r="F5411" s="25"/>
      <c r="G5411" s="25"/>
      <c r="H5411" s="25"/>
      <c r="I5411" s="25"/>
      <c r="J5411" s="25"/>
    </row>
    <row r="5412" spans="1:10" ht="14.4">
      <c r="A5412" s="25"/>
      <c r="B5412" s="25"/>
      <c r="C5412" s="25"/>
      <c r="D5412" s="25"/>
      <c r="E5412" s="25"/>
      <c r="F5412" s="25"/>
      <c r="G5412" s="25"/>
      <c r="H5412" s="25"/>
      <c r="I5412" s="25"/>
      <c r="J5412" s="25"/>
    </row>
    <row r="5413" spans="1:10" ht="14.4">
      <c r="A5413" s="25"/>
      <c r="B5413" s="25"/>
      <c r="C5413" s="25"/>
      <c r="D5413" s="25"/>
      <c r="E5413" s="25"/>
      <c r="F5413" s="25"/>
      <c r="G5413" s="25"/>
      <c r="H5413" s="25"/>
      <c r="I5413" s="25"/>
      <c r="J5413" s="25"/>
    </row>
    <row r="5414" spans="1:10" ht="14.4">
      <c r="A5414" s="25"/>
      <c r="B5414" s="25"/>
      <c r="C5414" s="25"/>
      <c r="D5414" s="25"/>
      <c r="E5414" s="25"/>
      <c r="F5414" s="25"/>
      <c r="G5414" s="25"/>
      <c r="H5414" s="25"/>
      <c r="I5414" s="25"/>
      <c r="J5414" s="25"/>
    </row>
    <row r="5415" spans="1:10" ht="14.4">
      <c r="A5415" s="25"/>
      <c r="B5415" s="25"/>
      <c r="C5415" s="25"/>
      <c r="D5415" s="25"/>
      <c r="E5415" s="25"/>
      <c r="F5415" s="25"/>
      <c r="G5415" s="25"/>
      <c r="H5415" s="25"/>
      <c r="I5415" s="25"/>
      <c r="J5415" s="25"/>
    </row>
    <row r="5416" spans="1:10" ht="14.4">
      <c r="A5416" s="25"/>
      <c r="B5416" s="25"/>
      <c r="C5416" s="25"/>
      <c r="D5416" s="25"/>
      <c r="E5416" s="25"/>
      <c r="F5416" s="25"/>
      <c r="G5416" s="25"/>
      <c r="H5416" s="25"/>
      <c r="I5416" s="25"/>
      <c r="J5416" s="25"/>
    </row>
    <row r="5417" spans="1:10" ht="14.4">
      <c r="A5417" s="25"/>
      <c r="B5417" s="25"/>
      <c r="C5417" s="25"/>
      <c r="D5417" s="25"/>
      <c r="E5417" s="25"/>
      <c r="F5417" s="25"/>
      <c r="G5417" s="25"/>
      <c r="H5417" s="25"/>
      <c r="I5417" s="25"/>
      <c r="J5417" s="25"/>
    </row>
    <row r="5418" spans="1:10" ht="14.4">
      <c r="A5418" s="25"/>
      <c r="B5418" s="25"/>
      <c r="C5418" s="25"/>
      <c r="D5418" s="25"/>
      <c r="E5418" s="25"/>
      <c r="F5418" s="25"/>
      <c r="G5418" s="25"/>
      <c r="H5418" s="25"/>
      <c r="I5418" s="25"/>
      <c r="J5418" s="25"/>
    </row>
    <row r="5419" spans="1:10" ht="14.4">
      <c r="A5419" s="25"/>
      <c r="B5419" s="25"/>
      <c r="C5419" s="25"/>
      <c r="D5419" s="25"/>
      <c r="E5419" s="25"/>
      <c r="F5419" s="25"/>
      <c r="G5419" s="25"/>
      <c r="H5419" s="25"/>
      <c r="I5419" s="25"/>
      <c r="J5419" s="25"/>
    </row>
    <row r="5420" spans="1:10" ht="14.4">
      <c r="A5420" s="25"/>
      <c r="B5420" s="25"/>
      <c r="C5420" s="25"/>
      <c r="D5420" s="25"/>
      <c r="E5420" s="25"/>
      <c r="F5420" s="25"/>
      <c r="G5420" s="25"/>
      <c r="H5420" s="25"/>
      <c r="I5420" s="25"/>
      <c r="J5420" s="25"/>
    </row>
    <row r="5421" spans="1:10" ht="14.4">
      <c r="A5421" s="25"/>
      <c r="B5421" s="25"/>
      <c r="C5421" s="25"/>
      <c r="D5421" s="25"/>
      <c r="E5421" s="25"/>
      <c r="F5421" s="25"/>
      <c r="G5421" s="25"/>
      <c r="H5421" s="25"/>
      <c r="I5421" s="25"/>
      <c r="J5421" s="25"/>
    </row>
    <row r="5422" spans="1:10" ht="14.4">
      <c r="A5422" s="25"/>
      <c r="B5422" s="25"/>
      <c r="C5422" s="25"/>
      <c r="D5422" s="25"/>
      <c r="E5422" s="25"/>
      <c r="F5422" s="25"/>
      <c r="G5422" s="25"/>
      <c r="H5422" s="25"/>
      <c r="I5422" s="25"/>
      <c r="J5422" s="25"/>
    </row>
    <row r="5423" spans="1:10" ht="14.4">
      <c r="A5423" s="25"/>
      <c r="B5423" s="25"/>
      <c r="C5423" s="25"/>
      <c r="D5423" s="25"/>
      <c r="E5423" s="25"/>
      <c r="F5423" s="25"/>
      <c r="G5423" s="25"/>
      <c r="H5423" s="25"/>
      <c r="I5423" s="25"/>
      <c r="J5423" s="25"/>
    </row>
    <row r="5424" spans="1:10" ht="14.4">
      <c r="A5424" s="25"/>
      <c r="B5424" s="25"/>
      <c r="C5424" s="25"/>
      <c r="D5424" s="25"/>
      <c r="E5424" s="25"/>
      <c r="F5424" s="25"/>
      <c r="G5424" s="25"/>
      <c r="H5424" s="25"/>
      <c r="I5424" s="25"/>
      <c r="J5424" s="25"/>
    </row>
    <row r="5425" spans="1:10" ht="14.4">
      <c r="A5425" s="25"/>
      <c r="B5425" s="25"/>
      <c r="C5425" s="25"/>
      <c r="D5425" s="25"/>
      <c r="E5425" s="25"/>
      <c r="F5425" s="25"/>
      <c r="G5425" s="25"/>
      <c r="H5425" s="25"/>
      <c r="I5425" s="25"/>
      <c r="J5425" s="25"/>
    </row>
    <row r="5426" spans="1:10" ht="14.4">
      <c r="A5426" s="25"/>
      <c r="B5426" s="25"/>
      <c r="C5426" s="25"/>
      <c r="D5426" s="25"/>
      <c r="E5426" s="25"/>
      <c r="F5426" s="25"/>
      <c r="G5426" s="25"/>
      <c r="H5426" s="25"/>
      <c r="I5426" s="25"/>
      <c r="J5426" s="25"/>
    </row>
    <row r="5427" spans="1:10" ht="14.4">
      <c r="A5427" s="25"/>
      <c r="B5427" s="25"/>
      <c r="C5427" s="25"/>
      <c r="D5427" s="25"/>
      <c r="E5427" s="25"/>
      <c r="F5427" s="25"/>
      <c r="G5427" s="25"/>
      <c r="H5427" s="25"/>
      <c r="I5427" s="25"/>
      <c r="J5427" s="25"/>
    </row>
    <row r="5428" spans="1:10" ht="14.4">
      <c r="A5428" s="25"/>
      <c r="B5428" s="25"/>
      <c r="C5428" s="25"/>
      <c r="D5428" s="25"/>
      <c r="E5428" s="25"/>
      <c r="F5428" s="25"/>
      <c r="G5428" s="25"/>
      <c r="H5428" s="25"/>
      <c r="I5428" s="25"/>
      <c r="J5428" s="25"/>
    </row>
    <row r="5429" spans="1:10" ht="14.4">
      <c r="A5429" s="25"/>
      <c r="B5429" s="25"/>
      <c r="C5429" s="25"/>
      <c r="D5429" s="25"/>
      <c r="E5429" s="25"/>
      <c r="F5429" s="25"/>
      <c r="G5429" s="25"/>
      <c r="H5429" s="25"/>
      <c r="I5429" s="25"/>
      <c r="J5429" s="25"/>
    </row>
    <row r="5430" spans="1:10" ht="14.4">
      <c r="A5430" s="25"/>
      <c r="B5430" s="25"/>
      <c r="C5430" s="25"/>
      <c r="D5430" s="25"/>
      <c r="E5430" s="25"/>
      <c r="F5430" s="25"/>
      <c r="G5430" s="25"/>
      <c r="H5430" s="25"/>
      <c r="I5430" s="25"/>
      <c r="J5430" s="25"/>
    </row>
    <row r="5431" spans="1:10" ht="14.4">
      <c r="A5431" s="25"/>
      <c r="B5431" s="25"/>
      <c r="C5431" s="25"/>
      <c r="D5431" s="25"/>
      <c r="E5431" s="25"/>
      <c r="F5431" s="25"/>
      <c r="G5431" s="25"/>
      <c r="H5431" s="25"/>
      <c r="I5431" s="25"/>
      <c r="J5431" s="25"/>
    </row>
    <row r="5432" spans="1:10" ht="14.4">
      <c r="A5432" s="25"/>
      <c r="B5432" s="25"/>
      <c r="C5432" s="25"/>
      <c r="D5432" s="25"/>
      <c r="E5432" s="25"/>
      <c r="F5432" s="25"/>
      <c r="G5432" s="25"/>
      <c r="H5432" s="25"/>
      <c r="I5432" s="25"/>
      <c r="J5432" s="25"/>
    </row>
    <row r="5433" spans="1:10" ht="14.4">
      <c r="A5433" s="25"/>
      <c r="B5433" s="25"/>
      <c r="C5433" s="25"/>
      <c r="D5433" s="25"/>
      <c r="E5433" s="25"/>
      <c r="F5433" s="25"/>
      <c r="G5433" s="25"/>
      <c r="H5433" s="25"/>
      <c r="I5433" s="25"/>
      <c r="J5433" s="25"/>
    </row>
    <row r="5434" spans="1:10" ht="14.4">
      <c r="A5434" s="25"/>
      <c r="B5434" s="25"/>
      <c r="C5434" s="25"/>
      <c r="D5434" s="25"/>
      <c r="E5434" s="25"/>
      <c r="F5434" s="25"/>
      <c r="G5434" s="25"/>
      <c r="H5434" s="25"/>
      <c r="I5434" s="25"/>
      <c r="J5434" s="25"/>
    </row>
    <row r="5435" spans="1:10" ht="14.4">
      <c r="A5435" s="25"/>
      <c r="B5435" s="25"/>
      <c r="C5435" s="25"/>
      <c r="D5435" s="25"/>
      <c r="E5435" s="25"/>
      <c r="F5435" s="25"/>
      <c r="G5435" s="25"/>
      <c r="H5435" s="25"/>
      <c r="I5435" s="25"/>
      <c r="J5435" s="25"/>
    </row>
    <row r="5436" spans="1:10" ht="14.4">
      <c r="A5436" s="25"/>
      <c r="B5436" s="25"/>
      <c r="C5436" s="25"/>
      <c r="D5436" s="25"/>
      <c r="E5436" s="25"/>
      <c r="F5436" s="25"/>
      <c r="G5436" s="25"/>
      <c r="H5436" s="25"/>
      <c r="I5436" s="25"/>
      <c r="J5436" s="25"/>
    </row>
    <row r="5437" spans="1:10" ht="14.4">
      <c r="A5437" s="25"/>
      <c r="B5437" s="25"/>
      <c r="C5437" s="25"/>
      <c r="D5437" s="25"/>
      <c r="E5437" s="25"/>
      <c r="F5437" s="25"/>
      <c r="G5437" s="25"/>
      <c r="H5437" s="25"/>
      <c r="I5437" s="25"/>
      <c r="J5437" s="25"/>
    </row>
    <row r="5438" spans="1:10" ht="14.4">
      <c r="A5438" s="25"/>
      <c r="B5438" s="25"/>
      <c r="C5438" s="25"/>
      <c r="D5438" s="25"/>
      <c r="E5438" s="25"/>
      <c r="F5438" s="25"/>
      <c r="G5438" s="25"/>
      <c r="H5438" s="25"/>
      <c r="I5438" s="25"/>
      <c r="J5438" s="25"/>
    </row>
    <row r="5439" spans="1:10" ht="14.4">
      <c r="A5439" s="25"/>
      <c r="B5439" s="25"/>
      <c r="C5439" s="25"/>
      <c r="D5439" s="25"/>
      <c r="E5439" s="25"/>
      <c r="F5439" s="25"/>
      <c r="G5439" s="25"/>
      <c r="H5439" s="25"/>
      <c r="I5439" s="25"/>
      <c r="J5439" s="25"/>
    </row>
    <row r="5440" spans="1:10" ht="14.4">
      <c r="A5440" s="25"/>
      <c r="B5440" s="25"/>
      <c r="C5440" s="25"/>
      <c r="D5440" s="25"/>
      <c r="E5440" s="25"/>
      <c r="F5440" s="25"/>
      <c r="G5440" s="25"/>
      <c r="H5440" s="25"/>
      <c r="I5440" s="25"/>
      <c r="J5440" s="25"/>
    </row>
    <row r="5441" spans="1:10" ht="14.4">
      <c r="A5441" s="25"/>
      <c r="B5441" s="25"/>
      <c r="C5441" s="25"/>
      <c r="D5441" s="25"/>
      <c r="E5441" s="25"/>
      <c r="F5441" s="25"/>
      <c r="G5441" s="25"/>
      <c r="H5441" s="25"/>
      <c r="I5441" s="25"/>
      <c r="J5441" s="25"/>
    </row>
    <row r="5442" spans="1:10" ht="14.4">
      <c r="A5442" s="25"/>
      <c r="B5442" s="25"/>
      <c r="C5442" s="25"/>
      <c r="D5442" s="25"/>
      <c r="E5442" s="25"/>
      <c r="F5442" s="25"/>
      <c r="G5442" s="25"/>
      <c r="H5442" s="25"/>
      <c r="I5442" s="25"/>
      <c r="J5442" s="25"/>
    </row>
    <row r="5443" spans="1:10" ht="14.4">
      <c r="A5443" s="25"/>
      <c r="B5443" s="25"/>
      <c r="C5443" s="25"/>
      <c r="D5443" s="25"/>
      <c r="E5443" s="25"/>
      <c r="F5443" s="25"/>
      <c r="G5443" s="25"/>
      <c r="H5443" s="25"/>
      <c r="I5443" s="25"/>
      <c r="J5443" s="25"/>
    </row>
    <row r="5444" spans="1:10" ht="14.4">
      <c r="A5444" s="25"/>
      <c r="B5444" s="25"/>
      <c r="C5444" s="25"/>
      <c r="D5444" s="25"/>
      <c r="E5444" s="25"/>
      <c r="F5444" s="25"/>
      <c r="G5444" s="25"/>
      <c r="H5444" s="25"/>
      <c r="I5444" s="25"/>
      <c r="J5444" s="25"/>
    </row>
    <row r="5445" spans="1:10" ht="14.4">
      <c r="A5445" s="25"/>
      <c r="B5445" s="25"/>
      <c r="C5445" s="25"/>
      <c r="D5445" s="25"/>
      <c r="E5445" s="25"/>
      <c r="F5445" s="25"/>
      <c r="G5445" s="25"/>
      <c r="H5445" s="25"/>
      <c r="I5445" s="25"/>
      <c r="J5445" s="25"/>
    </row>
    <row r="5446" spans="1:10" ht="14.4">
      <c r="A5446" s="25"/>
      <c r="B5446" s="25"/>
      <c r="C5446" s="25"/>
      <c r="D5446" s="25"/>
      <c r="E5446" s="25"/>
      <c r="F5446" s="25"/>
      <c r="G5446" s="25"/>
      <c r="H5446" s="25"/>
      <c r="I5446" s="25"/>
      <c r="J5446" s="25"/>
    </row>
    <row r="5447" spans="1:10" ht="14.4">
      <c r="A5447" s="25"/>
      <c r="B5447" s="25"/>
      <c r="C5447" s="25"/>
      <c r="D5447" s="25"/>
      <c r="E5447" s="25"/>
      <c r="F5447" s="25"/>
      <c r="G5447" s="25"/>
      <c r="H5447" s="25"/>
      <c r="I5447" s="25"/>
      <c r="J5447" s="25"/>
    </row>
    <row r="5448" spans="1:10" ht="14.4">
      <c r="A5448" s="25"/>
      <c r="B5448" s="25"/>
      <c r="C5448" s="25"/>
      <c r="D5448" s="25"/>
      <c r="E5448" s="25"/>
      <c r="F5448" s="25"/>
      <c r="G5448" s="25"/>
      <c r="H5448" s="25"/>
      <c r="I5448" s="25"/>
      <c r="J5448" s="25"/>
    </row>
    <row r="5449" spans="1:10" ht="14.4">
      <c r="A5449" s="25"/>
      <c r="B5449" s="25"/>
      <c r="C5449" s="25"/>
      <c r="D5449" s="25"/>
      <c r="E5449" s="25"/>
      <c r="F5449" s="25"/>
      <c r="G5449" s="25"/>
      <c r="H5449" s="25"/>
      <c r="I5449" s="25"/>
      <c r="J5449" s="25"/>
    </row>
    <row r="5450" spans="1:10" ht="14.4">
      <c r="A5450" s="25"/>
      <c r="B5450" s="25"/>
      <c r="C5450" s="25"/>
      <c r="D5450" s="25"/>
      <c r="E5450" s="25"/>
      <c r="F5450" s="25"/>
      <c r="G5450" s="25"/>
      <c r="H5450" s="25"/>
      <c r="I5450" s="25"/>
      <c r="J5450" s="25"/>
    </row>
    <row r="5451" spans="1:10" ht="14.4">
      <c r="A5451" s="25"/>
      <c r="B5451" s="25"/>
      <c r="C5451" s="25"/>
      <c r="D5451" s="25"/>
      <c r="E5451" s="25"/>
      <c r="F5451" s="25"/>
      <c r="G5451" s="25"/>
      <c r="H5451" s="25"/>
      <c r="I5451" s="25"/>
      <c r="J5451" s="25"/>
    </row>
    <row r="5452" spans="1:10" ht="14.4">
      <c r="A5452" s="25"/>
      <c r="B5452" s="25"/>
      <c r="C5452" s="25"/>
      <c r="D5452" s="25"/>
      <c r="E5452" s="25"/>
      <c r="F5452" s="25"/>
      <c r="G5452" s="25"/>
      <c r="H5452" s="25"/>
      <c r="I5452" s="25"/>
      <c r="J5452" s="25"/>
    </row>
    <row r="5453" spans="1:10" ht="14.4">
      <c r="A5453" s="25"/>
      <c r="B5453" s="25"/>
      <c r="C5453" s="25"/>
      <c r="D5453" s="25"/>
      <c r="E5453" s="25"/>
      <c r="F5453" s="25"/>
      <c r="G5453" s="25"/>
      <c r="H5453" s="25"/>
      <c r="I5453" s="25"/>
      <c r="J5453" s="25"/>
    </row>
    <row r="5454" spans="1:10" ht="14.4">
      <c r="A5454" s="25"/>
      <c r="B5454" s="25"/>
      <c r="C5454" s="25"/>
      <c r="D5454" s="25"/>
      <c r="E5454" s="25"/>
      <c r="F5454" s="25"/>
      <c r="G5454" s="25"/>
      <c r="H5454" s="25"/>
      <c r="I5454" s="25"/>
      <c r="J5454" s="25"/>
    </row>
    <row r="5455" spans="1:10" ht="14.4">
      <c r="A5455" s="25"/>
      <c r="B5455" s="25"/>
      <c r="C5455" s="25"/>
      <c r="D5455" s="25"/>
      <c r="E5455" s="25"/>
      <c r="F5455" s="25"/>
      <c r="G5455" s="25"/>
      <c r="H5455" s="25"/>
      <c r="I5455" s="25"/>
      <c r="J5455" s="25"/>
    </row>
    <row r="5456" spans="1:10" ht="14.4">
      <c r="A5456" s="25"/>
      <c r="B5456" s="25"/>
      <c r="C5456" s="25"/>
      <c r="D5456" s="25"/>
      <c r="E5456" s="25"/>
      <c r="F5456" s="25"/>
      <c r="G5456" s="25"/>
      <c r="H5456" s="25"/>
      <c r="I5456" s="25"/>
      <c r="J5456" s="25"/>
    </row>
    <row r="5457" spans="1:10" ht="14.4">
      <c r="A5457" s="25"/>
      <c r="B5457" s="25"/>
      <c r="C5457" s="25"/>
      <c r="D5457" s="25"/>
      <c r="E5457" s="25"/>
      <c r="F5457" s="25"/>
      <c r="G5457" s="25"/>
      <c r="H5457" s="25"/>
      <c r="I5457" s="25"/>
      <c r="J5457" s="25"/>
    </row>
    <row r="5458" spans="1:10" ht="14.4">
      <c r="A5458" s="25"/>
      <c r="B5458" s="25"/>
      <c r="C5458" s="25"/>
      <c r="D5458" s="25"/>
      <c r="E5458" s="25"/>
      <c r="F5458" s="25"/>
      <c r="G5458" s="25"/>
      <c r="H5458" s="25"/>
      <c r="I5458" s="25"/>
      <c r="J5458" s="25"/>
    </row>
    <row r="5459" spans="1:10" ht="14.4">
      <c r="A5459" s="25"/>
      <c r="B5459" s="25"/>
      <c r="C5459" s="25"/>
      <c r="D5459" s="25"/>
      <c r="E5459" s="25"/>
      <c r="F5459" s="25"/>
      <c r="G5459" s="25"/>
      <c r="H5459" s="25"/>
      <c r="I5459" s="25"/>
      <c r="J5459" s="25"/>
    </row>
    <row r="5460" spans="1:10" ht="14.4">
      <c r="A5460" s="25"/>
      <c r="B5460" s="25"/>
      <c r="C5460" s="25"/>
      <c r="D5460" s="25"/>
      <c r="E5460" s="25"/>
      <c r="F5460" s="25"/>
      <c r="G5460" s="25"/>
      <c r="H5460" s="25"/>
      <c r="I5460" s="25"/>
      <c r="J5460" s="25"/>
    </row>
    <row r="5461" spans="1:10" ht="14.4">
      <c r="A5461" s="25"/>
      <c r="B5461" s="25"/>
      <c r="C5461" s="25"/>
      <c r="D5461" s="25"/>
      <c r="E5461" s="25"/>
      <c r="F5461" s="25"/>
      <c r="G5461" s="25"/>
      <c r="H5461" s="25"/>
      <c r="I5461" s="25"/>
      <c r="J5461" s="25"/>
    </row>
    <row r="5462" spans="1:10" ht="14.4">
      <c r="A5462" s="25"/>
      <c r="B5462" s="25"/>
      <c r="C5462" s="25"/>
      <c r="D5462" s="25"/>
      <c r="E5462" s="25"/>
      <c r="F5462" s="25"/>
      <c r="G5462" s="25"/>
      <c r="H5462" s="25"/>
      <c r="I5462" s="25"/>
      <c r="J5462" s="25"/>
    </row>
    <row r="5463" spans="1:10" ht="14.4">
      <c r="A5463" s="25"/>
      <c r="B5463" s="25"/>
      <c r="C5463" s="25"/>
      <c r="D5463" s="25"/>
      <c r="E5463" s="25"/>
      <c r="F5463" s="25"/>
      <c r="G5463" s="25"/>
      <c r="H5463" s="25"/>
      <c r="I5463" s="25"/>
      <c r="J5463" s="25"/>
    </row>
    <row r="5464" spans="1:10" ht="14.4">
      <c r="A5464" s="25"/>
      <c r="B5464" s="25"/>
      <c r="C5464" s="25"/>
      <c r="D5464" s="25"/>
      <c r="E5464" s="25"/>
      <c r="F5464" s="25"/>
      <c r="G5464" s="25"/>
      <c r="H5464" s="25"/>
      <c r="I5464" s="25"/>
      <c r="J5464" s="25"/>
    </row>
    <row r="5465" spans="1:10" ht="14.4">
      <c r="A5465" s="25"/>
      <c r="B5465" s="25"/>
      <c r="C5465" s="25"/>
      <c r="D5465" s="25"/>
      <c r="E5465" s="25"/>
      <c r="F5465" s="25"/>
      <c r="G5465" s="25"/>
      <c r="H5465" s="25"/>
      <c r="I5465" s="25"/>
      <c r="J5465" s="25"/>
    </row>
    <row r="5466" spans="1:10" ht="14.4">
      <c r="A5466" s="25"/>
      <c r="B5466" s="25"/>
      <c r="C5466" s="25"/>
      <c r="D5466" s="25"/>
      <c r="E5466" s="25"/>
      <c r="F5466" s="25"/>
      <c r="G5466" s="25"/>
      <c r="H5466" s="25"/>
      <c r="I5466" s="25"/>
      <c r="J5466" s="25"/>
    </row>
    <row r="5467" spans="1:10" ht="14.4">
      <c r="A5467" s="25"/>
      <c r="B5467" s="25"/>
      <c r="C5467" s="25"/>
      <c r="D5467" s="25"/>
      <c r="E5467" s="25"/>
      <c r="F5467" s="25"/>
      <c r="G5467" s="25"/>
      <c r="H5467" s="25"/>
      <c r="I5467" s="25"/>
      <c r="J5467" s="25"/>
    </row>
    <row r="5468" spans="1:10" ht="14.4">
      <c r="A5468" s="25"/>
      <c r="B5468" s="25"/>
      <c r="C5468" s="25"/>
      <c r="D5468" s="25"/>
      <c r="E5468" s="25"/>
      <c r="F5468" s="25"/>
      <c r="G5468" s="25"/>
      <c r="H5468" s="25"/>
      <c r="I5468" s="25"/>
      <c r="J5468" s="25"/>
    </row>
    <row r="5469" spans="1:10" ht="14.4">
      <c r="A5469" s="25"/>
      <c r="B5469" s="25"/>
      <c r="C5469" s="25"/>
      <c r="D5469" s="25"/>
      <c r="E5469" s="25"/>
      <c r="F5469" s="25"/>
      <c r="G5469" s="25"/>
      <c r="H5469" s="25"/>
      <c r="I5469" s="25"/>
      <c r="J5469" s="25"/>
    </row>
    <row r="5470" spans="1:10" ht="14.4">
      <c r="A5470" s="25"/>
      <c r="B5470" s="25"/>
      <c r="C5470" s="25"/>
      <c r="D5470" s="25"/>
      <c r="E5470" s="25"/>
      <c r="F5470" s="25"/>
      <c r="G5470" s="25"/>
      <c r="H5470" s="25"/>
      <c r="I5470" s="25"/>
      <c r="J5470" s="25"/>
    </row>
    <row r="5471" spans="1:10" ht="14.4">
      <c r="A5471" s="25"/>
      <c r="B5471" s="25"/>
      <c r="C5471" s="25"/>
      <c r="D5471" s="25"/>
      <c r="E5471" s="25"/>
      <c r="F5471" s="25"/>
      <c r="G5471" s="25"/>
      <c r="H5471" s="25"/>
      <c r="I5471" s="25"/>
      <c r="J5471" s="25"/>
    </row>
    <row r="5472" spans="1:10" ht="14.4">
      <c r="A5472" s="25"/>
      <c r="B5472" s="25"/>
      <c r="C5472" s="25"/>
      <c r="D5472" s="25"/>
      <c r="E5472" s="25"/>
      <c r="F5472" s="25"/>
      <c r="G5472" s="25"/>
      <c r="H5472" s="25"/>
      <c r="I5472" s="25"/>
      <c r="J5472" s="25"/>
    </row>
    <row r="5473" spans="1:10" ht="14.4">
      <c r="A5473" s="25"/>
      <c r="B5473" s="25"/>
      <c r="C5473" s="25"/>
      <c r="D5473" s="25"/>
      <c r="E5473" s="25"/>
      <c r="F5473" s="25"/>
      <c r="G5473" s="25"/>
      <c r="H5473" s="25"/>
      <c r="I5473" s="25"/>
      <c r="J5473" s="25"/>
    </row>
    <row r="5474" spans="1:10" ht="14.4">
      <c r="A5474" s="25"/>
      <c r="B5474" s="25"/>
      <c r="C5474" s="25"/>
      <c r="D5474" s="25"/>
      <c r="E5474" s="25"/>
      <c r="F5474" s="25"/>
      <c r="G5474" s="25"/>
      <c r="H5474" s="25"/>
      <c r="I5474" s="25"/>
      <c r="J5474" s="25"/>
    </row>
    <row r="5475" spans="1:10" ht="14.4">
      <c r="A5475" s="25"/>
      <c r="B5475" s="25"/>
      <c r="C5475" s="25"/>
      <c r="D5475" s="25"/>
      <c r="E5475" s="25"/>
      <c r="F5475" s="25"/>
      <c r="G5475" s="25"/>
      <c r="H5475" s="25"/>
      <c r="I5475" s="25"/>
      <c r="J5475" s="25"/>
    </row>
    <row r="5476" spans="1:10" ht="14.4">
      <c r="A5476" s="25"/>
      <c r="B5476" s="25"/>
      <c r="C5476" s="25"/>
      <c r="D5476" s="25"/>
      <c r="E5476" s="25"/>
      <c r="F5476" s="25"/>
      <c r="G5476" s="25"/>
      <c r="H5476" s="25"/>
      <c r="I5476" s="25"/>
      <c r="J5476" s="25"/>
    </row>
    <row r="5477" spans="1:10" ht="14.4">
      <c r="A5477" s="25"/>
      <c r="B5477" s="25"/>
      <c r="C5477" s="25"/>
      <c r="D5477" s="25"/>
      <c r="E5477" s="25"/>
      <c r="F5477" s="25"/>
      <c r="G5477" s="25"/>
      <c r="H5477" s="25"/>
      <c r="I5477" s="25"/>
      <c r="J5477" s="25"/>
    </row>
    <row r="5478" spans="1:10" ht="14.4">
      <c r="A5478" s="25"/>
      <c r="B5478" s="25"/>
      <c r="C5478" s="25"/>
      <c r="D5478" s="25"/>
      <c r="E5478" s="25"/>
      <c r="F5478" s="25"/>
      <c r="G5478" s="25"/>
      <c r="H5478" s="25"/>
      <c r="I5478" s="25"/>
      <c r="J5478" s="25"/>
    </row>
    <row r="5479" spans="1:10" ht="14.4">
      <c r="A5479" s="25"/>
      <c r="B5479" s="25"/>
      <c r="C5479" s="25"/>
      <c r="D5479" s="25"/>
      <c r="E5479" s="25"/>
      <c r="F5479" s="25"/>
      <c r="G5479" s="25"/>
      <c r="H5479" s="25"/>
      <c r="I5479" s="25"/>
      <c r="J5479" s="25"/>
    </row>
    <row r="5480" spans="1:10" ht="14.4">
      <c r="A5480" s="25"/>
      <c r="B5480" s="25"/>
      <c r="C5480" s="25"/>
      <c r="D5480" s="25"/>
      <c r="E5480" s="25"/>
      <c r="F5480" s="25"/>
      <c r="G5480" s="25"/>
      <c r="H5480" s="25"/>
      <c r="I5480" s="25"/>
      <c r="J5480" s="25"/>
    </row>
    <row r="5481" spans="1:10" ht="14.4">
      <c r="A5481" s="25"/>
      <c r="B5481" s="25"/>
      <c r="C5481" s="25"/>
      <c r="D5481" s="25"/>
      <c r="E5481" s="25"/>
      <c r="F5481" s="25"/>
      <c r="G5481" s="25"/>
      <c r="H5481" s="25"/>
      <c r="I5481" s="25"/>
      <c r="J5481" s="25"/>
    </row>
    <row r="5482" spans="1:10" ht="14.4">
      <c r="A5482" s="25"/>
      <c r="B5482" s="25"/>
      <c r="C5482" s="25"/>
      <c r="D5482" s="25"/>
      <c r="E5482" s="25"/>
      <c r="F5482" s="25"/>
      <c r="G5482" s="25"/>
      <c r="H5482" s="25"/>
      <c r="I5482" s="25"/>
      <c r="J5482" s="25"/>
    </row>
    <row r="5483" spans="1:10" ht="14.4">
      <c r="A5483" s="25"/>
      <c r="B5483" s="25"/>
      <c r="C5483" s="25"/>
      <c r="D5483" s="25"/>
      <c r="E5483" s="25"/>
      <c r="F5483" s="25"/>
      <c r="G5483" s="25"/>
      <c r="H5483" s="25"/>
      <c r="I5483" s="25"/>
      <c r="J5483" s="25"/>
    </row>
    <row r="5484" spans="1:10" ht="14.4">
      <c r="A5484" s="25"/>
      <c r="B5484" s="25"/>
      <c r="C5484" s="25"/>
      <c r="D5484" s="25"/>
      <c r="E5484" s="25"/>
      <c r="F5484" s="25"/>
      <c r="G5484" s="25"/>
      <c r="H5484" s="25"/>
      <c r="I5484" s="25"/>
      <c r="J5484" s="25"/>
    </row>
    <row r="5485" spans="1:10" ht="14.4">
      <c r="A5485" s="25"/>
      <c r="B5485" s="25"/>
      <c r="C5485" s="25"/>
      <c r="D5485" s="25"/>
      <c r="E5485" s="25"/>
      <c r="F5485" s="25"/>
      <c r="G5485" s="25"/>
      <c r="H5485" s="25"/>
      <c r="I5485" s="25"/>
      <c r="J5485" s="25"/>
    </row>
    <row r="5486" spans="1:10" ht="14.4">
      <c r="A5486" s="25"/>
      <c r="B5486" s="25"/>
      <c r="C5486" s="25"/>
      <c r="D5486" s="25"/>
      <c r="E5486" s="25"/>
      <c r="F5486" s="25"/>
      <c r="G5486" s="25"/>
      <c r="H5486" s="25"/>
      <c r="I5486" s="25"/>
      <c r="J5486" s="25"/>
    </row>
    <row r="5487" spans="1:10" ht="14.4">
      <c r="A5487" s="25"/>
      <c r="B5487" s="25"/>
      <c r="C5487" s="25"/>
      <c r="D5487" s="25"/>
      <c r="E5487" s="25"/>
      <c r="F5487" s="25"/>
      <c r="G5487" s="25"/>
      <c r="H5487" s="25"/>
      <c r="I5487" s="25"/>
      <c r="J5487" s="25"/>
    </row>
    <row r="5488" spans="1:10" ht="14.4">
      <c r="A5488" s="25"/>
      <c r="B5488" s="25"/>
      <c r="C5488" s="25"/>
      <c r="D5488" s="25"/>
      <c r="E5488" s="25"/>
      <c r="F5488" s="25"/>
      <c r="G5488" s="25"/>
      <c r="H5488" s="25"/>
      <c r="I5488" s="25"/>
      <c r="J5488" s="25"/>
    </row>
    <row r="5489" spans="1:10" ht="14.4">
      <c r="A5489" s="25"/>
      <c r="B5489" s="25"/>
      <c r="C5489" s="25"/>
      <c r="D5489" s="25"/>
      <c r="E5489" s="25"/>
      <c r="F5489" s="25"/>
      <c r="G5489" s="25"/>
      <c r="H5489" s="25"/>
      <c r="I5489" s="25"/>
      <c r="J5489" s="25"/>
    </row>
    <row r="5490" spans="1:10" ht="14.4">
      <c r="A5490" s="25"/>
      <c r="B5490" s="25"/>
      <c r="C5490" s="25"/>
      <c r="D5490" s="25"/>
      <c r="E5490" s="25"/>
      <c r="F5490" s="25"/>
      <c r="G5490" s="25"/>
      <c r="H5490" s="25"/>
      <c r="I5490" s="25"/>
      <c r="J5490" s="25"/>
    </row>
    <row r="5491" spans="1:10" ht="14.4">
      <c r="A5491" s="25"/>
      <c r="B5491" s="25"/>
      <c r="C5491" s="25"/>
      <c r="D5491" s="25"/>
      <c r="E5491" s="25"/>
      <c r="F5491" s="25"/>
      <c r="G5491" s="25"/>
      <c r="H5491" s="25"/>
      <c r="I5491" s="25"/>
      <c r="J5491" s="25"/>
    </row>
    <row r="5492" spans="1:10" ht="14.4">
      <c r="A5492" s="25"/>
      <c r="B5492" s="25"/>
      <c r="C5492" s="25"/>
      <c r="D5492" s="25"/>
      <c r="E5492" s="25"/>
      <c r="F5492" s="25"/>
      <c r="G5492" s="25"/>
      <c r="H5492" s="25"/>
      <c r="I5492" s="25"/>
      <c r="J5492" s="25"/>
    </row>
    <row r="5493" spans="1:10" ht="14.4">
      <c r="A5493" s="25"/>
      <c r="B5493" s="25"/>
      <c r="C5493" s="25"/>
      <c r="D5493" s="25"/>
      <c r="E5493" s="25"/>
      <c r="F5493" s="25"/>
      <c r="G5493" s="25"/>
      <c r="H5493" s="25"/>
      <c r="I5493" s="25"/>
      <c r="J5493" s="25"/>
    </row>
    <row r="5494" spans="1:10" ht="14.4">
      <c r="A5494" s="25"/>
      <c r="B5494" s="25"/>
      <c r="C5494" s="25"/>
      <c r="D5494" s="25"/>
      <c r="E5494" s="25"/>
      <c r="F5494" s="25"/>
      <c r="G5494" s="25"/>
      <c r="H5494" s="25"/>
      <c r="I5494" s="25"/>
      <c r="J5494" s="25"/>
    </row>
    <row r="5495" spans="1:10" ht="14.4">
      <c r="A5495" s="25"/>
      <c r="B5495" s="25"/>
      <c r="C5495" s="25"/>
      <c r="D5495" s="25"/>
      <c r="E5495" s="25"/>
      <c r="F5495" s="25"/>
      <c r="G5495" s="25"/>
      <c r="H5495" s="25"/>
      <c r="I5495" s="25"/>
      <c r="J5495" s="25"/>
    </row>
    <row r="5496" spans="1:10" ht="14.4">
      <c r="A5496" s="25"/>
      <c r="B5496" s="25"/>
      <c r="C5496" s="25"/>
      <c r="D5496" s="25"/>
      <c r="E5496" s="25"/>
      <c r="F5496" s="25"/>
      <c r="G5496" s="25"/>
      <c r="H5496" s="25"/>
      <c r="I5496" s="25"/>
      <c r="J5496" s="25"/>
    </row>
    <row r="5497" spans="1:10" ht="14.4">
      <c r="A5497" s="25"/>
      <c r="B5497" s="25"/>
      <c r="C5497" s="25"/>
      <c r="D5497" s="25"/>
      <c r="E5497" s="25"/>
      <c r="F5497" s="25"/>
      <c r="G5497" s="25"/>
      <c r="H5497" s="25"/>
      <c r="I5497" s="25"/>
      <c r="J5497" s="25"/>
    </row>
    <row r="5498" spans="1:10" ht="14.4">
      <c r="A5498" s="25"/>
      <c r="B5498" s="25"/>
      <c r="C5498" s="25"/>
      <c r="D5498" s="25"/>
      <c r="E5498" s="25"/>
      <c r="F5498" s="25"/>
      <c r="G5498" s="25"/>
      <c r="H5498" s="25"/>
      <c r="I5498" s="25"/>
      <c r="J5498" s="25"/>
    </row>
    <row r="5499" spans="1:10" ht="14.4">
      <c r="A5499" s="25"/>
      <c r="B5499" s="25"/>
      <c r="C5499" s="25"/>
      <c r="D5499" s="25"/>
      <c r="E5499" s="25"/>
      <c r="F5499" s="25"/>
      <c r="G5499" s="25"/>
      <c r="H5499" s="25"/>
      <c r="I5499" s="25"/>
      <c r="J5499" s="25"/>
    </row>
    <row r="5500" spans="1:10" ht="14.4">
      <c r="A5500" s="25"/>
      <c r="B5500" s="25"/>
      <c r="C5500" s="25"/>
      <c r="D5500" s="25"/>
      <c r="E5500" s="25"/>
      <c r="F5500" s="25"/>
      <c r="G5500" s="25"/>
      <c r="H5500" s="25"/>
      <c r="I5500" s="25"/>
      <c r="J5500" s="25"/>
    </row>
    <row r="5501" spans="1:10" ht="14.4">
      <c r="A5501" s="25"/>
      <c r="B5501" s="25"/>
      <c r="C5501" s="25"/>
      <c r="D5501" s="25"/>
      <c r="E5501" s="25"/>
      <c r="F5501" s="25"/>
      <c r="G5501" s="25"/>
      <c r="H5501" s="25"/>
      <c r="I5501" s="25"/>
      <c r="J5501" s="25"/>
    </row>
    <row r="5502" spans="1:10" ht="14.4">
      <c r="A5502" s="25"/>
      <c r="B5502" s="25"/>
      <c r="C5502" s="25"/>
      <c r="D5502" s="25"/>
      <c r="E5502" s="25"/>
      <c r="F5502" s="25"/>
      <c r="G5502" s="25"/>
      <c r="H5502" s="25"/>
      <c r="I5502" s="25"/>
      <c r="J5502" s="25"/>
    </row>
    <row r="5503" spans="1:10" ht="14.4">
      <c r="A5503" s="25"/>
      <c r="B5503" s="25"/>
      <c r="C5503" s="25"/>
      <c r="D5503" s="25"/>
      <c r="E5503" s="25"/>
      <c r="F5503" s="25"/>
      <c r="G5503" s="25"/>
      <c r="H5503" s="25"/>
      <c r="I5503" s="25"/>
      <c r="J5503" s="25"/>
    </row>
    <row r="5504" spans="1:10" ht="14.4">
      <c r="A5504" s="25"/>
      <c r="B5504" s="25"/>
      <c r="C5504" s="25"/>
      <c r="D5504" s="25"/>
      <c r="E5504" s="25"/>
      <c r="F5504" s="25"/>
      <c r="G5504" s="25"/>
      <c r="H5504" s="25"/>
      <c r="I5504" s="25"/>
      <c r="J5504" s="25"/>
    </row>
    <row r="5505" spans="1:10" ht="14.4">
      <c r="A5505" s="25"/>
      <c r="B5505" s="25"/>
      <c r="C5505" s="25"/>
      <c r="D5505" s="25"/>
      <c r="E5505" s="25"/>
      <c r="F5505" s="25"/>
      <c r="G5505" s="25"/>
      <c r="H5505" s="25"/>
      <c r="I5505" s="25"/>
      <c r="J5505" s="25"/>
    </row>
    <row r="5506" spans="1:10" ht="14.4">
      <c r="A5506" s="25"/>
      <c r="B5506" s="25"/>
      <c r="C5506" s="25"/>
      <c r="D5506" s="25"/>
      <c r="E5506" s="25"/>
      <c r="F5506" s="25"/>
      <c r="G5506" s="25"/>
      <c r="H5506" s="25"/>
      <c r="I5506" s="25"/>
      <c r="J5506" s="25"/>
    </row>
    <row r="5507" spans="1:10" ht="14.4">
      <c r="A5507" s="25"/>
      <c r="B5507" s="25"/>
      <c r="C5507" s="25"/>
      <c r="D5507" s="25"/>
      <c r="E5507" s="25"/>
      <c r="F5507" s="25"/>
      <c r="G5507" s="25"/>
      <c r="H5507" s="25"/>
      <c r="I5507" s="25"/>
      <c r="J5507" s="25"/>
    </row>
    <row r="5508" spans="1:10" ht="14.4">
      <c r="A5508" s="25"/>
      <c r="B5508" s="25"/>
      <c r="C5508" s="25"/>
      <c r="D5508" s="25"/>
      <c r="E5508" s="25"/>
      <c r="F5508" s="25"/>
      <c r="G5508" s="25"/>
      <c r="H5508" s="25"/>
      <c r="I5508" s="25"/>
      <c r="J5508" s="25"/>
    </row>
    <row r="5509" spans="1:10" ht="14.4">
      <c r="A5509" s="25"/>
      <c r="B5509" s="25"/>
      <c r="C5509" s="25"/>
      <c r="D5509" s="25"/>
      <c r="E5509" s="25"/>
      <c r="F5509" s="25"/>
      <c r="G5509" s="25"/>
      <c r="H5509" s="25"/>
      <c r="I5509" s="25"/>
      <c r="J5509" s="25"/>
    </row>
    <row r="5510" spans="1:10" ht="14.4">
      <c r="A5510" s="25"/>
      <c r="B5510" s="25"/>
      <c r="C5510" s="25"/>
      <c r="D5510" s="25"/>
      <c r="E5510" s="25"/>
      <c r="F5510" s="25"/>
      <c r="G5510" s="25"/>
      <c r="H5510" s="25"/>
      <c r="I5510" s="25"/>
      <c r="J5510" s="25"/>
    </row>
    <row r="5511" spans="1:10" ht="14.4">
      <c r="A5511" s="25"/>
      <c r="B5511" s="25"/>
      <c r="C5511" s="25"/>
      <c r="D5511" s="25"/>
      <c r="E5511" s="25"/>
      <c r="F5511" s="25"/>
      <c r="G5511" s="25"/>
      <c r="H5511" s="25"/>
      <c r="I5511" s="25"/>
      <c r="J5511" s="25"/>
    </row>
    <row r="5512" spans="1:10" ht="14.4">
      <c r="A5512" s="25"/>
      <c r="B5512" s="25"/>
      <c r="C5512" s="25"/>
      <c r="D5512" s="25"/>
      <c r="E5512" s="25"/>
      <c r="F5512" s="25"/>
      <c r="G5512" s="25"/>
      <c r="H5512" s="25"/>
      <c r="I5512" s="25"/>
      <c r="J5512" s="25"/>
    </row>
    <row r="5513" spans="1:10" ht="14.4">
      <c r="A5513" s="25"/>
      <c r="B5513" s="25"/>
      <c r="C5513" s="25"/>
      <c r="D5513" s="25"/>
      <c r="E5513" s="25"/>
      <c r="F5513" s="25"/>
      <c r="G5513" s="25"/>
      <c r="H5513" s="25"/>
      <c r="I5513" s="25"/>
      <c r="J5513" s="25"/>
    </row>
    <row r="5514" spans="1:10" ht="14.4">
      <c r="A5514" s="25"/>
      <c r="B5514" s="25"/>
      <c r="C5514" s="25"/>
      <c r="D5514" s="25"/>
      <c r="E5514" s="25"/>
      <c r="F5514" s="25"/>
      <c r="G5514" s="25"/>
      <c r="H5514" s="25"/>
      <c r="I5514" s="25"/>
      <c r="J5514" s="25"/>
    </row>
    <row r="5515" spans="1:10" ht="14.4">
      <c r="A5515" s="25"/>
      <c r="B5515" s="25"/>
      <c r="C5515" s="25"/>
      <c r="D5515" s="25"/>
      <c r="E5515" s="25"/>
      <c r="F5515" s="25"/>
      <c r="G5515" s="25"/>
      <c r="H5515" s="25"/>
      <c r="I5515" s="25"/>
      <c r="J5515" s="25"/>
    </row>
    <row r="5516" spans="1:10" ht="14.4">
      <c r="A5516" s="25"/>
      <c r="B5516" s="25"/>
      <c r="C5516" s="25"/>
      <c r="D5516" s="25"/>
      <c r="E5516" s="25"/>
      <c r="F5516" s="25"/>
      <c r="G5516" s="25"/>
      <c r="H5516" s="25"/>
      <c r="I5516" s="25"/>
      <c r="J5516" s="25"/>
    </row>
    <row r="5517" spans="1:10" ht="14.4">
      <c r="A5517" s="25"/>
      <c r="B5517" s="25"/>
      <c r="C5517" s="25"/>
      <c r="D5517" s="25"/>
      <c r="E5517" s="25"/>
      <c r="F5517" s="25"/>
      <c r="G5517" s="25"/>
      <c r="H5517" s="25"/>
      <c r="I5517" s="25"/>
      <c r="J5517" s="25"/>
    </row>
    <row r="5518" spans="1:10" ht="14.4">
      <c r="A5518" s="25"/>
      <c r="B5518" s="25"/>
      <c r="C5518" s="25"/>
      <c r="D5518" s="25"/>
      <c r="E5518" s="25"/>
      <c r="F5518" s="25"/>
      <c r="G5518" s="25"/>
      <c r="H5518" s="25"/>
      <c r="I5518" s="25"/>
      <c r="J5518" s="25"/>
    </row>
    <row r="5519" spans="1:10" ht="14.4">
      <c r="A5519" s="25"/>
      <c r="B5519" s="25"/>
      <c r="C5519" s="25"/>
      <c r="D5519" s="25"/>
      <c r="E5519" s="25"/>
      <c r="F5519" s="25"/>
      <c r="G5519" s="25"/>
      <c r="H5519" s="25"/>
      <c r="I5519" s="25"/>
      <c r="J5519" s="25"/>
    </row>
    <row r="5520" spans="1:10" ht="14.4">
      <c r="A5520" s="25"/>
      <c r="B5520" s="25"/>
      <c r="C5520" s="25"/>
      <c r="D5520" s="25"/>
      <c r="E5520" s="25"/>
      <c r="F5520" s="25"/>
      <c r="G5520" s="25"/>
      <c r="H5520" s="25"/>
      <c r="I5520" s="25"/>
      <c r="J5520" s="25"/>
    </row>
    <row r="5521" spans="1:10" ht="14.4">
      <c r="A5521" s="25"/>
      <c r="B5521" s="25"/>
      <c r="C5521" s="25"/>
      <c r="D5521" s="25"/>
      <c r="E5521" s="25"/>
      <c r="F5521" s="25"/>
      <c r="G5521" s="25"/>
      <c r="H5521" s="25"/>
      <c r="I5521" s="25"/>
      <c r="J5521" s="25"/>
    </row>
    <row r="5522" spans="1:10" ht="14.4">
      <c r="A5522" s="25"/>
      <c r="B5522" s="25"/>
      <c r="C5522" s="25"/>
      <c r="D5522" s="25"/>
      <c r="E5522" s="25"/>
      <c r="F5522" s="25"/>
      <c r="G5522" s="25"/>
      <c r="H5522" s="25"/>
      <c r="I5522" s="25"/>
      <c r="J5522" s="25"/>
    </row>
    <row r="5523" spans="1:10" ht="14.4">
      <c r="A5523" s="25"/>
      <c r="B5523" s="25"/>
      <c r="C5523" s="25"/>
      <c r="D5523" s="25"/>
      <c r="E5523" s="25"/>
      <c r="F5523" s="25"/>
      <c r="G5523" s="25"/>
      <c r="H5523" s="25"/>
      <c r="I5523" s="25"/>
      <c r="J5523" s="25"/>
    </row>
    <row r="5524" spans="1:10" ht="14.4">
      <c r="A5524" s="25"/>
      <c r="B5524" s="25"/>
      <c r="C5524" s="25"/>
      <c r="D5524" s="25"/>
      <c r="E5524" s="25"/>
      <c r="F5524" s="25"/>
      <c r="G5524" s="25"/>
      <c r="H5524" s="25"/>
      <c r="I5524" s="25"/>
      <c r="J5524" s="25"/>
    </row>
    <row r="5525" spans="1:10" ht="14.4">
      <c r="A5525" s="25"/>
      <c r="B5525" s="25"/>
      <c r="C5525" s="25"/>
      <c r="D5525" s="25"/>
      <c r="E5525" s="25"/>
      <c r="F5525" s="25"/>
      <c r="G5525" s="25"/>
      <c r="H5525" s="25"/>
      <c r="I5525" s="25"/>
      <c r="J5525" s="25"/>
    </row>
    <row r="5526" spans="1:10" ht="14.4">
      <c r="A5526" s="25"/>
      <c r="B5526" s="25"/>
      <c r="C5526" s="25"/>
      <c r="D5526" s="25"/>
      <c r="E5526" s="25"/>
      <c r="F5526" s="25"/>
      <c r="G5526" s="25"/>
      <c r="H5526" s="25"/>
      <c r="I5526" s="25"/>
      <c r="J5526" s="25"/>
    </row>
    <row r="5527" spans="1:10" ht="14.4">
      <c r="A5527" s="25"/>
      <c r="B5527" s="25"/>
      <c r="C5527" s="25"/>
      <c r="D5527" s="25"/>
      <c r="E5527" s="25"/>
      <c r="F5527" s="25"/>
      <c r="G5527" s="25"/>
      <c r="H5527" s="25"/>
      <c r="I5527" s="25"/>
      <c r="J5527" s="25"/>
    </row>
    <row r="5528" spans="1:10" ht="14.4">
      <c r="A5528" s="25"/>
      <c r="B5528" s="25"/>
      <c r="C5528" s="25"/>
      <c r="D5528" s="25"/>
      <c r="E5528" s="25"/>
      <c r="F5528" s="25"/>
      <c r="G5528" s="25"/>
      <c r="H5528" s="25"/>
      <c r="I5528" s="25"/>
      <c r="J5528" s="25"/>
    </row>
    <row r="5529" spans="1:10" ht="14.4">
      <c r="A5529" s="25"/>
      <c r="B5529" s="25"/>
      <c r="C5529" s="25"/>
      <c r="D5529" s="25"/>
      <c r="E5529" s="25"/>
      <c r="F5529" s="25"/>
      <c r="G5529" s="25"/>
      <c r="H5529" s="25"/>
      <c r="I5529" s="25"/>
      <c r="J5529" s="25"/>
    </row>
    <row r="5530" spans="1:10" ht="14.4">
      <c r="A5530" s="25"/>
      <c r="B5530" s="25"/>
      <c r="C5530" s="25"/>
      <c r="D5530" s="25"/>
      <c r="E5530" s="25"/>
      <c r="F5530" s="25"/>
      <c r="G5530" s="25"/>
      <c r="H5530" s="25"/>
      <c r="I5530" s="25"/>
      <c r="J5530" s="25"/>
    </row>
    <row r="5531" spans="1:10" ht="14.4">
      <c r="A5531" s="25"/>
      <c r="B5531" s="25"/>
      <c r="C5531" s="25"/>
      <c r="D5531" s="25"/>
      <c r="E5531" s="25"/>
      <c r="F5531" s="25"/>
      <c r="G5531" s="25"/>
      <c r="H5531" s="25"/>
      <c r="I5531" s="25"/>
      <c r="J5531" s="25"/>
    </row>
    <row r="5532" spans="1:10" ht="14.4">
      <c r="A5532" s="25"/>
      <c r="B5532" s="25"/>
      <c r="C5532" s="25"/>
      <c r="D5532" s="25"/>
      <c r="E5532" s="25"/>
      <c r="F5532" s="25"/>
      <c r="G5532" s="25"/>
      <c r="H5532" s="25"/>
      <c r="I5532" s="25"/>
      <c r="J5532" s="25"/>
    </row>
    <row r="5533" spans="1:10" ht="14.4">
      <c r="A5533" s="25"/>
      <c r="B5533" s="25"/>
      <c r="C5533" s="25"/>
      <c r="D5533" s="25"/>
      <c r="E5533" s="25"/>
      <c r="F5533" s="25"/>
      <c r="G5533" s="25"/>
      <c r="H5533" s="25"/>
      <c r="I5533" s="25"/>
      <c r="J5533" s="25"/>
    </row>
    <row r="5534" spans="1:10" ht="14.4">
      <c r="A5534" s="25"/>
      <c r="B5534" s="25"/>
      <c r="C5534" s="25"/>
      <c r="D5534" s="25"/>
      <c r="E5534" s="25"/>
      <c r="F5534" s="25"/>
      <c r="G5534" s="25"/>
      <c r="H5534" s="25"/>
      <c r="I5534" s="25"/>
      <c r="J5534" s="25"/>
    </row>
    <row r="5535" spans="1:10" ht="14.4">
      <c r="A5535" s="25"/>
      <c r="B5535" s="25"/>
      <c r="C5535" s="25"/>
      <c r="D5535" s="25"/>
      <c r="E5535" s="25"/>
      <c r="F5535" s="25"/>
      <c r="G5535" s="25"/>
      <c r="H5535" s="25"/>
      <c r="I5535" s="25"/>
      <c r="J5535" s="25"/>
    </row>
    <row r="5536" spans="1:10" ht="14.4">
      <c r="A5536" s="25"/>
      <c r="B5536" s="25"/>
      <c r="C5536" s="25"/>
      <c r="D5536" s="25"/>
      <c r="E5536" s="25"/>
      <c r="F5536" s="25"/>
      <c r="G5536" s="25"/>
      <c r="H5536" s="25"/>
      <c r="I5536" s="25"/>
      <c r="J5536" s="25"/>
    </row>
    <row r="5537" spans="1:10" ht="14.4">
      <c r="A5537" s="25"/>
      <c r="B5537" s="25"/>
      <c r="C5537" s="25"/>
      <c r="D5537" s="25"/>
      <c r="E5537" s="25"/>
      <c r="F5537" s="25"/>
      <c r="G5537" s="25"/>
      <c r="H5537" s="25"/>
      <c r="I5537" s="25"/>
      <c r="J5537" s="25"/>
    </row>
    <row r="5538" spans="1:10" ht="14.4">
      <c r="A5538" s="25"/>
      <c r="B5538" s="25"/>
      <c r="C5538" s="25"/>
      <c r="D5538" s="25"/>
      <c r="E5538" s="25"/>
      <c r="F5538" s="25"/>
      <c r="G5538" s="25"/>
      <c r="H5538" s="25"/>
      <c r="I5538" s="25"/>
      <c r="J5538" s="25"/>
    </row>
    <row r="5539" spans="1:10" ht="14.4">
      <c r="A5539" s="25"/>
      <c r="B5539" s="25"/>
      <c r="C5539" s="25"/>
      <c r="D5539" s="25"/>
      <c r="E5539" s="25"/>
      <c r="F5539" s="25"/>
      <c r="G5539" s="25"/>
      <c r="H5539" s="25"/>
      <c r="I5539" s="25"/>
      <c r="J5539" s="25"/>
    </row>
    <row r="5540" spans="1:10" ht="14.4">
      <c r="A5540" s="25"/>
      <c r="B5540" s="25"/>
      <c r="C5540" s="25"/>
      <c r="D5540" s="25"/>
      <c r="E5540" s="25"/>
      <c r="F5540" s="25"/>
      <c r="G5540" s="25"/>
      <c r="H5540" s="25"/>
      <c r="I5540" s="25"/>
      <c r="J5540" s="25"/>
    </row>
    <row r="5541" spans="1:10" ht="14.4">
      <c r="A5541" s="25"/>
      <c r="B5541" s="25"/>
      <c r="C5541" s="25"/>
      <c r="D5541" s="25"/>
      <c r="E5541" s="25"/>
      <c r="F5541" s="25"/>
      <c r="G5541" s="25"/>
      <c r="H5541" s="25"/>
      <c r="I5541" s="25"/>
      <c r="J5541" s="25"/>
    </row>
    <row r="5542" spans="1:10" ht="14.4">
      <c r="A5542" s="25"/>
      <c r="B5542" s="25"/>
      <c r="C5542" s="25"/>
      <c r="D5542" s="25"/>
      <c r="E5542" s="25"/>
      <c r="F5542" s="25"/>
      <c r="G5542" s="25"/>
      <c r="H5542" s="25"/>
      <c r="I5542" s="25"/>
      <c r="J5542" s="25"/>
    </row>
    <row r="5543" spans="1:10" ht="14.4">
      <c r="A5543" s="25"/>
      <c r="B5543" s="25"/>
      <c r="C5543" s="25"/>
      <c r="D5543" s="25"/>
      <c r="E5543" s="25"/>
      <c r="F5543" s="25"/>
      <c r="G5543" s="25"/>
      <c r="H5543" s="25"/>
      <c r="I5543" s="25"/>
      <c r="J5543" s="25"/>
    </row>
    <row r="5544" spans="1:10" ht="14.4">
      <c r="A5544" s="25"/>
      <c r="B5544" s="25"/>
      <c r="C5544" s="25"/>
      <c r="D5544" s="25"/>
      <c r="E5544" s="25"/>
      <c r="F5544" s="25"/>
      <c r="G5544" s="25"/>
      <c r="H5544" s="25"/>
      <c r="I5544" s="25"/>
      <c r="J5544" s="25"/>
    </row>
    <row r="5545" spans="1:10" ht="14.4">
      <c r="A5545" s="25"/>
      <c r="B5545" s="25"/>
      <c r="C5545" s="25"/>
      <c r="D5545" s="25"/>
      <c r="E5545" s="25"/>
      <c r="F5545" s="25"/>
      <c r="G5545" s="25"/>
      <c r="H5545" s="25"/>
      <c r="I5545" s="25"/>
      <c r="J5545" s="25"/>
    </row>
    <row r="5546" spans="1:10" ht="14.4">
      <c r="A5546" s="25"/>
      <c r="B5546" s="25"/>
      <c r="C5546" s="25"/>
      <c r="D5546" s="25"/>
      <c r="E5546" s="25"/>
      <c r="F5546" s="25"/>
      <c r="G5546" s="25"/>
      <c r="H5546" s="25"/>
      <c r="I5546" s="25"/>
      <c r="J5546" s="25"/>
    </row>
    <row r="5547" spans="1:10" ht="14.4">
      <c r="A5547" s="25"/>
      <c r="B5547" s="25"/>
      <c r="C5547" s="25"/>
      <c r="D5547" s="25"/>
      <c r="E5547" s="25"/>
      <c r="F5547" s="25"/>
      <c r="G5547" s="25"/>
      <c r="H5547" s="25"/>
      <c r="I5547" s="25"/>
      <c r="J5547" s="25"/>
    </row>
    <row r="5548" spans="1:10" ht="14.4">
      <c r="A5548" s="25"/>
      <c r="B5548" s="25"/>
      <c r="C5548" s="25"/>
      <c r="D5548" s="25"/>
      <c r="E5548" s="25"/>
      <c r="F5548" s="25"/>
      <c r="G5548" s="25"/>
      <c r="H5548" s="25"/>
      <c r="I5548" s="25"/>
      <c r="J5548" s="25"/>
    </row>
    <row r="5549" spans="1:10" ht="14.4">
      <c r="A5549" s="25"/>
      <c r="B5549" s="25"/>
      <c r="C5549" s="25"/>
      <c r="D5549" s="25"/>
      <c r="E5549" s="25"/>
      <c r="F5549" s="25"/>
      <c r="G5549" s="25"/>
      <c r="H5549" s="25"/>
      <c r="I5549" s="25"/>
      <c r="J5549" s="25"/>
    </row>
    <row r="5550" spans="1:10" ht="14.4">
      <c r="A5550" s="25"/>
      <c r="B5550" s="25"/>
      <c r="C5550" s="25"/>
      <c r="D5550" s="25"/>
      <c r="E5550" s="25"/>
      <c r="F5550" s="25"/>
      <c r="G5550" s="25"/>
      <c r="H5550" s="25"/>
      <c r="I5550" s="25"/>
      <c r="J5550" s="25"/>
    </row>
    <row r="5551" spans="1:10" ht="14.4">
      <c r="A5551" s="25"/>
      <c r="B5551" s="25"/>
      <c r="C5551" s="25"/>
      <c r="D5551" s="25"/>
      <c r="E5551" s="25"/>
      <c r="F5551" s="25"/>
      <c r="G5551" s="25"/>
      <c r="H5551" s="25"/>
      <c r="I5551" s="25"/>
      <c r="J5551" s="25"/>
    </row>
    <row r="5552" spans="1:10" ht="14.4">
      <c r="A5552" s="25"/>
      <c r="B5552" s="25"/>
      <c r="C5552" s="25"/>
      <c r="D5552" s="25"/>
      <c r="E5552" s="25"/>
      <c r="F5552" s="25"/>
      <c r="G5552" s="25"/>
      <c r="H5552" s="25"/>
      <c r="I5552" s="25"/>
      <c r="J5552" s="25"/>
    </row>
    <row r="5553" spans="1:10" ht="14.4">
      <c r="A5553" s="25"/>
      <c r="B5553" s="25"/>
      <c r="C5553" s="25"/>
      <c r="D5553" s="25"/>
      <c r="E5553" s="25"/>
      <c r="F5553" s="25"/>
      <c r="G5553" s="25"/>
      <c r="H5553" s="25"/>
      <c r="I5553" s="25"/>
      <c r="J5553" s="25"/>
    </row>
    <row r="5554" spans="1:10" ht="14.4">
      <c r="A5554" s="25"/>
      <c r="B5554" s="25"/>
      <c r="C5554" s="25"/>
      <c r="D5554" s="25"/>
      <c r="E5554" s="25"/>
      <c r="F5554" s="25"/>
      <c r="G5554" s="25"/>
      <c r="H5554" s="25"/>
      <c r="I5554" s="25"/>
      <c r="J5554" s="25"/>
    </row>
    <row r="5555" spans="1:10" ht="14.4">
      <c r="A5555" s="25"/>
      <c r="B5555" s="25"/>
      <c r="C5555" s="25"/>
      <c r="D5555" s="25"/>
      <c r="E5555" s="25"/>
      <c r="F5555" s="25"/>
      <c r="G5555" s="25"/>
      <c r="H5555" s="25"/>
      <c r="I5555" s="25"/>
      <c r="J5555" s="25"/>
    </row>
    <row r="5556" spans="1:10" ht="14.4">
      <c r="A5556" s="25"/>
      <c r="B5556" s="25"/>
      <c r="C5556" s="25"/>
      <c r="D5556" s="25"/>
      <c r="E5556" s="25"/>
      <c r="F5556" s="25"/>
      <c r="G5556" s="25"/>
      <c r="H5556" s="25"/>
      <c r="I5556" s="25"/>
      <c r="J5556" s="25"/>
    </row>
    <row r="5557" spans="1:10" ht="14.4">
      <c r="A5557" s="25"/>
      <c r="B5557" s="25"/>
      <c r="C5557" s="25"/>
      <c r="D5557" s="25"/>
      <c r="E5557" s="25"/>
      <c r="F5557" s="25"/>
      <c r="G5557" s="25"/>
      <c r="H5557" s="25"/>
      <c r="I5557" s="25"/>
      <c r="J5557" s="25"/>
    </row>
    <row r="5558" spans="1:10" ht="14.4">
      <c r="A5558" s="25"/>
      <c r="B5558" s="25"/>
      <c r="C5558" s="25"/>
      <c r="D5558" s="25"/>
      <c r="E5558" s="25"/>
      <c r="F5558" s="25"/>
      <c r="G5558" s="25"/>
      <c r="H5558" s="25"/>
      <c r="I5558" s="25"/>
      <c r="J5558" s="25"/>
    </row>
    <row r="5559" spans="1:10" ht="14.4">
      <c r="A5559" s="25"/>
      <c r="B5559" s="25"/>
      <c r="C5559" s="25"/>
      <c r="D5559" s="25"/>
      <c r="E5559" s="25"/>
      <c r="F5559" s="25"/>
      <c r="G5559" s="25"/>
      <c r="H5559" s="25"/>
      <c r="I5559" s="25"/>
      <c r="J5559" s="25"/>
    </row>
    <row r="5560" spans="1:10" ht="14.4">
      <c r="A5560" s="25"/>
      <c r="B5560" s="25"/>
      <c r="C5560" s="25"/>
      <c r="D5560" s="25"/>
      <c r="E5560" s="25"/>
      <c r="F5560" s="25"/>
      <c r="G5560" s="25"/>
      <c r="H5560" s="25"/>
      <c r="I5560" s="25"/>
      <c r="J5560" s="25"/>
    </row>
    <row r="5561" spans="1:10" ht="14.4">
      <c r="A5561" s="25"/>
      <c r="B5561" s="25"/>
      <c r="C5561" s="25"/>
      <c r="D5561" s="25"/>
      <c r="E5561" s="25"/>
      <c r="F5561" s="25"/>
      <c r="G5561" s="25"/>
      <c r="H5561" s="25"/>
      <c r="I5561" s="25"/>
      <c r="J5561" s="25"/>
    </row>
    <row r="5562" spans="1:10" ht="14.4">
      <c r="A5562" s="25"/>
      <c r="B5562" s="25"/>
      <c r="C5562" s="25"/>
      <c r="D5562" s="25"/>
      <c r="E5562" s="25"/>
      <c r="F5562" s="25"/>
      <c r="G5562" s="25"/>
      <c r="H5562" s="25"/>
      <c r="I5562" s="25"/>
      <c r="J5562" s="25"/>
    </row>
    <row r="5563" spans="1:10" ht="14.4">
      <c r="A5563" s="25"/>
      <c r="B5563" s="25"/>
      <c r="C5563" s="25"/>
      <c r="D5563" s="25"/>
      <c r="E5563" s="25"/>
      <c r="F5563" s="25"/>
      <c r="G5563" s="25"/>
      <c r="H5563" s="25"/>
      <c r="I5563" s="25"/>
      <c r="J5563" s="25"/>
    </row>
    <row r="5564" spans="1:10" ht="14.4">
      <c r="A5564" s="25"/>
      <c r="B5564" s="25"/>
      <c r="C5564" s="25"/>
      <c r="D5564" s="25"/>
      <c r="E5564" s="25"/>
      <c r="F5564" s="25"/>
      <c r="G5564" s="25"/>
      <c r="H5564" s="25"/>
      <c r="I5564" s="25"/>
      <c r="J5564" s="25"/>
    </row>
    <row r="5565" spans="1:10" ht="14.4">
      <c r="A5565" s="25"/>
      <c r="B5565" s="25"/>
      <c r="C5565" s="25"/>
      <c r="D5565" s="25"/>
      <c r="E5565" s="25"/>
      <c r="F5565" s="25"/>
      <c r="G5565" s="25"/>
      <c r="H5565" s="25"/>
      <c r="I5565" s="25"/>
      <c r="J5565" s="25"/>
    </row>
    <row r="5566" spans="1:10" ht="14.4">
      <c r="A5566" s="25"/>
      <c r="B5566" s="25"/>
      <c r="C5566" s="25"/>
      <c r="D5566" s="25"/>
      <c r="E5566" s="25"/>
      <c r="F5566" s="25"/>
      <c r="G5566" s="25"/>
      <c r="H5566" s="25"/>
      <c r="I5566" s="25"/>
      <c r="J5566" s="25"/>
    </row>
    <row r="5567" spans="1:10" ht="14.4">
      <c r="A5567" s="25"/>
      <c r="B5567" s="25"/>
      <c r="C5567" s="25"/>
      <c r="D5567" s="25"/>
      <c r="E5567" s="25"/>
      <c r="F5567" s="25"/>
      <c r="G5567" s="25"/>
      <c r="H5567" s="25"/>
      <c r="I5567" s="25"/>
      <c r="J5567" s="25"/>
    </row>
    <row r="5568" spans="1:10" ht="14.4">
      <c r="A5568" s="25"/>
      <c r="B5568" s="25"/>
      <c r="C5568" s="25"/>
      <c r="D5568" s="25"/>
      <c r="E5568" s="25"/>
      <c r="F5568" s="25"/>
      <c r="G5568" s="25"/>
      <c r="H5568" s="25"/>
      <c r="I5568" s="25"/>
      <c r="J5568" s="25"/>
    </row>
    <row r="5569" spans="1:10" ht="14.4">
      <c r="A5569" s="25"/>
      <c r="B5569" s="25"/>
      <c r="C5569" s="25"/>
      <c r="D5569" s="25"/>
      <c r="E5569" s="25"/>
      <c r="F5569" s="25"/>
      <c r="G5569" s="25"/>
      <c r="H5569" s="25"/>
      <c r="I5569" s="25"/>
      <c r="J5569" s="25"/>
    </row>
    <row r="5570" spans="1:10" ht="14.4">
      <c r="A5570" s="25"/>
      <c r="B5570" s="25"/>
      <c r="C5570" s="25"/>
      <c r="D5570" s="25"/>
      <c r="E5570" s="25"/>
      <c r="F5570" s="25"/>
      <c r="G5570" s="25"/>
      <c r="H5570" s="25"/>
      <c r="I5570" s="25"/>
      <c r="J5570" s="25"/>
    </row>
    <row r="5571" spans="1:10" ht="14.4">
      <c r="A5571" s="25"/>
      <c r="B5571" s="25"/>
      <c r="C5571" s="25"/>
      <c r="D5571" s="25"/>
      <c r="E5571" s="25"/>
      <c r="F5571" s="25"/>
      <c r="G5571" s="25"/>
      <c r="H5571" s="25"/>
      <c r="I5571" s="25"/>
      <c r="J5571" s="25"/>
    </row>
    <row r="5572" spans="1:10" ht="14.4">
      <c r="A5572" s="25"/>
      <c r="B5572" s="25"/>
      <c r="C5572" s="25"/>
      <c r="D5572" s="25"/>
      <c r="E5572" s="25"/>
      <c r="F5572" s="25"/>
      <c r="G5572" s="25"/>
      <c r="H5572" s="25"/>
      <c r="I5572" s="25"/>
      <c r="J5572" s="25"/>
    </row>
    <row r="5573" spans="1:10" ht="14.4">
      <c r="A5573" s="25"/>
      <c r="B5573" s="25"/>
      <c r="C5573" s="25"/>
      <c r="D5573" s="25"/>
      <c r="E5573" s="25"/>
      <c r="F5573" s="25"/>
      <c r="G5573" s="25"/>
      <c r="H5573" s="25"/>
      <c r="I5573" s="25"/>
      <c r="J5573" s="25"/>
    </row>
    <row r="5574" spans="1:10" ht="14.4">
      <c r="A5574" s="25"/>
      <c r="B5574" s="25"/>
      <c r="C5574" s="25"/>
      <c r="D5574" s="25"/>
      <c r="E5574" s="25"/>
      <c r="F5574" s="25"/>
      <c r="G5574" s="25"/>
      <c r="H5574" s="25"/>
      <c r="I5574" s="25"/>
      <c r="J5574" s="25"/>
    </row>
    <row r="5575" spans="1:10" ht="14.4">
      <c r="A5575" s="25"/>
      <c r="B5575" s="25"/>
      <c r="C5575" s="25"/>
      <c r="D5575" s="25"/>
      <c r="E5575" s="25"/>
      <c r="F5575" s="25"/>
      <c r="G5575" s="25"/>
      <c r="H5575" s="25"/>
      <c r="I5575" s="25"/>
      <c r="J5575" s="25"/>
    </row>
    <row r="5576" spans="1:10" ht="14.4">
      <c r="A5576" s="25"/>
      <c r="B5576" s="25"/>
      <c r="C5576" s="25"/>
      <c r="D5576" s="25"/>
      <c r="E5576" s="25"/>
      <c r="F5576" s="25"/>
      <c r="G5576" s="25"/>
      <c r="H5576" s="25"/>
      <c r="I5576" s="25"/>
      <c r="J5576" s="25"/>
    </row>
    <row r="5577" spans="1:10" ht="14.4">
      <c r="A5577" s="25"/>
      <c r="B5577" s="25"/>
      <c r="C5577" s="25"/>
      <c r="D5577" s="25"/>
      <c r="E5577" s="25"/>
      <c r="F5577" s="25"/>
      <c r="G5577" s="25"/>
      <c r="H5577" s="25"/>
      <c r="I5577" s="25"/>
      <c r="J5577" s="25"/>
    </row>
    <row r="5578" spans="1:10" ht="14.4">
      <c r="A5578" s="25"/>
      <c r="B5578" s="25"/>
      <c r="C5578" s="25"/>
      <c r="D5578" s="25"/>
      <c r="E5578" s="25"/>
      <c r="F5578" s="25"/>
      <c r="G5578" s="25"/>
      <c r="H5578" s="25"/>
      <c r="I5578" s="25"/>
      <c r="J5578" s="25"/>
    </row>
    <row r="5579" spans="1:10" ht="14.4">
      <c r="A5579" s="25"/>
      <c r="B5579" s="25"/>
      <c r="C5579" s="25"/>
      <c r="D5579" s="25"/>
      <c r="E5579" s="25"/>
      <c r="F5579" s="25"/>
      <c r="G5579" s="25"/>
      <c r="H5579" s="25"/>
      <c r="I5579" s="25"/>
      <c r="J5579" s="25"/>
    </row>
    <row r="5580" spans="1:10" ht="14.4">
      <c r="A5580" s="25"/>
      <c r="B5580" s="25"/>
      <c r="C5580" s="25"/>
      <c r="D5580" s="25"/>
      <c r="E5580" s="25"/>
      <c r="F5580" s="25"/>
      <c r="G5580" s="25"/>
      <c r="H5580" s="25"/>
      <c r="I5580" s="25"/>
      <c r="J5580" s="25"/>
    </row>
    <row r="5581" spans="1:10" ht="14.4">
      <c r="A5581" s="25"/>
      <c r="B5581" s="25"/>
      <c r="C5581" s="25"/>
      <c r="D5581" s="25"/>
      <c r="E5581" s="25"/>
      <c r="F5581" s="25"/>
      <c r="G5581" s="25"/>
      <c r="H5581" s="25"/>
      <c r="I5581" s="25"/>
      <c r="J5581" s="25"/>
    </row>
    <row r="5582" spans="1:10" ht="14.4">
      <c r="A5582" s="25"/>
      <c r="B5582" s="25"/>
      <c r="C5582" s="25"/>
      <c r="D5582" s="25"/>
      <c r="E5582" s="25"/>
      <c r="F5582" s="25"/>
      <c r="G5582" s="25"/>
      <c r="H5582" s="25"/>
      <c r="I5582" s="25"/>
      <c r="J5582" s="25"/>
    </row>
    <row r="5583" spans="1:10" ht="14.4">
      <c r="A5583" s="25"/>
      <c r="B5583" s="25"/>
      <c r="C5583" s="25"/>
      <c r="D5583" s="25"/>
      <c r="E5583" s="25"/>
      <c r="F5583" s="25"/>
      <c r="G5583" s="25"/>
      <c r="H5583" s="25"/>
      <c r="I5583" s="25"/>
      <c r="J5583" s="25"/>
    </row>
    <row r="5584" spans="1:10" ht="14.4">
      <c r="A5584" s="25"/>
      <c r="B5584" s="25"/>
      <c r="C5584" s="25"/>
      <c r="D5584" s="25"/>
      <c r="E5584" s="25"/>
      <c r="F5584" s="25"/>
      <c r="G5584" s="25"/>
      <c r="H5584" s="25"/>
      <c r="I5584" s="25"/>
      <c r="J5584" s="25"/>
    </row>
    <row r="5585" spans="1:10" ht="14.4">
      <c r="A5585" s="25"/>
      <c r="B5585" s="25"/>
      <c r="C5585" s="25"/>
      <c r="D5585" s="25"/>
      <c r="E5585" s="25"/>
      <c r="F5585" s="25"/>
      <c r="G5585" s="25"/>
      <c r="H5585" s="25"/>
      <c r="I5585" s="25"/>
      <c r="J5585" s="25"/>
    </row>
    <row r="5586" spans="1:10" ht="14.4">
      <c r="A5586" s="25"/>
      <c r="B5586" s="25"/>
      <c r="C5586" s="25"/>
      <c r="D5586" s="25"/>
      <c r="E5586" s="25"/>
      <c r="F5586" s="25"/>
      <c r="G5586" s="25"/>
      <c r="H5586" s="25"/>
      <c r="I5586" s="25"/>
      <c r="J5586" s="25"/>
    </row>
    <row r="5587" spans="1:10" ht="14.4">
      <c r="A5587" s="25"/>
      <c r="B5587" s="25"/>
      <c r="C5587" s="25"/>
      <c r="D5587" s="25"/>
      <c r="E5587" s="25"/>
      <c r="F5587" s="25"/>
      <c r="G5587" s="25"/>
      <c r="H5587" s="25"/>
      <c r="I5587" s="25"/>
      <c r="J5587" s="25"/>
    </row>
    <row r="5588" spans="1:10" ht="14.4">
      <c r="A5588" s="25"/>
      <c r="B5588" s="25"/>
      <c r="C5588" s="25"/>
      <c r="D5588" s="25"/>
      <c r="E5588" s="25"/>
      <c r="F5588" s="25"/>
      <c r="G5588" s="25"/>
      <c r="H5588" s="25"/>
      <c r="I5588" s="25"/>
      <c r="J5588" s="25"/>
    </row>
    <row r="5589" spans="1:10" ht="14.4">
      <c r="A5589" s="25"/>
      <c r="B5589" s="25"/>
      <c r="C5589" s="25"/>
      <c r="D5589" s="25"/>
      <c r="E5589" s="25"/>
      <c r="F5589" s="25"/>
      <c r="G5589" s="25"/>
      <c r="H5589" s="25"/>
      <c r="I5589" s="25"/>
      <c r="J5589" s="25"/>
    </row>
    <row r="5590" spans="1:10" ht="14.4">
      <c r="A5590" s="25"/>
      <c r="B5590" s="25"/>
      <c r="C5590" s="25"/>
      <c r="D5590" s="25"/>
      <c r="E5590" s="25"/>
      <c r="F5590" s="25"/>
      <c r="G5590" s="25"/>
      <c r="H5590" s="25"/>
      <c r="I5590" s="25"/>
      <c r="J5590" s="25"/>
    </row>
    <row r="5591" spans="1:10" ht="14.4">
      <c r="A5591" s="25"/>
      <c r="B5591" s="25"/>
      <c r="C5591" s="25"/>
      <c r="D5591" s="25"/>
      <c r="E5591" s="25"/>
      <c r="F5591" s="25"/>
      <c r="G5591" s="25"/>
      <c r="H5591" s="25"/>
      <c r="I5591" s="25"/>
      <c r="J5591" s="25"/>
    </row>
    <row r="5592" spans="1:10" ht="14.4">
      <c r="A5592" s="25"/>
      <c r="B5592" s="25"/>
      <c r="C5592" s="25"/>
      <c r="D5592" s="25"/>
      <c r="E5592" s="25"/>
      <c r="F5592" s="25"/>
      <c r="G5592" s="25"/>
      <c r="H5592" s="25"/>
      <c r="I5592" s="25"/>
      <c r="J5592" s="25"/>
    </row>
    <row r="5593" spans="1:10" ht="14.4">
      <c r="A5593" s="25"/>
      <c r="B5593" s="25"/>
      <c r="C5593" s="25"/>
      <c r="D5593" s="25"/>
      <c r="E5593" s="25"/>
      <c r="F5593" s="25"/>
      <c r="G5593" s="25"/>
      <c r="H5593" s="25"/>
      <c r="I5593" s="25"/>
      <c r="J5593" s="25"/>
    </row>
    <row r="5594" spans="1:10" ht="14.4">
      <c r="A5594" s="25"/>
      <c r="B5594" s="25"/>
      <c r="C5594" s="25"/>
      <c r="D5594" s="25"/>
      <c r="E5594" s="25"/>
      <c r="F5594" s="25"/>
      <c r="G5594" s="25"/>
      <c r="H5594" s="25"/>
      <c r="I5594" s="25"/>
      <c r="J5594" s="25"/>
    </row>
    <row r="5595" spans="1:10" ht="14.4">
      <c r="A5595" s="25"/>
      <c r="B5595" s="25"/>
      <c r="C5595" s="25"/>
      <c r="D5595" s="25"/>
      <c r="E5595" s="25"/>
      <c r="F5595" s="25"/>
      <c r="G5595" s="25"/>
      <c r="H5595" s="25"/>
      <c r="I5595" s="25"/>
      <c r="J5595" s="25"/>
    </row>
    <row r="5596" spans="1:10" ht="14.4">
      <c r="A5596" s="25"/>
      <c r="B5596" s="25"/>
      <c r="C5596" s="25"/>
      <c r="D5596" s="25"/>
      <c r="E5596" s="25"/>
      <c r="F5596" s="25"/>
      <c r="G5596" s="25"/>
      <c r="H5596" s="25"/>
      <c r="I5596" s="25"/>
      <c r="J5596" s="25"/>
    </row>
    <row r="5597" spans="1:10" ht="14.4">
      <c r="A5597" s="25"/>
      <c r="B5597" s="25"/>
      <c r="C5597" s="25"/>
      <c r="D5597" s="25"/>
      <c r="E5597" s="25"/>
      <c r="F5597" s="25"/>
      <c r="G5597" s="25"/>
      <c r="H5597" s="25"/>
      <c r="I5597" s="25"/>
      <c r="J5597" s="25"/>
    </row>
    <row r="5598" spans="1:10" ht="14.4">
      <c r="A5598" s="25"/>
      <c r="B5598" s="25"/>
      <c r="C5598" s="25"/>
      <c r="D5598" s="25"/>
      <c r="E5598" s="25"/>
      <c r="F5598" s="25"/>
      <c r="G5598" s="25"/>
      <c r="H5598" s="25"/>
      <c r="I5598" s="25"/>
      <c r="J5598" s="25"/>
    </row>
    <row r="5599" spans="1:10" ht="14.4">
      <c r="A5599" s="25"/>
      <c r="B5599" s="25"/>
      <c r="C5599" s="25"/>
      <c r="D5599" s="25"/>
      <c r="E5599" s="25"/>
      <c r="F5599" s="25"/>
      <c r="G5599" s="25"/>
      <c r="H5599" s="25"/>
      <c r="I5599" s="25"/>
      <c r="J5599" s="25"/>
    </row>
    <row r="5600" spans="1:10" ht="14.4">
      <c r="A5600" s="25"/>
      <c r="B5600" s="25"/>
      <c r="C5600" s="25"/>
      <c r="D5600" s="25"/>
      <c r="E5600" s="25"/>
      <c r="F5600" s="25"/>
      <c r="G5600" s="25"/>
      <c r="H5600" s="25"/>
      <c r="I5600" s="25"/>
      <c r="J5600" s="25"/>
    </row>
    <row r="5601" spans="1:10" ht="14.4">
      <c r="A5601" s="25"/>
      <c r="B5601" s="25"/>
      <c r="C5601" s="25"/>
      <c r="D5601" s="25"/>
      <c r="E5601" s="25"/>
      <c r="F5601" s="25"/>
      <c r="G5601" s="25"/>
      <c r="H5601" s="25"/>
      <c r="I5601" s="25"/>
      <c r="J5601" s="25"/>
    </row>
    <row r="5602" spans="1:10" ht="14.4">
      <c r="A5602" s="25"/>
      <c r="B5602" s="25"/>
      <c r="C5602" s="25"/>
      <c r="D5602" s="25"/>
      <c r="E5602" s="25"/>
      <c r="F5602" s="25"/>
      <c r="G5602" s="25"/>
      <c r="H5602" s="25"/>
      <c r="I5602" s="25"/>
      <c r="J5602" s="25"/>
    </row>
    <row r="5603" spans="1:10" ht="14.4">
      <c r="A5603" s="25"/>
      <c r="B5603" s="25"/>
      <c r="C5603" s="25"/>
      <c r="D5603" s="25"/>
      <c r="E5603" s="25"/>
      <c r="F5603" s="25"/>
      <c r="G5603" s="25"/>
      <c r="H5603" s="25"/>
      <c r="I5603" s="25"/>
      <c r="J5603" s="25"/>
    </row>
    <row r="5604" spans="1:10" ht="14.4">
      <c r="A5604" s="25"/>
      <c r="B5604" s="25"/>
      <c r="C5604" s="25"/>
      <c r="D5604" s="25"/>
      <c r="E5604" s="25"/>
      <c r="F5604" s="25"/>
      <c r="G5604" s="25"/>
      <c r="H5604" s="25"/>
      <c r="I5604" s="25"/>
      <c r="J5604" s="25"/>
    </row>
    <row r="5605" spans="1:10" ht="14.4">
      <c r="A5605" s="25"/>
      <c r="B5605" s="25"/>
      <c r="C5605" s="25"/>
      <c r="D5605" s="25"/>
      <c r="E5605" s="25"/>
      <c r="F5605" s="25"/>
      <c r="G5605" s="25"/>
      <c r="H5605" s="25"/>
      <c r="I5605" s="25"/>
      <c r="J5605" s="25"/>
    </row>
    <row r="5606" spans="1:10" ht="14.4">
      <c r="A5606" s="25"/>
      <c r="B5606" s="25"/>
      <c r="C5606" s="25"/>
      <c r="D5606" s="25"/>
      <c r="E5606" s="25"/>
      <c r="F5606" s="25"/>
      <c r="G5606" s="25"/>
      <c r="H5606" s="25"/>
      <c r="I5606" s="25"/>
      <c r="J5606" s="25"/>
    </row>
    <row r="5607" spans="1:10" ht="14.4">
      <c r="A5607" s="25"/>
      <c r="B5607" s="25"/>
      <c r="C5607" s="25"/>
      <c r="D5607" s="25"/>
      <c r="E5607" s="25"/>
      <c r="F5607" s="25"/>
      <c r="G5607" s="25"/>
      <c r="H5607" s="25"/>
      <c r="I5607" s="25"/>
      <c r="J5607" s="25"/>
    </row>
    <row r="5608" spans="1:10" ht="14.4">
      <c r="A5608" s="25"/>
      <c r="B5608" s="25"/>
      <c r="C5608" s="25"/>
      <c r="D5608" s="25"/>
      <c r="E5608" s="25"/>
      <c r="F5608" s="25"/>
      <c r="G5608" s="25"/>
      <c r="H5608" s="25"/>
      <c r="I5608" s="25"/>
      <c r="J5608" s="25"/>
    </row>
    <row r="5609" spans="1:10" ht="14.4">
      <c r="A5609" s="25"/>
      <c r="B5609" s="25"/>
      <c r="C5609" s="25"/>
      <c r="D5609" s="25"/>
      <c r="E5609" s="25"/>
      <c r="F5609" s="25"/>
      <c r="G5609" s="25"/>
      <c r="H5609" s="25"/>
      <c r="I5609" s="25"/>
      <c r="J5609" s="25"/>
    </row>
    <row r="5610" spans="1:10" ht="14.4">
      <c r="A5610" s="25"/>
      <c r="B5610" s="25"/>
      <c r="C5610" s="25"/>
      <c r="D5610" s="25"/>
      <c r="E5610" s="25"/>
      <c r="F5610" s="25"/>
      <c r="G5610" s="25"/>
      <c r="H5610" s="25"/>
      <c r="I5610" s="25"/>
      <c r="J5610" s="25"/>
    </row>
    <row r="5611" spans="1:10" ht="14.4">
      <c r="A5611" s="25"/>
      <c r="B5611" s="25"/>
      <c r="C5611" s="25"/>
      <c r="D5611" s="25"/>
      <c r="E5611" s="25"/>
      <c r="F5611" s="25"/>
      <c r="G5611" s="25"/>
      <c r="H5611" s="25"/>
      <c r="I5611" s="25"/>
      <c r="J5611" s="25"/>
    </row>
    <row r="5612" spans="1:10" ht="14.4">
      <c r="A5612" s="25"/>
      <c r="B5612" s="25"/>
      <c r="C5612" s="25"/>
      <c r="D5612" s="25"/>
      <c r="E5612" s="25"/>
      <c r="F5612" s="25"/>
      <c r="G5612" s="25"/>
      <c r="H5612" s="25"/>
      <c r="I5612" s="25"/>
      <c r="J5612" s="25"/>
    </row>
    <row r="5613" spans="1:10" ht="14.4">
      <c r="A5613" s="25"/>
      <c r="B5613" s="25"/>
      <c r="C5613" s="25"/>
      <c r="D5613" s="25"/>
      <c r="E5613" s="25"/>
      <c r="F5613" s="25"/>
      <c r="G5613" s="25"/>
      <c r="H5613" s="25"/>
      <c r="I5613" s="25"/>
      <c r="J5613" s="25"/>
    </row>
    <row r="5614" spans="1:10" ht="14.4">
      <c r="A5614" s="25"/>
      <c r="B5614" s="25"/>
      <c r="C5614" s="25"/>
      <c r="D5614" s="25"/>
      <c r="E5614" s="25"/>
      <c r="F5614" s="25"/>
      <c r="G5614" s="25"/>
      <c r="H5614" s="25"/>
      <c r="I5614" s="25"/>
      <c r="J5614" s="25"/>
    </row>
    <row r="5615" spans="1:10" ht="14.4">
      <c r="A5615" s="25"/>
      <c r="B5615" s="25"/>
      <c r="C5615" s="25"/>
      <c r="D5615" s="25"/>
      <c r="E5615" s="25"/>
      <c r="F5615" s="25"/>
      <c r="G5615" s="25"/>
      <c r="H5615" s="25"/>
      <c r="I5615" s="25"/>
      <c r="J5615" s="25"/>
    </row>
    <row r="5616" spans="1:10" ht="14.4">
      <c r="A5616" s="25"/>
      <c r="B5616" s="25"/>
      <c r="C5616" s="25"/>
      <c r="D5616" s="25"/>
      <c r="E5616" s="25"/>
      <c r="F5616" s="25"/>
      <c r="G5616" s="25"/>
      <c r="H5616" s="25"/>
      <c r="I5616" s="25"/>
      <c r="J5616" s="25"/>
    </row>
    <row r="5617" spans="1:10" ht="14.4">
      <c r="A5617" s="25"/>
      <c r="B5617" s="25"/>
      <c r="C5617" s="25"/>
      <c r="D5617" s="25"/>
      <c r="E5617" s="25"/>
      <c r="F5617" s="25"/>
      <c r="G5617" s="25"/>
      <c r="H5617" s="25"/>
      <c r="I5617" s="25"/>
      <c r="J5617" s="25"/>
    </row>
    <row r="5618" spans="1:10" ht="14.4">
      <c r="A5618" s="25"/>
      <c r="B5618" s="25"/>
      <c r="C5618" s="25"/>
      <c r="D5618" s="25"/>
      <c r="E5618" s="25"/>
      <c r="F5618" s="25"/>
      <c r="G5618" s="25"/>
      <c r="H5618" s="25"/>
      <c r="I5618" s="25"/>
      <c r="J5618" s="25"/>
    </row>
    <row r="5619" spans="1:10" ht="14.4">
      <c r="A5619" s="25"/>
      <c r="B5619" s="25"/>
      <c r="C5619" s="25"/>
      <c r="D5619" s="25"/>
      <c r="E5619" s="25"/>
      <c r="F5619" s="25"/>
      <c r="G5619" s="25"/>
      <c r="H5619" s="25"/>
      <c r="I5619" s="25"/>
      <c r="J5619" s="25"/>
    </row>
    <row r="5620" spans="1:10" ht="14.4">
      <c r="A5620" s="25"/>
      <c r="B5620" s="25"/>
      <c r="C5620" s="25"/>
      <c r="D5620" s="25"/>
      <c r="E5620" s="25"/>
      <c r="F5620" s="25"/>
      <c r="G5620" s="25"/>
      <c r="H5620" s="25"/>
      <c r="I5620" s="25"/>
      <c r="J5620" s="25"/>
    </row>
    <row r="5621" spans="1:10" ht="14.4">
      <c r="A5621" s="25"/>
      <c r="B5621" s="25"/>
      <c r="C5621" s="25"/>
      <c r="D5621" s="25"/>
      <c r="E5621" s="25"/>
      <c r="F5621" s="25"/>
      <c r="G5621" s="25"/>
      <c r="H5621" s="25"/>
      <c r="I5621" s="25"/>
      <c r="J5621" s="25"/>
    </row>
    <row r="5622" spans="1:10" ht="14.4">
      <c r="A5622" s="25"/>
      <c r="B5622" s="25"/>
      <c r="C5622" s="25"/>
      <c r="D5622" s="25"/>
      <c r="E5622" s="25"/>
      <c r="F5622" s="25"/>
      <c r="G5622" s="25"/>
      <c r="H5622" s="25"/>
      <c r="I5622" s="25"/>
      <c r="J5622" s="25"/>
    </row>
    <row r="5623" spans="1:10" ht="14.4">
      <c r="A5623" s="25"/>
      <c r="B5623" s="25"/>
      <c r="C5623" s="25"/>
      <c r="D5623" s="25"/>
      <c r="E5623" s="25"/>
      <c r="F5623" s="25"/>
      <c r="G5623" s="25"/>
      <c r="H5623" s="25"/>
      <c r="I5623" s="25"/>
      <c r="J5623" s="25"/>
    </row>
    <row r="5624" spans="1:10" ht="14.4">
      <c r="A5624" s="25"/>
      <c r="B5624" s="25"/>
      <c r="C5624" s="25"/>
      <c r="D5624" s="25"/>
      <c r="E5624" s="25"/>
      <c r="F5624" s="25"/>
      <c r="G5624" s="25"/>
      <c r="H5624" s="25"/>
      <c r="I5624" s="25"/>
      <c r="J5624" s="25"/>
    </row>
    <row r="5625" spans="1:10" ht="14.4">
      <c r="A5625" s="25"/>
      <c r="B5625" s="25"/>
      <c r="C5625" s="25"/>
      <c r="D5625" s="25"/>
      <c r="E5625" s="25"/>
      <c r="F5625" s="25"/>
      <c r="G5625" s="25"/>
      <c r="H5625" s="25"/>
      <c r="I5625" s="25"/>
      <c r="J5625" s="25"/>
    </row>
    <row r="5626" spans="1:10" ht="14.4">
      <c r="A5626" s="25"/>
      <c r="B5626" s="25"/>
      <c r="C5626" s="25"/>
      <c r="D5626" s="25"/>
      <c r="E5626" s="25"/>
      <c r="F5626" s="25"/>
      <c r="G5626" s="25"/>
      <c r="H5626" s="25"/>
      <c r="I5626" s="25"/>
      <c r="J5626" s="25"/>
    </row>
    <row r="5627" spans="1:10" ht="14.4">
      <c r="A5627" s="25"/>
      <c r="B5627" s="25"/>
      <c r="C5627" s="25"/>
      <c r="D5627" s="25"/>
      <c r="E5627" s="25"/>
      <c r="F5627" s="25"/>
      <c r="G5627" s="25"/>
      <c r="H5627" s="25"/>
      <c r="I5627" s="25"/>
      <c r="J5627" s="25"/>
    </row>
    <row r="5628" spans="1:10" ht="14.4">
      <c r="A5628" s="25"/>
      <c r="B5628" s="25"/>
      <c r="C5628" s="25"/>
      <c r="D5628" s="25"/>
      <c r="E5628" s="25"/>
      <c r="F5628" s="25"/>
      <c r="G5628" s="25"/>
      <c r="H5628" s="25"/>
      <c r="I5628" s="25"/>
      <c r="J5628" s="25"/>
    </row>
    <row r="5629" spans="1:10" ht="14.4">
      <c r="A5629" s="25"/>
      <c r="B5629" s="25"/>
      <c r="C5629" s="25"/>
      <c r="D5629" s="25"/>
      <c r="E5629" s="25"/>
      <c r="F5629" s="25"/>
      <c r="G5629" s="25"/>
      <c r="H5629" s="25"/>
      <c r="I5629" s="25"/>
      <c r="J5629" s="25"/>
    </row>
    <row r="5630" spans="1:10" ht="14.4">
      <c r="A5630" s="25"/>
      <c r="B5630" s="25"/>
      <c r="C5630" s="25"/>
      <c r="D5630" s="25"/>
      <c r="E5630" s="25"/>
      <c r="F5630" s="25"/>
      <c r="G5630" s="25"/>
      <c r="H5630" s="25"/>
      <c r="I5630" s="25"/>
      <c r="J5630" s="25"/>
    </row>
    <row r="5631" spans="1:10" ht="14.4">
      <c r="A5631" s="25"/>
      <c r="B5631" s="25"/>
      <c r="C5631" s="25"/>
      <c r="D5631" s="25"/>
      <c r="E5631" s="25"/>
      <c r="F5631" s="25"/>
      <c r="G5631" s="25"/>
      <c r="H5631" s="25"/>
      <c r="I5631" s="25"/>
      <c r="J5631" s="25"/>
    </row>
    <row r="5632" spans="1:10" ht="14.4">
      <c r="A5632" s="25"/>
      <c r="B5632" s="25"/>
      <c r="C5632" s="25"/>
      <c r="D5632" s="25"/>
      <c r="E5632" s="25"/>
      <c r="F5632" s="25"/>
      <c r="G5632" s="25"/>
      <c r="H5632" s="25"/>
      <c r="I5632" s="25"/>
      <c r="J5632" s="25"/>
    </row>
    <row r="5633" spans="1:10" ht="14.4">
      <c r="A5633" s="25"/>
      <c r="B5633" s="25"/>
      <c r="C5633" s="25"/>
      <c r="D5633" s="25"/>
      <c r="E5633" s="25"/>
      <c r="F5633" s="25"/>
      <c r="G5633" s="25"/>
      <c r="H5633" s="25"/>
      <c r="I5633" s="25"/>
      <c r="J5633" s="25"/>
    </row>
    <row r="5634" spans="1:10" ht="14.4">
      <c r="A5634" s="25"/>
      <c r="B5634" s="25"/>
      <c r="C5634" s="25"/>
      <c r="D5634" s="25"/>
      <c r="E5634" s="25"/>
      <c r="F5634" s="25"/>
      <c r="G5634" s="25"/>
      <c r="H5634" s="25"/>
      <c r="I5634" s="25"/>
      <c r="J5634" s="25"/>
    </row>
    <row r="5635" spans="1:10" ht="14.4">
      <c r="A5635" s="25"/>
      <c r="B5635" s="25"/>
      <c r="C5635" s="25"/>
      <c r="D5635" s="25"/>
      <c r="E5635" s="25"/>
      <c r="F5635" s="25"/>
      <c r="G5635" s="25"/>
      <c r="H5635" s="25"/>
      <c r="I5635" s="25"/>
      <c r="J5635" s="25"/>
    </row>
    <row r="5636" spans="1:10" ht="14.4">
      <c r="A5636" s="25"/>
      <c r="B5636" s="25"/>
      <c r="C5636" s="25"/>
      <c r="D5636" s="25"/>
      <c r="E5636" s="25"/>
      <c r="F5636" s="25"/>
      <c r="G5636" s="25"/>
      <c r="H5636" s="25"/>
      <c r="I5636" s="25"/>
      <c r="J5636" s="25"/>
    </row>
    <row r="5637" spans="1:10" ht="14.4">
      <c r="A5637" s="25"/>
      <c r="B5637" s="25"/>
      <c r="C5637" s="25"/>
      <c r="D5637" s="25"/>
      <c r="E5637" s="25"/>
      <c r="F5637" s="25"/>
      <c r="G5637" s="25"/>
      <c r="H5637" s="25"/>
      <c r="I5637" s="25"/>
      <c r="J5637" s="25"/>
    </row>
    <row r="5638" spans="1:10" ht="14.4">
      <c r="A5638" s="25"/>
      <c r="B5638" s="25"/>
      <c r="C5638" s="25"/>
      <c r="D5638" s="25"/>
      <c r="E5638" s="25"/>
      <c r="F5638" s="25"/>
      <c r="G5638" s="25"/>
      <c r="H5638" s="25"/>
      <c r="I5638" s="25"/>
      <c r="J5638" s="25"/>
    </row>
    <row r="5639" spans="1:10" ht="14.4">
      <c r="A5639" s="25"/>
      <c r="B5639" s="25"/>
      <c r="C5639" s="25"/>
      <c r="D5639" s="25"/>
      <c r="E5639" s="25"/>
      <c r="F5639" s="25"/>
      <c r="G5639" s="25"/>
      <c r="H5639" s="25"/>
      <c r="I5639" s="25"/>
      <c r="J5639" s="25"/>
    </row>
    <row r="5640" spans="1:10" ht="14.4">
      <c r="A5640" s="25"/>
      <c r="B5640" s="25"/>
      <c r="C5640" s="25"/>
      <c r="D5640" s="25"/>
      <c r="E5640" s="25"/>
      <c r="F5640" s="25"/>
      <c r="G5640" s="25"/>
      <c r="H5640" s="25"/>
      <c r="I5640" s="25"/>
      <c r="J5640" s="25"/>
    </row>
    <row r="5641" spans="1:10" ht="14.4">
      <c r="A5641" s="25"/>
      <c r="B5641" s="25"/>
      <c r="C5641" s="25"/>
      <c r="D5641" s="25"/>
      <c r="E5641" s="25"/>
      <c r="F5641" s="25"/>
      <c r="G5641" s="25"/>
      <c r="H5641" s="25"/>
      <c r="I5641" s="25"/>
      <c r="J5641" s="25"/>
    </row>
    <row r="5642" spans="1:10" ht="14.4">
      <c r="A5642" s="25"/>
      <c r="B5642" s="25"/>
      <c r="C5642" s="25"/>
      <c r="D5642" s="25"/>
      <c r="E5642" s="25"/>
      <c r="F5642" s="25"/>
      <c r="G5642" s="25"/>
      <c r="H5642" s="25"/>
      <c r="I5642" s="25"/>
      <c r="J5642" s="25"/>
    </row>
    <row r="5643" spans="1:10" ht="14.4">
      <c r="A5643" s="25"/>
      <c r="B5643" s="25"/>
      <c r="C5643" s="25"/>
      <c r="D5643" s="25"/>
      <c r="E5643" s="25"/>
      <c r="F5643" s="25"/>
      <c r="G5643" s="25"/>
      <c r="H5643" s="25"/>
      <c r="I5643" s="25"/>
      <c r="J5643" s="25"/>
    </row>
    <row r="5644" spans="1:10" ht="14.4">
      <c r="A5644" s="25"/>
      <c r="B5644" s="25"/>
      <c r="C5644" s="25"/>
      <c r="D5644" s="25"/>
      <c r="E5644" s="25"/>
      <c r="F5644" s="25"/>
      <c r="G5644" s="25"/>
      <c r="H5644" s="25"/>
      <c r="I5644" s="25"/>
      <c r="J5644" s="25"/>
    </row>
    <row r="5645" spans="1:10" ht="14.4">
      <c r="A5645" s="25"/>
      <c r="B5645" s="25"/>
      <c r="C5645" s="25"/>
      <c r="D5645" s="25"/>
      <c r="E5645" s="25"/>
      <c r="F5645" s="25"/>
      <c r="G5645" s="25"/>
      <c r="H5645" s="25"/>
      <c r="I5645" s="25"/>
      <c r="J5645" s="25"/>
    </row>
    <row r="5646" spans="1:10" ht="14.4">
      <c r="A5646" s="25"/>
      <c r="B5646" s="25"/>
      <c r="C5646" s="25"/>
      <c r="D5646" s="25"/>
      <c r="E5646" s="25"/>
      <c r="F5646" s="25"/>
      <c r="G5646" s="25"/>
      <c r="H5646" s="25"/>
      <c r="I5646" s="25"/>
      <c r="J5646" s="25"/>
    </row>
    <row r="5647" spans="1:10" ht="14.4">
      <c r="A5647" s="25"/>
      <c r="B5647" s="25"/>
      <c r="C5647" s="25"/>
      <c r="D5647" s="25"/>
      <c r="E5647" s="25"/>
      <c r="F5647" s="25"/>
      <c r="G5647" s="25"/>
      <c r="H5647" s="25"/>
      <c r="I5647" s="25"/>
      <c r="J5647" s="25"/>
    </row>
    <row r="5648" spans="1:10" ht="14.4">
      <c r="A5648" s="25"/>
      <c r="B5648" s="25"/>
      <c r="C5648" s="25"/>
      <c r="D5648" s="25"/>
      <c r="E5648" s="25"/>
      <c r="F5648" s="25"/>
      <c r="G5648" s="25"/>
      <c r="H5648" s="25"/>
      <c r="I5648" s="25"/>
      <c r="J5648" s="25"/>
    </row>
    <row r="5649" spans="1:10" ht="14.4">
      <c r="A5649" s="25"/>
      <c r="B5649" s="25"/>
      <c r="C5649" s="25"/>
      <c r="D5649" s="25"/>
      <c r="E5649" s="25"/>
      <c r="F5649" s="25"/>
      <c r="G5649" s="25"/>
      <c r="H5649" s="25"/>
      <c r="I5649" s="25"/>
      <c r="J5649" s="25"/>
    </row>
    <row r="5650" spans="1:10" ht="14.4">
      <c r="A5650" s="25"/>
      <c r="B5650" s="25"/>
      <c r="C5650" s="25"/>
      <c r="D5650" s="25"/>
      <c r="E5650" s="25"/>
      <c r="F5650" s="25"/>
      <c r="G5650" s="25"/>
      <c r="H5650" s="25"/>
      <c r="I5650" s="25"/>
      <c r="J5650" s="25"/>
    </row>
    <row r="5651" spans="1:10" ht="14.4">
      <c r="A5651" s="25"/>
      <c r="B5651" s="25"/>
      <c r="C5651" s="25"/>
      <c r="D5651" s="25"/>
      <c r="E5651" s="25"/>
      <c r="F5651" s="25"/>
      <c r="G5651" s="25"/>
      <c r="H5651" s="25"/>
      <c r="I5651" s="25"/>
      <c r="J5651" s="25"/>
    </row>
    <row r="5652" spans="1:10" ht="14.4">
      <c r="A5652" s="25"/>
      <c r="B5652" s="25"/>
      <c r="C5652" s="25"/>
      <c r="D5652" s="25"/>
      <c r="E5652" s="25"/>
      <c r="F5652" s="25"/>
      <c r="G5652" s="25"/>
      <c r="H5652" s="25"/>
      <c r="I5652" s="25"/>
      <c r="J5652" s="25"/>
    </row>
    <row r="5653" spans="1:10" ht="14.4">
      <c r="A5653" s="25"/>
      <c r="B5653" s="25"/>
      <c r="C5653" s="25"/>
      <c r="D5653" s="25"/>
      <c r="E5653" s="25"/>
      <c r="F5653" s="25"/>
      <c r="G5653" s="25"/>
      <c r="H5653" s="25"/>
      <c r="I5653" s="25"/>
      <c r="J5653" s="25"/>
    </row>
    <row r="5654" spans="1:10" ht="14.4">
      <c r="A5654" s="25"/>
      <c r="B5654" s="25"/>
      <c r="C5654" s="25"/>
      <c r="D5654" s="25"/>
      <c r="E5654" s="25"/>
      <c r="F5654" s="25"/>
      <c r="G5654" s="25"/>
      <c r="H5654" s="25"/>
      <c r="I5654" s="25"/>
      <c r="J5654" s="25"/>
    </row>
    <row r="5655" spans="1:10" ht="14.4">
      <c r="A5655" s="25"/>
      <c r="B5655" s="25"/>
      <c r="C5655" s="25"/>
      <c r="D5655" s="25"/>
      <c r="E5655" s="25"/>
      <c r="F5655" s="25"/>
      <c r="G5655" s="25"/>
      <c r="H5655" s="25"/>
      <c r="I5655" s="25"/>
      <c r="J5655" s="25"/>
    </row>
    <row r="5656" spans="1:10" ht="14.4">
      <c r="A5656" s="25"/>
      <c r="B5656" s="25"/>
      <c r="C5656" s="25"/>
      <c r="D5656" s="25"/>
      <c r="E5656" s="25"/>
      <c r="F5656" s="25"/>
      <c r="G5656" s="25"/>
      <c r="H5656" s="25"/>
      <c r="I5656" s="25"/>
      <c r="J5656" s="25"/>
    </row>
    <row r="5657" spans="1:10" ht="14.4">
      <c r="A5657" s="25"/>
      <c r="B5657" s="25"/>
      <c r="C5657" s="25"/>
      <c r="D5657" s="25"/>
      <c r="E5657" s="25"/>
      <c r="F5657" s="25"/>
      <c r="G5657" s="25"/>
      <c r="H5657" s="25"/>
      <c r="I5657" s="25"/>
      <c r="J5657" s="25"/>
    </row>
    <row r="5658" spans="1:10" ht="14.4">
      <c r="A5658" s="25"/>
      <c r="B5658" s="25"/>
      <c r="C5658" s="25"/>
      <c r="D5658" s="25"/>
      <c r="E5658" s="25"/>
      <c r="F5658" s="25"/>
      <c r="G5658" s="25"/>
      <c r="H5658" s="25"/>
      <c r="I5658" s="25"/>
      <c r="J5658" s="25"/>
    </row>
    <row r="5659" spans="1:10" ht="14.4">
      <c r="A5659" s="25"/>
      <c r="B5659" s="25"/>
      <c r="C5659" s="25"/>
      <c r="D5659" s="25"/>
      <c r="E5659" s="25"/>
      <c r="F5659" s="25"/>
      <c r="G5659" s="25"/>
      <c r="H5659" s="25"/>
      <c r="I5659" s="25"/>
      <c r="J5659" s="25"/>
    </row>
    <row r="5660" spans="1:10" ht="14.4">
      <c r="A5660" s="25"/>
      <c r="B5660" s="25"/>
      <c r="C5660" s="25"/>
      <c r="D5660" s="25"/>
      <c r="E5660" s="25"/>
      <c r="F5660" s="25"/>
      <c r="G5660" s="25"/>
      <c r="H5660" s="25"/>
      <c r="I5660" s="25"/>
      <c r="J5660" s="25"/>
    </row>
    <row r="5661" spans="1:10" ht="14.4">
      <c r="A5661" s="25"/>
      <c r="B5661" s="25"/>
      <c r="C5661" s="25"/>
      <c r="D5661" s="25"/>
      <c r="E5661" s="25"/>
      <c r="F5661" s="25"/>
      <c r="G5661" s="25"/>
      <c r="H5661" s="25"/>
      <c r="I5661" s="25"/>
      <c r="J5661" s="25"/>
    </row>
    <row r="5662" spans="1:10" ht="14.4">
      <c r="A5662" s="25"/>
      <c r="B5662" s="25"/>
      <c r="C5662" s="25"/>
      <c r="D5662" s="25"/>
      <c r="E5662" s="25"/>
      <c r="F5662" s="25"/>
      <c r="G5662" s="25"/>
      <c r="H5662" s="25"/>
      <c r="I5662" s="25"/>
      <c r="J5662" s="25"/>
    </row>
    <row r="5663" spans="1:10" ht="14.4">
      <c r="A5663" s="25"/>
      <c r="B5663" s="25"/>
      <c r="C5663" s="25"/>
      <c r="D5663" s="25"/>
      <c r="E5663" s="25"/>
      <c r="F5663" s="25"/>
      <c r="G5663" s="25"/>
      <c r="H5663" s="25"/>
      <c r="I5663" s="25"/>
      <c r="J5663" s="25"/>
    </row>
    <row r="5664" spans="1:10" ht="14.4">
      <c r="A5664" s="25"/>
      <c r="B5664" s="25"/>
      <c r="C5664" s="25"/>
      <c r="D5664" s="25"/>
      <c r="E5664" s="25"/>
      <c r="F5664" s="25"/>
      <c r="G5664" s="25"/>
      <c r="H5664" s="25"/>
      <c r="I5664" s="25"/>
      <c r="J5664" s="25"/>
    </row>
    <row r="5665" spans="1:10" ht="14.4">
      <c r="A5665" s="25"/>
      <c r="B5665" s="25"/>
      <c r="C5665" s="25"/>
      <c r="D5665" s="25"/>
      <c r="E5665" s="25"/>
      <c r="F5665" s="25"/>
      <c r="G5665" s="25"/>
      <c r="H5665" s="25"/>
      <c r="I5665" s="25"/>
      <c r="J5665" s="25"/>
    </row>
    <row r="5666" spans="1:10" ht="14.4">
      <c r="A5666" s="25"/>
      <c r="B5666" s="25"/>
      <c r="C5666" s="25"/>
      <c r="D5666" s="25"/>
      <c r="E5666" s="25"/>
      <c r="F5666" s="25"/>
      <c r="G5666" s="25"/>
      <c r="H5666" s="25"/>
      <c r="I5666" s="25"/>
      <c r="J5666" s="25"/>
    </row>
    <row r="5667" spans="1:10" ht="14.4">
      <c r="A5667" s="25"/>
      <c r="B5667" s="25"/>
      <c r="C5667" s="25"/>
      <c r="D5667" s="25"/>
      <c r="E5667" s="25"/>
      <c r="F5667" s="25"/>
      <c r="G5667" s="25"/>
      <c r="H5667" s="25"/>
      <c r="I5667" s="25"/>
      <c r="J5667" s="25"/>
    </row>
    <row r="5668" spans="1:10" ht="14.4">
      <c r="A5668" s="25"/>
      <c r="B5668" s="25"/>
      <c r="C5668" s="25"/>
      <c r="D5668" s="25"/>
      <c r="E5668" s="25"/>
      <c r="F5668" s="25"/>
      <c r="G5668" s="25"/>
      <c r="H5668" s="25"/>
      <c r="I5668" s="25"/>
      <c r="J5668" s="25"/>
    </row>
    <row r="5669" spans="1:10" ht="14.4">
      <c r="A5669" s="25"/>
      <c r="B5669" s="25"/>
      <c r="C5669" s="25"/>
      <c r="D5669" s="25"/>
      <c r="E5669" s="25"/>
      <c r="F5669" s="25"/>
      <c r="G5669" s="25"/>
      <c r="H5669" s="25"/>
      <c r="I5669" s="25"/>
      <c r="J5669" s="25"/>
    </row>
    <row r="5670" spans="1:10" ht="14.4">
      <c r="A5670" s="25"/>
      <c r="B5670" s="25"/>
      <c r="C5670" s="25"/>
      <c r="D5670" s="25"/>
      <c r="E5670" s="25"/>
      <c r="F5670" s="25"/>
      <c r="G5670" s="25"/>
      <c r="H5670" s="25"/>
      <c r="I5670" s="25"/>
      <c r="J5670" s="25"/>
    </row>
    <row r="5671" spans="1:10" ht="14.4">
      <c r="A5671" s="25"/>
      <c r="B5671" s="25"/>
      <c r="C5671" s="25"/>
      <c r="D5671" s="25"/>
      <c r="E5671" s="25"/>
      <c r="F5671" s="25"/>
      <c r="G5671" s="25"/>
      <c r="H5671" s="25"/>
      <c r="I5671" s="25"/>
      <c r="J5671" s="25"/>
    </row>
    <row r="5672" spans="1:10" ht="14.4">
      <c r="A5672" s="25"/>
      <c r="B5672" s="25"/>
      <c r="C5672" s="25"/>
      <c r="D5672" s="25"/>
      <c r="E5672" s="25"/>
      <c r="F5672" s="25"/>
      <c r="G5672" s="25"/>
      <c r="H5672" s="25"/>
      <c r="I5672" s="25"/>
      <c r="J5672" s="25"/>
    </row>
    <row r="5673" spans="1:10" ht="14.4">
      <c r="A5673" s="25"/>
      <c r="B5673" s="25"/>
      <c r="C5673" s="25"/>
      <c r="D5673" s="25"/>
      <c r="E5673" s="25"/>
      <c r="F5673" s="25"/>
      <c r="G5673" s="25"/>
      <c r="H5673" s="25"/>
      <c r="I5673" s="25"/>
      <c r="J5673" s="25"/>
    </row>
    <row r="5674" spans="1:10" ht="14.4">
      <c r="A5674" s="25"/>
      <c r="B5674" s="25"/>
      <c r="C5674" s="25"/>
      <c r="D5674" s="25"/>
      <c r="E5674" s="25"/>
      <c r="F5674" s="25"/>
      <c r="G5674" s="25"/>
      <c r="H5674" s="25"/>
      <c r="I5674" s="25"/>
      <c r="J5674" s="25"/>
    </row>
    <row r="5675" spans="1:10" ht="14.4">
      <c r="A5675" s="25"/>
      <c r="B5675" s="25"/>
      <c r="C5675" s="25"/>
      <c r="D5675" s="25"/>
      <c r="E5675" s="25"/>
      <c r="F5675" s="25"/>
      <c r="G5675" s="25"/>
      <c r="H5675" s="25"/>
      <c r="I5675" s="25"/>
      <c r="J5675" s="25"/>
    </row>
    <row r="5676" spans="1:10" ht="14.4">
      <c r="A5676" s="25"/>
      <c r="B5676" s="25"/>
      <c r="C5676" s="25"/>
      <c r="D5676" s="25"/>
      <c r="E5676" s="25"/>
      <c r="F5676" s="25"/>
      <c r="G5676" s="25"/>
      <c r="H5676" s="25"/>
      <c r="I5676" s="25"/>
      <c r="J5676" s="25"/>
    </row>
    <row r="5677" spans="1:10" ht="14.4">
      <c r="A5677" s="25"/>
      <c r="B5677" s="25"/>
      <c r="C5677" s="25"/>
      <c r="D5677" s="25"/>
      <c r="E5677" s="25"/>
      <c r="F5677" s="25"/>
      <c r="G5677" s="25"/>
      <c r="H5677" s="25"/>
      <c r="I5677" s="25"/>
      <c r="J5677" s="25"/>
    </row>
    <row r="5678" spans="1:10" ht="14.4">
      <c r="A5678" s="25"/>
      <c r="B5678" s="25"/>
      <c r="C5678" s="25"/>
      <c r="D5678" s="25"/>
      <c r="E5678" s="25"/>
      <c r="F5678" s="25"/>
      <c r="G5678" s="25"/>
      <c r="H5678" s="25"/>
      <c r="I5678" s="25"/>
      <c r="J5678" s="25"/>
    </row>
    <row r="5679" spans="1:10" ht="14.4">
      <c r="A5679" s="25"/>
      <c r="B5679" s="25"/>
      <c r="C5679" s="25"/>
      <c r="D5679" s="25"/>
      <c r="E5679" s="25"/>
      <c r="F5679" s="25"/>
      <c r="G5679" s="25"/>
      <c r="H5679" s="25"/>
      <c r="I5679" s="25"/>
      <c r="J5679" s="25"/>
    </row>
    <row r="5680" spans="1:10" ht="14.4">
      <c r="A5680" s="25"/>
      <c r="B5680" s="25"/>
      <c r="C5680" s="25"/>
      <c r="D5680" s="25"/>
      <c r="E5680" s="25"/>
      <c r="F5680" s="25"/>
      <c r="G5680" s="25"/>
      <c r="H5680" s="25"/>
      <c r="I5680" s="25"/>
      <c r="J5680" s="25"/>
    </row>
    <row r="5681" spans="1:10" ht="14.4">
      <c r="A5681" s="25"/>
      <c r="B5681" s="25"/>
      <c r="C5681" s="25"/>
      <c r="D5681" s="25"/>
      <c r="E5681" s="25"/>
      <c r="F5681" s="25"/>
      <c r="G5681" s="25"/>
      <c r="H5681" s="25"/>
      <c r="I5681" s="25"/>
      <c r="J5681" s="25"/>
    </row>
    <row r="5682" spans="1:10" ht="14.4">
      <c r="A5682" s="25"/>
      <c r="B5682" s="25"/>
      <c r="C5682" s="25"/>
      <c r="D5682" s="25"/>
      <c r="E5682" s="25"/>
      <c r="F5682" s="25"/>
      <c r="G5682" s="25"/>
      <c r="H5682" s="25"/>
      <c r="I5682" s="25"/>
      <c r="J5682" s="25"/>
    </row>
    <row r="5683" spans="1:10" ht="14.4">
      <c r="A5683" s="25"/>
      <c r="B5683" s="25"/>
      <c r="C5683" s="25"/>
      <c r="D5683" s="25"/>
      <c r="E5683" s="25"/>
      <c r="F5683" s="25"/>
      <c r="G5683" s="25"/>
      <c r="H5683" s="25"/>
      <c r="I5683" s="25"/>
      <c r="J5683" s="25"/>
    </row>
    <row r="5684" spans="1:10" ht="14.4">
      <c r="A5684" s="25"/>
      <c r="B5684" s="25"/>
      <c r="C5684" s="25"/>
      <c r="D5684" s="25"/>
      <c r="E5684" s="25"/>
      <c r="F5684" s="25"/>
      <c r="G5684" s="25"/>
      <c r="H5684" s="25"/>
      <c r="I5684" s="25"/>
      <c r="J5684" s="25"/>
    </row>
    <row r="5685" spans="1:10" ht="14.4">
      <c r="A5685" s="25"/>
      <c r="B5685" s="25"/>
      <c r="C5685" s="25"/>
      <c r="D5685" s="25"/>
      <c r="E5685" s="25"/>
      <c r="F5685" s="25"/>
      <c r="G5685" s="25"/>
      <c r="H5685" s="25"/>
      <c r="I5685" s="25"/>
      <c r="J5685" s="25"/>
    </row>
    <row r="5686" spans="1:10" ht="14.4">
      <c r="A5686" s="25"/>
      <c r="B5686" s="25"/>
      <c r="C5686" s="25"/>
      <c r="D5686" s="25"/>
      <c r="E5686" s="25"/>
      <c r="F5686" s="25"/>
      <c r="G5686" s="25"/>
      <c r="H5686" s="25"/>
      <c r="I5686" s="25"/>
      <c r="J5686" s="25"/>
    </row>
    <row r="5687" spans="1:10" ht="14.4">
      <c r="A5687" s="25"/>
      <c r="B5687" s="25"/>
      <c r="C5687" s="25"/>
      <c r="D5687" s="25"/>
      <c r="E5687" s="25"/>
      <c r="F5687" s="25"/>
      <c r="G5687" s="25"/>
      <c r="H5687" s="25"/>
      <c r="I5687" s="25"/>
      <c r="J5687" s="25"/>
    </row>
    <row r="5688" spans="1:10" ht="14.4">
      <c r="A5688" s="25"/>
      <c r="B5688" s="25"/>
      <c r="C5688" s="25"/>
      <c r="D5688" s="25"/>
      <c r="E5688" s="25"/>
      <c r="F5688" s="25"/>
      <c r="G5688" s="25"/>
      <c r="H5688" s="25"/>
      <c r="I5688" s="25"/>
      <c r="J5688" s="25"/>
    </row>
    <row r="5689" spans="1:10" ht="14.4">
      <c r="A5689" s="25"/>
      <c r="B5689" s="25"/>
      <c r="C5689" s="25"/>
      <c r="D5689" s="25"/>
      <c r="E5689" s="25"/>
      <c r="F5689" s="25"/>
      <c r="G5689" s="25"/>
      <c r="H5689" s="25"/>
      <c r="I5689" s="25"/>
      <c r="J5689" s="25"/>
    </row>
    <row r="5690" spans="1:10" ht="14.4">
      <c r="A5690" s="25"/>
      <c r="B5690" s="25"/>
      <c r="C5690" s="25"/>
      <c r="D5690" s="25"/>
      <c r="E5690" s="25"/>
      <c r="F5690" s="25"/>
      <c r="G5690" s="25"/>
      <c r="H5690" s="25"/>
      <c r="I5690" s="25"/>
      <c r="J5690" s="25"/>
    </row>
    <row r="5691" spans="1:10" ht="14.4">
      <c r="A5691" s="25"/>
      <c r="B5691" s="25"/>
      <c r="C5691" s="25"/>
      <c r="D5691" s="25"/>
      <c r="E5691" s="25"/>
      <c r="F5691" s="25"/>
      <c r="G5691" s="25"/>
      <c r="H5691" s="25"/>
      <c r="I5691" s="25"/>
      <c r="J5691" s="25"/>
    </row>
    <row r="5692" spans="1:10" ht="14.4">
      <c r="A5692" s="25"/>
      <c r="B5692" s="25"/>
      <c r="C5692" s="25"/>
      <c r="D5692" s="25"/>
      <c r="E5692" s="25"/>
      <c r="F5692" s="25"/>
      <c r="G5692" s="25"/>
      <c r="H5692" s="25"/>
      <c r="I5692" s="25"/>
      <c r="J5692" s="25"/>
    </row>
    <row r="5693" spans="1:10" ht="14.4">
      <c r="A5693" s="25"/>
      <c r="B5693" s="25"/>
      <c r="C5693" s="25"/>
      <c r="D5693" s="25"/>
      <c r="E5693" s="25"/>
      <c r="F5693" s="25"/>
      <c r="G5693" s="25"/>
      <c r="H5693" s="25"/>
      <c r="I5693" s="25"/>
      <c r="J5693" s="25"/>
    </row>
    <row r="5694" spans="1:10" ht="14.4">
      <c r="A5694" s="25"/>
      <c r="B5694" s="25"/>
      <c r="C5694" s="25"/>
      <c r="D5694" s="25"/>
      <c r="E5694" s="25"/>
      <c r="F5694" s="25"/>
      <c r="G5694" s="25"/>
      <c r="H5694" s="25"/>
      <c r="I5694" s="25"/>
      <c r="J5694" s="25"/>
    </row>
    <row r="5695" spans="1:10" ht="14.4">
      <c r="A5695" s="25"/>
      <c r="B5695" s="25"/>
      <c r="C5695" s="25"/>
      <c r="D5695" s="25"/>
      <c r="E5695" s="25"/>
      <c r="F5695" s="25"/>
      <c r="G5695" s="25"/>
      <c r="H5695" s="25"/>
      <c r="I5695" s="25"/>
      <c r="J5695" s="25"/>
    </row>
    <row r="5696" spans="1:10" ht="14.4">
      <c r="A5696" s="25"/>
      <c r="B5696" s="25"/>
      <c r="C5696" s="25"/>
      <c r="D5696" s="25"/>
      <c r="E5696" s="25"/>
      <c r="F5696" s="25"/>
      <c r="G5696" s="25"/>
      <c r="H5696" s="25"/>
      <c r="I5696" s="25"/>
      <c r="J5696" s="25"/>
    </row>
    <row r="5697" spans="1:10" ht="14.4">
      <c r="A5697" s="25"/>
      <c r="B5697" s="25"/>
      <c r="C5697" s="25"/>
      <c r="D5697" s="25"/>
      <c r="E5697" s="25"/>
      <c r="F5697" s="25"/>
      <c r="G5697" s="25"/>
      <c r="H5697" s="25"/>
      <c r="I5697" s="25"/>
      <c r="J5697" s="25"/>
    </row>
    <row r="5698" spans="1:10" ht="14.4">
      <c r="A5698" s="25"/>
      <c r="B5698" s="25"/>
      <c r="C5698" s="25"/>
      <c r="D5698" s="25"/>
      <c r="E5698" s="25"/>
      <c r="F5698" s="25"/>
      <c r="G5698" s="25"/>
      <c r="H5698" s="25"/>
      <c r="I5698" s="25"/>
      <c r="J5698" s="25"/>
    </row>
    <row r="5699" spans="1:10" ht="14.4">
      <c r="A5699" s="25"/>
      <c r="B5699" s="25"/>
      <c r="C5699" s="25"/>
      <c r="D5699" s="25"/>
      <c r="E5699" s="25"/>
      <c r="F5699" s="25"/>
      <c r="G5699" s="25"/>
      <c r="H5699" s="25"/>
      <c r="I5699" s="25"/>
      <c r="J5699" s="25"/>
    </row>
    <row r="5700" spans="1:10" ht="14.4">
      <c r="A5700" s="25"/>
      <c r="B5700" s="25"/>
      <c r="C5700" s="25"/>
      <c r="D5700" s="25"/>
      <c r="E5700" s="25"/>
      <c r="F5700" s="25"/>
      <c r="G5700" s="25"/>
      <c r="H5700" s="25"/>
      <c r="I5700" s="25"/>
      <c r="J5700" s="25"/>
    </row>
    <row r="5701" spans="1:10" ht="14.4">
      <c r="A5701" s="25"/>
      <c r="B5701" s="25"/>
      <c r="C5701" s="25"/>
      <c r="D5701" s="25"/>
      <c r="E5701" s="25"/>
      <c r="F5701" s="25"/>
      <c r="G5701" s="25"/>
      <c r="H5701" s="25"/>
      <c r="I5701" s="25"/>
      <c r="J5701" s="25"/>
    </row>
    <row r="5702" spans="1:10" ht="14.4">
      <c r="A5702" s="25"/>
      <c r="B5702" s="25"/>
      <c r="C5702" s="25"/>
      <c r="D5702" s="25"/>
      <c r="E5702" s="25"/>
      <c r="F5702" s="25"/>
      <c r="G5702" s="25"/>
      <c r="H5702" s="25"/>
      <c r="I5702" s="25"/>
      <c r="J5702" s="25"/>
    </row>
    <row r="5703" spans="1:10" ht="14.4">
      <c r="A5703" s="25"/>
      <c r="B5703" s="25"/>
      <c r="C5703" s="25"/>
      <c r="D5703" s="25"/>
      <c r="E5703" s="25"/>
      <c r="F5703" s="25"/>
      <c r="G5703" s="25"/>
      <c r="H5703" s="25"/>
      <c r="I5703" s="25"/>
      <c r="J5703" s="25"/>
    </row>
    <row r="5704" spans="1:10" ht="14.4">
      <c r="A5704" s="25"/>
      <c r="B5704" s="25"/>
      <c r="C5704" s="25"/>
      <c r="D5704" s="25"/>
      <c r="E5704" s="25"/>
      <c r="F5704" s="25"/>
      <c r="G5704" s="25"/>
      <c r="H5704" s="25"/>
      <c r="I5704" s="25"/>
      <c r="J5704" s="25"/>
    </row>
    <row r="5705" spans="1:10" ht="14.4">
      <c r="A5705" s="25"/>
      <c r="B5705" s="25"/>
      <c r="C5705" s="25"/>
      <c r="D5705" s="25"/>
      <c r="E5705" s="25"/>
      <c r="F5705" s="25"/>
      <c r="G5705" s="25"/>
      <c r="H5705" s="25"/>
      <c r="I5705" s="25"/>
      <c r="J5705" s="25"/>
    </row>
    <row r="5706" spans="1:10" ht="14.4">
      <c r="A5706" s="25"/>
      <c r="B5706" s="25"/>
      <c r="C5706" s="25"/>
      <c r="D5706" s="25"/>
      <c r="E5706" s="25"/>
      <c r="F5706" s="25"/>
      <c r="G5706" s="25"/>
      <c r="H5706" s="25"/>
      <c r="I5706" s="25"/>
      <c r="J5706" s="25"/>
    </row>
    <row r="5707" spans="1:10" ht="14.4">
      <c r="A5707" s="25"/>
      <c r="B5707" s="25"/>
      <c r="C5707" s="25"/>
      <c r="D5707" s="25"/>
      <c r="E5707" s="25"/>
      <c r="F5707" s="25"/>
      <c r="G5707" s="25"/>
      <c r="H5707" s="25"/>
      <c r="I5707" s="25"/>
      <c r="J5707" s="25"/>
    </row>
    <row r="5708" spans="1:10" ht="14.4">
      <c r="A5708" s="25"/>
      <c r="B5708" s="25"/>
      <c r="C5708" s="25"/>
      <c r="D5708" s="25"/>
      <c r="E5708" s="25"/>
      <c r="F5708" s="25"/>
      <c r="G5708" s="25"/>
      <c r="H5708" s="25"/>
      <c r="I5708" s="25"/>
      <c r="J5708" s="25"/>
    </row>
    <row r="5709" spans="1:10" ht="14.4">
      <c r="A5709" s="25"/>
      <c r="B5709" s="25"/>
      <c r="C5709" s="25"/>
      <c r="D5709" s="25"/>
      <c r="E5709" s="25"/>
      <c r="F5709" s="25"/>
      <c r="G5709" s="25"/>
      <c r="H5709" s="25"/>
      <c r="I5709" s="25"/>
      <c r="J5709" s="25"/>
    </row>
    <row r="5710" spans="1:10" ht="14.4">
      <c r="A5710" s="25"/>
      <c r="B5710" s="25"/>
      <c r="C5710" s="25"/>
      <c r="D5710" s="25"/>
      <c r="E5710" s="25"/>
      <c r="F5710" s="25"/>
      <c r="G5710" s="25"/>
      <c r="H5710" s="25"/>
      <c r="I5710" s="25"/>
      <c r="J5710" s="25"/>
    </row>
    <row r="5711" spans="1:10" ht="14.4">
      <c r="A5711" s="25"/>
      <c r="B5711" s="25"/>
      <c r="C5711" s="25"/>
      <c r="D5711" s="25"/>
      <c r="E5711" s="25"/>
      <c r="F5711" s="25"/>
      <c r="G5711" s="25"/>
      <c r="H5711" s="25"/>
      <c r="I5711" s="25"/>
      <c r="J5711" s="25"/>
    </row>
    <row r="5712" spans="1:10" ht="14.4">
      <c r="A5712" s="25"/>
      <c r="B5712" s="25"/>
      <c r="C5712" s="25"/>
      <c r="D5712" s="25"/>
      <c r="E5712" s="25"/>
      <c r="F5712" s="25"/>
      <c r="G5712" s="25"/>
      <c r="H5712" s="25"/>
      <c r="I5712" s="25"/>
      <c r="J5712" s="25"/>
    </row>
    <row r="5713" spans="1:10" ht="14.4">
      <c r="A5713" s="25"/>
      <c r="B5713" s="25"/>
      <c r="C5713" s="25"/>
      <c r="D5713" s="25"/>
      <c r="E5713" s="25"/>
      <c r="F5713" s="25"/>
      <c r="G5713" s="25"/>
      <c r="H5713" s="25"/>
      <c r="I5713" s="25"/>
      <c r="J5713" s="25"/>
    </row>
    <row r="5714" spans="1:10" ht="14.4">
      <c r="A5714" s="25"/>
      <c r="B5714" s="25"/>
      <c r="C5714" s="25"/>
      <c r="D5714" s="25"/>
      <c r="E5714" s="25"/>
      <c r="F5714" s="25"/>
      <c r="G5714" s="25"/>
      <c r="H5714" s="25"/>
      <c r="I5714" s="25"/>
      <c r="J5714" s="25"/>
    </row>
    <row r="5715" spans="1:10" ht="14.4">
      <c r="A5715" s="25"/>
      <c r="B5715" s="25"/>
      <c r="C5715" s="25"/>
      <c r="D5715" s="25"/>
      <c r="E5715" s="25"/>
      <c r="F5715" s="25"/>
      <c r="G5715" s="25"/>
      <c r="H5715" s="25"/>
      <c r="I5715" s="25"/>
      <c r="J5715" s="25"/>
    </row>
    <row r="5716" spans="1:10" ht="14.4">
      <c r="A5716" s="25"/>
      <c r="B5716" s="25"/>
      <c r="C5716" s="25"/>
      <c r="D5716" s="25"/>
      <c r="E5716" s="25"/>
      <c r="F5716" s="25"/>
      <c r="G5716" s="25"/>
      <c r="H5716" s="25"/>
      <c r="I5716" s="25"/>
      <c r="J5716" s="25"/>
    </row>
    <row r="5717" spans="1:10" ht="14.4">
      <c r="A5717" s="25"/>
      <c r="B5717" s="25"/>
      <c r="C5717" s="25"/>
      <c r="D5717" s="25"/>
      <c r="E5717" s="25"/>
      <c r="F5717" s="25"/>
      <c r="G5717" s="25"/>
      <c r="H5717" s="25"/>
      <c r="I5717" s="25"/>
      <c r="J5717" s="25"/>
    </row>
    <row r="5718" spans="1:10" ht="14.4">
      <c r="A5718" s="25"/>
      <c r="B5718" s="25"/>
      <c r="C5718" s="25"/>
      <c r="D5718" s="25"/>
      <c r="E5718" s="25"/>
      <c r="F5718" s="25"/>
      <c r="G5718" s="25"/>
      <c r="H5718" s="25"/>
      <c r="I5718" s="25"/>
      <c r="J5718" s="25"/>
    </row>
    <row r="5719" spans="1:10" ht="14.4">
      <c r="A5719" s="25"/>
      <c r="B5719" s="25"/>
      <c r="C5719" s="25"/>
      <c r="D5719" s="25"/>
      <c r="E5719" s="25"/>
      <c r="F5719" s="25"/>
      <c r="G5719" s="25"/>
      <c r="H5719" s="25"/>
      <c r="I5719" s="25"/>
      <c r="J5719" s="25"/>
    </row>
    <row r="5720" spans="1:10" ht="14.4">
      <c r="A5720" s="25"/>
      <c r="B5720" s="25"/>
      <c r="C5720" s="25"/>
      <c r="D5720" s="25"/>
      <c r="E5720" s="25"/>
      <c r="F5720" s="25"/>
      <c r="G5720" s="25"/>
      <c r="H5720" s="25"/>
      <c r="I5720" s="25"/>
      <c r="J5720" s="25"/>
    </row>
    <row r="5721" spans="1:10" ht="14.4">
      <c r="A5721" s="25"/>
      <c r="B5721" s="25"/>
      <c r="C5721" s="25"/>
      <c r="D5721" s="25"/>
      <c r="E5721" s="25"/>
      <c r="F5721" s="25"/>
      <c r="G5721" s="25"/>
      <c r="H5721" s="25"/>
      <c r="I5721" s="25"/>
      <c r="J5721" s="25"/>
    </row>
    <row r="5722" spans="1:10" ht="14.4">
      <c r="A5722" s="25"/>
      <c r="B5722" s="25"/>
      <c r="C5722" s="25"/>
      <c r="D5722" s="25"/>
      <c r="E5722" s="25"/>
      <c r="F5722" s="25"/>
      <c r="G5722" s="25"/>
      <c r="H5722" s="25"/>
      <c r="I5722" s="25"/>
      <c r="J5722" s="25"/>
    </row>
    <row r="5723" spans="1:10" ht="14.4">
      <c r="A5723" s="25"/>
      <c r="B5723" s="25"/>
      <c r="C5723" s="25"/>
      <c r="D5723" s="25"/>
      <c r="E5723" s="25"/>
      <c r="F5723" s="25"/>
      <c r="G5723" s="25"/>
      <c r="H5723" s="25"/>
      <c r="I5723" s="25"/>
      <c r="J5723" s="25"/>
    </row>
    <row r="5724" spans="1:10" ht="14.4">
      <c r="A5724" s="25"/>
      <c r="B5724" s="25"/>
      <c r="C5724" s="25"/>
      <c r="D5724" s="25"/>
      <c r="E5724" s="25"/>
      <c r="F5724" s="25"/>
      <c r="G5724" s="25"/>
      <c r="H5724" s="25"/>
      <c r="I5724" s="25"/>
      <c r="J5724" s="25"/>
    </row>
    <row r="5725" spans="1:10" ht="14.4">
      <c r="A5725" s="25"/>
      <c r="B5725" s="25"/>
      <c r="C5725" s="25"/>
      <c r="D5725" s="25"/>
      <c r="E5725" s="25"/>
      <c r="F5725" s="25"/>
      <c r="G5725" s="25"/>
      <c r="H5725" s="25"/>
      <c r="I5725" s="25"/>
      <c r="J5725" s="25"/>
    </row>
    <row r="5726" spans="1:10" ht="14.4">
      <c r="A5726" s="25"/>
      <c r="B5726" s="25"/>
      <c r="C5726" s="25"/>
      <c r="D5726" s="25"/>
      <c r="E5726" s="25"/>
      <c r="F5726" s="25"/>
      <c r="G5726" s="25"/>
      <c r="H5726" s="25"/>
      <c r="I5726" s="25"/>
      <c r="J5726" s="25"/>
    </row>
    <row r="5727" spans="1:10" ht="14.4">
      <c r="A5727" s="25"/>
      <c r="B5727" s="25"/>
      <c r="C5727" s="25"/>
      <c r="D5727" s="25"/>
      <c r="E5727" s="25"/>
      <c r="F5727" s="25"/>
      <c r="G5727" s="25"/>
      <c r="H5727" s="25"/>
      <c r="I5727" s="25"/>
      <c r="J5727" s="25"/>
    </row>
    <row r="5728" spans="1:10" ht="14.4">
      <c r="A5728" s="25"/>
      <c r="B5728" s="25"/>
      <c r="C5728" s="25"/>
      <c r="D5728" s="25"/>
      <c r="E5728" s="25"/>
      <c r="F5728" s="25"/>
      <c r="G5728" s="25"/>
      <c r="H5728" s="25"/>
      <c r="I5728" s="25"/>
      <c r="J5728" s="25"/>
    </row>
    <row r="5729" spans="1:10" ht="14.4">
      <c r="A5729" s="25"/>
      <c r="B5729" s="25"/>
      <c r="C5729" s="25"/>
      <c r="D5729" s="25"/>
      <c r="E5729" s="25"/>
      <c r="F5729" s="25"/>
      <c r="G5729" s="25"/>
      <c r="H5729" s="25"/>
      <c r="I5729" s="25"/>
      <c r="J5729" s="25"/>
    </row>
    <row r="5730" spans="1:10" ht="14.4">
      <c r="A5730" s="25"/>
      <c r="B5730" s="25"/>
      <c r="C5730" s="25"/>
      <c r="D5730" s="25"/>
      <c r="E5730" s="25"/>
      <c r="F5730" s="25"/>
      <c r="G5730" s="25"/>
      <c r="H5730" s="25"/>
      <c r="I5730" s="25"/>
      <c r="J5730" s="25"/>
    </row>
    <row r="5731" spans="1:10" ht="14.4">
      <c r="A5731" s="25"/>
      <c r="B5731" s="25"/>
      <c r="C5731" s="25"/>
      <c r="D5731" s="25"/>
      <c r="E5731" s="25"/>
      <c r="F5731" s="25"/>
      <c r="G5731" s="25"/>
      <c r="H5731" s="25"/>
      <c r="I5731" s="25"/>
      <c r="J5731" s="25"/>
    </row>
    <row r="5732" spans="1:10" ht="14.4">
      <c r="A5732" s="25"/>
      <c r="B5732" s="25"/>
      <c r="C5732" s="25"/>
      <c r="D5732" s="25"/>
      <c r="E5732" s="25"/>
      <c r="F5732" s="25"/>
      <c r="G5732" s="25"/>
      <c r="H5732" s="25"/>
      <c r="I5732" s="25"/>
      <c r="J5732" s="25"/>
    </row>
    <row r="5733" spans="1:10" ht="14.4">
      <c r="A5733" s="25"/>
      <c r="B5733" s="25"/>
      <c r="C5733" s="25"/>
      <c r="D5733" s="25"/>
      <c r="E5733" s="25"/>
      <c r="F5733" s="25"/>
      <c r="G5733" s="25"/>
      <c r="H5733" s="25"/>
      <c r="I5733" s="25"/>
      <c r="J5733" s="25"/>
    </row>
    <row r="5734" spans="1:10" ht="14.4">
      <c r="A5734" s="25"/>
      <c r="B5734" s="25"/>
      <c r="C5734" s="25"/>
      <c r="D5734" s="25"/>
      <c r="E5734" s="25"/>
      <c r="F5734" s="25"/>
      <c r="G5734" s="25"/>
      <c r="H5734" s="25"/>
      <c r="I5734" s="25"/>
      <c r="J5734" s="25"/>
    </row>
    <row r="5735" spans="1:10" ht="14.4">
      <c r="A5735" s="25"/>
      <c r="B5735" s="25"/>
      <c r="C5735" s="25"/>
      <c r="D5735" s="25"/>
      <c r="E5735" s="25"/>
      <c r="F5735" s="25"/>
      <c r="G5735" s="25"/>
      <c r="H5735" s="25"/>
      <c r="I5735" s="25"/>
      <c r="J5735" s="25"/>
    </row>
    <row r="5736" spans="1:10" ht="14.4">
      <c r="A5736" s="25"/>
      <c r="B5736" s="25"/>
      <c r="C5736" s="25"/>
      <c r="D5736" s="25"/>
      <c r="E5736" s="25"/>
      <c r="F5736" s="25"/>
      <c r="G5736" s="25"/>
      <c r="H5736" s="25"/>
      <c r="I5736" s="25"/>
      <c r="J5736" s="25"/>
    </row>
    <row r="5737" spans="1:10" ht="14.4">
      <c r="A5737" s="25"/>
      <c r="B5737" s="25"/>
      <c r="C5737" s="25"/>
      <c r="D5737" s="25"/>
      <c r="E5737" s="25"/>
      <c r="F5737" s="25"/>
      <c r="G5737" s="25"/>
      <c r="H5737" s="25"/>
      <c r="I5737" s="25"/>
      <c r="J5737" s="25"/>
    </row>
    <row r="5738" spans="1:10" ht="14.4">
      <c r="A5738" s="25"/>
      <c r="B5738" s="25"/>
      <c r="C5738" s="25"/>
      <c r="D5738" s="25"/>
      <c r="E5738" s="25"/>
      <c r="F5738" s="25"/>
      <c r="G5738" s="25"/>
      <c r="H5738" s="25"/>
      <c r="I5738" s="25"/>
      <c r="J5738" s="25"/>
    </row>
    <row r="5739" spans="1:10" ht="14.4">
      <c r="A5739" s="25"/>
      <c r="B5739" s="25"/>
      <c r="C5739" s="25"/>
      <c r="D5739" s="25"/>
      <c r="E5739" s="25"/>
      <c r="F5739" s="25"/>
      <c r="G5739" s="25"/>
      <c r="H5739" s="25"/>
      <c r="I5739" s="25"/>
      <c r="J5739" s="25"/>
    </row>
    <row r="5740" spans="1:10" ht="14.4">
      <c r="A5740" s="25"/>
      <c r="B5740" s="25"/>
      <c r="C5740" s="25"/>
      <c r="D5740" s="25"/>
      <c r="E5740" s="25"/>
      <c r="F5740" s="25"/>
      <c r="G5740" s="25"/>
      <c r="H5740" s="25"/>
      <c r="I5740" s="25"/>
      <c r="J5740" s="25"/>
    </row>
    <row r="5741" spans="1:10" ht="14.4">
      <c r="A5741" s="25"/>
      <c r="B5741" s="25"/>
      <c r="C5741" s="25"/>
      <c r="D5741" s="25"/>
      <c r="E5741" s="25"/>
      <c r="F5741" s="25"/>
      <c r="G5741" s="25"/>
      <c r="H5741" s="25"/>
      <c r="I5741" s="25"/>
      <c r="J5741" s="25"/>
    </row>
    <row r="5742" spans="1:10" ht="14.4">
      <c r="A5742" s="25"/>
      <c r="B5742" s="25"/>
      <c r="C5742" s="25"/>
      <c r="D5742" s="25"/>
      <c r="E5742" s="25"/>
      <c r="F5742" s="25"/>
      <c r="G5742" s="25"/>
      <c r="H5742" s="25"/>
      <c r="I5742" s="25"/>
      <c r="J5742" s="25"/>
    </row>
    <row r="5743" spans="1:10" ht="14.4">
      <c r="A5743" s="25"/>
      <c r="B5743" s="25"/>
      <c r="C5743" s="25"/>
      <c r="D5743" s="25"/>
      <c r="E5743" s="25"/>
      <c r="F5743" s="25"/>
      <c r="G5743" s="25"/>
      <c r="H5743" s="25"/>
      <c r="I5743" s="25"/>
      <c r="J5743" s="25"/>
    </row>
    <row r="5744" spans="1:10" ht="14.4">
      <c r="A5744" s="25"/>
      <c r="B5744" s="25"/>
      <c r="C5744" s="25"/>
      <c r="D5744" s="25"/>
      <c r="E5744" s="25"/>
      <c r="F5744" s="25"/>
      <c r="G5744" s="25"/>
      <c r="H5744" s="25"/>
      <c r="I5744" s="25"/>
      <c r="J5744" s="25"/>
    </row>
    <row r="5745" spans="1:10" ht="14.4">
      <c r="A5745" s="25"/>
      <c r="B5745" s="25"/>
      <c r="C5745" s="25"/>
      <c r="D5745" s="25"/>
      <c r="E5745" s="25"/>
      <c r="F5745" s="25"/>
      <c r="G5745" s="25"/>
      <c r="H5745" s="25"/>
      <c r="I5745" s="25"/>
      <c r="J5745" s="25"/>
    </row>
    <row r="5746" spans="1:10" ht="14.4">
      <c r="A5746" s="25"/>
      <c r="B5746" s="25"/>
      <c r="C5746" s="25"/>
      <c r="D5746" s="25"/>
      <c r="E5746" s="25"/>
      <c r="F5746" s="25"/>
      <c r="G5746" s="25"/>
      <c r="H5746" s="25"/>
      <c r="I5746" s="25"/>
      <c r="J5746" s="25"/>
    </row>
    <row r="5747" spans="1:10" ht="14.4">
      <c r="A5747" s="25"/>
      <c r="B5747" s="25"/>
      <c r="C5747" s="25"/>
      <c r="D5747" s="25"/>
      <c r="E5747" s="25"/>
      <c r="F5747" s="25"/>
      <c r="G5747" s="25"/>
      <c r="H5747" s="25"/>
      <c r="I5747" s="25"/>
      <c r="J5747" s="25"/>
    </row>
    <row r="5748" spans="1:10" ht="14.4">
      <c r="A5748" s="25"/>
      <c r="B5748" s="25"/>
      <c r="C5748" s="25"/>
      <c r="D5748" s="25"/>
      <c r="E5748" s="25"/>
      <c r="F5748" s="25"/>
      <c r="G5748" s="25"/>
      <c r="H5748" s="25"/>
      <c r="I5748" s="25"/>
      <c r="J5748" s="25"/>
    </row>
    <row r="5749" spans="1:10" ht="14.4">
      <c r="A5749" s="25"/>
      <c r="B5749" s="25"/>
      <c r="C5749" s="25"/>
      <c r="D5749" s="25"/>
      <c r="E5749" s="25"/>
      <c r="F5749" s="25"/>
      <c r="G5749" s="25"/>
      <c r="H5749" s="25"/>
      <c r="I5749" s="25"/>
      <c r="J5749" s="25"/>
    </row>
    <row r="5750" spans="1:10" ht="14.4">
      <c r="A5750" s="25"/>
      <c r="B5750" s="25"/>
      <c r="C5750" s="25"/>
      <c r="D5750" s="25"/>
      <c r="E5750" s="25"/>
      <c r="F5750" s="25"/>
      <c r="G5750" s="25"/>
      <c r="H5750" s="25"/>
      <c r="I5750" s="25"/>
      <c r="J5750" s="25"/>
    </row>
    <row r="5751" spans="1:10" ht="14.4">
      <c r="A5751" s="25"/>
      <c r="B5751" s="25"/>
      <c r="C5751" s="25"/>
      <c r="D5751" s="25"/>
      <c r="E5751" s="25"/>
      <c r="F5751" s="25"/>
      <c r="G5751" s="25"/>
      <c r="H5751" s="25"/>
      <c r="I5751" s="25"/>
      <c r="J5751" s="25"/>
    </row>
    <row r="5752" spans="1:10" ht="14.4">
      <c r="A5752" s="25"/>
      <c r="B5752" s="25"/>
      <c r="C5752" s="25"/>
      <c r="D5752" s="25"/>
      <c r="E5752" s="25"/>
      <c r="F5752" s="25"/>
      <c r="G5752" s="25"/>
      <c r="H5752" s="25"/>
      <c r="I5752" s="25"/>
      <c r="J5752" s="25"/>
    </row>
    <row r="5753" spans="1:10" ht="14.4">
      <c r="A5753" s="25"/>
      <c r="B5753" s="25"/>
      <c r="C5753" s="25"/>
      <c r="D5753" s="25"/>
      <c r="E5753" s="25"/>
      <c r="F5753" s="25"/>
      <c r="G5753" s="25"/>
      <c r="H5753" s="25"/>
      <c r="I5753" s="25"/>
      <c r="J5753" s="25"/>
    </row>
    <row r="5754" spans="1:10" ht="14.4">
      <c r="A5754" s="25"/>
      <c r="B5754" s="25"/>
      <c r="C5754" s="25"/>
      <c r="D5754" s="25"/>
      <c r="E5754" s="25"/>
      <c r="F5754" s="25"/>
      <c r="G5754" s="25"/>
      <c r="H5754" s="25"/>
      <c r="I5754" s="25"/>
      <c r="J5754" s="25"/>
    </row>
    <row r="5755" spans="1:10" ht="14.4">
      <c r="A5755" s="25"/>
      <c r="B5755" s="25"/>
      <c r="C5755" s="25"/>
      <c r="D5755" s="25"/>
      <c r="E5755" s="25"/>
      <c r="F5755" s="25"/>
      <c r="G5755" s="25"/>
      <c r="H5755" s="25"/>
      <c r="I5755" s="25"/>
      <c r="J5755" s="25"/>
    </row>
    <row r="5756" spans="1:10" ht="14.4">
      <c r="A5756" s="25"/>
      <c r="B5756" s="25"/>
      <c r="C5756" s="25"/>
      <c r="D5756" s="25"/>
      <c r="E5756" s="25"/>
      <c r="F5756" s="25"/>
      <c r="G5756" s="25"/>
      <c r="H5756" s="25"/>
      <c r="I5756" s="25"/>
      <c r="J5756" s="25"/>
    </row>
    <row r="5757" spans="1:10" ht="14.4">
      <c r="A5757" s="25"/>
      <c r="B5757" s="25"/>
      <c r="C5757" s="25"/>
      <c r="D5757" s="25"/>
      <c r="E5757" s="25"/>
      <c r="F5757" s="25"/>
      <c r="G5757" s="25"/>
      <c r="H5757" s="25"/>
      <c r="I5757" s="25"/>
      <c r="J5757" s="25"/>
    </row>
    <row r="5758" spans="1:10" ht="14.4">
      <c r="A5758" s="25"/>
      <c r="B5758" s="25"/>
      <c r="C5758" s="25"/>
      <c r="D5758" s="25"/>
      <c r="E5758" s="25"/>
      <c r="F5758" s="25"/>
      <c r="G5758" s="25"/>
      <c r="H5758" s="25"/>
      <c r="I5758" s="25"/>
      <c r="J5758" s="25"/>
    </row>
    <row r="5759" spans="1:10" ht="14.4">
      <c r="A5759" s="25"/>
      <c r="B5759" s="25"/>
      <c r="C5759" s="25"/>
      <c r="D5759" s="25"/>
      <c r="E5759" s="25"/>
      <c r="F5759" s="25"/>
      <c r="G5759" s="25"/>
      <c r="H5759" s="25"/>
      <c r="I5759" s="25"/>
      <c r="J5759" s="25"/>
    </row>
    <row r="5760" spans="1:10" ht="14.4">
      <c r="A5760" s="25"/>
      <c r="B5760" s="25"/>
      <c r="C5760" s="25"/>
      <c r="D5760" s="25"/>
      <c r="E5760" s="25"/>
      <c r="F5760" s="25"/>
      <c r="G5760" s="25"/>
      <c r="H5760" s="25"/>
      <c r="I5760" s="25"/>
      <c r="J5760" s="25"/>
    </row>
    <row r="5761" spans="1:10" ht="14.4">
      <c r="A5761" s="25"/>
      <c r="B5761" s="25"/>
      <c r="C5761" s="25"/>
      <c r="D5761" s="25"/>
      <c r="E5761" s="25"/>
      <c r="F5761" s="25"/>
      <c r="G5761" s="25"/>
      <c r="H5761" s="25"/>
      <c r="I5761" s="25"/>
      <c r="J5761" s="25"/>
    </row>
    <row r="5762" spans="1:10" ht="14.4">
      <c r="A5762" s="25"/>
      <c r="B5762" s="25"/>
      <c r="C5762" s="25"/>
      <c r="D5762" s="25"/>
      <c r="E5762" s="25"/>
      <c r="F5762" s="25"/>
      <c r="G5762" s="25"/>
      <c r="H5762" s="25"/>
      <c r="I5762" s="25"/>
      <c r="J5762" s="25"/>
    </row>
    <row r="5763" spans="1:10" ht="14.4">
      <c r="A5763" s="25"/>
      <c r="B5763" s="25"/>
      <c r="C5763" s="25"/>
      <c r="D5763" s="25"/>
      <c r="E5763" s="25"/>
      <c r="F5763" s="25"/>
      <c r="G5763" s="25"/>
      <c r="H5763" s="25"/>
      <c r="I5763" s="25"/>
      <c r="J5763" s="25"/>
    </row>
    <row r="5764" spans="1:10" ht="14.4">
      <c r="A5764" s="25"/>
      <c r="B5764" s="25"/>
      <c r="C5764" s="25"/>
      <c r="D5764" s="25"/>
      <c r="E5764" s="25"/>
      <c r="F5764" s="25"/>
      <c r="G5764" s="25"/>
      <c r="H5764" s="25"/>
      <c r="I5764" s="25"/>
      <c r="J5764" s="25"/>
    </row>
    <row r="5765" spans="1:10" ht="14.4">
      <c r="A5765" s="25"/>
      <c r="B5765" s="25"/>
      <c r="C5765" s="25"/>
      <c r="D5765" s="25"/>
      <c r="E5765" s="25"/>
      <c r="F5765" s="25"/>
      <c r="G5765" s="25"/>
      <c r="H5765" s="25"/>
      <c r="I5765" s="25"/>
      <c r="J5765" s="25"/>
    </row>
    <row r="5766" spans="1:10" ht="14.4">
      <c r="A5766" s="25"/>
      <c r="B5766" s="25"/>
      <c r="C5766" s="25"/>
      <c r="D5766" s="25"/>
      <c r="E5766" s="25"/>
      <c r="F5766" s="25"/>
      <c r="G5766" s="25"/>
      <c r="H5766" s="25"/>
      <c r="I5766" s="25"/>
      <c r="J5766" s="25"/>
    </row>
    <row r="5767" spans="1:10" ht="14.4">
      <c r="A5767" s="25"/>
      <c r="B5767" s="25"/>
      <c r="C5767" s="25"/>
      <c r="D5767" s="25"/>
      <c r="E5767" s="25"/>
      <c r="F5767" s="25"/>
      <c r="G5767" s="25"/>
      <c r="H5767" s="25"/>
      <c r="I5767" s="25"/>
      <c r="J5767" s="25"/>
    </row>
    <row r="5768" spans="1:10" ht="14.4">
      <c r="A5768" s="25"/>
      <c r="B5768" s="25"/>
      <c r="C5768" s="25"/>
      <c r="D5768" s="25"/>
      <c r="E5768" s="25"/>
      <c r="F5768" s="25"/>
      <c r="G5768" s="25"/>
      <c r="H5768" s="25"/>
      <c r="I5768" s="25"/>
      <c r="J5768" s="25"/>
    </row>
    <row r="5769" spans="1:10" ht="14.4">
      <c r="A5769" s="25"/>
      <c r="B5769" s="25"/>
      <c r="C5769" s="25"/>
      <c r="D5769" s="25"/>
      <c r="E5769" s="25"/>
      <c r="F5769" s="25"/>
      <c r="G5769" s="25"/>
      <c r="H5769" s="25"/>
      <c r="I5769" s="25"/>
      <c r="J5769" s="25"/>
    </row>
    <row r="5770" spans="1:10" ht="14.4">
      <c r="A5770" s="25"/>
      <c r="B5770" s="25"/>
      <c r="C5770" s="25"/>
      <c r="D5770" s="25"/>
      <c r="E5770" s="25"/>
      <c r="F5770" s="25"/>
      <c r="G5770" s="25"/>
      <c r="H5770" s="25"/>
      <c r="I5770" s="25"/>
      <c r="J5770" s="25"/>
    </row>
    <row r="5771" spans="1:10" ht="14.4">
      <c r="A5771" s="25"/>
      <c r="B5771" s="25"/>
      <c r="C5771" s="25"/>
      <c r="D5771" s="25"/>
      <c r="E5771" s="25"/>
      <c r="F5771" s="25"/>
      <c r="G5771" s="25"/>
      <c r="H5771" s="25"/>
      <c r="I5771" s="25"/>
      <c r="J5771" s="25"/>
    </row>
    <row r="5772" spans="1:10" ht="14.4">
      <c r="A5772" s="25"/>
      <c r="B5772" s="25"/>
      <c r="C5772" s="25"/>
      <c r="D5772" s="25"/>
      <c r="E5772" s="25"/>
      <c r="F5772" s="25"/>
      <c r="G5772" s="25"/>
      <c r="H5772" s="25"/>
      <c r="I5772" s="25"/>
      <c r="J5772" s="25"/>
    </row>
    <row r="5773" spans="1:10" ht="14.4">
      <c r="A5773" s="25"/>
      <c r="B5773" s="25"/>
      <c r="C5773" s="25"/>
      <c r="D5773" s="25"/>
      <c r="E5773" s="25"/>
      <c r="F5773" s="25"/>
      <c r="G5773" s="25"/>
      <c r="H5773" s="25"/>
      <c r="I5773" s="25"/>
      <c r="J5773" s="25"/>
    </row>
    <row r="5774" spans="1:10" ht="14.4">
      <c r="A5774" s="25"/>
      <c r="B5774" s="25"/>
      <c r="C5774" s="25"/>
      <c r="D5774" s="25"/>
      <c r="E5774" s="25"/>
      <c r="F5774" s="25"/>
      <c r="G5774" s="25"/>
      <c r="H5774" s="25"/>
      <c r="I5774" s="25"/>
      <c r="J5774" s="25"/>
    </row>
    <row r="5775" spans="1:10" ht="14.4">
      <c r="A5775" s="25"/>
      <c r="B5775" s="25"/>
      <c r="C5775" s="25"/>
      <c r="D5775" s="25"/>
      <c r="E5775" s="25"/>
      <c r="F5775" s="25"/>
      <c r="G5775" s="25"/>
      <c r="H5775" s="25"/>
      <c r="I5775" s="25"/>
      <c r="J5775" s="25"/>
    </row>
    <row r="5776" spans="1:10" ht="14.4">
      <c r="A5776" s="25"/>
      <c r="B5776" s="25"/>
      <c r="C5776" s="25"/>
      <c r="D5776" s="25"/>
      <c r="E5776" s="25"/>
      <c r="F5776" s="25"/>
      <c r="G5776" s="25"/>
      <c r="H5776" s="25"/>
      <c r="I5776" s="25"/>
      <c r="J5776" s="25"/>
    </row>
    <row r="5777" spans="1:10" ht="14.4">
      <c r="A5777" s="25"/>
      <c r="B5777" s="25"/>
      <c r="C5777" s="25"/>
      <c r="D5777" s="25"/>
      <c r="E5777" s="25"/>
      <c r="F5777" s="25"/>
      <c r="G5777" s="25"/>
      <c r="H5777" s="25"/>
      <c r="I5777" s="25"/>
      <c r="J5777" s="25"/>
    </row>
    <row r="5778" spans="1:10" ht="14.4">
      <c r="A5778" s="25"/>
      <c r="B5778" s="25"/>
      <c r="C5778" s="25"/>
      <c r="D5778" s="25"/>
      <c r="E5778" s="25"/>
      <c r="F5778" s="25"/>
      <c r="G5778" s="25"/>
      <c r="H5778" s="25"/>
      <c r="I5778" s="25"/>
      <c r="J5778" s="25"/>
    </row>
    <row r="5779" spans="1:10" ht="14.4">
      <c r="A5779" s="25"/>
      <c r="B5779" s="25"/>
      <c r="C5779" s="25"/>
      <c r="D5779" s="25"/>
      <c r="E5779" s="25"/>
      <c r="F5779" s="25"/>
      <c r="G5779" s="25"/>
      <c r="H5779" s="25"/>
      <c r="I5779" s="25"/>
      <c r="J5779" s="25"/>
    </row>
    <row r="5780" spans="1:10" ht="14.4">
      <c r="A5780" s="25"/>
      <c r="B5780" s="25"/>
      <c r="C5780" s="25"/>
      <c r="D5780" s="25"/>
      <c r="E5780" s="25"/>
      <c r="F5780" s="25"/>
      <c r="G5780" s="25"/>
      <c r="H5780" s="25"/>
      <c r="I5780" s="25"/>
      <c r="J5780" s="25"/>
    </row>
    <row r="5781" spans="1:10" ht="14.4">
      <c r="A5781" s="25"/>
      <c r="B5781" s="25"/>
      <c r="C5781" s="25"/>
      <c r="D5781" s="25"/>
      <c r="E5781" s="25"/>
      <c r="F5781" s="25"/>
      <c r="G5781" s="25"/>
      <c r="H5781" s="25"/>
      <c r="I5781" s="25"/>
      <c r="J5781" s="25"/>
    </row>
    <row r="5782" spans="1:10" ht="14.4">
      <c r="A5782" s="25"/>
      <c r="B5782" s="25"/>
      <c r="C5782" s="25"/>
      <c r="D5782" s="25"/>
      <c r="E5782" s="25"/>
      <c r="F5782" s="25"/>
      <c r="G5782" s="25"/>
      <c r="H5782" s="25"/>
      <c r="I5782" s="25"/>
      <c r="J5782" s="25"/>
    </row>
    <row r="5783" spans="1:10" ht="14.4">
      <c r="A5783" s="25"/>
      <c r="B5783" s="25"/>
      <c r="C5783" s="25"/>
      <c r="D5783" s="25"/>
      <c r="E5783" s="25"/>
      <c r="F5783" s="25"/>
      <c r="G5783" s="25"/>
      <c r="H5783" s="25"/>
      <c r="I5783" s="25"/>
      <c r="J5783" s="25"/>
    </row>
    <row r="5784" spans="1:10" ht="14.4">
      <c r="A5784" s="25"/>
      <c r="B5784" s="25"/>
      <c r="C5784" s="25"/>
      <c r="D5784" s="25"/>
      <c r="E5784" s="25"/>
      <c r="F5784" s="25"/>
      <c r="G5784" s="25"/>
      <c r="H5784" s="25"/>
      <c r="I5784" s="25"/>
      <c r="J5784" s="25"/>
    </row>
    <row r="5785" spans="1:10" ht="14.4">
      <c r="A5785" s="25"/>
      <c r="B5785" s="25"/>
      <c r="C5785" s="25"/>
      <c r="D5785" s="25"/>
      <c r="E5785" s="25"/>
      <c r="F5785" s="25"/>
      <c r="G5785" s="25"/>
      <c r="H5785" s="25"/>
      <c r="I5785" s="25"/>
      <c r="J5785" s="25"/>
    </row>
    <row r="5786" spans="1:10" ht="14.4">
      <c r="A5786" s="25"/>
      <c r="B5786" s="25"/>
      <c r="C5786" s="25"/>
      <c r="D5786" s="25"/>
      <c r="E5786" s="25"/>
      <c r="F5786" s="25"/>
      <c r="G5786" s="25"/>
      <c r="H5786" s="25"/>
      <c r="I5786" s="25"/>
      <c r="J5786" s="25"/>
    </row>
    <row r="5787" spans="1:10" ht="14.4">
      <c r="A5787" s="25"/>
      <c r="B5787" s="25"/>
      <c r="C5787" s="25"/>
      <c r="D5787" s="25"/>
      <c r="E5787" s="25"/>
      <c r="F5787" s="25"/>
      <c r="G5787" s="25"/>
      <c r="H5787" s="25"/>
      <c r="I5787" s="25"/>
      <c r="J5787" s="25"/>
    </row>
    <row r="5788" spans="1:10" ht="14.4">
      <c r="A5788" s="25"/>
      <c r="B5788" s="25"/>
      <c r="C5788" s="25"/>
      <c r="D5788" s="25"/>
      <c r="E5788" s="25"/>
      <c r="F5788" s="25"/>
      <c r="G5788" s="25"/>
      <c r="H5788" s="25"/>
      <c r="I5788" s="25"/>
      <c r="J5788" s="25"/>
    </row>
    <row r="5789" spans="1:10" ht="14.4">
      <c r="A5789" s="25"/>
      <c r="B5789" s="25"/>
      <c r="C5789" s="25"/>
      <c r="D5789" s="25"/>
      <c r="E5789" s="25"/>
      <c r="F5789" s="25"/>
      <c r="G5789" s="25"/>
      <c r="H5789" s="25"/>
      <c r="I5789" s="25"/>
      <c r="J5789" s="25"/>
    </row>
    <row r="5790" spans="1:10" ht="14.4">
      <c r="A5790" s="25"/>
      <c r="B5790" s="25"/>
      <c r="C5790" s="25"/>
      <c r="D5790" s="25"/>
      <c r="E5790" s="25"/>
      <c r="F5790" s="25"/>
      <c r="G5790" s="25"/>
      <c r="H5790" s="25"/>
      <c r="I5790" s="25"/>
      <c r="J5790" s="25"/>
    </row>
    <row r="5791" spans="1:10" ht="14.4">
      <c r="A5791" s="25"/>
      <c r="B5791" s="25"/>
      <c r="C5791" s="25"/>
      <c r="D5791" s="25"/>
      <c r="E5791" s="25"/>
      <c r="F5791" s="25"/>
      <c r="G5791" s="25"/>
      <c r="H5791" s="25"/>
      <c r="I5791" s="25"/>
      <c r="J5791" s="25"/>
    </row>
    <row r="5792" spans="1:10" ht="14.4">
      <c r="A5792" s="25"/>
      <c r="B5792" s="25"/>
      <c r="C5792" s="25"/>
      <c r="D5792" s="25"/>
      <c r="E5792" s="25"/>
      <c r="F5792" s="25"/>
      <c r="G5792" s="25"/>
      <c r="H5792" s="25"/>
      <c r="I5792" s="25"/>
      <c r="J5792" s="25"/>
    </row>
    <row r="5793" spans="1:10" ht="14.4">
      <c r="A5793" s="25"/>
      <c r="B5793" s="25"/>
      <c r="C5793" s="25"/>
      <c r="D5793" s="25"/>
      <c r="E5793" s="25"/>
      <c r="F5793" s="25"/>
      <c r="G5793" s="25"/>
      <c r="H5793" s="25"/>
      <c r="I5793" s="25"/>
      <c r="J5793" s="25"/>
    </row>
    <row r="5794" spans="1:10" ht="14.4">
      <c r="A5794" s="25"/>
      <c r="B5794" s="25"/>
      <c r="C5794" s="25"/>
      <c r="D5794" s="25"/>
      <c r="E5794" s="25"/>
      <c r="F5794" s="25"/>
      <c r="G5794" s="25"/>
      <c r="H5794" s="25"/>
      <c r="I5794" s="25"/>
      <c r="J5794" s="25"/>
    </row>
    <row r="5795" spans="1:10" ht="14.4">
      <c r="A5795" s="25"/>
      <c r="B5795" s="25"/>
      <c r="C5795" s="25"/>
      <c r="D5795" s="25"/>
      <c r="E5795" s="25"/>
      <c r="F5795" s="25"/>
      <c r="G5795" s="25"/>
      <c r="H5795" s="25"/>
      <c r="I5795" s="25"/>
      <c r="J5795" s="25"/>
    </row>
    <row r="5796" spans="1:10" ht="14.4">
      <c r="A5796" s="25"/>
      <c r="B5796" s="25"/>
      <c r="C5796" s="25"/>
      <c r="D5796" s="25"/>
      <c r="E5796" s="25"/>
      <c r="F5796" s="25"/>
      <c r="G5796" s="25"/>
      <c r="H5796" s="25"/>
      <c r="I5796" s="25"/>
      <c r="J5796" s="25"/>
    </row>
    <row r="5797" spans="1:10" ht="14.4">
      <c r="A5797" s="25"/>
      <c r="B5797" s="25"/>
      <c r="C5797" s="25"/>
      <c r="D5797" s="25"/>
      <c r="E5797" s="25"/>
      <c r="F5797" s="25"/>
      <c r="G5797" s="25"/>
      <c r="H5797" s="25"/>
      <c r="I5797" s="25"/>
      <c r="J5797" s="25"/>
    </row>
    <row r="5798" spans="1:10" ht="14.4">
      <c r="A5798" s="25"/>
      <c r="B5798" s="25"/>
      <c r="C5798" s="25"/>
      <c r="D5798" s="25"/>
      <c r="E5798" s="25"/>
      <c r="F5798" s="25"/>
      <c r="G5798" s="25"/>
      <c r="H5798" s="25"/>
      <c r="I5798" s="25"/>
      <c r="J5798" s="25"/>
    </row>
    <row r="5799" spans="1:10" ht="14.4">
      <c r="A5799" s="25"/>
      <c r="B5799" s="25"/>
      <c r="C5799" s="25"/>
      <c r="D5799" s="25"/>
      <c r="E5799" s="25"/>
      <c r="F5799" s="25"/>
      <c r="G5799" s="25"/>
      <c r="H5799" s="25"/>
      <c r="I5799" s="25"/>
      <c r="J5799" s="25"/>
    </row>
    <row r="5800" spans="1:10" ht="14.4">
      <c r="A5800" s="25"/>
      <c r="B5800" s="25"/>
      <c r="C5800" s="25"/>
      <c r="D5800" s="25"/>
      <c r="E5800" s="25"/>
      <c r="F5800" s="25"/>
      <c r="G5800" s="25"/>
      <c r="H5800" s="25"/>
      <c r="I5800" s="25"/>
      <c r="J5800" s="25"/>
    </row>
    <row r="5801" spans="1:10" ht="14.4">
      <c r="A5801" s="25"/>
      <c r="B5801" s="25"/>
      <c r="C5801" s="25"/>
      <c r="D5801" s="25"/>
      <c r="E5801" s="25"/>
      <c r="F5801" s="25"/>
      <c r="G5801" s="25"/>
      <c r="H5801" s="25"/>
      <c r="I5801" s="25"/>
      <c r="J5801" s="25"/>
    </row>
    <row r="5802" spans="1:10" ht="14.4">
      <c r="A5802" s="25"/>
      <c r="B5802" s="25"/>
      <c r="C5802" s="25"/>
      <c r="D5802" s="25"/>
      <c r="E5802" s="25"/>
      <c r="F5802" s="25"/>
      <c r="G5802" s="25"/>
      <c r="H5802" s="25"/>
      <c r="I5802" s="25"/>
      <c r="J5802" s="25"/>
    </row>
    <row r="5803" spans="1:10" ht="14.4">
      <c r="A5803" s="25"/>
      <c r="B5803" s="25"/>
      <c r="C5803" s="25"/>
      <c r="D5803" s="25"/>
      <c r="E5803" s="25"/>
      <c r="F5803" s="25"/>
      <c r="G5803" s="25"/>
      <c r="H5803" s="25"/>
      <c r="I5803" s="25"/>
      <c r="J5803" s="25"/>
    </row>
    <row r="5804" spans="1:10" ht="14.4">
      <c r="A5804" s="25"/>
      <c r="B5804" s="25"/>
      <c r="C5804" s="25"/>
      <c r="D5804" s="25"/>
      <c r="E5804" s="25"/>
      <c r="F5804" s="25"/>
      <c r="G5804" s="25"/>
      <c r="H5804" s="25"/>
      <c r="I5804" s="25"/>
      <c r="J5804" s="25"/>
    </row>
    <row r="5805" spans="1:10" ht="14.4">
      <c r="A5805" s="25"/>
      <c r="B5805" s="25"/>
      <c r="C5805" s="25"/>
      <c r="D5805" s="25"/>
      <c r="E5805" s="25"/>
      <c r="F5805" s="25"/>
      <c r="G5805" s="25"/>
      <c r="H5805" s="25"/>
      <c r="I5805" s="25"/>
      <c r="J5805" s="25"/>
    </row>
    <row r="5806" spans="1:10" ht="14.4">
      <c r="A5806" s="25"/>
      <c r="B5806" s="25"/>
      <c r="C5806" s="25"/>
      <c r="D5806" s="25"/>
      <c r="E5806" s="25"/>
      <c r="F5806" s="25"/>
      <c r="G5806" s="25"/>
      <c r="H5806" s="25"/>
      <c r="I5806" s="25"/>
      <c r="J5806" s="25"/>
    </row>
    <row r="5807" spans="1:10" ht="14.4">
      <c r="A5807" s="25"/>
      <c r="B5807" s="25"/>
      <c r="C5807" s="25"/>
      <c r="D5807" s="25"/>
      <c r="E5807" s="25"/>
      <c r="F5807" s="25"/>
      <c r="G5807" s="25"/>
      <c r="H5807" s="25"/>
      <c r="I5807" s="25"/>
      <c r="J5807" s="25"/>
    </row>
    <row r="5808" spans="1:10" ht="14.4">
      <c r="A5808" s="25"/>
      <c r="B5808" s="25"/>
      <c r="C5808" s="25"/>
      <c r="D5808" s="25"/>
      <c r="E5808" s="25"/>
      <c r="F5808" s="25"/>
      <c r="G5808" s="25"/>
      <c r="H5808" s="25"/>
      <c r="I5808" s="25"/>
      <c r="J5808" s="25"/>
    </row>
    <row r="5809" spans="1:10" ht="14.4">
      <c r="A5809" s="25"/>
      <c r="B5809" s="25"/>
      <c r="C5809" s="25"/>
      <c r="D5809" s="25"/>
      <c r="E5809" s="25"/>
      <c r="F5809" s="25"/>
      <c r="G5809" s="25"/>
      <c r="H5809" s="25"/>
      <c r="I5809" s="25"/>
      <c r="J5809" s="25"/>
    </row>
    <row r="5810" spans="1:10" ht="14.4">
      <c r="A5810" s="25"/>
      <c r="B5810" s="25"/>
      <c r="C5810" s="25"/>
      <c r="D5810" s="25"/>
      <c r="E5810" s="25"/>
      <c r="F5810" s="25"/>
      <c r="G5810" s="25"/>
      <c r="H5810" s="25"/>
      <c r="I5810" s="25"/>
      <c r="J5810" s="25"/>
    </row>
    <row r="5811" spans="1:10" ht="14.4">
      <c r="A5811" s="25"/>
      <c r="B5811" s="25"/>
      <c r="C5811" s="25"/>
      <c r="D5811" s="25"/>
      <c r="E5811" s="25"/>
      <c r="F5811" s="25"/>
      <c r="G5811" s="25"/>
      <c r="H5811" s="25"/>
      <c r="I5811" s="25"/>
      <c r="J5811" s="25"/>
    </row>
    <row r="5812" spans="1:10" ht="14.4">
      <c r="A5812" s="25"/>
      <c r="B5812" s="25"/>
      <c r="C5812" s="25"/>
      <c r="D5812" s="25"/>
      <c r="E5812" s="25"/>
      <c r="F5812" s="25"/>
      <c r="G5812" s="25"/>
      <c r="H5812" s="25"/>
      <c r="I5812" s="25"/>
      <c r="J5812" s="25"/>
    </row>
    <row r="5813" spans="1:10" ht="14.4">
      <c r="A5813" s="25"/>
      <c r="B5813" s="25"/>
      <c r="C5813" s="25"/>
      <c r="D5813" s="25"/>
      <c r="E5813" s="25"/>
      <c r="F5813" s="25"/>
      <c r="G5813" s="25"/>
      <c r="H5813" s="25"/>
      <c r="I5813" s="25"/>
      <c r="J5813" s="25"/>
    </row>
    <row r="5814" spans="1:10" ht="14.4">
      <c r="A5814" s="25"/>
      <c r="B5814" s="25"/>
      <c r="C5814" s="25"/>
      <c r="D5814" s="25"/>
      <c r="E5814" s="25"/>
      <c r="F5814" s="25"/>
      <c r="G5814" s="25"/>
      <c r="H5814" s="25"/>
      <c r="I5814" s="25"/>
      <c r="J5814" s="25"/>
    </row>
    <row r="5815" spans="1:10" ht="14.4">
      <c r="A5815" s="25"/>
      <c r="B5815" s="25"/>
      <c r="C5815" s="25"/>
      <c r="D5815" s="25"/>
      <c r="E5815" s="25"/>
      <c r="F5815" s="25"/>
      <c r="G5815" s="25"/>
      <c r="H5815" s="25"/>
      <c r="I5815" s="25"/>
      <c r="J5815" s="25"/>
    </row>
    <row r="5816" spans="1:10" ht="14.4">
      <c r="A5816" s="25"/>
      <c r="B5816" s="25"/>
      <c r="C5816" s="25"/>
      <c r="D5816" s="25"/>
      <c r="E5816" s="25"/>
      <c r="F5816" s="25"/>
      <c r="G5816" s="25"/>
      <c r="H5816" s="25"/>
      <c r="I5816" s="25"/>
      <c r="J5816" s="25"/>
    </row>
    <row r="5817" spans="1:10" ht="14.4">
      <c r="A5817" s="25"/>
      <c r="B5817" s="25"/>
      <c r="C5817" s="25"/>
      <c r="D5817" s="25"/>
      <c r="E5817" s="25"/>
      <c r="F5817" s="25"/>
      <c r="G5817" s="25"/>
      <c r="H5817" s="25"/>
      <c r="I5817" s="25"/>
      <c r="J5817" s="25"/>
    </row>
    <row r="5818" spans="1:10" ht="14.4">
      <c r="A5818" s="25"/>
      <c r="B5818" s="25"/>
      <c r="C5818" s="25"/>
      <c r="D5818" s="25"/>
      <c r="E5818" s="25"/>
      <c r="F5818" s="25"/>
      <c r="G5818" s="25"/>
      <c r="H5818" s="25"/>
      <c r="I5818" s="25"/>
      <c r="J5818" s="25"/>
    </row>
    <row r="5819" spans="1:10" ht="14.4">
      <c r="A5819" s="25"/>
      <c r="B5819" s="25"/>
      <c r="C5819" s="25"/>
      <c r="D5819" s="25"/>
      <c r="E5819" s="25"/>
      <c r="F5819" s="25"/>
      <c r="G5819" s="25"/>
      <c r="H5819" s="25"/>
      <c r="I5819" s="25"/>
      <c r="J5819" s="25"/>
    </row>
    <row r="5820" spans="1:10" ht="14.4">
      <c r="A5820" s="25"/>
      <c r="B5820" s="25"/>
      <c r="C5820" s="25"/>
      <c r="D5820" s="25"/>
      <c r="E5820" s="25"/>
      <c r="F5820" s="25"/>
      <c r="G5820" s="25"/>
      <c r="H5820" s="25"/>
      <c r="I5820" s="25"/>
      <c r="J5820" s="25"/>
    </row>
    <row r="5821" spans="1:10" ht="14.4">
      <c r="A5821" s="25"/>
      <c r="B5821" s="25"/>
      <c r="C5821" s="25"/>
      <c r="D5821" s="25"/>
      <c r="E5821" s="25"/>
      <c r="F5821" s="25"/>
      <c r="G5821" s="25"/>
      <c r="H5821" s="25"/>
      <c r="I5821" s="25"/>
      <c r="J5821" s="25"/>
    </row>
    <row r="5822" spans="1:10" ht="14.4">
      <c r="A5822" s="25"/>
      <c r="B5822" s="25"/>
      <c r="C5822" s="25"/>
      <c r="D5822" s="25"/>
      <c r="E5822" s="25"/>
      <c r="F5822" s="25"/>
      <c r="G5822" s="25"/>
      <c r="H5822" s="25"/>
      <c r="I5822" s="25"/>
      <c r="J5822" s="25"/>
    </row>
    <row r="5823" spans="1:10" ht="14.4">
      <c r="A5823" s="25"/>
      <c r="B5823" s="25"/>
      <c r="C5823" s="25"/>
      <c r="D5823" s="25"/>
      <c r="E5823" s="25"/>
      <c r="F5823" s="25"/>
      <c r="G5823" s="25"/>
      <c r="H5823" s="25"/>
      <c r="I5823" s="25"/>
      <c r="J5823" s="25"/>
    </row>
    <row r="5824" spans="1:10" ht="14.4">
      <c r="A5824" s="25"/>
      <c r="B5824" s="25"/>
      <c r="C5824" s="25"/>
      <c r="D5824" s="25"/>
      <c r="E5824" s="25"/>
      <c r="F5824" s="25"/>
      <c r="G5824" s="25"/>
      <c r="H5824" s="25"/>
      <c r="I5824" s="25"/>
      <c r="J5824" s="25"/>
    </row>
    <row r="5825" spans="1:10" ht="14.4">
      <c r="A5825" s="25"/>
      <c r="B5825" s="25"/>
      <c r="C5825" s="25"/>
      <c r="D5825" s="25"/>
      <c r="E5825" s="25"/>
      <c r="F5825" s="25"/>
      <c r="G5825" s="25"/>
      <c r="H5825" s="25"/>
      <c r="I5825" s="25"/>
      <c r="J5825" s="25"/>
    </row>
    <row r="5826" spans="1:10" ht="14.4">
      <c r="A5826" s="25"/>
      <c r="B5826" s="25"/>
      <c r="C5826" s="25"/>
      <c r="D5826" s="25"/>
      <c r="E5826" s="25"/>
      <c r="F5826" s="25"/>
      <c r="G5826" s="25"/>
      <c r="H5826" s="25"/>
      <c r="I5826" s="25"/>
      <c r="J5826" s="25"/>
    </row>
    <row r="5827" spans="1:10" ht="14.4">
      <c r="A5827" s="25"/>
      <c r="B5827" s="25"/>
      <c r="C5827" s="25"/>
      <c r="D5827" s="25"/>
      <c r="E5827" s="25"/>
      <c r="F5827" s="25"/>
      <c r="G5827" s="25"/>
      <c r="H5827" s="25"/>
      <c r="I5827" s="25"/>
      <c r="J5827" s="25"/>
    </row>
    <row r="5828" spans="1:10" ht="14.4">
      <c r="A5828" s="25"/>
      <c r="B5828" s="25"/>
      <c r="C5828" s="25"/>
      <c r="D5828" s="25"/>
      <c r="E5828" s="25"/>
      <c r="F5828" s="25"/>
      <c r="G5828" s="25"/>
      <c r="H5828" s="25"/>
      <c r="I5828" s="25"/>
      <c r="J5828" s="25"/>
    </row>
    <row r="5829" spans="1:10" ht="14.4">
      <c r="A5829" s="25"/>
      <c r="B5829" s="25"/>
      <c r="C5829" s="25"/>
      <c r="D5829" s="25"/>
      <c r="E5829" s="25"/>
      <c r="F5829" s="25"/>
      <c r="G5829" s="25"/>
      <c r="H5829" s="25"/>
      <c r="I5829" s="25"/>
      <c r="J5829" s="25"/>
    </row>
    <row r="5830" spans="1:10" ht="14.4">
      <c r="A5830" s="25"/>
      <c r="B5830" s="25"/>
      <c r="C5830" s="25"/>
      <c r="D5830" s="25"/>
      <c r="E5830" s="25"/>
      <c r="F5830" s="25"/>
      <c r="G5830" s="25"/>
      <c r="H5830" s="25"/>
      <c r="I5830" s="25"/>
      <c r="J5830" s="25"/>
    </row>
    <row r="5831" spans="1:10" ht="14.4">
      <c r="A5831" s="25"/>
      <c r="B5831" s="25"/>
      <c r="C5831" s="25"/>
      <c r="D5831" s="25"/>
      <c r="E5831" s="25"/>
      <c r="F5831" s="25"/>
      <c r="G5831" s="25"/>
      <c r="H5831" s="25"/>
      <c r="I5831" s="25"/>
      <c r="J5831" s="25"/>
    </row>
    <row r="5832" spans="1:10" ht="14.4">
      <c r="A5832" s="25"/>
      <c r="B5832" s="25"/>
      <c r="C5832" s="25"/>
      <c r="D5832" s="25"/>
      <c r="E5832" s="25"/>
      <c r="F5832" s="25"/>
      <c r="G5832" s="25"/>
      <c r="H5832" s="25"/>
      <c r="I5832" s="25"/>
      <c r="J5832" s="25"/>
    </row>
    <row r="5833" spans="1:10" ht="14.4">
      <c r="A5833" s="25"/>
      <c r="B5833" s="25"/>
      <c r="C5833" s="25"/>
      <c r="D5833" s="25"/>
      <c r="E5833" s="25"/>
      <c r="F5833" s="25"/>
      <c r="G5833" s="25"/>
      <c r="H5833" s="25"/>
      <c r="I5833" s="25"/>
      <c r="J5833" s="25"/>
    </row>
    <row r="5834" spans="1:10" ht="14.4">
      <c r="A5834" s="25"/>
      <c r="B5834" s="25"/>
      <c r="C5834" s="25"/>
      <c r="D5834" s="25"/>
      <c r="E5834" s="25"/>
      <c r="F5834" s="25"/>
      <c r="G5834" s="25"/>
      <c r="H5834" s="25"/>
      <c r="I5834" s="25"/>
      <c r="J5834" s="25"/>
    </row>
    <row r="5835" spans="1:10" ht="14.4">
      <c r="A5835" s="25"/>
      <c r="B5835" s="25"/>
      <c r="C5835" s="25"/>
      <c r="D5835" s="25"/>
      <c r="E5835" s="25"/>
      <c r="F5835" s="25"/>
      <c r="G5835" s="25"/>
      <c r="H5835" s="25"/>
      <c r="I5835" s="25"/>
      <c r="J5835" s="25"/>
    </row>
    <row r="5836" spans="1:10" ht="14.4">
      <c r="A5836" s="25"/>
      <c r="B5836" s="25"/>
      <c r="C5836" s="25"/>
      <c r="D5836" s="25"/>
      <c r="E5836" s="25"/>
      <c r="F5836" s="25"/>
      <c r="G5836" s="25"/>
      <c r="H5836" s="25"/>
      <c r="I5836" s="25"/>
      <c r="J5836" s="25"/>
    </row>
    <row r="5837" spans="1:10" ht="14.4">
      <c r="A5837" s="25"/>
      <c r="B5837" s="25"/>
      <c r="C5837" s="25"/>
      <c r="D5837" s="25"/>
      <c r="E5837" s="25"/>
      <c r="F5837" s="25"/>
      <c r="G5837" s="25"/>
      <c r="H5837" s="25"/>
      <c r="I5837" s="25"/>
      <c r="J5837" s="25"/>
    </row>
    <row r="5838" spans="1:10" ht="14.4">
      <c r="A5838" s="25"/>
      <c r="B5838" s="25"/>
      <c r="C5838" s="25"/>
      <c r="D5838" s="25"/>
      <c r="E5838" s="25"/>
      <c r="F5838" s="25"/>
      <c r="G5838" s="25"/>
      <c r="H5838" s="25"/>
      <c r="I5838" s="25"/>
      <c r="J5838" s="25"/>
    </row>
    <row r="5839" spans="1:10" ht="14.4">
      <c r="A5839" s="25"/>
      <c r="B5839" s="25"/>
      <c r="C5839" s="25"/>
      <c r="D5839" s="25"/>
      <c r="E5839" s="25"/>
      <c r="F5839" s="25"/>
      <c r="G5839" s="25"/>
      <c r="H5839" s="25"/>
      <c r="I5839" s="25"/>
      <c r="J5839" s="25"/>
    </row>
    <row r="5840" spans="1:10" ht="14.4">
      <c r="A5840" s="25"/>
      <c r="B5840" s="25"/>
      <c r="C5840" s="25"/>
      <c r="D5840" s="25"/>
      <c r="E5840" s="25"/>
      <c r="F5840" s="25"/>
      <c r="G5840" s="25"/>
      <c r="H5840" s="25"/>
      <c r="I5840" s="25"/>
      <c r="J5840" s="25"/>
    </row>
    <row r="5841" spans="1:10" ht="14.4">
      <c r="A5841" s="25"/>
      <c r="B5841" s="25"/>
      <c r="C5841" s="25"/>
      <c r="D5841" s="25"/>
      <c r="E5841" s="25"/>
      <c r="F5841" s="25"/>
      <c r="G5841" s="25"/>
      <c r="H5841" s="25"/>
      <c r="I5841" s="25"/>
      <c r="J5841" s="25"/>
    </row>
    <row r="5842" spans="1:10" ht="14.4">
      <c r="A5842" s="25"/>
      <c r="B5842" s="25"/>
      <c r="C5842" s="25"/>
      <c r="D5842" s="25"/>
      <c r="E5842" s="25"/>
      <c r="F5842" s="25"/>
      <c r="G5842" s="25"/>
      <c r="H5842" s="25"/>
      <c r="I5842" s="25"/>
      <c r="J5842" s="25"/>
    </row>
    <row r="5843" spans="1:10" ht="14.4">
      <c r="A5843" s="25"/>
      <c r="B5843" s="25"/>
      <c r="C5843" s="25"/>
      <c r="D5843" s="25"/>
      <c r="E5843" s="25"/>
      <c r="F5843" s="25"/>
      <c r="G5843" s="25"/>
      <c r="H5843" s="25"/>
      <c r="I5843" s="25"/>
      <c r="J5843" s="25"/>
    </row>
    <row r="5844" spans="1:10" ht="14.4">
      <c r="A5844" s="25"/>
      <c r="B5844" s="25"/>
      <c r="C5844" s="25"/>
      <c r="D5844" s="25"/>
      <c r="E5844" s="25"/>
      <c r="F5844" s="25"/>
      <c r="G5844" s="25"/>
      <c r="H5844" s="25"/>
      <c r="I5844" s="25"/>
      <c r="J5844" s="25"/>
    </row>
    <row r="5845" spans="1:10" ht="14.4">
      <c r="A5845" s="25"/>
      <c r="B5845" s="25"/>
      <c r="C5845" s="25"/>
      <c r="D5845" s="25"/>
      <c r="E5845" s="25"/>
      <c r="F5845" s="25"/>
      <c r="G5845" s="25"/>
      <c r="H5845" s="25"/>
      <c r="I5845" s="25"/>
      <c r="J5845" s="25"/>
    </row>
    <row r="5846" spans="1:10" ht="14.4">
      <c r="A5846" s="25"/>
      <c r="B5846" s="25"/>
      <c r="C5846" s="25"/>
      <c r="D5846" s="25"/>
      <c r="E5846" s="25"/>
      <c r="F5846" s="25"/>
      <c r="G5846" s="25"/>
      <c r="H5846" s="25"/>
      <c r="I5846" s="25"/>
      <c r="J5846" s="25"/>
    </row>
    <row r="5847" spans="1:10" ht="14.4">
      <c r="A5847" s="25"/>
      <c r="B5847" s="25"/>
      <c r="C5847" s="25"/>
      <c r="D5847" s="25"/>
      <c r="E5847" s="25"/>
      <c r="F5847" s="25"/>
      <c r="G5847" s="25"/>
      <c r="H5847" s="25"/>
      <c r="I5847" s="25"/>
      <c r="J5847" s="25"/>
    </row>
    <row r="5848" spans="1:10" ht="14.4">
      <c r="A5848" s="25"/>
      <c r="B5848" s="25"/>
      <c r="C5848" s="25"/>
      <c r="D5848" s="25"/>
      <c r="E5848" s="25"/>
      <c r="F5848" s="25"/>
      <c r="G5848" s="25"/>
      <c r="H5848" s="25"/>
      <c r="I5848" s="25"/>
      <c r="J5848" s="25"/>
    </row>
    <row r="5849" spans="1:10" ht="14.4">
      <c r="A5849" s="25"/>
      <c r="B5849" s="25"/>
      <c r="C5849" s="25"/>
      <c r="D5849" s="25"/>
      <c r="E5849" s="25"/>
      <c r="F5849" s="25"/>
      <c r="G5849" s="25"/>
      <c r="H5849" s="25"/>
      <c r="I5849" s="25"/>
      <c r="J5849" s="25"/>
    </row>
    <row r="5850" spans="1:10" ht="14.4">
      <c r="A5850" s="25"/>
      <c r="B5850" s="25"/>
      <c r="C5850" s="25"/>
      <c r="D5850" s="25"/>
      <c r="E5850" s="25"/>
      <c r="F5850" s="25"/>
      <c r="G5850" s="25"/>
      <c r="H5850" s="25"/>
      <c r="I5850" s="25"/>
      <c r="J5850" s="25"/>
    </row>
    <row r="5851" spans="1:10" ht="14.4">
      <c r="A5851" s="25"/>
      <c r="B5851" s="25"/>
      <c r="C5851" s="25"/>
      <c r="D5851" s="25"/>
      <c r="E5851" s="25"/>
      <c r="F5851" s="25"/>
      <c r="G5851" s="25"/>
      <c r="H5851" s="25"/>
      <c r="I5851" s="25"/>
      <c r="J5851" s="25"/>
    </row>
    <row r="5852" spans="1:10" ht="14.4">
      <c r="A5852" s="25"/>
      <c r="B5852" s="25"/>
      <c r="C5852" s="25"/>
      <c r="D5852" s="25"/>
      <c r="E5852" s="25"/>
      <c r="F5852" s="25"/>
      <c r="G5852" s="25"/>
      <c r="H5852" s="25"/>
      <c r="I5852" s="25"/>
      <c r="J5852" s="25"/>
    </row>
    <row r="5853" spans="1:10" ht="14.4">
      <c r="A5853" s="25"/>
      <c r="B5853" s="25"/>
      <c r="C5853" s="25"/>
      <c r="D5853" s="25"/>
      <c r="E5853" s="25"/>
      <c r="F5853" s="25"/>
      <c r="G5853" s="25"/>
      <c r="H5853" s="25"/>
      <c r="I5853" s="25"/>
      <c r="J5853" s="25"/>
    </row>
    <row r="5854" spans="1:10" ht="14.4">
      <c r="A5854" s="25"/>
      <c r="B5854" s="25"/>
      <c r="C5854" s="25"/>
      <c r="D5854" s="25"/>
      <c r="E5854" s="25"/>
      <c r="F5854" s="25"/>
      <c r="G5854" s="25"/>
      <c r="H5854" s="25"/>
      <c r="I5854" s="25"/>
      <c r="J5854" s="25"/>
    </row>
    <row r="5855" spans="1:10" ht="14.4">
      <c r="A5855" s="25"/>
      <c r="B5855" s="25"/>
      <c r="C5855" s="25"/>
      <c r="D5855" s="25"/>
      <c r="E5855" s="25"/>
      <c r="F5855" s="25"/>
      <c r="G5855" s="25"/>
      <c r="H5855" s="25"/>
      <c r="I5855" s="25"/>
      <c r="J5855" s="25"/>
    </row>
    <row r="5856" spans="1:10" ht="14.4">
      <c r="A5856" s="25"/>
      <c r="B5856" s="25"/>
      <c r="C5856" s="25"/>
      <c r="D5856" s="25"/>
      <c r="E5856" s="25"/>
      <c r="F5856" s="25"/>
      <c r="G5856" s="25"/>
      <c r="H5856" s="25"/>
      <c r="I5856" s="25"/>
      <c r="J5856" s="25"/>
    </row>
    <row r="5857" spans="1:10" ht="14.4">
      <c r="A5857" s="25"/>
      <c r="B5857" s="25"/>
      <c r="C5857" s="25"/>
      <c r="D5857" s="25"/>
      <c r="E5857" s="25"/>
      <c r="F5857" s="25"/>
      <c r="G5857" s="25"/>
      <c r="H5857" s="25"/>
      <c r="I5857" s="25"/>
      <c r="J5857" s="25"/>
    </row>
    <row r="5858" spans="1:10" ht="14.4">
      <c r="A5858" s="25"/>
      <c r="B5858" s="25"/>
      <c r="C5858" s="25"/>
      <c r="D5858" s="25"/>
      <c r="E5858" s="25"/>
      <c r="F5858" s="25"/>
      <c r="G5858" s="25"/>
      <c r="H5858" s="25"/>
      <c r="I5858" s="25"/>
      <c r="J5858" s="25"/>
    </row>
    <row r="5859" spans="1:10" ht="14.4">
      <c r="A5859" s="25"/>
      <c r="B5859" s="25"/>
      <c r="C5859" s="25"/>
      <c r="D5859" s="25"/>
      <c r="E5859" s="25"/>
      <c r="F5859" s="25"/>
      <c r="G5859" s="25"/>
      <c r="H5859" s="25"/>
      <c r="I5859" s="25"/>
      <c r="J5859" s="25"/>
    </row>
    <row r="5860" spans="1:10" ht="14.4">
      <c r="A5860" s="25"/>
      <c r="B5860" s="25"/>
      <c r="C5860" s="25"/>
      <c r="D5860" s="25"/>
      <c r="E5860" s="25"/>
      <c r="F5860" s="25"/>
      <c r="G5860" s="25"/>
      <c r="H5860" s="25"/>
      <c r="I5860" s="25"/>
      <c r="J5860" s="25"/>
    </row>
    <row r="5861" spans="1:10" ht="14.4">
      <c r="A5861" s="25"/>
      <c r="B5861" s="25"/>
      <c r="C5861" s="25"/>
      <c r="D5861" s="25"/>
      <c r="E5861" s="25"/>
      <c r="F5861" s="25"/>
      <c r="G5861" s="25"/>
      <c r="H5861" s="25"/>
      <c r="I5861" s="25"/>
      <c r="J5861" s="25"/>
    </row>
    <row r="5862" spans="1:10" ht="14.4">
      <c r="A5862" s="25"/>
      <c r="B5862" s="25"/>
      <c r="C5862" s="25"/>
      <c r="D5862" s="25"/>
      <c r="E5862" s="25"/>
      <c r="F5862" s="25"/>
      <c r="G5862" s="25"/>
      <c r="H5862" s="25"/>
      <c r="I5862" s="25"/>
      <c r="J5862" s="25"/>
    </row>
    <row r="5863" spans="1:10" ht="14.4">
      <c r="A5863" s="25"/>
      <c r="B5863" s="25"/>
      <c r="C5863" s="25"/>
      <c r="D5863" s="25"/>
      <c r="E5863" s="25"/>
      <c r="F5863" s="25"/>
      <c r="G5863" s="25"/>
      <c r="H5863" s="25"/>
      <c r="I5863" s="25"/>
      <c r="J5863" s="25"/>
    </row>
    <row r="5864" spans="1:10" ht="14.4">
      <c r="A5864" s="25"/>
      <c r="B5864" s="25"/>
      <c r="C5864" s="25"/>
      <c r="D5864" s="25"/>
      <c r="E5864" s="25"/>
      <c r="F5864" s="25"/>
      <c r="G5864" s="25"/>
      <c r="H5864" s="25"/>
      <c r="I5864" s="25"/>
      <c r="J5864" s="25"/>
    </row>
    <row r="5865" spans="1:10" ht="14.4">
      <c r="A5865" s="25"/>
      <c r="B5865" s="25"/>
      <c r="C5865" s="25"/>
      <c r="D5865" s="25"/>
      <c r="E5865" s="25"/>
      <c r="F5865" s="25"/>
      <c r="G5865" s="25"/>
      <c r="H5865" s="25"/>
      <c r="I5865" s="25"/>
      <c r="J5865" s="25"/>
    </row>
    <row r="5866" spans="1:10" ht="14.4">
      <c r="A5866" s="25"/>
      <c r="B5866" s="25"/>
      <c r="C5866" s="25"/>
      <c r="D5866" s="25"/>
      <c r="E5866" s="25"/>
      <c r="F5866" s="25"/>
      <c r="G5866" s="25"/>
      <c r="H5866" s="25"/>
      <c r="I5866" s="25"/>
      <c r="J5866" s="25"/>
    </row>
    <row r="5867" spans="1:10" ht="14.4">
      <c r="A5867" s="25"/>
      <c r="B5867" s="25"/>
      <c r="C5867" s="25"/>
      <c r="D5867" s="25"/>
      <c r="E5867" s="25"/>
      <c r="F5867" s="25"/>
      <c r="G5867" s="25"/>
      <c r="H5867" s="25"/>
      <c r="I5867" s="25"/>
      <c r="J5867" s="25"/>
    </row>
    <row r="5868" spans="1:10" ht="14.4">
      <c r="A5868" s="25"/>
      <c r="B5868" s="25"/>
      <c r="C5868" s="25"/>
      <c r="D5868" s="25"/>
      <c r="E5868" s="25"/>
      <c r="F5868" s="25"/>
      <c r="G5868" s="25"/>
      <c r="H5868" s="25"/>
      <c r="I5868" s="25"/>
      <c r="J5868" s="25"/>
    </row>
    <row r="5869" spans="1:10" ht="14.4">
      <c r="A5869" s="25"/>
      <c r="B5869" s="25"/>
      <c r="C5869" s="25"/>
      <c r="D5869" s="25"/>
      <c r="E5869" s="25"/>
      <c r="F5869" s="25"/>
      <c r="G5869" s="25"/>
      <c r="H5869" s="25"/>
      <c r="I5869" s="25"/>
      <c r="J5869" s="25"/>
    </row>
    <row r="5870" spans="1:10" ht="14.4">
      <c r="A5870" s="25"/>
      <c r="B5870" s="25"/>
      <c r="C5870" s="25"/>
      <c r="D5870" s="25"/>
      <c r="E5870" s="25"/>
      <c r="F5870" s="25"/>
      <c r="G5870" s="25"/>
      <c r="H5870" s="25"/>
      <c r="I5870" s="25"/>
      <c r="J5870" s="25"/>
    </row>
    <row r="5871" spans="1:10" ht="14.4">
      <c r="A5871" s="25"/>
      <c r="B5871" s="25"/>
      <c r="C5871" s="25"/>
      <c r="D5871" s="25"/>
      <c r="E5871" s="25"/>
      <c r="F5871" s="25"/>
      <c r="G5871" s="25"/>
      <c r="H5871" s="25"/>
      <c r="I5871" s="25"/>
      <c r="J5871" s="25"/>
    </row>
    <row r="5872" spans="1:10" ht="14.4">
      <c r="A5872" s="25"/>
      <c r="B5872" s="25"/>
      <c r="C5872" s="25"/>
      <c r="D5872" s="25"/>
      <c r="E5872" s="25"/>
      <c r="F5872" s="25"/>
      <c r="G5872" s="25"/>
      <c r="H5872" s="25"/>
      <c r="I5872" s="25"/>
      <c r="J5872" s="25"/>
    </row>
    <row r="5873" spans="1:10" ht="14.4">
      <c r="A5873" s="25"/>
      <c r="B5873" s="25"/>
      <c r="C5873" s="25"/>
      <c r="D5873" s="25"/>
      <c r="E5873" s="25"/>
      <c r="F5873" s="25"/>
      <c r="G5873" s="25"/>
      <c r="H5873" s="25"/>
      <c r="I5873" s="25"/>
      <c r="J5873" s="25"/>
    </row>
    <row r="5874" spans="1:10" ht="14.4">
      <c r="A5874" s="25"/>
      <c r="B5874" s="25"/>
      <c r="C5874" s="25"/>
      <c r="D5874" s="25"/>
      <c r="E5874" s="25"/>
      <c r="F5874" s="25"/>
      <c r="G5874" s="25"/>
      <c r="H5874" s="25"/>
      <c r="I5874" s="25"/>
      <c r="J5874" s="25"/>
    </row>
    <row r="5875" spans="1:10" ht="14.4">
      <c r="A5875" s="25"/>
      <c r="B5875" s="25"/>
      <c r="C5875" s="25"/>
      <c r="D5875" s="25"/>
      <c r="E5875" s="25"/>
      <c r="F5875" s="25"/>
      <c r="G5875" s="25"/>
      <c r="H5875" s="25"/>
      <c r="I5875" s="25"/>
      <c r="J5875" s="25"/>
    </row>
    <row r="5876" spans="1:10" ht="14.4">
      <c r="A5876" s="25"/>
      <c r="B5876" s="25"/>
      <c r="C5876" s="25"/>
      <c r="D5876" s="25"/>
      <c r="E5876" s="25"/>
      <c r="F5876" s="25"/>
      <c r="G5876" s="25"/>
      <c r="H5876" s="25"/>
      <c r="I5876" s="25"/>
      <c r="J5876" s="25"/>
    </row>
    <row r="5877" spans="1:10" ht="14.4">
      <c r="A5877" s="25"/>
      <c r="B5877" s="25"/>
      <c r="C5877" s="25"/>
      <c r="D5877" s="25"/>
      <c r="E5877" s="25"/>
      <c r="F5877" s="25"/>
      <c r="G5877" s="25"/>
      <c r="H5877" s="25"/>
      <c r="I5877" s="25"/>
      <c r="J5877" s="25"/>
    </row>
    <row r="5878" spans="1:10" ht="14.4">
      <c r="A5878" s="25"/>
      <c r="B5878" s="25"/>
      <c r="C5878" s="25"/>
      <c r="D5878" s="25"/>
      <c r="E5878" s="25"/>
      <c r="F5878" s="25"/>
      <c r="G5878" s="25"/>
      <c r="H5878" s="25"/>
      <c r="I5878" s="25"/>
      <c r="J5878" s="25"/>
    </row>
    <row r="5879" spans="1:10" ht="14.4">
      <c r="A5879" s="25"/>
      <c r="B5879" s="25"/>
      <c r="C5879" s="25"/>
      <c r="D5879" s="25"/>
      <c r="E5879" s="25"/>
      <c r="F5879" s="25"/>
      <c r="G5879" s="25"/>
      <c r="H5879" s="25"/>
      <c r="I5879" s="25"/>
      <c r="J5879" s="25"/>
    </row>
    <row r="5880" spans="1:10" ht="14.4">
      <c r="A5880" s="25"/>
      <c r="B5880" s="25"/>
      <c r="C5880" s="25"/>
      <c r="D5880" s="25"/>
      <c r="E5880" s="25"/>
      <c r="F5880" s="25"/>
      <c r="G5880" s="25"/>
      <c r="H5880" s="25"/>
      <c r="I5880" s="25"/>
      <c r="J5880" s="25"/>
    </row>
    <row r="5881" spans="1:10" ht="14.4">
      <c r="A5881" s="25"/>
      <c r="B5881" s="25"/>
      <c r="C5881" s="25"/>
      <c r="D5881" s="25"/>
      <c r="E5881" s="25"/>
      <c r="F5881" s="25"/>
      <c r="G5881" s="25"/>
      <c r="H5881" s="25"/>
      <c r="I5881" s="25"/>
      <c r="J5881" s="25"/>
    </row>
    <row r="5882" spans="1:10" ht="14.4">
      <c r="A5882" s="25"/>
      <c r="B5882" s="25"/>
      <c r="C5882" s="25"/>
      <c r="D5882" s="25"/>
      <c r="E5882" s="25"/>
      <c r="F5882" s="25"/>
      <c r="G5882" s="25"/>
      <c r="H5882" s="25"/>
      <c r="I5882" s="25"/>
      <c r="J5882" s="25"/>
    </row>
    <row r="5883" spans="1:10" ht="14.4">
      <c r="A5883" s="25"/>
      <c r="B5883" s="25"/>
      <c r="C5883" s="25"/>
      <c r="D5883" s="25"/>
      <c r="E5883" s="25"/>
      <c r="F5883" s="25"/>
      <c r="G5883" s="25"/>
      <c r="H5883" s="25"/>
      <c r="I5883" s="25"/>
      <c r="J5883" s="25"/>
    </row>
    <row r="5884" spans="1:10" ht="14.4">
      <c r="A5884" s="25"/>
      <c r="B5884" s="25"/>
      <c r="C5884" s="25"/>
      <c r="D5884" s="25"/>
      <c r="E5884" s="25"/>
      <c r="F5884" s="25"/>
      <c r="G5884" s="25"/>
      <c r="H5884" s="25"/>
      <c r="I5884" s="25"/>
      <c r="J5884" s="25"/>
    </row>
    <row r="5885" spans="1:10" ht="14.4">
      <c r="A5885" s="25"/>
      <c r="B5885" s="25"/>
      <c r="C5885" s="25"/>
      <c r="D5885" s="25"/>
      <c r="E5885" s="25"/>
      <c r="F5885" s="25"/>
      <c r="G5885" s="25"/>
      <c r="H5885" s="25"/>
      <c r="I5885" s="25"/>
      <c r="J5885" s="25"/>
    </row>
    <row r="5886" spans="1:10" ht="14.4">
      <c r="A5886" s="25"/>
      <c r="B5886" s="25"/>
      <c r="C5886" s="25"/>
      <c r="D5886" s="25"/>
      <c r="E5886" s="25"/>
      <c r="F5886" s="25"/>
      <c r="G5886" s="25"/>
      <c r="H5886" s="25"/>
      <c r="I5886" s="25"/>
      <c r="J5886" s="25"/>
    </row>
    <row r="5887" spans="1:10" ht="14.4">
      <c r="A5887" s="25"/>
      <c r="B5887" s="25"/>
      <c r="C5887" s="25"/>
      <c r="D5887" s="25"/>
      <c r="E5887" s="25"/>
      <c r="F5887" s="25"/>
      <c r="G5887" s="25"/>
      <c r="H5887" s="25"/>
      <c r="I5887" s="25"/>
      <c r="J5887" s="25"/>
    </row>
    <row r="5888" spans="1:10" ht="14.4">
      <c r="A5888" s="25"/>
      <c r="B5888" s="25"/>
      <c r="C5888" s="25"/>
      <c r="D5888" s="25"/>
      <c r="E5888" s="25"/>
      <c r="F5888" s="25"/>
      <c r="G5888" s="25"/>
      <c r="H5888" s="25"/>
      <c r="I5888" s="25"/>
      <c r="J5888" s="25"/>
    </row>
    <row r="5889" spans="1:10" ht="14.4">
      <c r="A5889" s="25"/>
      <c r="B5889" s="25"/>
      <c r="C5889" s="25"/>
      <c r="D5889" s="25"/>
      <c r="E5889" s="25"/>
      <c r="F5889" s="25"/>
      <c r="G5889" s="25"/>
      <c r="H5889" s="25"/>
      <c r="I5889" s="25"/>
      <c r="J5889" s="25"/>
    </row>
    <row r="5890" spans="1:10" ht="14.4">
      <c r="A5890" s="25"/>
      <c r="B5890" s="25"/>
      <c r="C5890" s="25"/>
      <c r="D5890" s="25"/>
      <c r="E5890" s="25"/>
      <c r="F5890" s="25"/>
      <c r="G5890" s="25"/>
      <c r="H5890" s="25"/>
      <c r="I5890" s="25"/>
      <c r="J5890" s="25"/>
    </row>
    <row r="5891" spans="1:10" ht="14.4">
      <c r="A5891" s="25"/>
      <c r="B5891" s="25"/>
      <c r="C5891" s="25"/>
      <c r="D5891" s="25"/>
      <c r="E5891" s="25"/>
      <c r="F5891" s="25"/>
      <c r="G5891" s="25"/>
      <c r="H5891" s="25"/>
      <c r="I5891" s="25"/>
      <c r="J5891" s="25"/>
    </row>
    <row r="5892" spans="1:10" ht="14.4">
      <c r="A5892" s="25"/>
      <c r="B5892" s="25"/>
      <c r="C5892" s="25"/>
      <c r="D5892" s="25"/>
      <c r="E5892" s="25"/>
      <c r="F5892" s="25"/>
      <c r="G5892" s="25"/>
      <c r="H5892" s="25"/>
      <c r="I5892" s="25"/>
      <c r="J5892" s="25"/>
    </row>
    <row r="5893" spans="1:10" ht="14.4">
      <c r="A5893" s="25"/>
      <c r="B5893" s="25"/>
      <c r="C5893" s="25"/>
      <c r="D5893" s="25"/>
      <c r="E5893" s="25"/>
      <c r="F5893" s="25"/>
      <c r="G5893" s="25"/>
      <c r="H5893" s="25"/>
      <c r="I5893" s="25"/>
      <c r="J5893" s="25"/>
    </row>
    <row r="5894" spans="1:10" ht="14.4">
      <c r="A5894" s="25"/>
      <c r="B5894" s="25"/>
      <c r="C5894" s="25"/>
      <c r="D5894" s="25"/>
      <c r="E5894" s="25"/>
      <c r="F5894" s="25"/>
      <c r="G5894" s="25"/>
      <c r="H5894" s="25"/>
      <c r="I5894" s="25"/>
      <c r="J5894" s="25"/>
    </row>
    <row r="5895" spans="1:10" ht="14.4">
      <c r="A5895" s="25"/>
      <c r="B5895" s="25"/>
      <c r="C5895" s="25"/>
      <c r="D5895" s="25"/>
      <c r="E5895" s="25"/>
      <c r="F5895" s="25"/>
      <c r="G5895" s="25"/>
      <c r="H5895" s="25"/>
      <c r="I5895" s="25"/>
      <c r="J5895" s="25"/>
    </row>
    <row r="5896" spans="1:10" ht="14.4">
      <c r="A5896" s="25"/>
      <c r="B5896" s="25"/>
      <c r="C5896" s="25"/>
      <c r="D5896" s="25"/>
      <c r="E5896" s="25"/>
      <c r="F5896" s="25"/>
      <c r="G5896" s="25"/>
      <c r="H5896" s="25"/>
      <c r="I5896" s="25"/>
      <c r="J5896" s="25"/>
    </row>
    <row r="5897" spans="1:10" ht="14.4">
      <c r="A5897" s="25"/>
      <c r="B5897" s="25"/>
      <c r="C5897" s="25"/>
      <c r="D5897" s="25"/>
      <c r="E5897" s="25"/>
      <c r="F5897" s="25"/>
      <c r="G5897" s="25"/>
      <c r="H5897" s="25"/>
      <c r="I5897" s="25"/>
      <c r="J5897" s="25"/>
    </row>
    <row r="5898" spans="1:10" ht="14.4">
      <c r="A5898" s="25"/>
      <c r="B5898" s="25"/>
      <c r="C5898" s="25"/>
      <c r="D5898" s="25"/>
      <c r="E5898" s="25"/>
      <c r="F5898" s="25"/>
      <c r="G5898" s="25"/>
      <c r="H5898" s="25"/>
      <c r="I5898" s="25"/>
      <c r="J5898" s="25"/>
    </row>
    <row r="5899" spans="1:10" ht="14.4">
      <c r="A5899" s="25"/>
      <c r="B5899" s="25"/>
      <c r="C5899" s="25"/>
      <c r="D5899" s="25"/>
      <c r="E5899" s="25"/>
      <c r="F5899" s="25"/>
      <c r="G5899" s="25"/>
      <c r="H5899" s="25"/>
      <c r="I5899" s="25"/>
      <c r="J5899" s="25"/>
    </row>
    <row r="5900" spans="1:10" ht="14.4">
      <c r="A5900" s="25"/>
      <c r="B5900" s="25"/>
      <c r="C5900" s="25"/>
      <c r="D5900" s="25"/>
      <c r="E5900" s="25"/>
      <c r="F5900" s="25"/>
      <c r="G5900" s="25"/>
      <c r="H5900" s="25"/>
      <c r="I5900" s="25"/>
      <c r="J5900" s="25"/>
    </row>
    <row r="5901" spans="1:10" ht="14.4">
      <c r="A5901" s="25"/>
      <c r="B5901" s="25"/>
      <c r="C5901" s="25"/>
      <c r="D5901" s="25"/>
      <c r="E5901" s="25"/>
      <c r="F5901" s="25"/>
      <c r="G5901" s="25"/>
      <c r="H5901" s="25"/>
      <c r="I5901" s="25"/>
      <c r="J5901" s="25"/>
    </row>
    <row r="5902" spans="1:10" ht="14.4">
      <c r="A5902" s="25"/>
      <c r="B5902" s="25"/>
      <c r="C5902" s="25"/>
      <c r="D5902" s="25"/>
      <c r="E5902" s="25"/>
      <c r="F5902" s="25"/>
      <c r="G5902" s="25"/>
      <c r="H5902" s="25"/>
      <c r="I5902" s="25"/>
      <c r="J5902" s="25"/>
    </row>
    <row r="5903" spans="1:10" ht="14.4">
      <c r="A5903" s="25"/>
      <c r="B5903" s="25"/>
      <c r="C5903" s="25"/>
      <c r="D5903" s="25"/>
      <c r="E5903" s="25"/>
      <c r="F5903" s="25"/>
      <c r="G5903" s="25"/>
      <c r="H5903" s="25"/>
      <c r="I5903" s="25"/>
      <c r="J5903" s="25"/>
    </row>
    <row r="5904" spans="1:10" ht="14.4">
      <c r="A5904" s="25"/>
      <c r="B5904" s="25"/>
      <c r="C5904" s="25"/>
      <c r="D5904" s="25"/>
      <c r="E5904" s="25"/>
      <c r="F5904" s="25"/>
      <c r="G5904" s="25"/>
      <c r="H5904" s="25"/>
      <c r="I5904" s="25"/>
      <c r="J5904" s="25"/>
    </row>
    <row r="5905" spans="1:10" ht="14.4">
      <c r="A5905" s="25"/>
      <c r="B5905" s="25"/>
      <c r="C5905" s="25"/>
      <c r="D5905" s="25"/>
      <c r="E5905" s="25"/>
      <c r="F5905" s="25"/>
      <c r="G5905" s="25"/>
      <c r="H5905" s="25"/>
      <c r="I5905" s="25"/>
      <c r="J5905" s="25"/>
    </row>
    <row r="5906" spans="1:10" ht="14.4">
      <c r="A5906" s="25"/>
      <c r="B5906" s="25"/>
      <c r="C5906" s="25"/>
      <c r="D5906" s="25"/>
      <c r="E5906" s="25"/>
      <c r="F5906" s="25"/>
      <c r="G5906" s="25"/>
      <c r="H5906" s="25"/>
      <c r="I5906" s="25"/>
      <c r="J5906" s="25"/>
    </row>
    <row r="5907" spans="1:10" ht="14.4">
      <c r="A5907" s="25"/>
      <c r="B5907" s="25"/>
      <c r="C5907" s="25"/>
      <c r="D5907" s="25"/>
      <c r="E5907" s="25"/>
      <c r="F5907" s="25"/>
      <c r="G5907" s="25"/>
      <c r="H5907" s="25"/>
      <c r="I5907" s="25"/>
      <c r="J5907" s="25"/>
    </row>
    <row r="5908" spans="1:10" ht="14.4">
      <c r="A5908" s="25"/>
      <c r="B5908" s="25"/>
      <c r="C5908" s="25"/>
      <c r="D5908" s="25"/>
      <c r="E5908" s="25"/>
      <c r="F5908" s="25"/>
      <c r="G5908" s="25"/>
      <c r="H5908" s="25"/>
      <c r="I5908" s="25"/>
      <c r="J5908" s="25"/>
    </row>
    <row r="5909" spans="1:10" ht="14.4">
      <c r="A5909" s="25"/>
      <c r="B5909" s="25"/>
      <c r="C5909" s="25"/>
      <c r="D5909" s="25"/>
      <c r="E5909" s="25"/>
      <c r="F5909" s="25"/>
      <c r="G5909" s="25"/>
      <c r="H5909" s="25"/>
      <c r="I5909" s="25"/>
      <c r="J5909" s="25"/>
    </row>
    <row r="5910" spans="1:10" ht="14.4">
      <c r="A5910" s="25"/>
      <c r="B5910" s="25"/>
      <c r="C5910" s="25"/>
      <c r="D5910" s="25"/>
      <c r="E5910" s="25"/>
      <c r="F5910" s="25"/>
      <c r="G5910" s="25"/>
      <c r="H5910" s="25"/>
      <c r="I5910" s="25"/>
      <c r="J5910" s="25"/>
    </row>
    <row r="5911" spans="1:10" ht="14.4">
      <c r="A5911" s="25"/>
      <c r="B5911" s="25"/>
      <c r="C5911" s="25"/>
      <c r="D5911" s="25"/>
      <c r="E5911" s="25"/>
      <c r="F5911" s="25"/>
      <c r="G5911" s="25"/>
      <c r="H5911" s="25"/>
      <c r="I5911" s="25"/>
      <c r="J5911" s="25"/>
    </row>
    <row r="5912" spans="1:10" ht="14.4">
      <c r="A5912" s="25"/>
      <c r="B5912" s="25"/>
      <c r="C5912" s="25"/>
      <c r="D5912" s="25"/>
      <c r="E5912" s="25"/>
      <c r="F5912" s="25"/>
      <c r="G5912" s="25"/>
      <c r="H5912" s="25"/>
      <c r="I5912" s="25"/>
      <c r="J5912" s="25"/>
    </row>
    <row r="5913" spans="1:10" ht="14.4">
      <c r="A5913" s="25"/>
      <c r="B5913" s="25"/>
      <c r="C5913" s="25"/>
      <c r="D5913" s="25"/>
      <c r="E5913" s="25"/>
      <c r="F5913" s="25"/>
      <c r="G5913" s="25"/>
      <c r="H5913" s="25"/>
      <c r="I5913" s="25"/>
      <c r="J5913" s="25"/>
    </row>
    <row r="5914" spans="1:10" ht="14.4">
      <c r="A5914" s="25"/>
      <c r="B5914" s="25"/>
      <c r="C5914" s="25"/>
      <c r="D5914" s="25"/>
      <c r="E5914" s="25"/>
      <c r="F5914" s="25"/>
      <c r="G5914" s="25"/>
      <c r="H5914" s="25"/>
      <c r="I5914" s="25"/>
      <c r="J5914" s="25"/>
    </row>
    <row r="5915" spans="1:10" ht="14.4">
      <c r="A5915" s="25"/>
      <c r="B5915" s="25"/>
      <c r="C5915" s="25"/>
      <c r="D5915" s="25"/>
      <c r="E5915" s="25"/>
      <c r="F5915" s="25"/>
      <c r="G5915" s="25"/>
      <c r="H5915" s="25"/>
      <c r="I5915" s="25"/>
      <c r="J5915" s="25"/>
    </row>
    <row r="5916" spans="1:10" ht="14.4">
      <c r="A5916" s="25"/>
      <c r="B5916" s="25"/>
      <c r="C5916" s="25"/>
      <c r="D5916" s="25"/>
      <c r="E5916" s="25"/>
      <c r="F5916" s="25"/>
      <c r="G5916" s="25"/>
      <c r="H5916" s="25"/>
      <c r="I5916" s="25"/>
      <c r="J5916" s="25"/>
    </row>
    <row r="5917" spans="1:10" ht="14.4">
      <c r="A5917" s="25"/>
      <c r="B5917" s="25"/>
      <c r="C5917" s="25"/>
      <c r="D5917" s="25"/>
      <c r="E5917" s="25"/>
      <c r="F5917" s="25"/>
      <c r="G5917" s="25"/>
      <c r="H5917" s="25"/>
      <c r="I5917" s="25"/>
      <c r="J5917" s="25"/>
    </row>
    <row r="5918" spans="1:10" ht="14.4">
      <c r="A5918" s="25"/>
      <c r="B5918" s="25"/>
      <c r="C5918" s="25"/>
      <c r="D5918" s="25"/>
      <c r="E5918" s="25"/>
      <c r="F5918" s="25"/>
      <c r="G5918" s="25"/>
      <c r="H5918" s="25"/>
      <c r="I5918" s="25"/>
      <c r="J5918" s="25"/>
    </row>
    <row r="5919" spans="1:10" ht="14.4">
      <c r="A5919" s="25"/>
      <c r="B5919" s="25"/>
      <c r="C5919" s="25"/>
      <c r="D5919" s="25"/>
      <c r="E5919" s="25"/>
      <c r="F5919" s="25"/>
      <c r="G5919" s="25"/>
      <c r="H5919" s="25"/>
      <c r="I5919" s="25"/>
      <c r="J5919" s="25"/>
    </row>
    <row r="5920" spans="1:10" ht="14.4">
      <c r="A5920" s="25"/>
      <c r="B5920" s="25"/>
      <c r="C5920" s="25"/>
      <c r="D5920" s="25"/>
      <c r="E5920" s="25"/>
      <c r="F5920" s="25"/>
      <c r="G5920" s="25"/>
      <c r="H5920" s="25"/>
      <c r="I5920" s="25"/>
      <c r="J5920" s="25"/>
    </row>
    <row r="5921" spans="1:10" ht="14.4">
      <c r="A5921" s="25"/>
      <c r="B5921" s="25"/>
      <c r="C5921" s="25"/>
      <c r="D5921" s="25"/>
      <c r="E5921" s="25"/>
      <c r="F5921" s="25"/>
      <c r="G5921" s="25"/>
      <c r="H5921" s="25"/>
      <c r="I5921" s="25"/>
      <c r="J5921" s="25"/>
    </row>
    <row r="5922" spans="1:10" ht="14.4">
      <c r="A5922" s="25"/>
      <c r="B5922" s="25"/>
      <c r="C5922" s="25"/>
      <c r="D5922" s="25"/>
      <c r="E5922" s="25"/>
      <c r="F5922" s="25"/>
      <c r="G5922" s="25"/>
      <c r="H5922" s="25"/>
      <c r="I5922" s="25"/>
      <c r="J5922" s="25"/>
    </row>
    <row r="5923" spans="1:10" ht="14.4">
      <c r="A5923" s="25"/>
      <c r="B5923" s="25"/>
      <c r="C5923" s="25"/>
      <c r="D5923" s="25"/>
      <c r="E5923" s="25"/>
      <c r="F5923" s="25"/>
      <c r="G5923" s="25"/>
      <c r="H5923" s="25"/>
      <c r="I5923" s="25"/>
      <c r="J5923" s="25"/>
    </row>
    <row r="5924" spans="1:10" ht="14.4">
      <c r="A5924" s="25"/>
      <c r="B5924" s="25"/>
      <c r="C5924" s="25"/>
      <c r="D5924" s="25"/>
      <c r="E5924" s="25"/>
      <c r="F5924" s="25"/>
      <c r="G5924" s="25"/>
      <c r="H5924" s="25"/>
      <c r="I5924" s="25"/>
      <c r="J5924" s="25"/>
    </row>
    <row r="5925" spans="1:10" ht="14.4">
      <c r="A5925" s="25"/>
      <c r="B5925" s="25"/>
      <c r="C5925" s="25"/>
      <c r="D5925" s="25"/>
      <c r="E5925" s="25"/>
      <c r="F5925" s="25"/>
      <c r="G5925" s="25"/>
      <c r="H5925" s="25"/>
      <c r="I5925" s="25"/>
      <c r="J5925" s="25"/>
    </row>
    <row r="5926" spans="1:10" ht="14.4">
      <c r="A5926" s="25"/>
      <c r="B5926" s="25"/>
      <c r="C5926" s="25"/>
      <c r="D5926" s="25"/>
      <c r="E5926" s="25"/>
      <c r="F5926" s="25"/>
      <c r="G5926" s="25"/>
      <c r="H5926" s="25"/>
      <c r="I5926" s="25"/>
      <c r="J5926" s="25"/>
    </row>
    <row r="5927" spans="1:10" ht="14.4">
      <c r="A5927" s="25"/>
      <c r="B5927" s="25"/>
      <c r="C5927" s="25"/>
      <c r="D5927" s="25"/>
      <c r="E5927" s="25"/>
      <c r="F5927" s="25"/>
      <c r="G5927" s="25"/>
      <c r="H5927" s="25"/>
      <c r="I5927" s="25"/>
      <c r="J5927" s="25"/>
    </row>
    <row r="5928" spans="1:10" ht="14.4">
      <c r="A5928" s="25"/>
      <c r="B5928" s="25"/>
      <c r="C5928" s="25"/>
      <c r="D5928" s="25"/>
      <c r="E5928" s="25"/>
      <c r="F5928" s="25"/>
      <c r="G5928" s="25"/>
      <c r="H5928" s="25"/>
      <c r="I5928" s="25"/>
      <c r="J5928" s="25"/>
    </row>
    <row r="5929" spans="1:10" ht="14.4">
      <c r="A5929" s="25"/>
      <c r="B5929" s="25"/>
      <c r="C5929" s="25"/>
      <c r="D5929" s="25"/>
      <c r="E5929" s="25"/>
      <c r="F5929" s="25"/>
      <c r="G5929" s="25"/>
      <c r="H5929" s="25"/>
      <c r="I5929" s="25"/>
      <c r="J5929" s="25"/>
    </row>
    <row r="5930" spans="1:10" ht="14.4">
      <c r="A5930" s="25"/>
      <c r="B5930" s="25"/>
      <c r="C5930" s="25"/>
      <c r="D5930" s="25"/>
      <c r="E5930" s="25"/>
      <c r="F5930" s="25"/>
      <c r="G5930" s="25"/>
      <c r="H5930" s="25"/>
      <c r="I5930" s="25"/>
      <c r="J5930" s="25"/>
    </row>
    <row r="5931" spans="1:10" ht="14.4">
      <c r="A5931" s="25"/>
      <c r="B5931" s="25"/>
      <c r="C5931" s="25"/>
      <c r="D5931" s="25"/>
      <c r="E5931" s="25"/>
      <c r="F5931" s="25"/>
      <c r="G5931" s="25"/>
      <c r="H5931" s="25"/>
      <c r="I5931" s="25"/>
      <c r="J5931" s="25"/>
    </row>
    <row r="5932" spans="1:10" ht="14.4">
      <c r="A5932" s="25"/>
      <c r="B5932" s="25"/>
      <c r="C5932" s="25"/>
      <c r="D5932" s="25"/>
      <c r="E5932" s="25"/>
      <c r="F5932" s="25"/>
      <c r="G5932" s="25"/>
      <c r="H5932" s="25"/>
      <c r="I5932" s="25"/>
      <c r="J5932" s="25"/>
    </row>
    <row r="5933" spans="1:10" ht="14.4">
      <c r="A5933" s="25"/>
      <c r="B5933" s="25"/>
      <c r="C5933" s="25"/>
      <c r="D5933" s="25"/>
      <c r="E5933" s="25"/>
      <c r="F5933" s="25"/>
      <c r="G5933" s="25"/>
      <c r="H5933" s="25"/>
      <c r="I5933" s="25"/>
      <c r="J5933" s="25"/>
    </row>
    <row r="5934" spans="1:10" ht="14.4">
      <c r="A5934" s="25"/>
      <c r="B5934" s="25"/>
      <c r="C5934" s="25"/>
      <c r="D5934" s="25"/>
      <c r="E5934" s="25"/>
      <c r="F5934" s="25"/>
      <c r="G5934" s="25"/>
      <c r="H5934" s="25"/>
      <c r="I5934" s="25"/>
      <c r="J5934" s="25"/>
    </row>
    <row r="5935" spans="1:10" ht="14.4">
      <c r="A5935" s="25"/>
      <c r="B5935" s="25"/>
      <c r="C5935" s="25"/>
      <c r="D5935" s="25"/>
      <c r="E5935" s="25"/>
      <c r="F5935" s="25"/>
      <c r="G5935" s="25"/>
      <c r="H5935" s="25"/>
      <c r="I5935" s="25"/>
      <c r="J5935" s="25"/>
    </row>
    <row r="5936" spans="1:10" ht="14.4">
      <c r="A5936" s="25"/>
      <c r="B5936" s="25"/>
      <c r="C5936" s="25"/>
      <c r="D5936" s="25"/>
      <c r="E5936" s="25"/>
      <c r="F5936" s="25"/>
      <c r="G5936" s="25"/>
      <c r="H5936" s="25"/>
      <c r="I5936" s="25"/>
      <c r="J5936" s="25"/>
    </row>
    <row r="5937" spans="1:10" ht="14.4">
      <c r="A5937" s="25"/>
      <c r="B5937" s="25"/>
      <c r="C5937" s="25"/>
      <c r="D5937" s="25"/>
      <c r="E5937" s="25"/>
      <c r="F5937" s="25"/>
      <c r="G5937" s="25"/>
      <c r="H5937" s="25"/>
      <c r="I5937" s="25"/>
      <c r="J5937" s="25"/>
    </row>
    <row r="5938" spans="1:10" ht="14.4">
      <c r="A5938" s="25"/>
      <c r="B5938" s="25"/>
      <c r="C5938" s="25"/>
      <c r="D5938" s="25"/>
      <c r="E5938" s="25"/>
      <c r="F5938" s="25"/>
      <c r="G5938" s="25"/>
      <c r="H5938" s="25"/>
      <c r="I5938" s="25"/>
      <c r="J5938" s="25"/>
    </row>
    <row r="5939" spans="1:10" ht="14.4">
      <c r="A5939" s="25"/>
      <c r="B5939" s="25"/>
      <c r="C5939" s="25"/>
      <c r="D5939" s="25"/>
      <c r="E5939" s="25"/>
      <c r="F5939" s="25"/>
      <c r="G5939" s="25"/>
      <c r="H5939" s="25"/>
      <c r="I5939" s="25"/>
      <c r="J5939" s="25"/>
    </row>
    <row r="5940" spans="1:10" ht="14.4">
      <c r="A5940" s="25"/>
      <c r="B5940" s="25"/>
      <c r="C5940" s="25"/>
      <c r="D5940" s="25"/>
      <c r="E5940" s="25"/>
      <c r="F5940" s="25"/>
      <c r="G5940" s="25"/>
      <c r="H5940" s="25"/>
      <c r="I5940" s="25"/>
      <c r="J5940" s="25"/>
    </row>
    <row r="5941" spans="1:10" ht="14.4">
      <c r="A5941" s="25"/>
      <c r="B5941" s="25"/>
      <c r="C5941" s="25"/>
      <c r="D5941" s="25"/>
      <c r="E5941" s="25"/>
      <c r="F5941" s="25"/>
      <c r="G5941" s="25"/>
      <c r="H5941" s="25"/>
      <c r="I5941" s="25"/>
      <c r="J5941" s="25"/>
    </row>
    <row r="5942" spans="1:10" ht="14.4">
      <c r="A5942" s="25"/>
      <c r="B5942" s="25"/>
      <c r="C5942" s="25"/>
      <c r="D5942" s="25"/>
      <c r="E5942" s="25"/>
      <c r="F5942" s="25"/>
      <c r="G5942" s="25"/>
      <c r="H5942" s="25"/>
      <c r="I5942" s="25"/>
      <c r="J5942" s="25"/>
    </row>
    <row r="5943" spans="1:10" ht="14.4">
      <c r="A5943" s="25"/>
      <c r="B5943" s="25"/>
      <c r="C5943" s="25"/>
      <c r="D5943" s="25"/>
      <c r="E5943" s="25"/>
      <c r="F5943" s="25"/>
      <c r="G5943" s="25"/>
      <c r="H5943" s="25"/>
      <c r="I5943" s="25"/>
      <c r="J5943" s="25"/>
    </row>
    <row r="5944" spans="1:10" ht="14.4">
      <c r="A5944" s="25"/>
      <c r="B5944" s="25"/>
      <c r="C5944" s="25"/>
      <c r="D5944" s="25"/>
      <c r="E5944" s="25"/>
      <c r="F5944" s="25"/>
      <c r="G5944" s="25"/>
      <c r="H5944" s="25"/>
      <c r="I5944" s="25"/>
      <c r="J5944" s="25"/>
    </row>
    <row r="5945" spans="1:10" ht="14.4">
      <c r="A5945" s="25"/>
      <c r="B5945" s="25"/>
      <c r="C5945" s="25"/>
      <c r="D5945" s="25"/>
      <c r="E5945" s="25"/>
      <c r="F5945" s="25"/>
      <c r="G5945" s="25"/>
      <c r="H5945" s="25"/>
      <c r="I5945" s="25"/>
      <c r="J5945" s="25"/>
    </row>
    <row r="5946" spans="1:10" ht="14.4">
      <c r="A5946" s="25"/>
      <c r="B5946" s="25"/>
      <c r="C5946" s="25"/>
      <c r="D5946" s="25"/>
      <c r="E5946" s="25"/>
      <c r="F5946" s="25"/>
      <c r="G5946" s="25"/>
      <c r="H5946" s="25"/>
      <c r="I5946" s="25"/>
      <c r="J5946" s="25"/>
    </row>
    <row r="5947" spans="1:10" ht="14.4">
      <c r="A5947" s="25"/>
      <c r="B5947" s="25"/>
      <c r="C5947" s="25"/>
      <c r="D5947" s="25"/>
      <c r="E5947" s="25"/>
      <c r="F5947" s="25"/>
      <c r="G5947" s="25"/>
      <c r="H5947" s="25"/>
      <c r="I5947" s="25"/>
      <c r="J5947" s="25"/>
    </row>
    <row r="5948" spans="1:10" ht="14.4">
      <c r="A5948" s="25"/>
      <c r="B5948" s="25"/>
      <c r="C5948" s="25"/>
      <c r="D5948" s="25"/>
      <c r="E5948" s="25"/>
      <c r="F5948" s="25"/>
      <c r="G5948" s="25"/>
      <c r="H5948" s="25"/>
      <c r="I5948" s="25"/>
      <c r="J5948" s="25"/>
    </row>
    <row r="5949" spans="1:10" ht="14.4">
      <c r="A5949" s="25"/>
      <c r="B5949" s="25"/>
      <c r="C5949" s="25"/>
      <c r="D5949" s="25"/>
      <c r="E5949" s="25"/>
      <c r="F5949" s="25"/>
      <c r="G5949" s="25"/>
      <c r="H5949" s="25"/>
      <c r="I5949" s="25"/>
      <c r="J5949" s="25"/>
    </row>
    <row r="5950" spans="1:10" ht="14.4">
      <c r="A5950" s="25"/>
      <c r="B5950" s="25"/>
      <c r="C5950" s="25"/>
      <c r="D5950" s="25"/>
      <c r="E5950" s="25"/>
      <c r="F5950" s="25"/>
      <c r="G5950" s="25"/>
      <c r="H5950" s="25"/>
      <c r="I5950" s="25"/>
      <c r="J5950" s="25"/>
    </row>
    <row r="5951" spans="1:10" ht="14.4">
      <c r="A5951" s="25"/>
      <c r="B5951" s="25"/>
      <c r="C5951" s="25"/>
      <c r="D5951" s="25"/>
      <c r="E5951" s="25"/>
      <c r="F5951" s="25"/>
      <c r="G5951" s="25"/>
      <c r="H5951" s="25"/>
      <c r="I5951" s="25"/>
      <c r="J5951" s="25"/>
    </row>
    <row r="5952" spans="1:10" ht="14.4">
      <c r="A5952" s="25"/>
      <c r="B5952" s="25"/>
      <c r="C5952" s="25"/>
      <c r="D5952" s="25"/>
      <c r="E5952" s="25"/>
      <c r="F5952" s="25"/>
      <c r="G5952" s="25"/>
      <c r="H5952" s="25"/>
      <c r="I5952" s="25"/>
      <c r="J5952" s="25"/>
    </row>
    <row r="5953" spans="1:10" ht="14.4">
      <c r="A5953" s="25"/>
      <c r="B5953" s="25"/>
      <c r="C5953" s="25"/>
      <c r="D5953" s="25"/>
      <c r="E5953" s="25"/>
      <c r="F5953" s="25"/>
      <c r="G5953" s="25"/>
      <c r="H5953" s="25"/>
      <c r="I5953" s="25"/>
      <c r="J5953" s="25"/>
    </row>
    <row r="5954" spans="1:10" ht="14.4">
      <c r="A5954" s="25"/>
      <c r="B5954" s="25"/>
      <c r="C5954" s="25"/>
      <c r="D5954" s="25"/>
      <c r="E5954" s="25"/>
      <c r="F5954" s="25"/>
      <c r="G5954" s="25"/>
      <c r="H5954" s="25"/>
      <c r="I5954" s="25"/>
      <c r="J5954" s="25"/>
    </row>
    <row r="5955" spans="1:10" ht="14.4">
      <c r="A5955" s="25"/>
      <c r="B5955" s="25"/>
      <c r="C5955" s="25"/>
      <c r="D5955" s="25"/>
      <c r="E5955" s="25"/>
      <c r="F5955" s="25"/>
      <c r="G5955" s="25"/>
      <c r="H5955" s="25"/>
      <c r="I5955" s="25"/>
      <c r="J5955" s="25"/>
    </row>
    <row r="5956" spans="1:10" ht="14.4">
      <c r="A5956" s="25"/>
      <c r="B5956" s="25"/>
      <c r="C5956" s="25"/>
      <c r="D5956" s="25"/>
      <c r="E5956" s="25"/>
      <c r="F5956" s="25"/>
      <c r="G5956" s="25"/>
      <c r="H5956" s="25"/>
      <c r="I5956" s="25"/>
      <c r="J5956" s="25"/>
    </row>
    <row r="5957" spans="1:10" ht="14.4">
      <c r="A5957" s="25"/>
      <c r="B5957" s="25"/>
      <c r="C5957" s="25"/>
      <c r="D5957" s="25"/>
      <c r="E5957" s="25"/>
      <c r="F5957" s="25"/>
      <c r="G5957" s="25"/>
      <c r="H5957" s="25"/>
      <c r="I5957" s="25"/>
      <c r="J5957" s="25"/>
    </row>
    <row r="5958" spans="1:10" ht="14.4">
      <c r="A5958" s="25"/>
      <c r="B5958" s="25"/>
      <c r="C5958" s="25"/>
      <c r="D5958" s="25"/>
      <c r="E5958" s="25"/>
      <c r="F5958" s="25"/>
      <c r="G5958" s="25"/>
      <c r="H5958" s="25"/>
      <c r="I5958" s="25"/>
      <c r="J5958" s="25"/>
    </row>
    <row r="5959" spans="1:10" ht="14.4">
      <c r="A5959" s="25"/>
      <c r="B5959" s="25"/>
      <c r="C5959" s="25"/>
      <c r="D5959" s="25"/>
      <c r="E5959" s="25"/>
      <c r="F5959" s="25"/>
      <c r="G5959" s="25"/>
      <c r="H5959" s="25"/>
      <c r="I5959" s="25"/>
      <c r="J5959" s="25"/>
    </row>
    <row r="5960" spans="1:10" ht="14.4">
      <c r="A5960" s="25"/>
      <c r="B5960" s="25"/>
      <c r="C5960" s="25"/>
      <c r="D5960" s="25"/>
      <c r="E5960" s="25"/>
      <c r="F5960" s="25"/>
      <c r="G5960" s="25"/>
      <c r="H5960" s="25"/>
      <c r="I5960" s="25"/>
      <c r="J5960" s="25"/>
    </row>
    <row r="5961" spans="1:10" ht="14.4">
      <c r="A5961" s="25"/>
      <c r="B5961" s="25"/>
      <c r="C5961" s="25"/>
      <c r="D5961" s="25"/>
      <c r="E5961" s="25"/>
      <c r="F5961" s="25"/>
      <c r="G5961" s="25"/>
      <c r="H5961" s="25"/>
      <c r="I5961" s="25"/>
      <c r="J5961" s="25"/>
    </row>
    <row r="5962" spans="1:10" ht="14.4">
      <c r="A5962" s="25"/>
      <c r="B5962" s="25"/>
      <c r="C5962" s="25"/>
      <c r="D5962" s="25"/>
      <c r="E5962" s="25"/>
      <c r="F5962" s="25"/>
      <c r="G5962" s="25"/>
      <c r="H5962" s="25"/>
      <c r="I5962" s="25"/>
      <c r="J5962" s="25"/>
    </row>
    <row r="5963" spans="1:10" ht="14.4">
      <c r="A5963" s="25"/>
      <c r="B5963" s="25"/>
      <c r="C5963" s="25"/>
      <c r="D5963" s="25"/>
      <c r="E5963" s="25"/>
      <c r="F5963" s="25"/>
      <c r="G5963" s="25"/>
      <c r="H5963" s="25"/>
      <c r="I5963" s="25"/>
      <c r="J5963" s="25"/>
    </row>
    <row r="5964" spans="1:10" ht="14.4">
      <c r="A5964" s="25"/>
      <c r="B5964" s="25"/>
      <c r="C5964" s="25"/>
      <c r="D5964" s="25"/>
      <c r="E5964" s="25"/>
      <c r="F5964" s="25"/>
      <c r="G5964" s="25"/>
      <c r="H5964" s="25"/>
      <c r="I5964" s="25"/>
      <c r="J5964" s="25"/>
    </row>
    <row r="5965" spans="1:10" ht="14.4">
      <c r="A5965" s="25"/>
      <c r="B5965" s="25"/>
      <c r="C5965" s="25"/>
      <c r="D5965" s="25"/>
      <c r="E5965" s="25"/>
      <c r="F5965" s="25"/>
      <c r="G5965" s="25"/>
      <c r="H5965" s="25"/>
      <c r="I5965" s="25"/>
      <c r="J5965" s="25"/>
    </row>
    <row r="5966" spans="1:10" ht="14.4">
      <c r="A5966" s="25"/>
      <c r="B5966" s="25"/>
      <c r="C5966" s="25"/>
      <c r="D5966" s="25"/>
      <c r="E5966" s="25"/>
      <c r="F5966" s="25"/>
      <c r="G5966" s="25"/>
      <c r="H5966" s="25"/>
      <c r="I5966" s="25"/>
      <c r="J5966" s="25"/>
    </row>
    <row r="5967" spans="1:10" ht="14.4">
      <c r="A5967" s="25"/>
      <c r="B5967" s="25"/>
      <c r="C5967" s="25"/>
      <c r="D5967" s="25"/>
      <c r="E5967" s="25"/>
      <c r="F5967" s="25"/>
      <c r="G5967" s="25"/>
      <c r="H5967" s="25"/>
      <c r="I5967" s="25"/>
      <c r="J5967" s="25"/>
    </row>
    <row r="5968" spans="1:10" ht="14.4">
      <c r="A5968" s="25"/>
      <c r="B5968" s="25"/>
      <c r="C5968" s="25"/>
      <c r="D5968" s="25"/>
      <c r="E5968" s="25"/>
      <c r="F5968" s="25"/>
      <c r="G5968" s="25"/>
      <c r="H5968" s="25"/>
      <c r="I5968" s="25"/>
      <c r="J5968" s="25"/>
    </row>
    <row r="5969" spans="1:10" ht="14.4">
      <c r="A5969" s="25"/>
      <c r="B5969" s="25"/>
      <c r="C5969" s="25"/>
      <c r="D5969" s="25"/>
      <c r="E5969" s="25"/>
      <c r="F5969" s="25"/>
      <c r="G5969" s="25"/>
      <c r="H5969" s="25"/>
      <c r="I5969" s="25"/>
      <c r="J5969" s="25"/>
    </row>
    <row r="5970" spans="1:10" ht="14.4">
      <c r="A5970" s="25"/>
      <c r="B5970" s="25"/>
      <c r="C5970" s="25"/>
      <c r="D5970" s="25"/>
      <c r="E5970" s="25"/>
      <c r="F5970" s="25"/>
      <c r="G5970" s="25"/>
      <c r="H5970" s="25"/>
      <c r="I5970" s="25"/>
      <c r="J5970" s="25"/>
    </row>
    <row r="5971" spans="1:10" ht="14.4">
      <c r="A5971" s="25"/>
      <c r="B5971" s="25"/>
      <c r="C5971" s="25"/>
      <c r="D5971" s="25"/>
      <c r="E5971" s="25"/>
      <c r="F5971" s="25"/>
      <c r="G5971" s="25"/>
      <c r="H5971" s="25"/>
      <c r="I5971" s="25"/>
      <c r="J5971" s="25"/>
    </row>
    <row r="5972" spans="1:10" ht="14.4">
      <c r="A5972" s="25"/>
      <c r="B5972" s="25"/>
      <c r="C5972" s="25"/>
      <c r="D5972" s="25"/>
      <c r="E5972" s="25"/>
      <c r="F5972" s="25"/>
      <c r="G5972" s="25"/>
      <c r="H5972" s="25"/>
      <c r="I5972" s="25"/>
      <c r="J5972" s="25"/>
    </row>
    <row r="5973" spans="1:10" ht="14.4">
      <c r="A5973" s="25"/>
      <c r="B5973" s="25"/>
      <c r="C5973" s="25"/>
      <c r="D5973" s="25"/>
      <c r="E5973" s="25"/>
      <c r="F5973" s="25"/>
      <c r="G5973" s="25"/>
      <c r="H5973" s="25"/>
      <c r="I5973" s="25"/>
      <c r="J5973" s="25"/>
    </row>
    <row r="5974" spans="1:10" ht="14.4">
      <c r="A5974" s="25"/>
      <c r="B5974" s="25"/>
      <c r="C5974" s="25"/>
      <c r="D5974" s="25"/>
      <c r="E5974" s="25"/>
      <c r="F5974" s="25"/>
      <c r="G5974" s="25"/>
      <c r="H5974" s="25"/>
      <c r="I5974" s="25"/>
      <c r="J5974" s="25"/>
    </row>
    <row r="5975" spans="1:10" ht="14.4">
      <c r="A5975" s="25"/>
      <c r="B5975" s="25"/>
      <c r="C5975" s="25"/>
      <c r="D5975" s="25"/>
      <c r="E5975" s="25"/>
      <c r="F5975" s="25"/>
      <c r="G5975" s="25"/>
      <c r="H5975" s="25"/>
      <c r="I5975" s="25"/>
      <c r="J5975" s="25"/>
    </row>
    <row r="5976" spans="1:10" ht="14.4">
      <c r="A5976" s="25"/>
      <c r="B5976" s="25"/>
      <c r="C5976" s="25"/>
      <c r="D5976" s="25"/>
      <c r="E5976" s="25"/>
      <c r="F5976" s="25"/>
      <c r="G5976" s="25"/>
      <c r="H5976" s="25"/>
      <c r="I5976" s="25"/>
      <c r="J5976" s="25"/>
    </row>
    <row r="5977" spans="1:10" ht="14.4">
      <c r="A5977" s="25"/>
      <c r="B5977" s="25"/>
      <c r="C5977" s="25"/>
      <c r="D5977" s="25"/>
      <c r="E5977" s="25"/>
      <c r="F5977" s="25"/>
      <c r="G5977" s="25"/>
      <c r="H5977" s="25"/>
      <c r="I5977" s="25"/>
      <c r="J5977" s="25"/>
    </row>
    <row r="5978" spans="1:10" ht="14.4">
      <c r="A5978" s="25"/>
      <c r="B5978" s="25"/>
      <c r="C5978" s="25"/>
      <c r="D5978" s="25"/>
      <c r="E5978" s="25"/>
      <c r="F5978" s="25"/>
      <c r="G5978" s="25"/>
      <c r="H5978" s="25"/>
      <c r="I5978" s="25"/>
      <c r="J5978" s="25"/>
    </row>
    <row r="5979" spans="1:10" ht="14.4">
      <c r="A5979" s="25"/>
      <c r="B5979" s="25"/>
      <c r="C5979" s="25"/>
      <c r="D5979" s="25"/>
      <c r="E5979" s="25"/>
      <c r="F5979" s="25"/>
      <c r="G5979" s="25"/>
      <c r="H5979" s="25"/>
      <c r="I5979" s="25"/>
      <c r="J5979" s="25"/>
    </row>
    <row r="5980" spans="1:10" ht="14.4">
      <c r="A5980" s="25"/>
      <c r="B5980" s="25"/>
      <c r="C5980" s="25"/>
      <c r="D5980" s="25"/>
      <c r="E5980" s="25"/>
      <c r="F5980" s="25"/>
      <c r="G5980" s="25"/>
      <c r="H5980" s="25"/>
      <c r="I5980" s="25"/>
      <c r="J5980" s="25"/>
    </row>
    <row r="5981" spans="1:10" ht="14.4">
      <c r="A5981" s="25"/>
      <c r="B5981" s="25"/>
      <c r="C5981" s="25"/>
      <c r="D5981" s="25"/>
      <c r="E5981" s="25"/>
      <c r="F5981" s="25"/>
      <c r="G5981" s="25"/>
      <c r="H5981" s="25"/>
      <c r="I5981" s="25"/>
      <c r="J5981" s="25"/>
    </row>
    <row r="5982" spans="1:10" ht="14.4">
      <c r="A5982" s="25"/>
      <c r="B5982" s="25"/>
      <c r="C5982" s="25"/>
      <c r="D5982" s="25"/>
      <c r="E5982" s="25"/>
      <c r="F5982" s="25"/>
      <c r="G5982" s="25"/>
      <c r="H5982" s="25"/>
      <c r="I5982" s="25"/>
      <c r="J5982" s="25"/>
    </row>
    <row r="5983" spans="1:10" ht="14.4">
      <c r="A5983" s="25"/>
      <c r="B5983" s="25"/>
      <c r="C5983" s="25"/>
      <c r="D5983" s="25"/>
      <c r="E5983" s="25"/>
      <c r="F5983" s="25"/>
      <c r="G5983" s="25"/>
      <c r="H5983" s="25"/>
      <c r="I5983" s="25"/>
      <c r="J5983" s="25"/>
    </row>
    <row r="5984" spans="1:10" ht="14.4">
      <c r="A5984" s="25"/>
      <c r="B5984" s="25"/>
      <c r="C5984" s="25"/>
      <c r="D5984" s="25"/>
      <c r="E5984" s="25"/>
      <c r="F5984" s="25"/>
      <c r="G5984" s="25"/>
      <c r="H5984" s="25"/>
      <c r="I5984" s="25"/>
      <c r="J5984" s="25"/>
    </row>
    <row r="5985" spans="1:10" ht="14.4">
      <c r="A5985" s="25"/>
      <c r="B5985" s="25"/>
      <c r="C5985" s="25"/>
      <c r="D5985" s="25"/>
      <c r="E5985" s="25"/>
      <c r="F5985" s="25"/>
      <c r="G5985" s="25"/>
      <c r="H5985" s="25"/>
      <c r="I5985" s="25"/>
      <c r="J5985" s="25"/>
    </row>
    <row r="5986" spans="1:10" ht="14.4">
      <c r="A5986" s="25"/>
      <c r="B5986" s="25"/>
      <c r="C5986" s="25"/>
      <c r="D5986" s="25"/>
      <c r="E5986" s="25"/>
      <c r="F5986" s="25"/>
      <c r="G5986" s="25"/>
      <c r="H5986" s="25"/>
      <c r="I5986" s="25"/>
      <c r="J5986" s="25"/>
    </row>
    <row r="5987" spans="1:10" ht="14.4">
      <c r="A5987" s="25"/>
      <c r="B5987" s="25"/>
      <c r="C5987" s="25"/>
      <c r="D5987" s="25"/>
      <c r="E5987" s="25"/>
      <c r="F5987" s="25"/>
      <c r="G5987" s="25"/>
      <c r="H5987" s="25"/>
      <c r="I5987" s="25"/>
      <c r="J5987" s="25"/>
    </row>
    <row r="5988" spans="1:10" ht="14.4">
      <c r="A5988" s="25"/>
      <c r="B5988" s="25"/>
      <c r="C5988" s="25"/>
      <c r="D5988" s="25"/>
      <c r="E5988" s="25"/>
      <c r="F5988" s="25"/>
      <c r="G5988" s="25"/>
      <c r="H5988" s="25"/>
      <c r="I5988" s="25"/>
      <c r="J5988" s="25"/>
    </row>
    <row r="5989" spans="1:10" ht="14.4">
      <c r="A5989" s="25"/>
      <c r="B5989" s="25"/>
      <c r="C5989" s="25"/>
      <c r="D5989" s="25"/>
      <c r="E5989" s="25"/>
      <c r="F5989" s="25"/>
      <c r="G5989" s="25"/>
      <c r="H5989" s="25"/>
      <c r="I5989" s="25"/>
      <c r="J5989" s="25"/>
    </row>
    <row r="5990" spans="1:10" ht="14.4">
      <c r="A5990" s="25"/>
      <c r="B5990" s="25"/>
      <c r="C5990" s="25"/>
      <c r="D5990" s="25"/>
      <c r="E5990" s="25"/>
      <c r="F5990" s="25"/>
      <c r="G5990" s="25"/>
      <c r="H5990" s="25"/>
      <c r="I5990" s="25"/>
      <c r="J5990" s="25"/>
    </row>
    <row r="5991" spans="1:10" ht="14.4">
      <c r="A5991" s="25"/>
      <c r="B5991" s="25"/>
      <c r="C5991" s="25"/>
      <c r="D5991" s="25"/>
      <c r="E5991" s="25"/>
      <c r="F5991" s="25"/>
      <c r="G5991" s="25"/>
      <c r="H5991" s="25"/>
      <c r="I5991" s="25"/>
      <c r="J5991" s="25"/>
    </row>
    <row r="5992" spans="1:10" ht="14.4">
      <c r="A5992" s="25"/>
      <c r="B5992" s="25"/>
      <c r="C5992" s="25"/>
      <c r="D5992" s="25"/>
      <c r="E5992" s="25"/>
      <c r="F5992" s="25"/>
      <c r="G5992" s="25"/>
      <c r="H5992" s="25"/>
      <c r="I5992" s="25"/>
      <c r="J5992" s="25"/>
    </row>
    <row r="5993" spans="1:10" ht="14.4">
      <c r="A5993" s="25"/>
      <c r="B5993" s="25"/>
      <c r="C5993" s="25"/>
      <c r="D5993" s="25"/>
      <c r="E5993" s="25"/>
      <c r="F5993" s="25"/>
      <c r="G5993" s="25"/>
      <c r="H5993" s="25"/>
      <c r="I5993" s="25"/>
      <c r="J5993" s="25"/>
    </row>
    <row r="5994" spans="1:10" ht="14.4">
      <c r="A5994" s="25"/>
      <c r="B5994" s="25"/>
      <c r="C5994" s="25"/>
      <c r="D5994" s="25"/>
      <c r="E5994" s="25"/>
      <c r="F5994" s="25"/>
      <c r="G5994" s="25"/>
      <c r="H5994" s="25"/>
      <c r="I5994" s="25"/>
      <c r="J5994" s="25"/>
    </row>
    <row r="5995" spans="1:10" ht="14.4">
      <c r="A5995" s="25"/>
      <c r="B5995" s="25"/>
      <c r="C5995" s="25"/>
      <c r="D5995" s="25"/>
      <c r="E5995" s="25"/>
      <c r="F5995" s="25"/>
      <c r="G5995" s="25"/>
      <c r="H5995" s="25"/>
      <c r="I5995" s="25"/>
      <c r="J5995" s="25"/>
    </row>
    <row r="5996" spans="1:10" ht="14.4">
      <c r="A5996" s="25"/>
      <c r="B5996" s="25"/>
      <c r="C5996" s="25"/>
      <c r="D5996" s="25"/>
      <c r="E5996" s="25"/>
      <c r="F5996" s="25"/>
      <c r="G5996" s="25"/>
      <c r="H5996" s="25"/>
      <c r="I5996" s="25"/>
      <c r="J5996" s="25"/>
    </row>
    <row r="5997" spans="1:10" ht="14.4">
      <c r="A5997" s="25"/>
      <c r="B5997" s="25"/>
      <c r="C5997" s="25"/>
      <c r="D5997" s="25"/>
      <c r="E5997" s="25"/>
      <c r="F5997" s="25"/>
      <c r="G5997" s="25"/>
      <c r="H5997" s="25"/>
      <c r="I5997" s="25"/>
      <c r="J5997" s="25"/>
    </row>
    <row r="5998" spans="1:10" ht="14.4">
      <c r="A5998" s="25"/>
      <c r="B5998" s="25"/>
      <c r="C5998" s="25"/>
      <c r="D5998" s="25"/>
      <c r="E5998" s="25"/>
      <c r="F5998" s="25"/>
      <c r="G5998" s="25"/>
      <c r="H5998" s="25"/>
      <c r="I5998" s="25"/>
      <c r="J5998" s="25"/>
    </row>
    <row r="5999" spans="1:10" ht="14.4">
      <c r="A5999" s="25"/>
      <c r="B5999" s="25"/>
      <c r="C5999" s="25"/>
      <c r="D5999" s="25"/>
      <c r="E5999" s="25"/>
      <c r="F5999" s="25"/>
      <c r="G5999" s="25"/>
      <c r="H5999" s="25"/>
      <c r="I5999" s="25"/>
      <c r="J5999" s="25"/>
    </row>
    <row r="6000" spans="1:10" ht="14.4">
      <c r="A6000" s="25"/>
      <c r="B6000" s="25"/>
      <c r="C6000" s="25"/>
      <c r="D6000" s="25"/>
      <c r="E6000" s="25"/>
      <c r="F6000" s="25"/>
      <c r="G6000" s="25"/>
      <c r="H6000" s="25"/>
      <c r="I6000" s="25"/>
      <c r="J6000" s="25"/>
    </row>
    <row r="6001" spans="1:10" ht="14.4">
      <c r="A6001" s="25"/>
      <c r="B6001" s="25"/>
      <c r="C6001" s="25"/>
      <c r="D6001" s="25"/>
      <c r="E6001" s="25"/>
      <c r="F6001" s="25"/>
      <c r="G6001" s="25"/>
      <c r="H6001" s="25"/>
      <c r="I6001" s="25"/>
      <c r="J6001" s="25"/>
    </row>
    <row r="6002" spans="1:10" ht="14.4">
      <c r="A6002" s="25"/>
      <c r="B6002" s="25"/>
      <c r="C6002" s="25"/>
      <c r="D6002" s="25"/>
      <c r="E6002" s="25"/>
      <c r="F6002" s="25"/>
      <c r="G6002" s="25"/>
      <c r="H6002" s="25"/>
      <c r="I6002" s="25"/>
      <c r="J6002" s="25"/>
    </row>
    <row r="6003" spans="1:10" ht="14.4">
      <c r="A6003" s="25"/>
      <c r="B6003" s="25"/>
      <c r="C6003" s="25"/>
      <c r="D6003" s="25"/>
      <c r="E6003" s="25"/>
      <c r="F6003" s="25"/>
      <c r="G6003" s="25"/>
      <c r="H6003" s="25"/>
      <c r="I6003" s="25"/>
      <c r="J6003" s="25"/>
    </row>
    <row r="6004" spans="1:10" ht="14.4">
      <c r="A6004" s="25"/>
      <c r="B6004" s="25"/>
      <c r="C6004" s="25"/>
      <c r="D6004" s="25"/>
      <c r="E6004" s="25"/>
      <c r="F6004" s="25"/>
      <c r="G6004" s="25"/>
      <c r="H6004" s="25"/>
      <c r="I6004" s="25"/>
      <c r="J6004" s="25"/>
    </row>
    <row r="6005" spans="1:10" ht="14.4">
      <c r="A6005" s="25"/>
      <c r="B6005" s="25"/>
      <c r="C6005" s="25"/>
      <c r="D6005" s="25"/>
      <c r="E6005" s="25"/>
      <c r="F6005" s="25"/>
      <c r="G6005" s="25"/>
      <c r="H6005" s="25"/>
      <c r="I6005" s="25"/>
      <c r="J6005" s="25"/>
    </row>
    <row r="6006" spans="1:10" ht="14.4">
      <c r="A6006" s="25"/>
      <c r="B6006" s="25"/>
      <c r="C6006" s="25"/>
      <c r="D6006" s="25"/>
      <c r="E6006" s="25"/>
      <c r="F6006" s="25"/>
      <c r="G6006" s="25"/>
      <c r="H6006" s="25"/>
      <c r="I6006" s="25"/>
      <c r="J6006" s="25"/>
    </row>
    <row r="6007" spans="1:10" ht="14.4">
      <c r="A6007" s="25"/>
      <c r="B6007" s="25"/>
      <c r="C6007" s="25"/>
      <c r="D6007" s="25"/>
      <c r="E6007" s="25"/>
      <c r="F6007" s="25"/>
      <c r="G6007" s="25"/>
      <c r="H6007" s="25"/>
      <c r="I6007" s="25"/>
      <c r="J6007" s="25"/>
    </row>
    <row r="6008" spans="1:10" ht="14.4">
      <c r="A6008" s="25"/>
      <c r="B6008" s="25"/>
      <c r="C6008" s="25"/>
      <c r="D6008" s="25"/>
      <c r="E6008" s="25"/>
      <c r="F6008" s="25"/>
      <c r="G6008" s="25"/>
      <c r="H6008" s="25"/>
      <c r="I6008" s="25"/>
      <c r="J6008" s="25"/>
    </row>
    <row r="6009" spans="1:10" ht="14.4">
      <c r="A6009" s="25"/>
      <c r="B6009" s="25"/>
      <c r="C6009" s="25"/>
      <c r="D6009" s="25"/>
      <c r="E6009" s="25"/>
      <c r="F6009" s="25"/>
      <c r="G6009" s="25"/>
      <c r="H6009" s="25"/>
      <c r="I6009" s="25"/>
      <c r="J6009" s="25"/>
    </row>
    <row r="6010" spans="1:10" ht="14.4">
      <c r="A6010" s="25"/>
      <c r="B6010" s="25"/>
      <c r="C6010" s="25"/>
      <c r="D6010" s="25"/>
      <c r="E6010" s="25"/>
      <c r="F6010" s="25"/>
      <c r="G6010" s="25"/>
      <c r="H6010" s="25"/>
      <c r="I6010" s="25"/>
      <c r="J6010" s="25"/>
    </row>
    <row r="6011" spans="1:10" ht="14.4">
      <c r="A6011" s="25"/>
      <c r="B6011" s="25"/>
      <c r="C6011" s="25"/>
      <c r="D6011" s="25"/>
      <c r="E6011" s="25"/>
      <c r="F6011" s="25"/>
      <c r="G6011" s="25"/>
      <c r="H6011" s="25"/>
      <c r="I6011" s="25"/>
      <c r="J6011" s="25"/>
    </row>
    <row r="6012" spans="1:10" ht="14.4">
      <c r="A6012" s="25"/>
      <c r="B6012" s="25"/>
      <c r="C6012" s="25"/>
      <c r="D6012" s="25"/>
      <c r="E6012" s="25"/>
      <c r="F6012" s="25"/>
      <c r="G6012" s="25"/>
      <c r="H6012" s="25"/>
      <c r="I6012" s="25"/>
      <c r="J6012" s="25"/>
    </row>
    <row r="6013" spans="1:10" ht="14.4">
      <c r="A6013" s="25"/>
      <c r="B6013" s="25"/>
      <c r="C6013" s="25"/>
      <c r="D6013" s="25"/>
      <c r="E6013" s="25"/>
      <c r="F6013" s="25"/>
      <c r="G6013" s="25"/>
      <c r="H6013" s="25"/>
      <c r="I6013" s="25"/>
      <c r="J6013" s="25"/>
    </row>
    <row r="6014" spans="1:10" ht="14.4">
      <c r="A6014" s="25"/>
      <c r="B6014" s="25"/>
      <c r="C6014" s="25"/>
      <c r="D6014" s="25"/>
      <c r="E6014" s="25"/>
      <c r="F6014" s="25"/>
      <c r="G6014" s="25"/>
      <c r="H6014" s="25"/>
      <c r="I6014" s="25"/>
      <c r="J6014" s="25"/>
    </row>
    <row r="6015" spans="1:10" ht="14.4">
      <c r="A6015" s="25"/>
      <c r="B6015" s="25"/>
      <c r="C6015" s="25"/>
      <c r="D6015" s="25"/>
      <c r="E6015" s="25"/>
      <c r="F6015" s="25"/>
      <c r="G6015" s="25"/>
      <c r="H6015" s="25"/>
      <c r="I6015" s="25"/>
      <c r="J6015" s="25"/>
    </row>
    <row r="6016" spans="1:10" ht="14.4">
      <c r="A6016" s="25"/>
      <c r="B6016" s="25"/>
      <c r="C6016" s="25"/>
      <c r="D6016" s="25"/>
      <c r="E6016" s="25"/>
      <c r="F6016" s="25"/>
      <c r="G6016" s="25"/>
      <c r="H6016" s="25"/>
      <c r="I6016" s="25"/>
      <c r="J6016" s="25"/>
    </row>
    <row r="6017" spans="1:10" ht="14.4">
      <c r="A6017" s="25"/>
      <c r="B6017" s="25"/>
      <c r="C6017" s="25"/>
      <c r="D6017" s="25"/>
      <c r="E6017" s="25"/>
      <c r="F6017" s="25"/>
      <c r="G6017" s="25"/>
      <c r="H6017" s="25"/>
      <c r="I6017" s="25"/>
      <c r="J6017" s="25"/>
    </row>
    <row r="6018" spans="1:10" ht="14.4">
      <c r="A6018" s="25"/>
      <c r="B6018" s="25"/>
      <c r="C6018" s="25"/>
      <c r="D6018" s="25"/>
      <c r="E6018" s="25"/>
      <c r="F6018" s="25"/>
      <c r="G6018" s="25"/>
      <c r="H6018" s="25"/>
      <c r="I6018" s="25"/>
      <c r="J6018" s="25"/>
    </row>
    <row r="6019" spans="1:10" ht="14.4">
      <c r="A6019" s="25"/>
      <c r="B6019" s="25"/>
      <c r="C6019" s="25"/>
      <c r="D6019" s="25"/>
      <c r="E6019" s="25"/>
      <c r="F6019" s="25"/>
      <c r="G6019" s="25"/>
      <c r="H6019" s="25"/>
      <c r="I6019" s="25"/>
      <c r="J6019" s="25"/>
    </row>
    <row r="6020" spans="1:10" ht="14.4">
      <c r="A6020" s="25"/>
      <c r="B6020" s="25"/>
      <c r="C6020" s="25"/>
      <c r="D6020" s="25"/>
      <c r="E6020" s="25"/>
      <c r="F6020" s="25"/>
      <c r="G6020" s="25"/>
      <c r="H6020" s="25"/>
      <c r="I6020" s="25"/>
      <c r="J6020" s="25"/>
    </row>
    <row r="6021" spans="1:10" ht="14.4">
      <c r="A6021" s="25"/>
      <c r="B6021" s="25"/>
      <c r="C6021" s="25"/>
      <c r="D6021" s="25"/>
      <c r="E6021" s="25"/>
      <c r="F6021" s="25"/>
      <c r="G6021" s="25"/>
      <c r="H6021" s="25"/>
      <c r="I6021" s="25"/>
      <c r="J6021" s="25"/>
    </row>
    <row r="6022" spans="1:10" ht="14.4">
      <c r="A6022" s="25"/>
      <c r="B6022" s="25"/>
      <c r="C6022" s="25"/>
      <c r="D6022" s="25"/>
      <c r="E6022" s="25"/>
      <c r="F6022" s="25"/>
      <c r="G6022" s="25"/>
      <c r="H6022" s="25"/>
      <c r="I6022" s="25"/>
      <c r="J6022" s="25"/>
    </row>
    <row r="6023" spans="1:10" ht="14.4">
      <c r="A6023" s="25"/>
      <c r="B6023" s="25"/>
      <c r="C6023" s="25"/>
      <c r="D6023" s="25"/>
      <c r="E6023" s="25"/>
      <c r="F6023" s="25"/>
      <c r="G6023" s="25"/>
      <c r="H6023" s="25"/>
      <c r="I6023" s="25"/>
      <c r="J6023" s="25"/>
    </row>
    <row r="6024" spans="1:10" ht="14.4">
      <c r="A6024" s="25"/>
      <c r="B6024" s="25"/>
      <c r="C6024" s="25"/>
      <c r="D6024" s="25"/>
      <c r="E6024" s="25"/>
      <c r="F6024" s="25"/>
      <c r="G6024" s="25"/>
      <c r="H6024" s="25"/>
      <c r="I6024" s="25"/>
      <c r="J6024" s="25"/>
    </row>
    <row r="6025" spans="1:10" ht="14.4">
      <c r="A6025" s="25"/>
      <c r="B6025" s="25"/>
      <c r="C6025" s="25"/>
      <c r="D6025" s="25"/>
      <c r="E6025" s="25"/>
      <c r="F6025" s="25"/>
      <c r="G6025" s="25"/>
      <c r="H6025" s="25"/>
      <c r="I6025" s="25"/>
      <c r="J6025" s="25"/>
    </row>
    <row r="6026" spans="1:10" ht="14.4">
      <c r="A6026" s="25"/>
      <c r="B6026" s="25"/>
      <c r="C6026" s="25"/>
      <c r="D6026" s="25"/>
      <c r="E6026" s="25"/>
      <c r="F6026" s="25"/>
      <c r="G6026" s="25"/>
      <c r="H6026" s="25"/>
      <c r="I6026" s="25"/>
      <c r="J6026" s="25"/>
    </row>
    <row r="6027" spans="1:10" ht="14.4">
      <c r="A6027" s="25"/>
      <c r="B6027" s="25"/>
      <c r="C6027" s="25"/>
      <c r="D6027" s="25"/>
      <c r="E6027" s="25"/>
      <c r="F6027" s="25"/>
      <c r="G6027" s="25"/>
      <c r="H6027" s="25"/>
      <c r="I6027" s="25"/>
      <c r="J6027" s="25"/>
    </row>
    <row r="6028" spans="1:10" ht="14.4">
      <c r="A6028" s="25"/>
      <c r="B6028" s="25"/>
      <c r="C6028" s="25"/>
      <c r="D6028" s="25"/>
      <c r="E6028" s="25"/>
      <c r="F6028" s="25"/>
      <c r="G6028" s="25"/>
      <c r="H6028" s="25"/>
      <c r="I6028" s="25"/>
      <c r="J6028" s="25"/>
    </row>
    <row r="6029" spans="1:10" ht="14.4">
      <c r="A6029" s="25"/>
      <c r="B6029" s="25"/>
      <c r="C6029" s="25"/>
      <c r="D6029" s="25"/>
      <c r="E6029" s="25"/>
      <c r="F6029" s="25"/>
      <c r="G6029" s="25"/>
      <c r="H6029" s="25"/>
      <c r="I6029" s="25"/>
      <c r="J6029" s="25"/>
    </row>
    <row r="6030" spans="1:10" ht="14.4">
      <c r="A6030" s="25"/>
      <c r="B6030" s="25"/>
      <c r="C6030" s="25"/>
      <c r="D6030" s="25"/>
      <c r="E6030" s="25"/>
      <c r="F6030" s="25"/>
      <c r="G6030" s="25"/>
      <c r="H6030" s="25"/>
      <c r="I6030" s="25"/>
      <c r="J6030" s="25"/>
    </row>
    <row r="6031" spans="1:10" ht="14.4">
      <c r="A6031" s="25"/>
      <c r="B6031" s="25"/>
      <c r="C6031" s="25"/>
      <c r="D6031" s="25"/>
      <c r="E6031" s="25"/>
      <c r="F6031" s="25"/>
      <c r="G6031" s="25"/>
      <c r="H6031" s="25"/>
      <c r="I6031" s="25"/>
      <c r="J6031" s="25"/>
    </row>
    <row r="6032" spans="1:10" ht="14.4">
      <c r="A6032" s="25"/>
      <c r="B6032" s="25"/>
      <c r="C6032" s="25"/>
      <c r="D6032" s="25"/>
      <c r="E6032" s="25"/>
      <c r="F6032" s="25"/>
      <c r="G6032" s="25"/>
      <c r="H6032" s="25"/>
      <c r="I6032" s="25"/>
      <c r="J6032" s="25"/>
    </row>
    <row r="6033" spans="1:10" ht="14.4">
      <c r="A6033" s="25"/>
      <c r="B6033" s="25"/>
      <c r="C6033" s="25"/>
      <c r="D6033" s="25"/>
      <c r="E6033" s="25"/>
      <c r="F6033" s="25"/>
      <c r="G6033" s="25"/>
      <c r="H6033" s="25"/>
      <c r="I6033" s="25"/>
      <c r="J6033" s="25"/>
    </row>
    <row r="6034" spans="1:10" ht="14.4">
      <c r="A6034" s="25"/>
      <c r="B6034" s="25"/>
      <c r="C6034" s="25"/>
      <c r="D6034" s="25"/>
      <c r="E6034" s="25"/>
      <c r="F6034" s="25"/>
      <c r="G6034" s="25"/>
      <c r="H6034" s="25"/>
      <c r="I6034" s="25"/>
      <c r="J6034" s="25"/>
    </row>
    <row r="6035" spans="1:10" ht="14.4">
      <c r="A6035" s="25"/>
      <c r="B6035" s="25"/>
      <c r="C6035" s="25"/>
      <c r="D6035" s="25"/>
      <c r="E6035" s="25"/>
      <c r="F6035" s="25"/>
      <c r="G6035" s="25"/>
      <c r="H6035" s="25"/>
      <c r="I6035" s="25"/>
      <c r="J6035" s="25"/>
    </row>
    <row r="6036" spans="1:10" ht="14.4">
      <c r="A6036" s="25"/>
      <c r="B6036" s="25"/>
      <c r="C6036" s="25"/>
      <c r="D6036" s="25"/>
      <c r="E6036" s="25"/>
      <c r="F6036" s="25"/>
      <c r="G6036" s="25"/>
      <c r="H6036" s="25"/>
      <c r="I6036" s="25"/>
      <c r="J6036" s="25"/>
    </row>
    <row r="6037" spans="1:10" ht="14.4">
      <c r="A6037" s="25"/>
      <c r="B6037" s="25"/>
      <c r="C6037" s="25"/>
      <c r="D6037" s="25"/>
      <c r="E6037" s="25"/>
      <c r="F6037" s="25"/>
      <c r="G6037" s="25"/>
      <c r="H6037" s="25"/>
      <c r="I6037" s="25"/>
      <c r="J6037" s="25"/>
    </row>
    <row r="6038" spans="1:10" ht="14.4">
      <c r="A6038" s="25"/>
      <c r="B6038" s="25"/>
      <c r="C6038" s="25"/>
      <c r="D6038" s="25"/>
      <c r="E6038" s="25"/>
      <c r="F6038" s="25"/>
      <c r="G6038" s="25"/>
      <c r="H6038" s="25"/>
      <c r="I6038" s="25"/>
      <c r="J6038" s="25"/>
    </row>
    <row r="6039" spans="1:10" ht="14.4">
      <c r="A6039" s="25"/>
      <c r="B6039" s="25"/>
      <c r="C6039" s="25"/>
      <c r="D6039" s="25"/>
      <c r="E6039" s="25"/>
      <c r="F6039" s="25"/>
      <c r="G6039" s="25"/>
      <c r="H6039" s="25"/>
      <c r="I6039" s="25"/>
      <c r="J6039" s="25"/>
    </row>
    <row r="6040" spans="1:10" ht="14.4">
      <c r="A6040" s="25"/>
      <c r="B6040" s="25"/>
      <c r="C6040" s="25"/>
      <c r="D6040" s="25"/>
      <c r="E6040" s="25"/>
      <c r="F6040" s="25"/>
      <c r="G6040" s="25"/>
      <c r="H6040" s="25"/>
      <c r="I6040" s="25"/>
      <c r="J6040" s="25"/>
    </row>
    <row r="6041" spans="1:10" ht="14.4">
      <c r="A6041" s="25"/>
      <c r="B6041" s="25"/>
      <c r="C6041" s="25"/>
      <c r="D6041" s="25"/>
      <c r="E6041" s="25"/>
      <c r="F6041" s="25"/>
      <c r="G6041" s="25"/>
      <c r="H6041" s="25"/>
      <c r="I6041" s="25"/>
      <c r="J6041" s="25"/>
    </row>
    <row r="6042" spans="1:10" ht="14.4">
      <c r="A6042" s="25"/>
      <c r="B6042" s="25"/>
      <c r="C6042" s="25"/>
      <c r="D6042" s="25"/>
      <c r="E6042" s="25"/>
      <c r="F6042" s="25"/>
      <c r="G6042" s="25"/>
      <c r="H6042" s="25"/>
      <c r="I6042" s="25"/>
      <c r="J6042" s="25"/>
    </row>
    <row r="6043" spans="1:10" ht="14.4">
      <c r="A6043" s="25"/>
      <c r="B6043" s="25"/>
      <c r="C6043" s="25"/>
      <c r="D6043" s="25"/>
      <c r="E6043" s="25"/>
      <c r="F6043" s="25"/>
      <c r="G6043" s="25"/>
      <c r="H6043" s="25"/>
      <c r="I6043" s="25"/>
      <c r="J6043" s="25"/>
    </row>
    <row r="6044" spans="1:10" ht="14.4">
      <c r="A6044" s="25"/>
      <c r="B6044" s="25"/>
      <c r="C6044" s="25"/>
      <c r="D6044" s="25"/>
      <c r="E6044" s="25"/>
      <c r="F6044" s="25"/>
      <c r="G6044" s="25"/>
      <c r="H6044" s="25"/>
      <c r="I6044" s="25"/>
      <c r="J6044" s="25"/>
    </row>
    <row r="6045" spans="1:10" ht="14.4">
      <c r="A6045" s="25"/>
      <c r="B6045" s="25"/>
      <c r="C6045" s="25"/>
      <c r="D6045" s="25"/>
      <c r="E6045" s="25"/>
      <c r="F6045" s="25"/>
      <c r="G6045" s="25"/>
      <c r="H6045" s="25"/>
      <c r="I6045" s="25"/>
      <c r="J6045" s="25"/>
    </row>
    <row r="6046" spans="1:10" ht="14.4">
      <c r="A6046" s="25"/>
      <c r="B6046" s="25"/>
      <c r="C6046" s="25"/>
      <c r="D6046" s="25"/>
      <c r="E6046" s="25"/>
      <c r="F6046" s="25"/>
      <c r="G6046" s="25"/>
      <c r="H6046" s="25"/>
      <c r="I6046" s="25"/>
      <c r="J6046" s="25"/>
    </row>
    <row r="6047" spans="1:10" ht="14.4">
      <c r="A6047" s="25"/>
      <c r="B6047" s="25"/>
      <c r="C6047" s="25"/>
      <c r="D6047" s="25"/>
      <c r="E6047" s="25"/>
      <c r="F6047" s="25"/>
      <c r="G6047" s="25"/>
      <c r="H6047" s="25"/>
      <c r="I6047" s="25"/>
      <c r="J6047" s="25"/>
    </row>
    <row r="6048" spans="1:10" ht="14.4">
      <c r="A6048" s="25"/>
      <c r="B6048" s="25"/>
      <c r="C6048" s="25"/>
      <c r="D6048" s="25"/>
      <c r="E6048" s="25"/>
      <c r="F6048" s="25"/>
      <c r="G6048" s="25"/>
      <c r="H6048" s="25"/>
      <c r="I6048" s="25"/>
      <c r="J6048" s="25"/>
    </row>
    <row r="6049" spans="1:10" ht="14.4">
      <c r="A6049" s="25"/>
      <c r="B6049" s="25"/>
      <c r="C6049" s="25"/>
      <c r="D6049" s="25"/>
      <c r="E6049" s="25"/>
      <c r="F6049" s="25"/>
      <c r="G6049" s="25"/>
      <c r="H6049" s="25"/>
      <c r="I6049" s="25"/>
      <c r="J6049" s="25"/>
    </row>
    <row r="6050" spans="1:10" ht="14.4">
      <c r="A6050" s="25"/>
      <c r="B6050" s="25"/>
      <c r="C6050" s="25"/>
      <c r="D6050" s="25"/>
      <c r="E6050" s="25"/>
      <c r="F6050" s="25"/>
      <c r="G6050" s="25"/>
      <c r="H6050" s="25"/>
      <c r="I6050" s="25"/>
      <c r="J6050" s="25"/>
    </row>
    <row r="6051" spans="1:10" ht="14.4">
      <c r="A6051" s="25"/>
      <c r="B6051" s="25"/>
      <c r="C6051" s="25"/>
      <c r="D6051" s="25"/>
      <c r="E6051" s="25"/>
      <c r="F6051" s="25"/>
      <c r="G6051" s="25"/>
      <c r="H6051" s="25"/>
      <c r="I6051" s="25"/>
      <c r="J6051" s="25"/>
    </row>
    <row r="6052" spans="1:10" ht="14.4">
      <c r="A6052" s="25"/>
      <c r="B6052" s="25"/>
      <c r="C6052" s="25"/>
      <c r="D6052" s="25"/>
      <c r="E6052" s="25"/>
      <c r="F6052" s="25"/>
      <c r="G6052" s="25"/>
      <c r="H6052" s="25"/>
      <c r="I6052" s="25"/>
      <c r="J6052" s="25"/>
    </row>
    <row r="6053" spans="1:10" ht="14.4">
      <c r="A6053" s="25"/>
      <c r="B6053" s="25"/>
      <c r="C6053" s="25"/>
      <c r="D6053" s="25"/>
      <c r="E6053" s="25"/>
      <c r="F6053" s="25"/>
      <c r="G6053" s="25"/>
      <c r="H6053" s="25"/>
      <c r="I6053" s="25"/>
      <c r="J6053" s="25"/>
    </row>
    <row r="6054" spans="1:10" ht="14.4">
      <c r="A6054" s="25"/>
      <c r="B6054" s="25"/>
      <c r="C6054" s="25"/>
      <c r="D6054" s="25"/>
      <c r="E6054" s="25"/>
      <c r="F6054" s="25"/>
      <c r="G6054" s="25"/>
      <c r="H6054" s="25"/>
      <c r="I6054" s="25"/>
      <c r="J6054" s="25"/>
    </row>
    <row r="6055" spans="1:10" ht="14.4">
      <c r="A6055" s="25"/>
      <c r="B6055" s="25"/>
      <c r="C6055" s="25"/>
      <c r="D6055" s="25"/>
      <c r="E6055" s="25"/>
      <c r="F6055" s="25"/>
      <c r="G6055" s="25"/>
      <c r="H6055" s="25"/>
      <c r="I6055" s="25"/>
      <c r="J6055" s="25"/>
    </row>
    <row r="6056" spans="1:10" ht="14.4">
      <c r="A6056" s="25"/>
      <c r="B6056" s="25"/>
      <c r="C6056" s="25"/>
      <c r="D6056" s="25"/>
      <c r="E6056" s="25"/>
      <c r="F6056" s="25"/>
      <c r="G6056" s="25"/>
      <c r="H6056" s="25"/>
      <c r="I6056" s="25"/>
      <c r="J6056" s="25"/>
    </row>
    <row r="6057" spans="1:10" ht="14.4">
      <c r="A6057" s="25"/>
      <c r="B6057" s="25"/>
      <c r="C6057" s="25"/>
      <c r="D6057" s="25"/>
      <c r="E6057" s="25"/>
      <c r="F6057" s="25"/>
      <c r="G6057" s="25"/>
      <c r="H6057" s="25"/>
      <c r="I6057" s="25"/>
      <c r="J6057" s="25"/>
    </row>
    <row r="6058" spans="1:10" ht="14.4">
      <c r="A6058" s="25"/>
      <c r="B6058" s="25"/>
      <c r="C6058" s="25"/>
      <c r="D6058" s="25"/>
      <c r="E6058" s="25"/>
      <c r="F6058" s="25"/>
      <c r="G6058" s="25"/>
      <c r="H6058" s="25"/>
      <c r="I6058" s="25"/>
      <c r="J6058" s="25"/>
    </row>
    <row r="6059" spans="1:10" ht="14.4">
      <c r="A6059" s="25"/>
      <c r="B6059" s="25"/>
      <c r="C6059" s="25"/>
      <c r="D6059" s="25"/>
      <c r="E6059" s="25"/>
      <c r="F6059" s="25"/>
      <c r="G6059" s="25"/>
      <c r="H6059" s="25"/>
      <c r="I6059" s="25"/>
      <c r="J6059" s="25"/>
    </row>
    <row r="6060" spans="1:10" ht="14.4">
      <c r="A6060" s="25"/>
      <c r="B6060" s="25"/>
      <c r="C6060" s="25"/>
      <c r="D6060" s="25"/>
      <c r="E6060" s="25"/>
      <c r="F6060" s="25"/>
      <c r="G6060" s="25"/>
      <c r="H6060" s="25"/>
      <c r="I6060" s="25"/>
      <c r="J6060" s="25"/>
    </row>
    <row r="6061" spans="1:10" ht="14.4">
      <c r="A6061" s="25"/>
      <c r="B6061" s="25"/>
      <c r="C6061" s="25"/>
      <c r="D6061" s="25"/>
      <c r="E6061" s="25"/>
      <c r="F6061" s="25"/>
      <c r="G6061" s="25"/>
      <c r="H6061" s="25"/>
      <c r="I6061" s="25"/>
      <c r="J6061" s="25"/>
    </row>
    <row r="6062" spans="1:10" ht="14.4">
      <c r="A6062" s="25"/>
      <c r="B6062" s="25"/>
      <c r="C6062" s="25"/>
      <c r="D6062" s="25"/>
      <c r="E6062" s="25"/>
      <c r="F6062" s="25"/>
      <c r="G6062" s="25"/>
      <c r="H6062" s="25"/>
      <c r="I6062" s="25"/>
      <c r="J6062" s="25"/>
    </row>
    <row r="6063" spans="1:10" ht="14.4">
      <c r="A6063" s="25"/>
      <c r="B6063" s="25"/>
      <c r="C6063" s="25"/>
      <c r="D6063" s="25"/>
      <c r="E6063" s="25"/>
      <c r="F6063" s="25"/>
      <c r="G6063" s="25"/>
      <c r="H6063" s="25"/>
      <c r="I6063" s="25"/>
      <c r="J6063" s="25"/>
    </row>
    <row r="6064" spans="1:10" ht="14.4">
      <c r="A6064" s="25"/>
      <c r="B6064" s="25"/>
      <c r="C6064" s="25"/>
      <c r="D6064" s="25"/>
      <c r="E6064" s="25"/>
      <c r="F6064" s="25"/>
      <c r="G6064" s="25"/>
      <c r="H6064" s="25"/>
      <c r="I6064" s="25"/>
      <c r="J6064" s="25"/>
    </row>
    <row r="6065" spans="1:10" ht="14.4">
      <c r="A6065" s="25"/>
      <c r="B6065" s="25"/>
      <c r="C6065" s="25"/>
      <c r="D6065" s="25"/>
      <c r="E6065" s="25"/>
      <c r="F6065" s="25"/>
      <c r="G6065" s="25"/>
      <c r="H6065" s="25"/>
      <c r="I6065" s="25"/>
      <c r="J6065" s="25"/>
    </row>
    <row r="6066" spans="1:10" ht="14.4">
      <c r="A6066" s="25"/>
      <c r="B6066" s="25"/>
      <c r="C6066" s="25"/>
      <c r="D6066" s="25"/>
      <c r="E6066" s="25"/>
      <c r="F6066" s="25"/>
      <c r="G6066" s="25"/>
      <c r="H6066" s="25"/>
      <c r="I6066" s="25"/>
      <c r="J6066" s="25"/>
    </row>
    <row r="6067" spans="1:10" ht="14.4">
      <c r="A6067" s="25"/>
      <c r="B6067" s="25"/>
      <c r="C6067" s="25"/>
      <c r="D6067" s="25"/>
      <c r="E6067" s="25"/>
      <c r="F6067" s="25"/>
      <c r="G6067" s="25"/>
      <c r="H6067" s="25"/>
      <c r="I6067" s="25"/>
      <c r="J6067" s="25"/>
    </row>
    <row r="6068" spans="1:10" ht="14.4">
      <c r="A6068" s="25"/>
      <c r="B6068" s="25"/>
      <c r="C6068" s="25"/>
      <c r="D6068" s="25"/>
      <c r="E6068" s="25"/>
      <c r="F6068" s="25"/>
      <c r="G6068" s="25"/>
      <c r="H6068" s="25"/>
      <c r="I6068" s="25"/>
      <c r="J6068" s="25"/>
    </row>
    <row r="6069" spans="1:10" ht="14.4">
      <c r="A6069" s="25"/>
      <c r="B6069" s="25"/>
      <c r="C6069" s="25"/>
      <c r="D6069" s="25"/>
      <c r="E6069" s="25"/>
      <c r="F6069" s="25"/>
      <c r="G6069" s="25"/>
      <c r="H6069" s="25"/>
      <c r="I6069" s="25"/>
      <c r="J6069" s="25"/>
    </row>
    <row r="6070" spans="1:10" ht="14.4">
      <c r="A6070" s="25"/>
      <c r="B6070" s="25"/>
      <c r="C6070" s="25"/>
      <c r="D6070" s="25"/>
      <c r="E6070" s="25"/>
      <c r="F6070" s="25"/>
      <c r="G6070" s="25"/>
      <c r="H6070" s="25"/>
      <c r="I6070" s="25"/>
      <c r="J6070" s="25"/>
    </row>
    <row r="6071" spans="1:10" ht="14.4">
      <c r="A6071" s="25"/>
      <c r="B6071" s="25"/>
      <c r="C6071" s="25"/>
      <c r="D6071" s="25"/>
      <c r="E6071" s="25"/>
      <c r="F6071" s="25"/>
      <c r="G6071" s="25"/>
      <c r="H6071" s="25"/>
      <c r="I6071" s="25"/>
      <c r="J6071" s="25"/>
    </row>
    <row r="6072" spans="1:10" ht="14.4">
      <c r="A6072" s="25"/>
      <c r="B6072" s="25"/>
      <c r="C6072" s="25"/>
      <c r="D6072" s="25"/>
      <c r="E6072" s="25"/>
      <c r="F6072" s="25"/>
      <c r="G6072" s="25"/>
      <c r="H6072" s="25"/>
      <c r="I6072" s="25"/>
      <c r="J6072" s="25"/>
    </row>
    <row r="6073" spans="1:10" ht="14.4">
      <c r="A6073" s="25"/>
      <c r="B6073" s="25"/>
      <c r="C6073" s="25"/>
      <c r="D6073" s="25"/>
      <c r="E6073" s="25"/>
      <c r="F6073" s="25"/>
      <c r="G6073" s="25"/>
      <c r="H6073" s="25"/>
      <c r="I6073" s="25"/>
      <c r="J6073" s="25"/>
    </row>
    <row r="6074" spans="1:10" ht="14.4">
      <c r="A6074" s="25"/>
      <c r="B6074" s="25"/>
      <c r="C6074" s="25"/>
      <c r="D6074" s="25"/>
      <c r="E6074" s="25"/>
      <c r="F6074" s="25"/>
      <c r="G6074" s="25"/>
      <c r="H6074" s="25"/>
      <c r="I6074" s="25"/>
      <c r="J6074" s="25"/>
    </row>
    <row r="6075" spans="1:10" ht="14.4">
      <c r="A6075" s="25"/>
      <c r="B6075" s="25"/>
      <c r="C6075" s="25"/>
      <c r="D6075" s="25"/>
      <c r="E6075" s="25"/>
      <c r="F6075" s="25"/>
      <c r="G6075" s="25"/>
      <c r="H6075" s="25"/>
      <c r="I6075" s="25"/>
      <c r="J6075" s="25"/>
    </row>
    <row r="6076" spans="1:10" ht="14.4">
      <c r="A6076" s="25"/>
      <c r="B6076" s="25"/>
      <c r="C6076" s="25"/>
      <c r="D6076" s="25"/>
      <c r="E6076" s="25"/>
      <c r="F6076" s="25"/>
      <c r="G6076" s="25"/>
      <c r="H6076" s="25"/>
      <c r="I6076" s="25"/>
      <c r="J6076" s="25"/>
    </row>
    <row r="6077" spans="1:10" ht="14.4">
      <c r="A6077" s="25"/>
      <c r="B6077" s="25"/>
      <c r="C6077" s="25"/>
      <c r="D6077" s="25"/>
      <c r="E6077" s="25"/>
      <c r="F6077" s="25"/>
      <c r="G6077" s="25"/>
      <c r="H6077" s="25"/>
      <c r="I6077" s="25"/>
      <c r="J6077" s="25"/>
    </row>
    <row r="6078" spans="1:10" ht="14.4">
      <c r="A6078" s="25"/>
      <c r="B6078" s="25"/>
      <c r="C6078" s="25"/>
      <c r="D6078" s="25"/>
      <c r="E6078" s="25"/>
      <c r="F6078" s="25"/>
      <c r="G6078" s="25"/>
      <c r="H6078" s="25"/>
      <c r="I6078" s="25"/>
      <c r="J6078" s="25"/>
    </row>
    <row r="6079" spans="1:10" ht="14.4">
      <c r="A6079" s="25"/>
      <c r="B6079" s="25"/>
      <c r="C6079" s="25"/>
      <c r="D6079" s="25"/>
      <c r="E6079" s="25"/>
      <c r="F6079" s="25"/>
      <c r="G6079" s="25"/>
      <c r="H6079" s="25"/>
      <c r="I6079" s="25"/>
      <c r="J6079" s="25"/>
    </row>
    <row r="6080" spans="1:10" ht="14.4">
      <c r="A6080" s="25"/>
      <c r="B6080" s="25"/>
      <c r="C6080" s="25"/>
      <c r="D6080" s="25"/>
      <c r="E6080" s="25"/>
      <c r="F6080" s="25"/>
      <c r="G6080" s="25"/>
      <c r="H6080" s="25"/>
      <c r="I6080" s="25"/>
      <c r="J6080" s="25"/>
    </row>
    <row r="6081" spans="1:10" ht="14.4">
      <c r="A6081" s="25"/>
      <c r="B6081" s="25"/>
      <c r="C6081" s="25"/>
      <c r="D6081" s="25"/>
      <c r="E6081" s="25"/>
      <c r="F6081" s="25"/>
      <c r="G6081" s="25"/>
      <c r="H6081" s="25"/>
      <c r="I6081" s="25"/>
      <c r="J6081" s="25"/>
    </row>
    <row r="6082" spans="1:10" ht="14.4">
      <c r="A6082" s="25"/>
      <c r="B6082" s="25"/>
      <c r="C6082" s="25"/>
      <c r="D6082" s="25"/>
      <c r="E6082" s="25"/>
      <c r="F6082" s="25"/>
      <c r="G6082" s="25"/>
      <c r="H6082" s="25"/>
      <c r="I6082" s="25"/>
      <c r="J6082" s="25"/>
    </row>
    <row r="6083" spans="1:10" ht="14.4">
      <c r="A6083" s="25"/>
      <c r="B6083" s="25"/>
      <c r="C6083" s="25"/>
      <c r="D6083" s="25"/>
      <c r="E6083" s="25"/>
      <c r="F6083" s="25"/>
      <c r="G6083" s="25"/>
      <c r="H6083" s="25"/>
      <c r="I6083" s="25"/>
      <c r="J6083" s="25"/>
    </row>
    <row r="6084" spans="1:10" ht="14.4">
      <c r="A6084" s="25"/>
      <c r="B6084" s="25"/>
      <c r="C6084" s="25"/>
      <c r="D6084" s="25"/>
      <c r="E6084" s="25"/>
      <c r="F6084" s="25"/>
      <c r="G6084" s="25"/>
      <c r="H6084" s="25"/>
      <c r="I6084" s="25"/>
      <c r="J6084" s="25"/>
    </row>
    <row r="6085" spans="1:10" ht="14.4">
      <c r="A6085" s="25"/>
      <c r="B6085" s="25"/>
      <c r="C6085" s="25"/>
      <c r="D6085" s="25"/>
      <c r="E6085" s="25"/>
      <c r="F6085" s="25"/>
      <c r="G6085" s="25"/>
      <c r="H6085" s="25"/>
      <c r="I6085" s="25"/>
      <c r="J6085" s="25"/>
    </row>
    <row r="6086" spans="1:10" ht="14.4">
      <c r="A6086" s="25"/>
      <c r="B6086" s="25"/>
      <c r="C6086" s="25"/>
      <c r="D6086" s="25"/>
      <c r="E6086" s="25"/>
      <c r="F6086" s="25"/>
      <c r="G6086" s="25"/>
      <c r="H6086" s="25"/>
      <c r="I6086" s="25"/>
      <c r="J6086" s="25"/>
    </row>
    <row r="6087" spans="1:10" ht="14.4">
      <c r="A6087" s="25"/>
      <c r="B6087" s="25"/>
      <c r="C6087" s="25"/>
      <c r="D6087" s="25"/>
      <c r="E6087" s="25"/>
      <c r="F6087" s="25"/>
      <c r="G6087" s="25"/>
      <c r="H6087" s="25"/>
      <c r="I6087" s="25"/>
      <c r="J6087" s="25"/>
    </row>
    <row r="6088" spans="1:10" ht="14.4">
      <c r="A6088" s="25"/>
      <c r="B6088" s="25"/>
      <c r="C6088" s="25"/>
      <c r="D6088" s="25"/>
      <c r="E6088" s="25"/>
      <c r="F6088" s="25"/>
      <c r="G6088" s="25"/>
      <c r="H6088" s="25"/>
      <c r="I6088" s="25"/>
      <c r="J6088" s="25"/>
    </row>
    <row r="6089" spans="1:10" ht="14.4">
      <c r="A6089" s="25"/>
      <c r="B6089" s="25"/>
      <c r="C6089" s="25"/>
      <c r="D6089" s="25"/>
      <c r="E6089" s="25"/>
      <c r="F6089" s="25"/>
      <c r="G6089" s="25"/>
      <c r="H6089" s="25"/>
      <c r="I6089" s="25"/>
      <c r="J6089" s="25"/>
    </row>
    <row r="6090" spans="1:10" ht="14.4">
      <c r="A6090" s="25"/>
      <c r="B6090" s="25"/>
      <c r="C6090" s="25"/>
      <c r="D6090" s="25"/>
      <c r="E6090" s="25"/>
      <c r="F6090" s="25"/>
      <c r="G6090" s="25"/>
      <c r="H6090" s="25"/>
      <c r="I6090" s="25"/>
      <c r="J6090" s="25"/>
    </row>
    <row r="6091" spans="1:10" ht="14.4">
      <c r="A6091" s="25"/>
      <c r="B6091" s="25"/>
      <c r="C6091" s="25"/>
      <c r="D6091" s="25"/>
      <c r="E6091" s="25"/>
      <c r="F6091" s="25"/>
      <c r="G6091" s="25"/>
      <c r="H6091" s="25"/>
      <c r="I6091" s="25"/>
      <c r="J6091" s="25"/>
    </row>
    <row r="6092" spans="1:10" ht="14.4">
      <c r="A6092" s="25"/>
      <c r="B6092" s="25"/>
      <c r="C6092" s="25"/>
      <c r="D6092" s="25"/>
      <c r="E6092" s="25"/>
      <c r="F6092" s="25"/>
      <c r="G6092" s="25"/>
      <c r="H6092" s="25"/>
      <c r="I6092" s="25"/>
      <c r="J6092" s="25"/>
    </row>
    <row r="6093" spans="1:10" ht="14.4">
      <c r="A6093" s="25"/>
      <c r="B6093" s="25"/>
      <c r="C6093" s="25"/>
      <c r="D6093" s="25"/>
      <c r="E6093" s="25"/>
      <c r="F6093" s="25"/>
      <c r="G6093" s="25"/>
      <c r="H6093" s="25"/>
      <c r="I6093" s="25"/>
      <c r="J6093" s="25"/>
    </row>
    <row r="6094" spans="1:10" ht="14.4">
      <c r="A6094" s="25"/>
      <c r="B6094" s="25"/>
      <c r="C6094" s="25"/>
      <c r="D6094" s="25"/>
      <c r="E6094" s="25"/>
      <c r="F6094" s="25"/>
      <c r="G6094" s="25"/>
      <c r="H6094" s="25"/>
      <c r="I6094" s="25"/>
      <c r="J6094" s="25"/>
    </row>
    <row r="6095" spans="1:10" ht="14.4">
      <c r="A6095" s="25"/>
      <c r="B6095" s="25"/>
      <c r="C6095" s="25"/>
      <c r="D6095" s="25"/>
      <c r="E6095" s="25"/>
      <c r="F6095" s="25"/>
      <c r="G6095" s="25"/>
      <c r="H6095" s="25"/>
      <c r="I6095" s="25"/>
      <c r="J6095" s="25"/>
    </row>
    <row r="6096" spans="1:10" ht="14.4">
      <c r="A6096" s="25"/>
      <c r="B6096" s="25"/>
      <c r="C6096" s="25"/>
      <c r="D6096" s="25"/>
      <c r="E6096" s="25"/>
      <c r="F6096" s="25"/>
      <c r="G6096" s="25"/>
      <c r="H6096" s="25"/>
      <c r="I6096" s="25"/>
      <c r="J6096" s="25"/>
    </row>
    <row r="6097" spans="1:10" ht="14.4">
      <c r="A6097" s="25"/>
      <c r="B6097" s="25"/>
      <c r="C6097" s="25"/>
      <c r="D6097" s="25"/>
      <c r="E6097" s="25"/>
      <c r="F6097" s="25"/>
      <c r="G6097" s="25"/>
      <c r="H6097" s="25"/>
      <c r="I6097" s="25"/>
      <c r="J6097" s="25"/>
    </row>
    <row r="6098" spans="1:10" ht="14.4">
      <c r="A6098" s="25"/>
      <c r="B6098" s="25"/>
      <c r="C6098" s="25"/>
      <c r="D6098" s="25"/>
      <c r="E6098" s="25"/>
      <c r="F6098" s="25"/>
      <c r="G6098" s="25"/>
      <c r="H6098" s="25"/>
      <c r="I6098" s="25"/>
      <c r="J6098" s="25"/>
    </row>
    <row r="6099" spans="1:10" ht="14.4">
      <c r="A6099" s="25"/>
      <c r="B6099" s="25"/>
      <c r="C6099" s="25"/>
      <c r="D6099" s="25"/>
      <c r="E6099" s="25"/>
      <c r="F6099" s="25"/>
      <c r="G6099" s="25"/>
      <c r="H6099" s="25"/>
      <c r="I6099" s="25"/>
      <c r="J6099" s="25"/>
    </row>
    <row r="6100" spans="1:10" ht="14.4">
      <c r="A6100" s="25"/>
      <c r="B6100" s="25"/>
      <c r="C6100" s="25"/>
      <c r="D6100" s="25"/>
      <c r="E6100" s="25"/>
      <c r="F6100" s="25"/>
      <c r="G6100" s="25"/>
      <c r="H6100" s="25"/>
      <c r="I6100" s="25"/>
      <c r="J6100" s="25"/>
    </row>
    <row r="6101" spans="1:10" ht="14.4">
      <c r="A6101" s="25"/>
      <c r="B6101" s="25"/>
      <c r="C6101" s="25"/>
      <c r="D6101" s="25"/>
      <c r="E6101" s="25"/>
      <c r="F6101" s="25"/>
      <c r="G6101" s="25"/>
      <c r="H6101" s="25"/>
      <c r="I6101" s="25"/>
      <c r="J6101" s="25"/>
    </row>
    <row r="6102" spans="1:10" ht="14.4">
      <c r="A6102" s="25"/>
      <c r="B6102" s="25"/>
      <c r="C6102" s="25"/>
      <c r="D6102" s="25"/>
      <c r="E6102" s="25"/>
      <c r="F6102" s="25"/>
      <c r="G6102" s="25"/>
      <c r="H6102" s="25"/>
      <c r="I6102" s="25"/>
      <c r="J6102" s="25"/>
    </row>
    <row r="6103" spans="1:10" ht="14.4">
      <c r="A6103" s="25"/>
      <c r="B6103" s="25"/>
      <c r="C6103" s="25"/>
      <c r="D6103" s="25"/>
      <c r="E6103" s="25"/>
      <c r="F6103" s="25"/>
      <c r="G6103" s="25"/>
      <c r="H6103" s="25"/>
      <c r="I6103" s="25"/>
      <c r="J6103" s="25"/>
    </row>
    <row r="6104" spans="1:10" ht="14.4">
      <c r="A6104" s="25"/>
      <c r="B6104" s="25"/>
      <c r="C6104" s="25"/>
      <c r="D6104" s="25"/>
      <c r="E6104" s="25"/>
      <c r="F6104" s="25"/>
      <c r="G6104" s="25"/>
      <c r="H6104" s="25"/>
      <c r="I6104" s="25"/>
      <c r="J6104" s="25"/>
    </row>
    <row r="6105" spans="1:10" ht="14.4">
      <c r="A6105" s="25"/>
      <c r="B6105" s="25"/>
      <c r="C6105" s="25"/>
      <c r="D6105" s="25"/>
      <c r="E6105" s="25"/>
      <c r="F6105" s="25"/>
      <c r="G6105" s="25"/>
      <c r="H6105" s="25"/>
      <c r="I6105" s="25"/>
      <c r="J6105" s="25"/>
    </row>
    <row r="6106" spans="1:10" ht="14.4">
      <c r="A6106" s="25"/>
      <c r="B6106" s="25"/>
      <c r="C6106" s="25"/>
      <c r="D6106" s="25"/>
      <c r="E6106" s="25"/>
      <c r="F6106" s="25"/>
      <c r="G6106" s="25"/>
      <c r="H6106" s="25"/>
      <c r="I6106" s="25"/>
      <c r="J6106" s="25"/>
    </row>
    <row r="6107" spans="1:10" ht="14.4">
      <c r="A6107" s="25"/>
      <c r="B6107" s="25"/>
      <c r="C6107" s="25"/>
      <c r="D6107" s="25"/>
      <c r="E6107" s="25"/>
      <c r="F6107" s="25"/>
      <c r="G6107" s="25"/>
      <c r="H6107" s="25"/>
      <c r="I6107" s="25"/>
      <c r="J6107" s="25"/>
    </row>
    <row r="6108" spans="1:10" ht="14.4">
      <c r="A6108" s="25"/>
      <c r="B6108" s="25"/>
      <c r="C6108" s="25"/>
      <c r="D6108" s="25"/>
      <c r="E6108" s="25"/>
      <c r="F6108" s="25"/>
      <c r="G6108" s="25"/>
      <c r="H6108" s="25"/>
      <c r="I6108" s="25"/>
      <c r="J6108" s="25"/>
    </row>
    <row r="6109" spans="1:10" ht="14.4">
      <c r="A6109" s="25"/>
      <c r="B6109" s="25"/>
      <c r="C6109" s="25"/>
      <c r="D6109" s="25"/>
      <c r="E6109" s="25"/>
      <c r="F6109" s="25"/>
      <c r="G6109" s="25"/>
      <c r="H6109" s="25"/>
      <c r="I6109" s="25"/>
      <c r="J6109" s="25"/>
    </row>
    <row r="6110" spans="1:10" ht="14.4">
      <c r="A6110" s="25"/>
      <c r="B6110" s="25"/>
      <c r="C6110" s="25"/>
      <c r="D6110" s="25"/>
      <c r="E6110" s="25"/>
      <c r="F6110" s="25"/>
      <c r="G6110" s="25"/>
      <c r="H6110" s="25"/>
      <c r="I6110" s="25"/>
      <c r="J6110" s="25"/>
    </row>
    <row r="6111" spans="1:10" ht="14.4">
      <c r="A6111" s="25"/>
      <c r="B6111" s="25"/>
      <c r="C6111" s="25"/>
      <c r="D6111" s="25"/>
      <c r="E6111" s="25"/>
      <c r="F6111" s="25"/>
      <c r="G6111" s="25"/>
      <c r="H6111" s="25"/>
      <c r="I6111" s="25"/>
      <c r="J6111" s="25"/>
    </row>
    <row r="6112" spans="1:10" ht="14.4">
      <c r="A6112" s="25"/>
      <c r="B6112" s="25"/>
      <c r="C6112" s="25"/>
      <c r="D6112" s="25"/>
      <c r="E6112" s="25"/>
      <c r="F6112" s="25"/>
      <c r="G6112" s="25"/>
      <c r="H6112" s="25"/>
      <c r="I6112" s="25"/>
      <c r="J6112" s="25"/>
    </row>
    <row r="6113" spans="1:10" ht="14.4">
      <c r="A6113" s="25"/>
      <c r="B6113" s="25"/>
      <c r="C6113" s="25"/>
      <c r="D6113" s="25"/>
      <c r="E6113" s="25"/>
      <c r="F6113" s="25"/>
      <c r="G6113" s="25"/>
      <c r="H6113" s="25"/>
      <c r="I6113" s="25"/>
      <c r="J6113" s="25"/>
    </row>
    <row r="6114" spans="1:10" ht="14.4">
      <c r="A6114" s="25"/>
      <c r="B6114" s="25"/>
      <c r="C6114" s="25"/>
      <c r="D6114" s="25"/>
      <c r="E6114" s="25"/>
      <c r="F6114" s="25"/>
      <c r="G6114" s="25"/>
      <c r="H6114" s="25"/>
      <c r="I6114" s="25"/>
      <c r="J6114" s="25"/>
    </row>
    <row r="6115" spans="1:10" ht="14.4">
      <c r="A6115" s="25"/>
      <c r="B6115" s="25"/>
      <c r="C6115" s="25"/>
      <c r="D6115" s="25"/>
      <c r="E6115" s="25"/>
      <c r="F6115" s="25"/>
      <c r="G6115" s="25"/>
      <c r="H6115" s="25"/>
      <c r="I6115" s="25"/>
      <c r="J6115" s="25"/>
    </row>
    <row r="6116" spans="1:10" ht="14.4">
      <c r="A6116" s="25"/>
      <c r="B6116" s="25"/>
      <c r="C6116" s="25"/>
      <c r="D6116" s="25"/>
      <c r="E6116" s="25"/>
      <c r="F6116" s="25"/>
      <c r="G6116" s="25"/>
      <c r="H6116" s="25"/>
      <c r="I6116" s="25"/>
      <c r="J6116" s="25"/>
    </row>
    <row r="6117" spans="1:10" ht="14.4">
      <c r="A6117" s="25"/>
      <c r="B6117" s="25"/>
      <c r="C6117" s="25"/>
      <c r="D6117" s="25"/>
      <c r="E6117" s="25"/>
      <c r="F6117" s="25"/>
      <c r="G6117" s="25"/>
      <c r="H6117" s="25"/>
      <c r="I6117" s="25"/>
      <c r="J6117" s="25"/>
    </row>
    <row r="6118" spans="1:10" ht="14.4">
      <c r="A6118" s="25"/>
      <c r="B6118" s="25"/>
      <c r="C6118" s="25"/>
      <c r="D6118" s="25"/>
      <c r="E6118" s="25"/>
      <c r="F6118" s="25"/>
      <c r="G6118" s="25"/>
      <c r="H6118" s="25"/>
      <c r="I6118" s="25"/>
      <c r="J6118" s="25"/>
    </row>
    <row r="6119" spans="1:10" ht="14.4">
      <c r="A6119" s="25"/>
      <c r="B6119" s="25"/>
      <c r="C6119" s="25"/>
      <c r="D6119" s="25"/>
      <c r="E6119" s="25"/>
      <c r="F6119" s="25"/>
      <c r="G6119" s="25"/>
      <c r="H6119" s="25"/>
      <c r="I6119" s="25"/>
      <c r="J6119" s="25"/>
    </row>
    <row r="6120" spans="1:10" ht="14.4">
      <c r="A6120" s="25"/>
      <c r="B6120" s="25"/>
      <c r="C6120" s="25"/>
      <c r="D6120" s="25"/>
      <c r="E6120" s="25"/>
      <c r="F6120" s="25"/>
      <c r="G6120" s="25"/>
      <c r="H6120" s="25"/>
      <c r="I6120" s="25"/>
      <c r="J6120" s="25"/>
    </row>
    <row r="6121" spans="1:10" ht="14.4">
      <c r="A6121" s="25"/>
      <c r="B6121" s="25"/>
      <c r="C6121" s="25"/>
      <c r="D6121" s="25"/>
      <c r="E6121" s="25"/>
      <c r="F6121" s="25"/>
      <c r="G6121" s="25"/>
      <c r="H6121" s="25"/>
      <c r="I6121" s="25"/>
      <c r="J6121" s="25"/>
    </row>
    <row r="6122" spans="1:10" ht="14.4">
      <c r="A6122" s="25"/>
      <c r="B6122" s="25"/>
      <c r="C6122" s="25"/>
      <c r="D6122" s="25"/>
      <c r="E6122" s="25"/>
      <c r="F6122" s="25"/>
      <c r="G6122" s="25"/>
      <c r="H6122" s="25"/>
      <c r="I6122" s="25"/>
      <c r="J6122" s="25"/>
    </row>
    <row r="6123" spans="1:10" ht="14.4">
      <c r="A6123" s="25"/>
      <c r="B6123" s="25"/>
      <c r="C6123" s="25"/>
      <c r="D6123" s="25"/>
      <c r="E6123" s="25"/>
      <c r="F6123" s="25"/>
      <c r="G6123" s="25"/>
      <c r="H6123" s="25"/>
      <c r="I6123" s="25"/>
      <c r="J6123" s="25"/>
    </row>
    <row r="6124" spans="1:10" ht="14.4">
      <c r="A6124" s="25"/>
      <c r="B6124" s="25"/>
      <c r="C6124" s="25"/>
      <c r="D6124" s="25"/>
      <c r="E6124" s="25"/>
      <c r="F6124" s="25"/>
      <c r="G6124" s="25"/>
      <c r="H6124" s="25"/>
      <c r="I6124" s="25"/>
      <c r="J6124" s="25"/>
    </row>
    <row r="6125" spans="1:10" ht="14.4">
      <c r="A6125" s="25"/>
      <c r="B6125" s="25"/>
      <c r="C6125" s="25"/>
      <c r="D6125" s="25"/>
      <c r="E6125" s="25"/>
      <c r="F6125" s="25"/>
      <c r="G6125" s="25"/>
      <c r="H6125" s="25"/>
      <c r="I6125" s="25"/>
      <c r="J6125" s="25"/>
    </row>
    <row r="6126" spans="1:10" ht="14.4">
      <c r="A6126" s="25"/>
      <c r="B6126" s="25"/>
      <c r="C6126" s="25"/>
      <c r="D6126" s="25"/>
      <c r="E6126" s="25"/>
      <c r="F6126" s="25"/>
      <c r="G6126" s="25"/>
      <c r="H6126" s="25"/>
      <c r="I6126" s="25"/>
      <c r="J6126" s="25"/>
    </row>
    <row r="6127" spans="1:10" ht="14.4">
      <c r="A6127" s="25"/>
      <c r="B6127" s="25"/>
      <c r="C6127" s="25"/>
      <c r="D6127" s="25"/>
      <c r="E6127" s="25"/>
      <c r="F6127" s="25"/>
      <c r="G6127" s="25"/>
      <c r="H6127" s="25"/>
      <c r="I6127" s="25"/>
      <c r="J6127" s="25"/>
    </row>
    <row r="6128" spans="1:10" ht="14.4">
      <c r="A6128" s="25"/>
      <c r="B6128" s="25"/>
      <c r="C6128" s="25"/>
      <c r="D6128" s="25"/>
      <c r="E6128" s="25"/>
      <c r="F6128" s="25"/>
      <c r="G6128" s="25"/>
      <c r="H6128" s="25"/>
      <c r="I6128" s="25"/>
      <c r="J6128" s="25"/>
    </row>
    <row r="6129" spans="1:10" ht="14.4">
      <c r="A6129" s="25"/>
      <c r="B6129" s="25"/>
      <c r="C6129" s="25"/>
      <c r="D6129" s="25"/>
      <c r="E6129" s="25"/>
      <c r="F6129" s="25"/>
      <c r="G6129" s="25"/>
      <c r="H6129" s="25"/>
      <c r="I6129" s="25"/>
      <c r="J6129" s="25"/>
    </row>
    <row r="6130" spans="1:10" ht="14.4">
      <c r="A6130" s="25"/>
      <c r="B6130" s="25"/>
      <c r="C6130" s="25"/>
      <c r="D6130" s="25"/>
      <c r="E6130" s="25"/>
      <c r="F6130" s="25"/>
      <c r="G6130" s="25"/>
      <c r="H6130" s="25"/>
      <c r="I6130" s="25"/>
      <c r="J6130" s="25"/>
    </row>
    <row r="6131" spans="1:10" ht="14.4">
      <c r="A6131" s="25"/>
      <c r="B6131" s="25"/>
      <c r="C6131" s="25"/>
      <c r="D6131" s="25"/>
      <c r="E6131" s="25"/>
      <c r="F6131" s="25"/>
      <c r="G6131" s="25"/>
      <c r="H6131" s="25"/>
      <c r="I6131" s="25"/>
      <c r="J6131" s="25"/>
    </row>
    <row r="6132" spans="1:10" ht="14.4">
      <c r="A6132" s="25"/>
      <c r="B6132" s="25"/>
      <c r="C6132" s="25"/>
      <c r="D6132" s="25"/>
      <c r="E6132" s="25"/>
      <c r="F6132" s="25"/>
      <c r="G6132" s="25"/>
      <c r="H6132" s="25"/>
      <c r="I6132" s="25"/>
      <c r="J6132" s="25"/>
    </row>
    <row r="6133" spans="1:10" ht="14.4">
      <c r="A6133" s="25"/>
      <c r="B6133" s="25"/>
      <c r="C6133" s="25"/>
      <c r="D6133" s="25"/>
      <c r="E6133" s="25"/>
      <c r="F6133" s="25"/>
      <c r="G6133" s="25"/>
      <c r="H6133" s="25"/>
      <c r="I6133" s="25"/>
      <c r="J6133" s="25"/>
    </row>
    <row r="6134" spans="1:10" ht="14.4">
      <c r="A6134" s="25"/>
      <c r="B6134" s="25"/>
      <c r="C6134" s="25"/>
      <c r="D6134" s="25"/>
      <c r="E6134" s="25"/>
      <c r="F6134" s="25"/>
      <c r="G6134" s="25"/>
      <c r="H6134" s="25"/>
      <c r="I6134" s="25"/>
      <c r="J6134" s="25"/>
    </row>
    <row r="6135" spans="1:10" ht="14.4">
      <c r="A6135" s="25"/>
      <c r="B6135" s="25"/>
      <c r="C6135" s="25"/>
      <c r="D6135" s="25"/>
      <c r="E6135" s="25"/>
      <c r="F6135" s="25"/>
      <c r="G6135" s="25"/>
      <c r="H6135" s="25"/>
      <c r="I6135" s="25"/>
      <c r="J6135" s="25"/>
    </row>
    <row r="6136" spans="1:10" ht="14.4">
      <c r="A6136" s="25"/>
      <c r="B6136" s="25"/>
      <c r="C6136" s="25"/>
      <c r="D6136" s="25"/>
      <c r="E6136" s="25"/>
      <c r="F6136" s="25"/>
      <c r="G6136" s="25"/>
      <c r="H6136" s="25"/>
      <c r="I6136" s="25"/>
      <c r="J6136" s="25"/>
    </row>
    <row r="6137" spans="1:10" ht="14.4">
      <c r="A6137" s="25"/>
      <c r="B6137" s="25"/>
      <c r="C6137" s="25"/>
      <c r="D6137" s="25"/>
      <c r="E6137" s="25"/>
      <c r="F6137" s="25"/>
      <c r="G6137" s="25"/>
      <c r="H6137" s="25"/>
      <c r="I6137" s="25"/>
      <c r="J6137" s="25"/>
    </row>
    <row r="6138" spans="1:10" ht="14.4">
      <c r="A6138" s="25"/>
      <c r="B6138" s="25"/>
      <c r="C6138" s="25"/>
      <c r="D6138" s="25"/>
      <c r="E6138" s="25"/>
      <c r="F6138" s="25"/>
      <c r="G6138" s="25"/>
      <c r="H6138" s="25"/>
      <c r="I6138" s="25"/>
      <c r="J6138" s="25"/>
    </row>
    <row r="6139" spans="1:10" ht="14.4">
      <c r="A6139" s="25"/>
      <c r="B6139" s="25"/>
      <c r="C6139" s="25"/>
      <c r="D6139" s="25"/>
      <c r="E6139" s="25"/>
      <c r="F6139" s="25"/>
      <c r="G6139" s="25"/>
      <c r="H6139" s="25"/>
      <c r="I6139" s="25"/>
      <c r="J6139" s="25"/>
    </row>
    <row r="6140" spans="1:10" ht="14.4">
      <c r="A6140" s="25"/>
      <c r="B6140" s="25"/>
      <c r="C6140" s="25"/>
      <c r="D6140" s="25"/>
      <c r="E6140" s="25"/>
      <c r="F6140" s="25"/>
      <c r="G6140" s="25"/>
      <c r="H6140" s="25"/>
      <c r="I6140" s="25"/>
      <c r="J6140" s="25"/>
    </row>
    <row r="6141" spans="1:10" ht="14.4">
      <c r="A6141" s="25"/>
      <c r="B6141" s="25"/>
      <c r="C6141" s="25"/>
      <c r="D6141" s="25"/>
      <c r="E6141" s="25"/>
      <c r="F6141" s="25"/>
      <c r="G6141" s="25"/>
      <c r="H6141" s="25"/>
      <c r="I6141" s="25"/>
      <c r="J6141" s="25"/>
    </row>
    <row r="6142" spans="1:10" ht="14.4">
      <c r="A6142" s="25"/>
      <c r="B6142" s="25"/>
      <c r="C6142" s="25"/>
      <c r="D6142" s="25"/>
      <c r="E6142" s="25"/>
      <c r="F6142" s="25"/>
      <c r="G6142" s="25"/>
      <c r="H6142" s="25"/>
      <c r="I6142" s="25"/>
      <c r="J6142" s="25"/>
    </row>
    <row r="6143" spans="1:10" ht="14.4">
      <c r="A6143" s="25"/>
      <c r="B6143" s="25"/>
      <c r="C6143" s="25"/>
      <c r="D6143" s="25"/>
      <c r="E6143" s="25"/>
      <c r="F6143" s="25"/>
      <c r="G6143" s="25"/>
      <c r="H6143" s="25"/>
      <c r="I6143" s="25"/>
      <c r="J6143" s="25"/>
    </row>
    <row r="6144" spans="1:10" ht="14.4">
      <c r="A6144" s="25"/>
      <c r="B6144" s="25"/>
      <c r="C6144" s="25"/>
      <c r="D6144" s="25"/>
      <c r="E6144" s="25"/>
      <c r="F6144" s="25"/>
      <c r="G6144" s="25"/>
      <c r="H6144" s="25"/>
      <c r="I6144" s="25"/>
      <c r="J6144" s="25"/>
    </row>
    <row r="6145" spans="1:10" ht="14.4">
      <c r="A6145" s="25"/>
      <c r="B6145" s="25"/>
      <c r="C6145" s="25"/>
      <c r="D6145" s="25"/>
      <c r="E6145" s="25"/>
      <c r="F6145" s="25"/>
      <c r="G6145" s="25"/>
      <c r="H6145" s="25"/>
      <c r="I6145" s="25"/>
      <c r="J6145" s="25"/>
    </row>
    <row r="6146" spans="1:10" ht="14.4">
      <c r="A6146" s="25"/>
      <c r="B6146" s="25"/>
      <c r="C6146" s="25"/>
      <c r="D6146" s="25"/>
      <c r="E6146" s="25"/>
      <c r="F6146" s="25"/>
      <c r="G6146" s="25"/>
      <c r="H6146" s="25"/>
      <c r="I6146" s="25"/>
      <c r="J6146" s="25"/>
    </row>
    <row r="6147" spans="1:10" ht="14.4">
      <c r="A6147" s="25"/>
      <c r="B6147" s="25"/>
      <c r="C6147" s="25"/>
      <c r="D6147" s="25"/>
      <c r="E6147" s="25"/>
      <c r="F6147" s="25"/>
      <c r="G6147" s="25"/>
      <c r="H6147" s="25"/>
      <c r="I6147" s="25"/>
      <c r="J6147" s="25"/>
    </row>
    <row r="6148" spans="1:10" ht="14.4">
      <c r="A6148" s="25"/>
      <c r="B6148" s="25"/>
      <c r="C6148" s="25"/>
      <c r="D6148" s="25"/>
      <c r="E6148" s="25"/>
      <c r="F6148" s="25"/>
      <c r="G6148" s="25"/>
      <c r="H6148" s="25"/>
      <c r="I6148" s="25"/>
      <c r="J6148" s="25"/>
    </row>
    <row r="6149" spans="1:10" ht="14.4">
      <c r="A6149" s="25"/>
      <c r="B6149" s="25"/>
      <c r="C6149" s="25"/>
      <c r="D6149" s="25"/>
      <c r="E6149" s="25"/>
      <c r="F6149" s="25"/>
      <c r="G6149" s="25"/>
      <c r="H6149" s="25"/>
      <c r="I6149" s="25"/>
      <c r="J6149" s="25"/>
    </row>
    <row r="6150" spans="1:10" ht="14.4">
      <c r="A6150" s="25"/>
      <c r="B6150" s="25"/>
      <c r="C6150" s="25"/>
      <c r="D6150" s="25"/>
      <c r="E6150" s="25"/>
      <c r="F6150" s="25"/>
      <c r="G6150" s="25"/>
      <c r="H6150" s="25"/>
      <c r="I6150" s="25"/>
      <c r="J6150" s="25"/>
    </row>
    <row r="6151" spans="1:10" ht="14.4">
      <c r="A6151" s="25"/>
      <c r="B6151" s="25"/>
      <c r="C6151" s="25"/>
      <c r="D6151" s="25"/>
      <c r="E6151" s="25"/>
      <c r="F6151" s="25"/>
      <c r="G6151" s="25"/>
      <c r="H6151" s="25"/>
      <c r="I6151" s="25"/>
      <c r="J6151" s="25"/>
    </row>
    <row r="6152" spans="1:10" ht="14.4">
      <c r="A6152" s="25"/>
      <c r="B6152" s="25"/>
      <c r="C6152" s="25"/>
      <c r="D6152" s="25"/>
      <c r="E6152" s="25"/>
      <c r="F6152" s="25"/>
      <c r="G6152" s="25"/>
      <c r="H6152" s="25"/>
      <c r="I6152" s="25"/>
      <c r="J6152" s="25"/>
    </row>
    <row r="6153" spans="1:10" ht="14.4">
      <c r="A6153" s="25"/>
      <c r="B6153" s="25"/>
      <c r="C6153" s="25"/>
      <c r="D6153" s="25"/>
      <c r="E6153" s="25"/>
      <c r="F6153" s="25"/>
      <c r="G6153" s="25"/>
      <c r="H6153" s="25"/>
      <c r="I6153" s="25"/>
      <c r="J6153" s="25"/>
    </row>
    <row r="6154" spans="1:10" ht="14.4">
      <c r="A6154" s="25"/>
      <c r="B6154" s="25"/>
      <c r="C6154" s="25"/>
      <c r="D6154" s="25"/>
      <c r="E6154" s="25"/>
      <c r="F6154" s="25"/>
      <c r="G6154" s="25"/>
      <c r="H6154" s="25"/>
      <c r="I6154" s="25"/>
      <c r="J6154" s="25"/>
    </row>
    <row r="6155" spans="1:10" ht="14.4">
      <c r="A6155" s="25"/>
      <c r="B6155" s="25"/>
      <c r="C6155" s="25"/>
      <c r="D6155" s="25"/>
      <c r="E6155" s="25"/>
      <c r="F6155" s="25"/>
      <c r="G6155" s="25"/>
      <c r="H6155" s="25"/>
      <c r="I6155" s="25"/>
      <c r="J6155" s="25"/>
    </row>
    <row r="6156" spans="1:10" ht="14.4">
      <c r="A6156" s="25"/>
      <c r="B6156" s="25"/>
      <c r="C6156" s="25"/>
      <c r="D6156" s="25"/>
      <c r="E6156" s="25"/>
      <c r="F6156" s="25"/>
      <c r="G6156" s="25"/>
      <c r="H6156" s="25"/>
      <c r="I6156" s="25"/>
      <c r="J6156" s="25"/>
    </row>
    <row r="6157" spans="1:10" ht="14.4">
      <c r="A6157" s="25"/>
      <c r="B6157" s="25"/>
      <c r="C6157" s="25"/>
      <c r="D6157" s="25"/>
      <c r="E6157" s="25"/>
      <c r="F6157" s="25"/>
      <c r="G6157" s="25"/>
      <c r="H6157" s="25"/>
      <c r="I6157" s="25"/>
      <c r="J6157" s="25"/>
    </row>
    <row r="6158" spans="1:10" ht="14.4">
      <c r="A6158" s="25"/>
      <c r="B6158" s="25"/>
      <c r="C6158" s="25"/>
      <c r="D6158" s="25"/>
      <c r="E6158" s="25"/>
      <c r="F6158" s="25"/>
      <c r="G6158" s="25"/>
      <c r="H6158" s="25"/>
      <c r="I6158" s="25"/>
      <c r="J6158" s="25"/>
    </row>
    <row r="6159" spans="1:10" ht="14.4">
      <c r="A6159" s="25"/>
      <c r="B6159" s="25"/>
      <c r="C6159" s="25"/>
      <c r="D6159" s="25"/>
      <c r="E6159" s="25"/>
      <c r="F6159" s="25"/>
      <c r="G6159" s="25"/>
      <c r="H6159" s="25"/>
      <c r="I6159" s="25"/>
      <c r="J6159" s="25"/>
    </row>
    <row r="6160" spans="1:10" ht="14.4">
      <c r="A6160" s="25"/>
      <c r="B6160" s="25"/>
      <c r="C6160" s="25"/>
      <c r="D6160" s="25"/>
      <c r="E6160" s="25"/>
      <c r="F6160" s="25"/>
      <c r="G6160" s="25"/>
      <c r="H6160" s="25"/>
      <c r="I6160" s="25"/>
      <c r="J6160" s="25"/>
    </row>
    <row r="6161" spans="1:10" ht="14.4">
      <c r="A6161" s="25"/>
      <c r="B6161" s="25"/>
      <c r="C6161" s="25"/>
      <c r="D6161" s="25"/>
      <c r="E6161" s="25"/>
      <c r="F6161" s="25"/>
      <c r="G6161" s="25"/>
      <c r="H6161" s="25"/>
      <c r="I6161" s="25"/>
      <c r="J6161" s="25"/>
    </row>
    <row r="6162" spans="1:10" ht="14.4">
      <c r="A6162" s="25"/>
      <c r="B6162" s="25"/>
      <c r="C6162" s="25"/>
      <c r="D6162" s="25"/>
      <c r="E6162" s="25"/>
      <c r="F6162" s="25"/>
      <c r="G6162" s="25"/>
      <c r="H6162" s="25"/>
      <c r="I6162" s="25"/>
      <c r="J6162" s="25"/>
    </row>
    <row r="6163" spans="1:10" ht="14.4">
      <c r="A6163" s="25"/>
      <c r="B6163" s="25"/>
      <c r="C6163" s="25"/>
      <c r="D6163" s="25"/>
      <c r="E6163" s="25"/>
      <c r="F6163" s="25"/>
      <c r="G6163" s="25"/>
      <c r="H6163" s="25"/>
      <c r="I6163" s="25"/>
      <c r="J6163" s="25"/>
    </row>
    <row r="6164" spans="1:10" ht="14.4">
      <c r="A6164" s="25"/>
      <c r="B6164" s="25"/>
      <c r="C6164" s="25"/>
      <c r="D6164" s="25"/>
      <c r="E6164" s="25"/>
      <c r="F6164" s="25"/>
      <c r="G6164" s="25"/>
      <c r="H6164" s="25"/>
      <c r="I6164" s="25"/>
      <c r="J6164" s="25"/>
    </row>
    <row r="6165" spans="1:10" ht="14.4">
      <c r="A6165" s="25"/>
      <c r="B6165" s="25"/>
      <c r="C6165" s="25"/>
      <c r="D6165" s="25"/>
      <c r="E6165" s="25"/>
      <c r="F6165" s="25"/>
      <c r="G6165" s="25"/>
      <c r="H6165" s="25"/>
      <c r="I6165" s="25"/>
      <c r="J6165" s="25"/>
    </row>
    <row r="6166" spans="1:10" ht="14.4">
      <c r="A6166" s="25"/>
      <c r="B6166" s="25"/>
      <c r="C6166" s="25"/>
      <c r="D6166" s="25"/>
      <c r="E6166" s="25"/>
      <c r="F6166" s="25"/>
      <c r="G6166" s="25"/>
      <c r="H6166" s="25"/>
      <c r="I6166" s="25"/>
      <c r="J6166" s="25"/>
    </row>
    <row r="6167" spans="1:10" ht="14.4">
      <c r="A6167" s="25"/>
      <c r="B6167" s="25"/>
      <c r="C6167" s="25"/>
      <c r="D6167" s="25"/>
      <c r="E6167" s="25"/>
      <c r="F6167" s="25"/>
      <c r="G6167" s="25"/>
      <c r="H6167" s="25"/>
      <c r="I6167" s="25"/>
      <c r="J6167" s="25"/>
    </row>
    <row r="6168" spans="1:10" ht="14.4">
      <c r="A6168" s="25"/>
      <c r="B6168" s="25"/>
      <c r="C6168" s="25"/>
      <c r="D6168" s="25"/>
      <c r="E6168" s="25"/>
      <c r="F6168" s="25"/>
      <c r="G6168" s="25"/>
      <c r="H6168" s="25"/>
      <c r="I6168" s="25"/>
      <c r="J6168" s="25"/>
    </row>
    <row r="6169" spans="1:10" ht="14.4">
      <c r="A6169" s="25"/>
      <c r="B6169" s="25"/>
      <c r="C6169" s="25"/>
      <c r="D6169" s="25"/>
      <c r="E6169" s="25"/>
      <c r="F6169" s="25"/>
      <c r="G6169" s="25"/>
      <c r="H6169" s="25"/>
      <c r="I6169" s="25"/>
      <c r="J6169" s="25"/>
    </row>
    <row r="6170" spans="1:10" ht="14.4">
      <c r="A6170" s="25"/>
      <c r="B6170" s="25"/>
      <c r="C6170" s="25"/>
      <c r="D6170" s="25"/>
      <c r="E6170" s="25"/>
      <c r="F6170" s="25"/>
      <c r="G6170" s="25"/>
      <c r="H6170" s="25"/>
      <c r="I6170" s="25"/>
      <c r="J6170" s="25"/>
    </row>
    <row r="6171" spans="1:10" ht="14.4">
      <c r="A6171" s="25"/>
      <c r="B6171" s="25"/>
      <c r="C6171" s="25"/>
      <c r="D6171" s="25"/>
      <c r="E6171" s="25"/>
      <c r="F6171" s="25"/>
      <c r="G6171" s="25"/>
      <c r="H6171" s="25"/>
      <c r="I6171" s="25"/>
      <c r="J6171" s="25"/>
    </row>
    <row r="6172" spans="1:10" ht="14.4">
      <c r="A6172" s="25"/>
      <c r="B6172" s="25"/>
      <c r="C6172" s="25"/>
      <c r="D6172" s="25"/>
      <c r="E6172" s="25"/>
      <c r="F6172" s="25"/>
      <c r="G6172" s="25"/>
      <c r="H6172" s="25"/>
      <c r="I6172" s="25"/>
      <c r="J6172" s="25"/>
    </row>
    <row r="6173" spans="1:10" ht="14.4">
      <c r="A6173" s="25"/>
      <c r="B6173" s="25"/>
      <c r="C6173" s="25"/>
      <c r="D6173" s="25"/>
      <c r="E6173" s="25"/>
      <c r="F6173" s="25"/>
      <c r="G6173" s="25"/>
      <c r="H6173" s="25"/>
      <c r="I6173" s="25"/>
      <c r="J6173" s="25"/>
    </row>
    <row r="6174" spans="1:10" ht="14.4">
      <c r="A6174" s="25"/>
      <c r="B6174" s="25"/>
      <c r="C6174" s="25"/>
      <c r="D6174" s="25"/>
      <c r="E6174" s="25"/>
      <c r="F6174" s="25"/>
      <c r="G6174" s="25"/>
      <c r="H6174" s="25"/>
      <c r="I6174" s="25"/>
      <c r="J6174" s="25"/>
    </row>
    <row r="6175" spans="1:10" ht="14.4">
      <c r="A6175" s="25"/>
      <c r="B6175" s="25"/>
      <c r="C6175" s="25"/>
      <c r="D6175" s="25"/>
      <c r="E6175" s="25"/>
      <c r="F6175" s="25"/>
      <c r="G6175" s="25"/>
      <c r="H6175" s="25"/>
      <c r="I6175" s="25"/>
      <c r="J6175" s="25"/>
    </row>
    <row r="6176" spans="1:10" ht="14.4">
      <c r="A6176" s="25"/>
      <c r="B6176" s="25"/>
      <c r="C6176" s="25"/>
      <c r="D6176" s="25"/>
      <c r="E6176" s="25"/>
      <c r="F6176" s="25"/>
      <c r="G6176" s="25"/>
      <c r="H6176" s="25"/>
      <c r="I6176" s="25"/>
      <c r="J6176" s="25"/>
    </row>
    <row r="6177" spans="1:10" ht="14.4">
      <c r="A6177" s="25"/>
      <c r="B6177" s="25"/>
      <c r="C6177" s="25"/>
      <c r="D6177" s="25"/>
      <c r="E6177" s="25"/>
      <c r="F6177" s="25"/>
      <c r="G6177" s="25"/>
      <c r="H6177" s="25"/>
      <c r="I6177" s="25"/>
      <c r="J6177" s="25"/>
    </row>
    <row r="6178" spans="1:10" ht="14.4">
      <c r="A6178" s="25"/>
      <c r="B6178" s="25"/>
      <c r="C6178" s="25"/>
      <c r="D6178" s="25"/>
      <c r="E6178" s="25"/>
      <c r="F6178" s="25"/>
      <c r="G6178" s="25"/>
      <c r="H6178" s="25"/>
      <c r="I6178" s="25"/>
      <c r="J6178" s="25"/>
    </row>
    <row r="6179" spans="1:10" ht="14.4">
      <c r="A6179" s="25"/>
      <c r="B6179" s="25"/>
      <c r="C6179" s="25"/>
      <c r="D6179" s="25"/>
      <c r="E6179" s="25"/>
      <c r="F6179" s="25"/>
      <c r="G6179" s="25"/>
      <c r="H6179" s="25"/>
      <c r="I6179" s="25"/>
      <c r="J6179" s="25"/>
    </row>
    <row r="6180" spans="1:10" ht="14.4">
      <c r="A6180" s="25"/>
      <c r="B6180" s="25"/>
      <c r="C6180" s="25"/>
      <c r="D6180" s="25"/>
      <c r="E6180" s="25"/>
      <c r="F6180" s="25"/>
      <c r="G6180" s="25"/>
      <c r="H6180" s="25"/>
      <c r="I6180" s="25"/>
      <c r="J6180" s="25"/>
    </row>
    <row r="6181" spans="1:10" ht="14.4">
      <c r="A6181" s="25"/>
      <c r="B6181" s="25"/>
      <c r="C6181" s="25"/>
      <c r="D6181" s="25"/>
      <c r="E6181" s="25"/>
      <c r="F6181" s="25"/>
      <c r="G6181" s="25"/>
      <c r="H6181" s="25"/>
      <c r="I6181" s="25"/>
      <c r="J6181" s="25"/>
    </row>
    <row r="6182" spans="1:10" ht="14.4">
      <c r="A6182" s="25"/>
      <c r="B6182" s="25"/>
      <c r="C6182" s="25"/>
      <c r="D6182" s="25"/>
      <c r="E6182" s="25"/>
      <c r="F6182" s="25"/>
      <c r="G6182" s="25"/>
      <c r="H6182" s="25"/>
      <c r="I6182" s="25"/>
      <c r="J6182" s="25"/>
    </row>
    <row r="6183" spans="1:10" ht="14.4">
      <c r="A6183" s="25"/>
      <c r="B6183" s="25"/>
      <c r="C6183" s="25"/>
      <c r="D6183" s="25"/>
      <c r="E6183" s="25"/>
      <c r="F6183" s="25"/>
      <c r="G6183" s="25"/>
      <c r="H6183" s="25"/>
      <c r="I6183" s="25"/>
      <c r="J6183" s="25"/>
    </row>
    <row r="6184" spans="1:10" ht="14.4">
      <c r="A6184" s="25"/>
      <c r="B6184" s="25"/>
      <c r="C6184" s="25"/>
      <c r="D6184" s="25"/>
      <c r="E6184" s="25"/>
      <c r="F6184" s="25"/>
      <c r="G6184" s="25"/>
      <c r="H6184" s="25"/>
      <c r="I6184" s="25"/>
      <c r="J6184" s="25"/>
    </row>
    <row r="6185" spans="1:10" ht="14.4">
      <c r="A6185" s="25"/>
      <c r="B6185" s="25"/>
      <c r="C6185" s="25"/>
      <c r="D6185" s="25"/>
      <c r="E6185" s="25"/>
      <c r="F6185" s="25"/>
      <c r="G6185" s="25"/>
      <c r="H6185" s="25"/>
      <c r="I6185" s="25"/>
      <c r="J6185" s="25"/>
    </row>
    <row r="6186" spans="1:10" ht="14.4">
      <c r="A6186" s="25"/>
      <c r="B6186" s="25"/>
      <c r="C6186" s="25"/>
      <c r="D6186" s="25"/>
      <c r="E6186" s="25"/>
      <c r="F6186" s="25"/>
      <c r="G6186" s="25"/>
      <c r="H6186" s="25"/>
      <c r="I6186" s="25"/>
      <c r="J6186" s="25"/>
    </row>
    <row r="6187" spans="1:10" ht="14.4">
      <c r="A6187" s="25"/>
      <c r="B6187" s="25"/>
      <c r="C6187" s="25"/>
      <c r="D6187" s="25"/>
      <c r="E6187" s="25"/>
      <c r="F6187" s="25"/>
      <c r="G6187" s="25"/>
      <c r="H6187" s="25"/>
      <c r="I6187" s="25"/>
      <c r="J6187" s="25"/>
    </row>
    <row r="6188" spans="1:10" ht="14.4">
      <c r="A6188" s="25"/>
      <c r="B6188" s="25"/>
      <c r="C6188" s="25"/>
      <c r="D6188" s="25"/>
      <c r="E6188" s="25"/>
      <c r="F6188" s="25"/>
      <c r="G6188" s="25"/>
      <c r="H6188" s="25"/>
      <c r="I6188" s="25"/>
      <c r="J6188" s="25"/>
    </row>
    <row r="6189" spans="1:10" ht="14.4">
      <c r="A6189" s="25"/>
      <c r="B6189" s="25"/>
      <c r="C6189" s="25"/>
      <c r="D6189" s="25"/>
      <c r="E6189" s="25"/>
      <c r="F6189" s="25"/>
      <c r="G6189" s="25"/>
      <c r="H6189" s="25"/>
      <c r="I6189" s="25"/>
      <c r="J6189" s="25"/>
    </row>
    <row r="6190" spans="1:10" ht="14.4">
      <c r="A6190" s="25"/>
      <c r="B6190" s="25"/>
      <c r="C6190" s="25"/>
      <c r="D6190" s="25"/>
      <c r="E6190" s="25"/>
      <c r="F6190" s="25"/>
      <c r="G6190" s="25"/>
      <c r="H6190" s="25"/>
      <c r="I6190" s="25"/>
      <c r="J6190" s="25"/>
    </row>
    <row r="6191" spans="1:10" ht="14.4">
      <c r="A6191" s="25"/>
      <c r="B6191" s="25"/>
      <c r="C6191" s="25"/>
      <c r="D6191" s="25"/>
      <c r="E6191" s="25"/>
      <c r="F6191" s="25"/>
      <c r="G6191" s="25"/>
      <c r="H6191" s="25"/>
      <c r="I6191" s="25"/>
      <c r="J6191" s="25"/>
    </row>
    <row r="6192" spans="1:10" ht="14.4">
      <c r="A6192" s="25"/>
      <c r="B6192" s="25"/>
      <c r="C6192" s="25"/>
      <c r="D6192" s="25"/>
      <c r="E6192" s="25"/>
      <c r="F6192" s="25"/>
      <c r="G6192" s="25"/>
      <c r="H6192" s="25"/>
      <c r="I6192" s="25"/>
      <c r="J6192" s="25"/>
    </row>
    <row r="6193" spans="1:10" ht="14.4">
      <c r="A6193" s="25"/>
      <c r="B6193" s="25"/>
      <c r="C6193" s="25"/>
      <c r="D6193" s="25"/>
      <c r="E6193" s="25"/>
      <c r="F6193" s="25"/>
      <c r="G6193" s="25"/>
      <c r="H6193" s="25"/>
      <c r="I6193" s="25"/>
      <c r="J6193" s="25"/>
    </row>
    <row r="6194" spans="1:10" ht="14.4">
      <c r="A6194" s="25"/>
      <c r="B6194" s="25"/>
      <c r="C6194" s="25"/>
      <c r="D6194" s="25"/>
      <c r="E6194" s="25"/>
      <c r="F6194" s="25"/>
      <c r="G6194" s="25"/>
      <c r="H6194" s="25"/>
      <c r="I6194" s="25"/>
      <c r="J6194" s="25"/>
    </row>
    <row r="6195" spans="1:10" ht="14.4">
      <c r="A6195" s="25"/>
      <c r="B6195" s="25"/>
      <c r="C6195" s="25"/>
      <c r="D6195" s="25"/>
      <c r="E6195" s="25"/>
      <c r="F6195" s="25"/>
      <c r="G6195" s="25"/>
      <c r="H6195" s="25"/>
      <c r="I6195" s="25"/>
      <c r="J6195" s="25"/>
    </row>
    <row r="6196" spans="1:10" ht="14.4">
      <c r="A6196" s="25"/>
      <c r="B6196" s="25"/>
      <c r="C6196" s="25"/>
      <c r="D6196" s="25"/>
      <c r="E6196" s="25"/>
      <c r="F6196" s="25"/>
      <c r="G6196" s="25"/>
      <c r="H6196" s="25"/>
      <c r="I6196" s="25"/>
      <c r="J6196" s="25"/>
    </row>
    <row r="6197" spans="1:10" ht="14.4">
      <c r="A6197" s="25"/>
      <c r="B6197" s="25"/>
      <c r="C6197" s="25"/>
      <c r="D6197" s="25"/>
      <c r="E6197" s="25"/>
      <c r="F6197" s="25"/>
      <c r="G6197" s="25"/>
      <c r="H6197" s="25"/>
      <c r="I6197" s="25"/>
      <c r="J6197" s="25"/>
    </row>
    <row r="6198" spans="1:10" ht="14.4">
      <c r="A6198" s="25"/>
      <c r="B6198" s="25"/>
      <c r="C6198" s="25"/>
      <c r="D6198" s="25"/>
      <c r="E6198" s="25"/>
      <c r="F6198" s="25"/>
      <c r="G6198" s="25"/>
      <c r="H6198" s="25"/>
      <c r="I6198" s="25"/>
      <c r="J6198" s="25"/>
    </row>
    <row r="6199" spans="1:10" ht="14.4">
      <c r="A6199" s="25"/>
      <c r="B6199" s="25"/>
      <c r="C6199" s="25"/>
      <c r="D6199" s="25"/>
      <c r="E6199" s="25"/>
      <c r="F6199" s="25"/>
      <c r="G6199" s="25"/>
      <c r="H6199" s="25"/>
      <c r="I6199" s="25"/>
      <c r="J6199" s="25"/>
    </row>
    <row r="6200" spans="1:10" ht="14.4">
      <c r="A6200" s="25"/>
      <c r="B6200" s="25"/>
      <c r="C6200" s="25"/>
      <c r="D6200" s="25"/>
      <c r="E6200" s="25"/>
      <c r="F6200" s="25"/>
      <c r="G6200" s="25"/>
      <c r="H6200" s="25"/>
      <c r="I6200" s="25"/>
      <c r="J6200" s="25"/>
    </row>
    <row r="6201" spans="1:10" ht="14.4">
      <c r="A6201" s="25"/>
      <c r="B6201" s="25"/>
      <c r="C6201" s="25"/>
      <c r="D6201" s="25"/>
      <c r="E6201" s="25"/>
      <c r="F6201" s="25"/>
      <c r="G6201" s="25"/>
      <c r="H6201" s="25"/>
      <c r="I6201" s="25"/>
      <c r="J6201" s="25"/>
    </row>
    <row r="6202" spans="1:10" ht="14.4">
      <c r="A6202" s="25"/>
      <c r="B6202" s="25"/>
      <c r="C6202" s="25"/>
      <c r="D6202" s="25"/>
      <c r="E6202" s="25"/>
      <c r="F6202" s="25"/>
      <c r="G6202" s="25"/>
      <c r="H6202" s="25"/>
      <c r="I6202" s="25"/>
      <c r="J6202" s="25"/>
    </row>
    <row r="6203" spans="1:10" ht="14.4">
      <c r="A6203" s="25"/>
      <c r="B6203" s="25"/>
      <c r="C6203" s="25"/>
      <c r="D6203" s="25"/>
      <c r="E6203" s="25"/>
      <c r="F6203" s="25"/>
      <c r="G6203" s="25"/>
      <c r="H6203" s="25"/>
      <c r="I6203" s="25"/>
      <c r="J6203" s="25"/>
    </row>
    <row r="6204" spans="1:10" ht="14.4">
      <c r="A6204" s="25"/>
      <c r="B6204" s="25"/>
      <c r="C6204" s="25"/>
      <c r="D6204" s="25"/>
      <c r="E6204" s="25"/>
      <c r="F6204" s="25"/>
      <c r="G6204" s="25"/>
      <c r="H6204" s="25"/>
      <c r="I6204" s="25"/>
      <c r="J6204" s="25"/>
    </row>
    <row r="6205" spans="1:10" ht="14.4">
      <c r="A6205" s="25"/>
      <c r="B6205" s="25"/>
      <c r="C6205" s="25"/>
      <c r="D6205" s="25"/>
      <c r="E6205" s="25"/>
      <c r="F6205" s="25"/>
      <c r="G6205" s="25"/>
      <c r="H6205" s="25"/>
      <c r="I6205" s="25"/>
      <c r="J6205" s="25"/>
    </row>
    <row r="6206" spans="1:10" ht="14.4">
      <c r="A6206" s="25"/>
      <c r="B6206" s="25"/>
      <c r="C6206" s="25"/>
      <c r="D6206" s="25"/>
      <c r="E6206" s="25"/>
      <c r="F6206" s="25"/>
      <c r="G6206" s="25"/>
      <c r="H6206" s="25"/>
      <c r="I6206" s="25"/>
      <c r="J6206" s="25"/>
    </row>
    <row r="6207" spans="1:10" ht="14.4">
      <c r="A6207" s="25"/>
      <c r="B6207" s="25"/>
      <c r="C6207" s="25"/>
      <c r="D6207" s="25"/>
      <c r="E6207" s="25"/>
      <c r="F6207" s="25"/>
      <c r="G6207" s="25"/>
      <c r="H6207" s="25"/>
      <c r="I6207" s="25"/>
      <c r="J6207" s="25"/>
    </row>
    <row r="6208" spans="1:10" ht="14.4">
      <c r="A6208" s="25"/>
      <c r="B6208" s="25"/>
      <c r="C6208" s="25"/>
      <c r="D6208" s="25"/>
      <c r="E6208" s="25"/>
      <c r="F6208" s="25"/>
      <c r="G6208" s="25"/>
      <c r="H6208" s="25"/>
      <c r="I6208" s="25"/>
      <c r="J6208" s="25"/>
    </row>
    <row r="6209" spans="1:10" ht="14.4">
      <c r="A6209" s="25"/>
      <c r="B6209" s="25"/>
      <c r="C6209" s="25"/>
      <c r="D6209" s="25"/>
      <c r="E6209" s="25"/>
      <c r="F6209" s="25"/>
      <c r="G6209" s="25"/>
      <c r="H6209" s="25"/>
      <c r="I6209" s="25"/>
      <c r="J6209" s="25"/>
    </row>
    <row r="6210" spans="1:10" ht="14.4">
      <c r="A6210" s="25"/>
      <c r="B6210" s="25"/>
      <c r="C6210" s="25"/>
      <c r="D6210" s="25"/>
      <c r="E6210" s="25"/>
      <c r="F6210" s="25"/>
      <c r="G6210" s="25"/>
      <c r="H6210" s="25"/>
      <c r="I6210" s="25"/>
      <c r="J6210" s="25"/>
    </row>
    <row r="6211" spans="1:10" ht="14.4">
      <c r="A6211" s="25"/>
      <c r="B6211" s="25"/>
      <c r="C6211" s="25"/>
      <c r="D6211" s="25"/>
      <c r="E6211" s="25"/>
      <c r="F6211" s="25"/>
      <c r="G6211" s="25"/>
      <c r="H6211" s="25"/>
      <c r="I6211" s="25"/>
      <c r="J6211" s="25"/>
    </row>
    <row r="6212" spans="1:10" ht="14.4">
      <c r="A6212" s="25"/>
      <c r="B6212" s="25"/>
      <c r="C6212" s="25"/>
      <c r="D6212" s="25"/>
      <c r="E6212" s="25"/>
      <c r="F6212" s="25"/>
      <c r="G6212" s="25"/>
      <c r="H6212" s="25"/>
      <c r="I6212" s="25"/>
      <c r="J6212" s="25"/>
    </row>
    <row r="6213" spans="1:10" ht="14.4">
      <c r="A6213" s="25"/>
      <c r="B6213" s="25"/>
      <c r="C6213" s="25"/>
      <c r="D6213" s="25"/>
      <c r="E6213" s="25"/>
      <c r="F6213" s="25"/>
      <c r="G6213" s="25"/>
      <c r="H6213" s="25"/>
      <c r="I6213" s="25"/>
      <c r="J6213" s="25"/>
    </row>
    <row r="6214" spans="1:10" ht="14.4">
      <c r="A6214" s="25"/>
      <c r="B6214" s="25"/>
      <c r="C6214" s="25"/>
      <c r="D6214" s="25"/>
      <c r="E6214" s="25"/>
      <c r="F6214" s="25"/>
      <c r="G6214" s="25"/>
      <c r="H6214" s="25"/>
      <c r="I6214" s="25"/>
      <c r="J6214" s="25"/>
    </row>
    <row r="6215" spans="1:10" ht="14.4">
      <c r="A6215" s="25"/>
      <c r="B6215" s="25"/>
      <c r="C6215" s="25"/>
      <c r="D6215" s="25"/>
      <c r="E6215" s="25"/>
      <c r="F6215" s="25"/>
      <c r="G6215" s="25"/>
      <c r="H6215" s="25"/>
      <c r="I6215" s="25"/>
      <c r="J6215" s="25"/>
    </row>
    <row r="6216" spans="1:10" ht="14.4">
      <c r="A6216" s="25"/>
      <c r="B6216" s="25"/>
      <c r="C6216" s="25"/>
      <c r="D6216" s="25"/>
      <c r="E6216" s="25"/>
      <c r="F6216" s="25"/>
      <c r="G6216" s="25"/>
      <c r="H6216" s="25"/>
      <c r="I6216" s="25"/>
      <c r="J6216" s="25"/>
    </row>
    <row r="6217" spans="1:10" ht="14.4">
      <c r="A6217" s="25"/>
      <c r="B6217" s="25"/>
      <c r="C6217" s="25"/>
      <c r="D6217" s="25"/>
      <c r="E6217" s="25"/>
      <c r="F6217" s="25"/>
      <c r="G6217" s="25"/>
      <c r="H6217" s="25"/>
      <c r="I6217" s="25"/>
      <c r="J6217" s="25"/>
    </row>
    <row r="6218" spans="1:10" ht="14.4">
      <c r="A6218" s="25"/>
      <c r="B6218" s="25"/>
      <c r="C6218" s="25"/>
      <c r="D6218" s="25"/>
      <c r="E6218" s="25"/>
      <c r="F6218" s="25"/>
      <c r="G6218" s="25"/>
      <c r="H6218" s="25"/>
      <c r="I6218" s="25"/>
      <c r="J6218" s="25"/>
    </row>
    <row r="6219" spans="1:10" ht="14.4">
      <c r="A6219" s="25"/>
      <c r="B6219" s="25"/>
      <c r="C6219" s="25"/>
      <c r="D6219" s="25"/>
      <c r="E6219" s="25"/>
      <c r="F6219" s="25"/>
      <c r="G6219" s="25"/>
      <c r="H6219" s="25"/>
      <c r="I6219" s="25"/>
      <c r="J6219" s="25"/>
    </row>
    <row r="6220" spans="1:10" ht="14.4">
      <c r="A6220" s="25"/>
      <c r="B6220" s="25"/>
      <c r="C6220" s="25"/>
      <c r="D6220" s="25"/>
      <c r="E6220" s="25"/>
      <c r="F6220" s="25"/>
      <c r="G6220" s="25"/>
      <c r="H6220" s="25"/>
      <c r="I6220" s="25"/>
      <c r="J6220" s="25"/>
    </row>
    <row r="6221" spans="1:10" ht="14.4">
      <c r="A6221" s="25"/>
      <c r="B6221" s="25"/>
      <c r="C6221" s="25"/>
      <c r="D6221" s="25"/>
      <c r="E6221" s="25"/>
      <c r="F6221" s="25"/>
      <c r="G6221" s="25"/>
      <c r="H6221" s="25"/>
      <c r="I6221" s="25"/>
      <c r="J6221" s="25"/>
    </row>
    <row r="6222" spans="1:10" ht="14.4">
      <c r="A6222" s="25"/>
      <c r="B6222" s="25"/>
      <c r="C6222" s="25"/>
      <c r="D6222" s="25"/>
      <c r="E6222" s="25"/>
      <c r="F6222" s="25"/>
      <c r="G6222" s="25"/>
      <c r="H6222" s="25"/>
      <c r="I6222" s="25"/>
      <c r="J6222" s="25"/>
    </row>
    <row r="6223" spans="1:10" ht="14.4">
      <c r="A6223" s="25"/>
      <c r="B6223" s="25"/>
      <c r="C6223" s="25"/>
      <c r="D6223" s="25"/>
      <c r="E6223" s="25"/>
      <c r="F6223" s="25"/>
      <c r="G6223" s="25"/>
      <c r="H6223" s="25"/>
      <c r="I6223" s="25"/>
      <c r="J6223" s="25"/>
    </row>
    <row r="6224" spans="1:10" ht="14.4">
      <c r="A6224" s="25"/>
      <c r="B6224" s="25"/>
      <c r="C6224" s="25"/>
      <c r="D6224" s="25"/>
      <c r="E6224" s="25"/>
      <c r="F6224" s="25"/>
      <c r="G6224" s="25"/>
      <c r="H6224" s="25"/>
      <c r="I6224" s="25"/>
      <c r="J6224" s="25"/>
    </row>
    <row r="6225" spans="1:10" ht="14.4">
      <c r="A6225" s="25"/>
      <c r="B6225" s="25"/>
      <c r="C6225" s="25"/>
      <c r="D6225" s="25"/>
      <c r="E6225" s="25"/>
      <c r="F6225" s="25"/>
      <c r="G6225" s="25"/>
      <c r="H6225" s="25"/>
      <c r="I6225" s="25"/>
      <c r="J6225" s="25"/>
    </row>
    <row r="6226" spans="1:10" ht="14.4">
      <c r="A6226" s="25"/>
      <c r="B6226" s="25"/>
      <c r="C6226" s="25"/>
      <c r="D6226" s="25"/>
      <c r="E6226" s="25"/>
      <c r="F6226" s="25"/>
      <c r="G6226" s="25"/>
      <c r="H6226" s="25"/>
      <c r="I6226" s="25"/>
      <c r="J6226" s="25"/>
    </row>
    <row r="6227" spans="1:10" ht="14.4">
      <c r="A6227" s="25"/>
      <c r="B6227" s="25"/>
      <c r="C6227" s="25"/>
      <c r="D6227" s="25"/>
      <c r="E6227" s="25"/>
      <c r="F6227" s="25"/>
      <c r="G6227" s="25"/>
      <c r="H6227" s="25"/>
      <c r="I6227" s="25"/>
      <c r="J6227" s="25"/>
    </row>
    <row r="6228" spans="1:10" ht="14.4">
      <c r="A6228" s="25"/>
      <c r="B6228" s="25"/>
      <c r="C6228" s="25"/>
      <c r="D6228" s="25"/>
      <c r="E6228" s="25"/>
      <c r="F6228" s="25"/>
      <c r="G6228" s="25"/>
      <c r="H6228" s="25"/>
      <c r="I6228" s="25"/>
      <c r="J6228" s="25"/>
    </row>
    <row r="6229" spans="1:10" ht="14.4">
      <c r="A6229" s="25"/>
      <c r="B6229" s="25"/>
      <c r="C6229" s="25"/>
      <c r="D6229" s="25"/>
      <c r="E6229" s="25"/>
      <c r="F6229" s="25"/>
      <c r="G6229" s="25"/>
      <c r="H6229" s="25"/>
      <c r="I6229" s="25"/>
      <c r="J6229" s="25"/>
    </row>
    <row r="6230" spans="1:10" ht="14.4">
      <c r="A6230" s="25"/>
      <c r="B6230" s="25"/>
      <c r="C6230" s="25"/>
      <c r="D6230" s="25"/>
      <c r="E6230" s="25"/>
      <c r="F6230" s="25"/>
      <c r="G6230" s="25"/>
      <c r="H6230" s="25"/>
      <c r="I6230" s="25"/>
      <c r="J6230" s="25"/>
    </row>
    <row r="6231" spans="1:10" ht="14.4">
      <c r="A6231" s="25"/>
      <c r="B6231" s="25"/>
      <c r="C6231" s="25"/>
      <c r="D6231" s="25"/>
      <c r="E6231" s="25"/>
      <c r="F6231" s="25"/>
      <c r="G6231" s="25"/>
      <c r="H6231" s="25"/>
      <c r="I6231" s="25"/>
      <c r="J6231" s="25"/>
    </row>
    <row r="6232" spans="1:10" ht="14.4">
      <c r="A6232" s="25"/>
      <c r="B6232" s="25"/>
      <c r="C6232" s="25"/>
      <c r="D6232" s="25"/>
      <c r="E6232" s="25"/>
      <c r="F6232" s="25"/>
      <c r="G6232" s="25"/>
      <c r="H6232" s="25"/>
      <c r="I6232" s="25"/>
      <c r="J6232" s="25"/>
    </row>
    <row r="6233" spans="1:10" ht="14.4">
      <c r="A6233" s="25"/>
      <c r="B6233" s="25"/>
      <c r="C6233" s="25"/>
      <c r="D6233" s="25"/>
      <c r="E6233" s="25"/>
      <c r="F6233" s="25"/>
      <c r="G6233" s="25"/>
      <c r="H6233" s="25"/>
      <c r="I6233" s="25"/>
      <c r="J6233" s="25"/>
    </row>
    <row r="6234" spans="1:10" ht="14.4">
      <c r="A6234" s="25"/>
      <c r="B6234" s="25"/>
      <c r="C6234" s="25"/>
      <c r="D6234" s="25"/>
      <c r="E6234" s="25"/>
      <c r="F6234" s="25"/>
      <c r="G6234" s="25"/>
      <c r="H6234" s="25"/>
      <c r="I6234" s="25"/>
      <c r="J6234" s="25"/>
    </row>
    <row r="6235" spans="1:10" ht="14.4">
      <c r="A6235" s="25"/>
      <c r="B6235" s="25"/>
      <c r="C6235" s="25"/>
      <c r="D6235" s="25"/>
      <c r="E6235" s="25"/>
      <c r="F6235" s="25"/>
      <c r="G6235" s="25"/>
      <c r="H6235" s="25"/>
      <c r="I6235" s="25"/>
      <c r="J6235" s="25"/>
    </row>
    <row r="6236" spans="1:10" ht="14.4">
      <c r="A6236" s="25"/>
      <c r="B6236" s="25"/>
      <c r="C6236" s="25"/>
      <c r="D6236" s="25"/>
      <c r="E6236" s="25"/>
      <c r="F6236" s="25"/>
      <c r="G6236" s="25"/>
      <c r="H6236" s="25"/>
      <c r="I6236" s="25"/>
      <c r="J6236" s="25"/>
    </row>
    <row r="6237" spans="1:10" ht="14.4">
      <c r="A6237" s="25"/>
      <c r="B6237" s="25"/>
      <c r="C6237" s="25"/>
      <c r="D6237" s="25"/>
      <c r="E6237" s="25"/>
      <c r="F6237" s="25"/>
      <c r="G6237" s="25"/>
      <c r="H6237" s="25"/>
      <c r="I6237" s="25"/>
      <c r="J6237" s="25"/>
    </row>
    <row r="6238" spans="1:10" ht="14.4">
      <c r="A6238" s="25"/>
      <c r="B6238" s="25"/>
      <c r="C6238" s="25"/>
      <c r="D6238" s="25"/>
      <c r="E6238" s="25"/>
      <c r="F6238" s="25"/>
      <c r="G6238" s="25"/>
      <c r="H6238" s="25"/>
      <c r="I6238" s="25"/>
      <c r="J6238" s="25"/>
    </row>
    <row r="6239" spans="1:10" ht="14.4">
      <c r="A6239" s="25"/>
      <c r="B6239" s="25"/>
      <c r="C6239" s="25"/>
      <c r="D6239" s="25"/>
      <c r="E6239" s="25"/>
      <c r="F6239" s="25"/>
      <c r="G6239" s="25"/>
      <c r="H6239" s="25"/>
      <c r="I6239" s="25"/>
      <c r="J6239" s="25"/>
    </row>
    <row r="6240" spans="1:10" ht="14.4">
      <c r="A6240" s="25"/>
      <c r="B6240" s="25"/>
      <c r="C6240" s="25"/>
      <c r="D6240" s="25"/>
      <c r="E6240" s="25"/>
      <c r="F6240" s="25"/>
      <c r="G6240" s="25"/>
      <c r="H6240" s="25"/>
      <c r="I6240" s="25"/>
      <c r="J6240" s="25"/>
    </row>
    <row r="6241" spans="1:10" ht="14.4">
      <c r="A6241" s="25"/>
      <c r="B6241" s="25"/>
      <c r="C6241" s="25"/>
      <c r="D6241" s="25"/>
      <c r="E6241" s="25"/>
      <c r="F6241" s="25"/>
      <c r="G6241" s="25"/>
      <c r="H6241" s="25"/>
      <c r="I6241" s="25"/>
      <c r="J6241" s="25"/>
    </row>
    <row r="6242" spans="1:10" ht="14.4">
      <c r="A6242" s="25"/>
      <c r="B6242" s="25"/>
      <c r="C6242" s="25"/>
      <c r="D6242" s="25"/>
      <c r="E6242" s="25"/>
      <c r="F6242" s="25"/>
      <c r="G6242" s="25"/>
      <c r="H6242" s="25"/>
      <c r="I6242" s="25"/>
      <c r="J6242" s="25"/>
    </row>
    <row r="6243" spans="1:10" ht="14.4">
      <c r="A6243" s="25"/>
      <c r="B6243" s="25"/>
      <c r="C6243" s="25"/>
      <c r="D6243" s="25"/>
      <c r="E6243" s="25"/>
      <c r="F6243" s="25"/>
      <c r="G6243" s="25"/>
      <c r="H6243" s="25"/>
      <c r="I6243" s="25"/>
      <c r="J6243" s="25"/>
    </row>
    <row r="6244" spans="1:10" ht="14.4">
      <c r="A6244" s="25"/>
      <c r="B6244" s="25"/>
      <c r="C6244" s="25"/>
      <c r="D6244" s="25"/>
      <c r="E6244" s="25"/>
      <c r="F6244" s="25"/>
      <c r="G6244" s="25"/>
      <c r="H6244" s="25"/>
      <c r="I6244" s="25"/>
      <c r="J6244" s="25"/>
    </row>
    <row r="6245" spans="1:10" ht="14.4">
      <c r="A6245" s="25"/>
      <c r="B6245" s="25"/>
      <c r="C6245" s="25"/>
      <c r="D6245" s="25"/>
      <c r="E6245" s="25"/>
      <c r="F6245" s="25"/>
      <c r="G6245" s="25"/>
      <c r="H6245" s="25"/>
      <c r="I6245" s="25"/>
      <c r="J6245" s="25"/>
    </row>
    <row r="6246" spans="1:10" ht="14.4">
      <c r="A6246" s="25"/>
      <c r="B6246" s="25"/>
      <c r="C6246" s="25"/>
      <c r="D6246" s="25"/>
      <c r="E6246" s="25"/>
      <c r="F6246" s="25"/>
      <c r="G6246" s="25"/>
      <c r="H6246" s="25"/>
      <c r="I6246" s="25"/>
      <c r="J6246" s="25"/>
    </row>
    <row r="6247" spans="1:10" ht="14.4">
      <c r="A6247" s="25"/>
      <c r="B6247" s="25"/>
      <c r="C6247" s="25"/>
      <c r="D6247" s="25"/>
      <c r="E6247" s="25"/>
      <c r="F6247" s="25"/>
      <c r="G6247" s="25"/>
      <c r="H6247" s="25"/>
      <c r="I6247" s="25"/>
      <c r="J6247" s="25"/>
    </row>
    <row r="6248" spans="1:10" ht="14.4">
      <c r="A6248" s="25"/>
      <c r="B6248" s="25"/>
      <c r="C6248" s="25"/>
      <c r="D6248" s="25"/>
      <c r="E6248" s="25"/>
      <c r="F6248" s="25"/>
      <c r="G6248" s="25"/>
      <c r="H6248" s="25"/>
      <c r="I6248" s="25"/>
      <c r="J6248" s="25"/>
    </row>
    <row r="6249" spans="1:10" ht="14.4">
      <c r="A6249" s="25"/>
      <c r="B6249" s="25"/>
      <c r="C6249" s="25"/>
      <c r="D6249" s="25"/>
      <c r="E6249" s="25"/>
      <c r="F6249" s="25"/>
      <c r="G6249" s="25"/>
      <c r="H6249" s="25"/>
      <c r="I6249" s="25"/>
      <c r="J6249" s="25"/>
    </row>
    <row r="6250" spans="1:10" ht="14.4">
      <c r="A6250" s="25"/>
      <c r="B6250" s="25"/>
      <c r="C6250" s="25"/>
      <c r="D6250" s="25"/>
      <c r="E6250" s="25"/>
      <c r="F6250" s="25"/>
      <c r="G6250" s="25"/>
      <c r="H6250" s="25"/>
      <c r="I6250" s="25"/>
      <c r="J6250" s="25"/>
    </row>
    <row r="6251" spans="1:10" ht="14.4">
      <c r="A6251" s="25"/>
      <c r="B6251" s="25"/>
      <c r="C6251" s="25"/>
      <c r="D6251" s="25"/>
      <c r="E6251" s="25"/>
      <c r="F6251" s="25"/>
      <c r="G6251" s="25"/>
      <c r="H6251" s="25"/>
      <c r="I6251" s="25"/>
      <c r="J6251" s="25"/>
    </row>
    <row r="6252" spans="1:10" ht="14.4">
      <c r="A6252" s="25"/>
      <c r="B6252" s="25"/>
      <c r="C6252" s="25"/>
      <c r="D6252" s="25"/>
      <c r="E6252" s="25"/>
      <c r="F6252" s="25"/>
      <c r="G6252" s="25"/>
      <c r="H6252" s="25"/>
      <c r="I6252" s="25"/>
      <c r="J6252" s="25"/>
    </row>
    <row r="6253" spans="1:10" ht="14.4">
      <c r="A6253" s="25"/>
      <c r="B6253" s="25"/>
      <c r="C6253" s="25"/>
      <c r="D6253" s="25"/>
      <c r="E6253" s="25"/>
      <c r="F6253" s="25"/>
      <c r="G6253" s="25"/>
      <c r="H6253" s="25"/>
      <c r="I6253" s="25"/>
      <c r="J6253" s="25"/>
    </row>
    <row r="6254" spans="1:10" ht="14.4">
      <c r="A6254" s="25"/>
      <c r="B6254" s="25"/>
      <c r="C6254" s="25"/>
      <c r="D6254" s="25"/>
      <c r="E6254" s="25"/>
      <c r="F6254" s="25"/>
      <c r="G6254" s="25"/>
      <c r="H6254" s="25"/>
      <c r="I6254" s="25"/>
      <c r="J6254" s="25"/>
    </row>
    <row r="6255" spans="1:10" ht="14.4">
      <c r="A6255" s="25"/>
      <c r="B6255" s="25"/>
      <c r="C6255" s="25"/>
      <c r="D6255" s="25"/>
      <c r="E6255" s="25"/>
      <c r="F6255" s="25"/>
      <c r="G6255" s="25"/>
      <c r="H6255" s="25"/>
      <c r="I6255" s="25"/>
      <c r="J6255" s="25"/>
    </row>
    <row r="6256" spans="1:10" ht="14.4">
      <c r="A6256" s="25"/>
      <c r="B6256" s="25"/>
      <c r="C6256" s="25"/>
      <c r="D6256" s="25"/>
      <c r="E6256" s="25"/>
      <c r="F6256" s="25"/>
      <c r="G6256" s="25"/>
      <c r="H6256" s="25"/>
      <c r="I6256" s="25"/>
      <c r="J6256" s="25"/>
    </row>
    <row r="6257" spans="1:10" ht="14.4">
      <c r="A6257" s="25"/>
      <c r="B6257" s="25"/>
      <c r="C6257" s="25"/>
      <c r="D6257" s="25"/>
      <c r="E6257" s="25"/>
      <c r="F6257" s="25"/>
      <c r="G6257" s="25"/>
      <c r="H6257" s="25"/>
      <c r="I6257" s="25"/>
      <c r="J6257" s="25"/>
    </row>
    <row r="6258" spans="1:10" ht="14.4">
      <c r="A6258" s="25"/>
      <c r="B6258" s="25"/>
      <c r="C6258" s="25"/>
      <c r="D6258" s="25"/>
      <c r="E6258" s="25"/>
      <c r="F6258" s="25"/>
      <c r="G6258" s="25"/>
      <c r="H6258" s="25"/>
      <c r="I6258" s="25"/>
      <c r="J6258" s="25"/>
    </row>
    <row r="6259" spans="1:10" ht="14.4">
      <c r="A6259" s="25"/>
      <c r="B6259" s="25"/>
      <c r="C6259" s="25"/>
      <c r="D6259" s="25"/>
      <c r="E6259" s="25"/>
      <c r="F6259" s="25"/>
      <c r="G6259" s="25"/>
      <c r="H6259" s="25"/>
      <c r="I6259" s="25"/>
      <c r="J6259" s="25"/>
    </row>
    <row r="6260" spans="1:10" ht="14.4">
      <c r="A6260" s="25"/>
      <c r="B6260" s="25"/>
      <c r="C6260" s="25"/>
      <c r="D6260" s="25"/>
      <c r="E6260" s="25"/>
      <c r="F6260" s="25"/>
      <c r="G6260" s="25"/>
      <c r="H6260" s="25"/>
      <c r="I6260" s="25"/>
      <c r="J6260" s="25"/>
    </row>
    <row r="6261" spans="1:10" ht="14.4">
      <c r="A6261" s="25"/>
      <c r="B6261" s="25"/>
      <c r="C6261" s="25"/>
      <c r="D6261" s="25"/>
      <c r="E6261" s="25"/>
      <c r="F6261" s="25"/>
      <c r="G6261" s="25"/>
      <c r="H6261" s="25"/>
      <c r="I6261" s="25"/>
      <c r="J6261" s="25"/>
    </row>
    <row r="6262" spans="1:10" ht="14.4">
      <c r="A6262" s="25"/>
      <c r="B6262" s="25"/>
      <c r="C6262" s="25"/>
      <c r="D6262" s="25"/>
      <c r="E6262" s="25"/>
      <c r="F6262" s="25"/>
      <c r="G6262" s="25"/>
      <c r="H6262" s="25"/>
      <c r="I6262" s="25"/>
      <c r="J6262" s="25"/>
    </row>
    <row r="6263" spans="1:10" ht="14.4">
      <c r="A6263" s="25"/>
      <c r="B6263" s="25"/>
      <c r="C6263" s="25"/>
      <c r="D6263" s="25"/>
      <c r="E6263" s="25"/>
      <c r="F6263" s="25"/>
      <c r="G6263" s="25"/>
      <c r="H6263" s="25"/>
      <c r="I6263" s="25"/>
      <c r="J6263" s="25"/>
    </row>
    <row r="6264" spans="1:10" ht="14.4">
      <c r="A6264" s="25"/>
      <c r="B6264" s="25"/>
      <c r="C6264" s="25"/>
      <c r="D6264" s="25"/>
      <c r="E6264" s="25"/>
      <c r="F6264" s="25"/>
      <c r="G6264" s="25"/>
      <c r="H6264" s="25"/>
      <c r="I6264" s="25"/>
      <c r="J6264" s="25"/>
    </row>
    <row r="6265" spans="1:10" ht="14.4">
      <c r="A6265" s="25"/>
      <c r="B6265" s="25"/>
      <c r="C6265" s="25"/>
      <c r="D6265" s="25"/>
      <c r="E6265" s="25"/>
      <c r="F6265" s="25"/>
      <c r="G6265" s="25"/>
      <c r="H6265" s="25"/>
      <c r="I6265" s="25"/>
      <c r="J6265" s="25"/>
    </row>
    <row r="6266" spans="1:10" ht="14.4">
      <c r="A6266" s="25"/>
      <c r="B6266" s="25"/>
      <c r="C6266" s="25"/>
      <c r="D6266" s="25"/>
      <c r="E6266" s="25"/>
      <c r="F6266" s="25"/>
      <c r="G6266" s="25"/>
      <c r="H6266" s="25"/>
      <c r="I6266" s="25"/>
      <c r="J6266" s="25"/>
    </row>
    <row r="6267" spans="1:10" ht="14.4">
      <c r="A6267" s="25"/>
      <c r="B6267" s="25"/>
      <c r="C6267" s="25"/>
      <c r="D6267" s="25"/>
      <c r="E6267" s="25"/>
      <c r="F6267" s="25"/>
      <c r="G6267" s="25"/>
      <c r="H6267" s="25"/>
      <c r="I6267" s="25"/>
      <c r="J6267" s="25"/>
    </row>
    <row r="6268" spans="1:10" ht="14.4">
      <c r="A6268" s="25"/>
      <c r="B6268" s="25"/>
      <c r="C6268" s="25"/>
      <c r="D6268" s="25"/>
      <c r="E6268" s="25"/>
      <c r="F6268" s="25"/>
      <c r="G6268" s="25"/>
      <c r="H6268" s="25"/>
      <c r="I6268" s="25"/>
      <c r="J6268" s="25"/>
    </row>
    <row r="6269" spans="1:10" ht="14.4">
      <c r="A6269" s="25"/>
      <c r="B6269" s="25"/>
      <c r="C6269" s="25"/>
      <c r="D6269" s="25"/>
      <c r="E6269" s="25"/>
      <c r="F6269" s="25"/>
      <c r="G6269" s="25"/>
      <c r="H6269" s="25"/>
      <c r="I6269" s="25"/>
      <c r="J6269" s="25"/>
    </row>
    <row r="6270" spans="1:10" ht="14.4">
      <c r="A6270" s="25"/>
      <c r="B6270" s="25"/>
      <c r="C6270" s="25"/>
      <c r="D6270" s="25"/>
      <c r="E6270" s="25"/>
      <c r="F6270" s="25"/>
      <c r="G6270" s="25"/>
      <c r="H6270" s="25"/>
      <c r="I6270" s="25"/>
      <c r="J6270" s="25"/>
    </row>
    <row r="6271" spans="1:10" ht="14.4">
      <c r="A6271" s="25"/>
      <c r="B6271" s="25"/>
      <c r="C6271" s="25"/>
      <c r="D6271" s="25"/>
      <c r="E6271" s="25"/>
      <c r="F6271" s="25"/>
      <c r="G6271" s="25"/>
      <c r="H6271" s="25"/>
      <c r="I6271" s="25"/>
      <c r="J6271" s="25"/>
    </row>
    <row r="6272" spans="1:10" ht="14.4">
      <c r="A6272" s="25"/>
      <c r="B6272" s="25"/>
      <c r="C6272" s="25"/>
      <c r="D6272" s="25"/>
      <c r="E6272" s="25"/>
      <c r="F6272" s="25"/>
      <c r="G6272" s="25"/>
      <c r="H6272" s="25"/>
      <c r="I6272" s="25"/>
      <c r="J6272" s="25"/>
    </row>
    <row r="6273" spans="1:10" ht="14.4">
      <c r="A6273" s="25"/>
      <c r="B6273" s="25"/>
      <c r="C6273" s="25"/>
      <c r="D6273" s="25"/>
      <c r="E6273" s="25"/>
      <c r="F6273" s="25"/>
      <c r="G6273" s="25"/>
      <c r="H6273" s="25"/>
      <c r="I6273" s="25"/>
      <c r="J6273" s="25"/>
    </row>
    <row r="6274" spans="1:10" ht="14.4">
      <c r="A6274" s="25"/>
      <c r="B6274" s="25"/>
      <c r="C6274" s="25"/>
      <c r="D6274" s="25"/>
      <c r="E6274" s="25"/>
      <c r="F6274" s="25"/>
      <c r="G6274" s="25"/>
      <c r="H6274" s="25"/>
      <c r="I6274" s="25"/>
      <c r="J6274" s="25"/>
    </row>
    <row r="6275" spans="1:10" ht="14.4">
      <c r="A6275" s="25"/>
      <c r="B6275" s="25"/>
      <c r="C6275" s="25"/>
      <c r="D6275" s="25"/>
      <c r="E6275" s="25"/>
      <c r="F6275" s="25"/>
      <c r="G6275" s="25"/>
      <c r="H6275" s="25"/>
      <c r="I6275" s="25"/>
      <c r="J6275" s="25"/>
    </row>
    <row r="6276" spans="1:10" ht="14.4">
      <c r="A6276" s="25"/>
      <c r="B6276" s="25"/>
      <c r="C6276" s="25"/>
      <c r="D6276" s="25"/>
      <c r="E6276" s="25"/>
      <c r="F6276" s="25"/>
      <c r="G6276" s="25"/>
      <c r="H6276" s="25"/>
      <c r="I6276" s="25"/>
      <c r="J6276" s="25"/>
    </row>
    <row r="6277" spans="1:10" ht="14.4">
      <c r="A6277" s="25"/>
      <c r="B6277" s="25"/>
      <c r="C6277" s="25"/>
      <c r="D6277" s="25"/>
      <c r="E6277" s="25"/>
      <c r="F6277" s="25"/>
      <c r="G6277" s="25"/>
      <c r="H6277" s="25"/>
      <c r="I6277" s="25"/>
      <c r="J6277" s="25"/>
    </row>
    <row r="6278" spans="1:10" ht="14.4">
      <c r="A6278" s="25"/>
      <c r="B6278" s="25"/>
      <c r="C6278" s="25"/>
      <c r="D6278" s="25"/>
      <c r="E6278" s="25"/>
      <c r="F6278" s="25"/>
      <c r="G6278" s="25"/>
      <c r="H6278" s="25"/>
      <c r="I6278" s="25"/>
      <c r="J6278" s="25"/>
    </row>
    <row r="6279" spans="1:10" ht="14.4">
      <c r="A6279" s="25"/>
      <c r="B6279" s="25"/>
      <c r="C6279" s="25"/>
      <c r="D6279" s="25"/>
      <c r="E6279" s="25"/>
      <c r="F6279" s="25"/>
      <c r="G6279" s="25"/>
      <c r="H6279" s="25"/>
      <c r="I6279" s="25"/>
      <c r="J6279" s="25"/>
    </row>
    <row r="6280" spans="1:10" ht="14.4">
      <c r="A6280" s="25"/>
      <c r="B6280" s="25"/>
      <c r="C6280" s="25"/>
      <c r="D6280" s="25"/>
      <c r="E6280" s="25"/>
      <c r="F6280" s="25"/>
      <c r="G6280" s="25"/>
      <c r="H6280" s="25"/>
      <c r="I6280" s="25"/>
      <c r="J6280" s="25"/>
    </row>
    <row r="6281" spans="1:10" ht="14.4">
      <c r="A6281" s="25"/>
      <c r="B6281" s="25"/>
      <c r="C6281" s="25"/>
      <c r="D6281" s="25"/>
      <c r="E6281" s="25"/>
      <c r="F6281" s="25"/>
      <c r="G6281" s="25"/>
      <c r="H6281" s="25"/>
      <c r="I6281" s="25"/>
      <c r="J6281" s="25"/>
    </row>
    <row r="6282" spans="1:10" ht="14.4">
      <c r="A6282" s="25"/>
      <c r="B6282" s="25"/>
      <c r="C6282" s="25"/>
      <c r="D6282" s="25"/>
      <c r="E6282" s="25"/>
      <c r="F6282" s="25"/>
      <c r="G6282" s="25"/>
      <c r="H6282" s="25"/>
      <c r="I6282" s="25"/>
      <c r="J6282" s="25"/>
    </row>
    <row r="6283" spans="1:10" ht="14.4">
      <c r="A6283" s="25"/>
      <c r="B6283" s="25"/>
      <c r="C6283" s="25"/>
      <c r="D6283" s="25"/>
      <c r="E6283" s="25"/>
      <c r="F6283" s="25"/>
      <c r="G6283" s="25"/>
      <c r="H6283" s="25"/>
      <c r="I6283" s="25"/>
      <c r="J6283" s="25"/>
    </row>
    <row r="6284" spans="1:10" ht="14.4">
      <c r="A6284" s="25"/>
      <c r="B6284" s="25"/>
      <c r="C6284" s="25"/>
      <c r="D6284" s="25"/>
      <c r="E6284" s="25"/>
      <c r="F6284" s="25"/>
      <c r="G6284" s="25"/>
      <c r="H6284" s="25"/>
      <c r="I6284" s="25"/>
      <c r="J6284" s="25"/>
    </row>
    <row r="6285" spans="1:10" ht="14.4">
      <c r="A6285" s="25"/>
      <c r="B6285" s="25"/>
      <c r="C6285" s="25"/>
      <c r="D6285" s="25"/>
      <c r="E6285" s="25"/>
      <c r="F6285" s="25"/>
      <c r="G6285" s="25"/>
      <c r="H6285" s="25"/>
      <c r="I6285" s="25"/>
      <c r="J6285" s="25"/>
    </row>
    <row r="6286" spans="1:10" ht="14.4">
      <c r="A6286" s="25"/>
      <c r="B6286" s="25"/>
      <c r="C6286" s="25"/>
      <c r="D6286" s="25"/>
      <c r="E6286" s="25"/>
      <c r="F6286" s="25"/>
      <c r="G6286" s="25"/>
      <c r="H6286" s="25"/>
      <c r="I6286" s="25"/>
      <c r="J6286" s="25"/>
    </row>
    <row r="6287" spans="1:10" ht="14.4">
      <c r="A6287" s="25"/>
      <c r="B6287" s="25"/>
      <c r="C6287" s="25"/>
      <c r="D6287" s="25"/>
      <c r="E6287" s="25"/>
      <c r="F6287" s="25"/>
      <c r="G6287" s="25"/>
      <c r="H6287" s="25"/>
      <c r="I6287" s="25"/>
      <c r="J6287" s="25"/>
    </row>
    <row r="6288" spans="1:10" ht="14.4">
      <c r="A6288" s="25"/>
      <c r="B6288" s="25"/>
      <c r="C6288" s="25"/>
      <c r="D6288" s="25"/>
      <c r="E6288" s="25"/>
      <c r="F6288" s="25"/>
      <c r="G6288" s="25"/>
      <c r="H6288" s="25"/>
      <c r="I6288" s="25"/>
      <c r="J6288" s="25"/>
    </row>
    <row r="6289" spans="1:10" ht="14.4">
      <c r="A6289" s="25"/>
      <c r="B6289" s="25"/>
      <c r="C6289" s="25"/>
      <c r="D6289" s="25"/>
      <c r="E6289" s="25"/>
      <c r="F6289" s="25"/>
      <c r="G6289" s="25"/>
      <c r="H6289" s="25"/>
      <c r="I6289" s="25"/>
      <c r="J6289" s="25"/>
    </row>
    <row r="6290" spans="1:10" ht="14.4">
      <c r="A6290" s="25"/>
      <c r="B6290" s="25"/>
      <c r="C6290" s="25"/>
      <c r="D6290" s="25"/>
      <c r="E6290" s="25"/>
      <c r="F6290" s="25"/>
      <c r="G6290" s="25"/>
      <c r="H6290" s="25"/>
      <c r="I6290" s="25"/>
      <c r="J6290" s="25"/>
    </row>
    <row r="6291" spans="1:10" ht="14.4">
      <c r="A6291" s="25"/>
      <c r="B6291" s="25"/>
      <c r="C6291" s="25"/>
      <c r="D6291" s="25"/>
      <c r="E6291" s="25"/>
      <c r="F6291" s="25"/>
      <c r="G6291" s="25"/>
      <c r="H6291" s="25"/>
      <c r="I6291" s="25"/>
      <c r="J6291" s="25"/>
    </row>
    <row r="6292" spans="1:10" ht="14.4">
      <c r="A6292" s="25"/>
      <c r="B6292" s="25"/>
      <c r="C6292" s="25"/>
      <c r="D6292" s="25"/>
      <c r="E6292" s="25"/>
      <c r="F6292" s="25"/>
      <c r="G6292" s="25"/>
      <c r="H6292" s="25"/>
      <c r="I6292" s="25"/>
      <c r="J6292" s="25"/>
    </row>
    <row r="6293" spans="1:10" ht="14.4">
      <c r="A6293" s="25"/>
      <c r="B6293" s="25"/>
      <c r="C6293" s="25"/>
      <c r="D6293" s="25"/>
      <c r="E6293" s="25"/>
      <c r="F6293" s="25"/>
      <c r="G6293" s="25"/>
      <c r="H6293" s="25"/>
      <c r="I6293" s="25"/>
      <c r="J6293" s="25"/>
    </row>
    <row r="6294" spans="1:10" ht="14.4">
      <c r="A6294" s="25"/>
      <c r="B6294" s="25"/>
      <c r="C6294" s="25"/>
      <c r="D6294" s="25"/>
      <c r="E6294" s="25"/>
      <c r="F6294" s="25"/>
      <c r="G6294" s="25"/>
      <c r="H6294" s="25"/>
      <c r="I6294" s="25"/>
      <c r="J6294" s="25"/>
    </row>
    <row r="6295" spans="1:10" ht="14.4">
      <c r="A6295" s="25"/>
      <c r="B6295" s="25"/>
      <c r="C6295" s="25"/>
      <c r="D6295" s="25"/>
      <c r="E6295" s="25"/>
      <c r="F6295" s="25"/>
      <c r="G6295" s="25"/>
      <c r="H6295" s="25"/>
      <c r="I6295" s="25"/>
      <c r="J6295" s="25"/>
    </row>
    <row r="6296" spans="1:10" ht="14.4">
      <c r="A6296" s="25"/>
      <c r="B6296" s="25"/>
      <c r="C6296" s="25"/>
      <c r="D6296" s="25"/>
      <c r="E6296" s="25"/>
      <c r="F6296" s="25"/>
      <c r="G6296" s="25"/>
      <c r="H6296" s="25"/>
      <c r="I6296" s="25"/>
      <c r="J6296" s="25"/>
    </row>
    <row r="6297" spans="1:10" ht="14.4">
      <c r="A6297" s="25"/>
      <c r="B6297" s="25"/>
      <c r="C6297" s="25"/>
      <c r="D6297" s="25"/>
      <c r="E6297" s="25"/>
      <c r="F6297" s="25"/>
      <c r="G6297" s="25"/>
      <c r="H6297" s="25"/>
      <c r="I6297" s="25"/>
      <c r="J6297" s="25"/>
    </row>
    <row r="6298" spans="1:10" ht="14.4">
      <c r="A6298" s="25"/>
      <c r="B6298" s="25"/>
      <c r="C6298" s="25"/>
      <c r="D6298" s="25"/>
      <c r="E6298" s="25"/>
      <c r="F6298" s="25"/>
      <c r="G6298" s="25"/>
      <c r="H6298" s="25"/>
      <c r="I6298" s="25"/>
      <c r="J6298" s="25"/>
    </row>
    <row r="6299" spans="1:10" ht="14.4">
      <c r="A6299" s="25"/>
      <c r="B6299" s="25"/>
      <c r="C6299" s="25"/>
      <c r="D6299" s="25"/>
      <c r="E6299" s="25"/>
      <c r="F6299" s="25"/>
      <c r="G6299" s="25"/>
      <c r="H6299" s="25"/>
      <c r="I6299" s="25"/>
      <c r="J6299" s="25"/>
    </row>
    <row r="6300" spans="1:10" ht="14.4">
      <c r="A6300" s="25"/>
      <c r="B6300" s="25"/>
      <c r="C6300" s="25"/>
      <c r="D6300" s="25"/>
      <c r="E6300" s="25"/>
      <c r="F6300" s="25"/>
      <c r="G6300" s="25"/>
      <c r="H6300" s="25"/>
      <c r="I6300" s="25"/>
      <c r="J6300" s="25"/>
    </row>
    <row r="6301" spans="1:10" ht="14.4">
      <c r="A6301" s="25"/>
      <c r="B6301" s="25"/>
      <c r="C6301" s="25"/>
      <c r="D6301" s="25"/>
      <c r="E6301" s="25"/>
      <c r="F6301" s="25"/>
      <c r="G6301" s="25"/>
      <c r="H6301" s="25"/>
      <c r="I6301" s="25"/>
      <c r="J6301" s="25"/>
    </row>
    <row r="6302" spans="1:10" ht="14.4">
      <c r="A6302" s="25"/>
      <c r="B6302" s="25"/>
      <c r="C6302" s="25"/>
      <c r="D6302" s="25"/>
      <c r="E6302" s="25"/>
      <c r="F6302" s="25"/>
      <c r="G6302" s="25"/>
      <c r="H6302" s="25"/>
      <c r="I6302" s="25"/>
      <c r="J6302" s="25"/>
    </row>
    <row r="6303" spans="1:10" ht="14.4">
      <c r="A6303" s="25"/>
      <c r="B6303" s="25"/>
      <c r="C6303" s="25"/>
      <c r="D6303" s="25"/>
      <c r="E6303" s="25"/>
      <c r="F6303" s="25"/>
      <c r="G6303" s="25"/>
      <c r="H6303" s="25"/>
      <c r="I6303" s="25"/>
      <c r="J6303" s="25"/>
    </row>
    <row r="6304" spans="1:10" ht="14.4">
      <c r="A6304" s="25"/>
      <c r="B6304" s="25"/>
      <c r="C6304" s="25"/>
      <c r="D6304" s="25"/>
      <c r="E6304" s="25"/>
      <c r="F6304" s="25"/>
      <c r="G6304" s="25"/>
      <c r="H6304" s="25"/>
      <c r="I6304" s="25"/>
      <c r="J6304" s="25"/>
    </row>
    <row r="6305" spans="1:10" ht="14.4">
      <c r="A6305" s="25"/>
      <c r="B6305" s="25"/>
      <c r="C6305" s="25"/>
      <c r="D6305" s="25"/>
      <c r="E6305" s="25"/>
      <c r="F6305" s="25"/>
      <c r="G6305" s="25"/>
      <c r="H6305" s="25"/>
      <c r="I6305" s="25"/>
      <c r="J6305" s="25"/>
    </row>
    <row r="6306" spans="1:10" ht="14.4">
      <c r="A6306" s="25"/>
      <c r="B6306" s="25"/>
      <c r="C6306" s="25"/>
      <c r="D6306" s="25"/>
      <c r="E6306" s="25"/>
      <c r="F6306" s="25"/>
      <c r="G6306" s="25"/>
      <c r="H6306" s="25"/>
      <c r="I6306" s="25"/>
      <c r="J6306" s="25"/>
    </row>
    <row r="6307" spans="1:10" ht="14.4">
      <c r="A6307" s="25"/>
      <c r="B6307" s="25"/>
      <c r="C6307" s="25"/>
      <c r="D6307" s="25"/>
      <c r="E6307" s="25"/>
      <c r="F6307" s="25"/>
      <c r="G6307" s="25"/>
      <c r="H6307" s="25"/>
      <c r="I6307" s="25"/>
      <c r="J6307" s="25"/>
    </row>
    <row r="6308" spans="1:10" ht="14.4">
      <c r="A6308" s="25"/>
      <c r="B6308" s="25"/>
      <c r="C6308" s="25"/>
      <c r="D6308" s="25"/>
      <c r="E6308" s="25"/>
      <c r="F6308" s="25"/>
      <c r="G6308" s="25"/>
      <c r="H6308" s="25"/>
      <c r="I6308" s="25"/>
      <c r="J6308" s="25"/>
    </row>
    <row r="6309" spans="1:10" ht="14.4">
      <c r="A6309" s="25"/>
      <c r="B6309" s="25"/>
      <c r="C6309" s="25"/>
      <c r="D6309" s="25"/>
      <c r="E6309" s="25"/>
      <c r="F6309" s="25"/>
      <c r="G6309" s="25"/>
      <c r="H6309" s="25"/>
      <c r="I6309" s="25"/>
      <c r="J6309" s="25"/>
    </row>
    <row r="6310" spans="1:10" ht="14.4">
      <c r="A6310" s="25"/>
      <c r="B6310" s="25"/>
      <c r="C6310" s="25"/>
      <c r="D6310" s="25"/>
      <c r="E6310" s="25"/>
      <c r="F6310" s="25"/>
      <c r="G6310" s="25"/>
      <c r="H6310" s="25"/>
      <c r="I6310" s="25"/>
      <c r="J6310" s="25"/>
    </row>
    <row r="6311" spans="1:10" ht="14.4">
      <c r="A6311" s="25"/>
      <c r="B6311" s="25"/>
      <c r="C6311" s="25"/>
      <c r="D6311" s="25"/>
      <c r="E6311" s="25"/>
      <c r="F6311" s="25"/>
      <c r="G6311" s="25"/>
      <c r="H6311" s="25"/>
      <c r="I6311" s="25"/>
      <c r="J6311" s="25"/>
    </row>
    <row r="6312" spans="1:10" ht="14.4">
      <c r="A6312" s="25"/>
      <c r="B6312" s="25"/>
      <c r="C6312" s="25"/>
      <c r="D6312" s="25"/>
      <c r="E6312" s="25"/>
      <c r="F6312" s="25"/>
      <c r="G6312" s="25"/>
      <c r="H6312" s="25"/>
      <c r="I6312" s="25"/>
      <c r="J6312" s="25"/>
    </row>
    <row r="6313" spans="1:10" ht="14.4">
      <c r="A6313" s="25"/>
      <c r="B6313" s="25"/>
      <c r="C6313" s="25"/>
      <c r="D6313" s="25"/>
      <c r="E6313" s="25"/>
      <c r="F6313" s="25"/>
      <c r="G6313" s="25"/>
      <c r="H6313" s="25"/>
      <c r="I6313" s="25"/>
      <c r="J6313" s="25"/>
    </row>
    <row r="6314" spans="1:10" ht="14.4">
      <c r="A6314" s="25"/>
      <c r="B6314" s="25"/>
      <c r="C6314" s="25"/>
      <c r="D6314" s="25"/>
      <c r="E6314" s="25"/>
      <c r="F6314" s="25"/>
      <c r="G6314" s="25"/>
      <c r="H6314" s="25"/>
      <c r="I6314" s="25"/>
      <c r="J6314" s="25"/>
    </row>
    <row r="6315" spans="1:10" ht="14.4">
      <c r="A6315" s="25"/>
      <c r="B6315" s="25"/>
      <c r="C6315" s="25"/>
      <c r="D6315" s="25"/>
      <c r="E6315" s="25"/>
      <c r="F6315" s="25"/>
      <c r="G6315" s="25"/>
      <c r="H6315" s="25"/>
      <c r="I6315" s="25"/>
      <c r="J6315" s="25"/>
    </row>
    <row r="6316" spans="1:10" ht="14.4">
      <c r="A6316" s="25"/>
      <c r="B6316" s="25"/>
      <c r="C6316" s="25"/>
      <c r="D6316" s="25"/>
      <c r="E6316" s="25"/>
      <c r="F6316" s="25"/>
      <c r="G6316" s="25"/>
      <c r="H6316" s="25"/>
      <c r="I6316" s="25"/>
      <c r="J6316" s="25"/>
    </row>
    <row r="6317" spans="1:10" ht="14.4">
      <c r="A6317" s="25"/>
      <c r="B6317" s="25"/>
      <c r="C6317" s="25"/>
      <c r="D6317" s="25"/>
      <c r="E6317" s="25"/>
      <c r="F6317" s="25"/>
      <c r="G6317" s="25"/>
      <c r="H6317" s="25"/>
      <c r="I6317" s="25"/>
      <c r="J6317" s="25"/>
    </row>
    <row r="6318" spans="1:10" ht="14.4">
      <c r="A6318" s="25"/>
      <c r="B6318" s="25"/>
      <c r="C6318" s="25"/>
      <c r="D6318" s="25"/>
      <c r="E6318" s="25"/>
      <c r="F6318" s="25"/>
      <c r="G6318" s="25"/>
      <c r="H6318" s="25"/>
      <c r="I6318" s="25"/>
      <c r="J6318" s="25"/>
    </row>
    <row r="6319" spans="1:10" ht="14.4">
      <c r="A6319" s="25"/>
      <c r="B6319" s="25"/>
      <c r="C6319" s="25"/>
      <c r="D6319" s="25"/>
      <c r="E6319" s="25"/>
      <c r="F6319" s="25"/>
      <c r="G6319" s="25"/>
      <c r="H6319" s="25"/>
      <c r="I6319" s="25"/>
      <c r="J6319" s="25"/>
    </row>
    <row r="6320" spans="1:10" ht="14.4">
      <c r="A6320" s="25"/>
      <c r="B6320" s="25"/>
      <c r="C6320" s="25"/>
      <c r="D6320" s="25"/>
      <c r="E6320" s="25"/>
      <c r="F6320" s="25"/>
      <c r="G6320" s="25"/>
      <c r="H6320" s="25"/>
      <c r="I6320" s="25"/>
      <c r="J6320" s="25"/>
    </row>
    <row r="6321" spans="1:10" ht="14.4">
      <c r="A6321" s="25"/>
      <c r="B6321" s="25"/>
      <c r="C6321" s="25"/>
      <c r="D6321" s="25"/>
      <c r="E6321" s="25"/>
      <c r="F6321" s="25"/>
      <c r="G6321" s="25"/>
      <c r="H6321" s="25"/>
      <c r="I6321" s="25"/>
      <c r="J6321" s="25"/>
    </row>
    <row r="6322" spans="1:10" ht="14.4">
      <c r="A6322" s="25"/>
      <c r="B6322" s="25"/>
      <c r="C6322" s="25"/>
      <c r="D6322" s="25"/>
      <c r="E6322" s="25"/>
      <c r="F6322" s="25"/>
      <c r="G6322" s="25"/>
      <c r="H6322" s="25"/>
      <c r="I6322" s="25"/>
      <c r="J6322" s="25"/>
    </row>
    <row r="6323" spans="1:10" ht="14.4">
      <c r="A6323" s="25"/>
      <c r="B6323" s="25"/>
      <c r="C6323" s="25"/>
      <c r="D6323" s="25"/>
      <c r="E6323" s="25"/>
      <c r="F6323" s="25"/>
      <c r="G6323" s="25"/>
      <c r="H6323" s="25"/>
      <c r="I6323" s="25"/>
      <c r="J6323" s="25"/>
    </row>
    <row r="6324" spans="1:10" ht="14.4">
      <c r="A6324" s="25"/>
      <c r="B6324" s="25"/>
      <c r="C6324" s="25"/>
      <c r="D6324" s="25"/>
      <c r="E6324" s="25"/>
      <c r="F6324" s="25"/>
      <c r="G6324" s="25"/>
      <c r="H6324" s="25"/>
      <c r="I6324" s="25"/>
      <c r="J6324" s="25"/>
    </row>
    <row r="6325" spans="1:10" ht="14.4">
      <c r="A6325" s="25"/>
      <c r="B6325" s="25"/>
      <c r="C6325" s="25"/>
      <c r="D6325" s="25"/>
      <c r="E6325" s="25"/>
      <c r="F6325" s="25"/>
      <c r="G6325" s="25"/>
      <c r="H6325" s="25"/>
      <c r="I6325" s="25"/>
      <c r="J6325" s="25"/>
    </row>
    <row r="6326" spans="1:10" ht="14.4">
      <c r="A6326" s="25"/>
      <c r="B6326" s="25"/>
      <c r="C6326" s="25"/>
      <c r="D6326" s="25"/>
      <c r="E6326" s="25"/>
      <c r="F6326" s="25"/>
      <c r="G6326" s="25"/>
      <c r="H6326" s="25"/>
      <c r="I6326" s="25"/>
      <c r="J6326" s="25"/>
    </row>
    <row r="6327" spans="1:10" ht="14.4">
      <c r="A6327" s="25"/>
      <c r="B6327" s="25"/>
      <c r="C6327" s="25"/>
      <c r="D6327" s="25"/>
      <c r="E6327" s="25"/>
      <c r="F6327" s="25"/>
      <c r="G6327" s="25"/>
      <c r="H6327" s="25"/>
      <c r="I6327" s="25"/>
      <c r="J6327" s="25"/>
    </row>
    <row r="6328" spans="1:10" ht="14.4">
      <c r="A6328" s="25"/>
      <c r="B6328" s="25"/>
      <c r="C6328" s="25"/>
      <c r="D6328" s="25"/>
      <c r="E6328" s="25"/>
      <c r="F6328" s="25"/>
      <c r="G6328" s="25"/>
      <c r="H6328" s="25"/>
      <c r="I6328" s="25"/>
      <c r="J6328" s="25"/>
    </row>
    <row r="6329" spans="1:10" ht="14.4">
      <c r="A6329" s="25"/>
      <c r="B6329" s="25"/>
      <c r="C6329" s="25"/>
      <c r="D6329" s="25"/>
      <c r="E6329" s="25"/>
      <c r="F6329" s="25"/>
      <c r="G6329" s="25"/>
      <c r="H6329" s="25"/>
      <c r="I6329" s="25"/>
      <c r="J6329" s="25"/>
    </row>
    <row r="6330" spans="1:10" ht="14.4">
      <c r="A6330" s="25"/>
      <c r="B6330" s="25"/>
      <c r="C6330" s="25"/>
      <c r="D6330" s="25"/>
      <c r="E6330" s="25"/>
      <c r="F6330" s="25"/>
      <c r="G6330" s="25"/>
      <c r="H6330" s="25"/>
      <c r="I6330" s="25"/>
      <c r="J6330" s="25"/>
    </row>
    <row r="6331" spans="1:10" ht="14.4">
      <c r="A6331" s="25"/>
      <c r="B6331" s="25"/>
      <c r="C6331" s="25"/>
      <c r="D6331" s="25"/>
      <c r="E6331" s="25"/>
      <c r="F6331" s="25"/>
      <c r="G6331" s="25"/>
      <c r="H6331" s="25"/>
      <c r="I6331" s="25"/>
      <c r="J6331" s="25"/>
    </row>
    <row r="6332" spans="1:10" ht="14.4">
      <c r="A6332" s="25"/>
      <c r="B6332" s="25"/>
      <c r="C6332" s="25"/>
      <c r="D6332" s="25"/>
      <c r="E6332" s="25"/>
      <c r="F6332" s="25"/>
      <c r="G6332" s="25"/>
      <c r="H6332" s="25"/>
      <c r="I6332" s="25"/>
      <c r="J6332" s="25"/>
    </row>
    <row r="6333" spans="1:10" ht="14.4">
      <c r="A6333" s="25"/>
      <c r="B6333" s="25"/>
      <c r="C6333" s="25"/>
      <c r="D6333" s="25"/>
      <c r="E6333" s="25"/>
      <c r="F6333" s="25"/>
      <c r="G6333" s="25"/>
      <c r="H6333" s="25"/>
      <c r="I6333" s="25"/>
      <c r="J6333" s="25"/>
    </row>
    <row r="6334" spans="1:10" ht="14.4">
      <c r="A6334" s="25"/>
      <c r="B6334" s="25"/>
      <c r="C6334" s="25"/>
      <c r="D6334" s="25"/>
      <c r="E6334" s="25"/>
      <c r="F6334" s="25"/>
      <c r="G6334" s="25"/>
      <c r="H6334" s="25"/>
      <c r="I6334" s="25"/>
      <c r="J6334" s="25"/>
    </row>
    <row r="6335" spans="1:10" ht="14.4">
      <c r="A6335" s="25"/>
      <c r="B6335" s="25"/>
      <c r="C6335" s="25"/>
      <c r="D6335" s="25"/>
      <c r="E6335" s="25"/>
      <c r="F6335" s="25"/>
      <c r="G6335" s="25"/>
      <c r="H6335" s="25"/>
      <c r="I6335" s="25"/>
      <c r="J6335" s="25"/>
    </row>
    <row r="6336" spans="1:10" ht="14.4">
      <c r="A6336" s="25"/>
      <c r="B6336" s="25"/>
      <c r="C6336" s="25"/>
      <c r="D6336" s="25"/>
      <c r="E6336" s="25"/>
      <c r="F6336" s="25"/>
      <c r="G6336" s="25"/>
      <c r="H6336" s="25"/>
      <c r="I6336" s="25"/>
      <c r="J6336" s="25"/>
    </row>
    <row r="6337" spans="1:10" ht="14.4">
      <c r="A6337" s="25"/>
      <c r="B6337" s="25"/>
      <c r="C6337" s="25"/>
      <c r="D6337" s="25"/>
      <c r="E6337" s="25"/>
      <c r="F6337" s="25"/>
      <c r="G6337" s="25"/>
      <c r="H6337" s="25"/>
      <c r="I6337" s="25"/>
      <c r="J6337" s="25"/>
    </row>
    <row r="6338" spans="1:10" ht="14.4">
      <c r="A6338" s="25"/>
      <c r="B6338" s="25"/>
      <c r="C6338" s="25"/>
      <c r="D6338" s="25"/>
      <c r="E6338" s="25"/>
      <c r="F6338" s="25"/>
      <c r="G6338" s="25"/>
      <c r="H6338" s="25"/>
      <c r="I6338" s="25"/>
      <c r="J6338" s="25"/>
    </row>
    <row r="6339" spans="1:10" ht="14.4">
      <c r="A6339" s="25"/>
      <c r="B6339" s="25"/>
      <c r="C6339" s="25"/>
      <c r="D6339" s="25"/>
      <c r="E6339" s="25"/>
      <c r="F6339" s="25"/>
      <c r="G6339" s="25"/>
      <c r="H6339" s="25"/>
      <c r="I6339" s="25"/>
      <c r="J6339" s="25"/>
    </row>
    <row r="6340" spans="1:10" ht="14.4">
      <c r="A6340" s="25"/>
      <c r="B6340" s="25"/>
      <c r="C6340" s="25"/>
      <c r="D6340" s="25"/>
      <c r="E6340" s="25"/>
      <c r="F6340" s="25"/>
      <c r="G6340" s="25"/>
      <c r="H6340" s="25"/>
      <c r="I6340" s="25"/>
      <c r="J6340" s="25"/>
    </row>
    <row r="6341" spans="1:10" ht="14.4">
      <c r="A6341" s="25"/>
      <c r="B6341" s="25"/>
      <c r="C6341" s="25"/>
      <c r="D6341" s="25"/>
      <c r="E6341" s="25"/>
      <c r="F6341" s="25"/>
      <c r="G6341" s="25"/>
      <c r="H6341" s="25"/>
      <c r="I6341" s="25"/>
      <c r="J6341" s="25"/>
    </row>
    <row r="6342" spans="1:10" ht="14.4">
      <c r="A6342" s="25"/>
      <c r="B6342" s="25"/>
      <c r="C6342" s="25"/>
      <c r="D6342" s="25"/>
      <c r="E6342" s="25"/>
      <c r="F6342" s="25"/>
      <c r="G6342" s="25"/>
      <c r="H6342" s="25"/>
      <c r="I6342" s="25"/>
      <c r="J6342" s="25"/>
    </row>
    <row r="6343" spans="1:10" ht="14.4">
      <c r="A6343" s="25"/>
      <c r="B6343" s="25"/>
      <c r="C6343" s="25"/>
      <c r="D6343" s="25"/>
      <c r="E6343" s="25"/>
      <c r="F6343" s="25"/>
      <c r="G6343" s="25"/>
      <c r="H6343" s="25"/>
      <c r="I6343" s="25"/>
      <c r="J6343" s="25"/>
    </row>
    <row r="6344" spans="1:10" ht="14.4">
      <c r="A6344" s="25"/>
      <c r="B6344" s="25"/>
      <c r="C6344" s="25"/>
      <c r="D6344" s="25"/>
      <c r="E6344" s="25"/>
      <c r="F6344" s="25"/>
      <c r="G6344" s="25"/>
      <c r="H6344" s="25"/>
      <c r="I6344" s="25"/>
      <c r="J6344" s="25"/>
    </row>
    <row r="6345" spans="1:10" ht="14.4">
      <c r="A6345" s="25"/>
      <c r="B6345" s="25"/>
      <c r="C6345" s="25"/>
      <c r="D6345" s="25"/>
      <c r="E6345" s="25"/>
      <c r="F6345" s="25"/>
      <c r="G6345" s="25"/>
      <c r="H6345" s="25"/>
      <c r="I6345" s="25"/>
      <c r="J6345" s="25"/>
    </row>
    <row r="6346" spans="1:10" ht="14.4">
      <c r="A6346" s="25"/>
      <c r="B6346" s="25"/>
      <c r="C6346" s="25"/>
      <c r="D6346" s="25"/>
      <c r="E6346" s="25"/>
      <c r="F6346" s="25"/>
      <c r="G6346" s="25"/>
      <c r="H6346" s="25"/>
      <c r="I6346" s="25"/>
      <c r="J6346" s="25"/>
    </row>
    <row r="6347" spans="1:10" ht="14.4">
      <c r="A6347" s="25"/>
      <c r="B6347" s="25"/>
      <c r="C6347" s="25"/>
      <c r="D6347" s="25"/>
      <c r="E6347" s="25"/>
      <c r="F6347" s="25"/>
      <c r="G6347" s="25"/>
      <c r="H6347" s="25"/>
      <c r="I6347" s="25"/>
      <c r="J6347" s="25"/>
    </row>
    <row r="6348" spans="1:10" ht="14.4">
      <c r="A6348" s="25"/>
      <c r="B6348" s="25"/>
      <c r="C6348" s="25"/>
      <c r="D6348" s="25"/>
      <c r="E6348" s="25"/>
      <c r="F6348" s="25"/>
      <c r="G6348" s="25"/>
      <c r="H6348" s="25"/>
      <c r="I6348" s="25"/>
      <c r="J6348" s="25"/>
    </row>
    <row r="6349" spans="1:10" ht="14.4">
      <c r="A6349" s="25"/>
      <c r="B6349" s="25"/>
      <c r="C6349" s="25"/>
      <c r="D6349" s="25"/>
      <c r="E6349" s="25"/>
      <c r="F6349" s="25"/>
      <c r="G6349" s="25"/>
      <c r="H6349" s="25"/>
      <c r="I6349" s="25"/>
      <c r="J6349" s="25"/>
    </row>
    <row r="6350" spans="1:10" ht="14.4">
      <c r="A6350" s="25"/>
      <c r="B6350" s="25"/>
      <c r="C6350" s="25"/>
      <c r="D6350" s="25"/>
      <c r="E6350" s="25"/>
      <c r="F6350" s="25"/>
      <c r="G6350" s="25"/>
      <c r="H6350" s="25"/>
      <c r="I6350" s="25"/>
      <c r="J6350" s="25"/>
    </row>
    <row r="6351" spans="1:10" ht="14.4">
      <c r="A6351" s="25"/>
      <c r="B6351" s="25"/>
      <c r="C6351" s="25"/>
      <c r="D6351" s="25"/>
      <c r="E6351" s="25"/>
      <c r="F6351" s="25"/>
      <c r="G6351" s="25"/>
      <c r="H6351" s="25"/>
      <c r="I6351" s="25"/>
      <c r="J6351" s="25"/>
    </row>
    <row r="6352" spans="1:10" ht="14.4">
      <c r="A6352" s="25"/>
      <c r="B6352" s="25"/>
      <c r="C6352" s="25"/>
      <c r="D6352" s="25"/>
      <c r="E6352" s="25"/>
      <c r="F6352" s="25"/>
      <c r="G6352" s="25"/>
      <c r="H6352" s="25"/>
      <c r="I6352" s="25"/>
      <c r="J6352" s="25"/>
    </row>
    <row r="6353" spans="1:10" ht="14.4">
      <c r="A6353" s="25"/>
      <c r="B6353" s="25"/>
      <c r="C6353" s="25"/>
      <c r="D6353" s="25"/>
      <c r="E6353" s="25"/>
      <c r="F6353" s="25"/>
      <c r="G6353" s="25"/>
      <c r="H6353" s="25"/>
      <c r="I6353" s="25"/>
      <c r="J6353" s="25"/>
    </row>
    <row r="6354" spans="1:10" ht="14.4">
      <c r="A6354" s="25"/>
      <c r="B6354" s="25"/>
      <c r="C6354" s="25"/>
      <c r="D6354" s="25"/>
      <c r="E6354" s="25"/>
      <c r="F6354" s="25"/>
      <c r="G6354" s="25"/>
      <c r="H6354" s="25"/>
      <c r="I6354" s="25"/>
      <c r="J6354" s="25"/>
    </row>
    <row r="6355" spans="1:10" ht="14.4">
      <c r="A6355" s="25"/>
      <c r="B6355" s="25"/>
      <c r="C6355" s="25"/>
      <c r="D6355" s="25"/>
      <c r="E6355" s="25"/>
      <c r="F6355" s="25"/>
      <c r="G6355" s="25"/>
      <c r="H6355" s="25"/>
      <c r="I6355" s="25"/>
      <c r="J6355" s="25"/>
    </row>
    <row r="6356" spans="1:10" ht="14.4">
      <c r="A6356" s="25"/>
      <c r="B6356" s="25"/>
      <c r="C6356" s="25"/>
      <c r="D6356" s="25"/>
      <c r="E6356" s="25"/>
      <c r="F6356" s="25"/>
      <c r="G6356" s="25"/>
      <c r="H6356" s="25"/>
      <c r="I6356" s="25"/>
      <c r="J6356" s="25"/>
    </row>
    <row r="6357" spans="1:10" ht="14.4">
      <c r="A6357" s="25"/>
      <c r="B6357" s="25"/>
      <c r="C6357" s="25"/>
      <c r="D6357" s="25"/>
      <c r="E6357" s="25"/>
      <c r="F6357" s="25"/>
      <c r="G6357" s="25"/>
      <c r="H6357" s="25"/>
      <c r="I6357" s="25"/>
      <c r="J6357" s="25"/>
    </row>
    <row r="6358" spans="1:10" ht="14.4">
      <c r="A6358" s="25"/>
      <c r="B6358" s="25"/>
      <c r="C6358" s="25"/>
      <c r="D6358" s="25"/>
      <c r="E6358" s="25"/>
      <c r="F6358" s="25"/>
      <c r="G6358" s="25"/>
      <c r="H6358" s="25"/>
      <c r="I6358" s="25"/>
      <c r="J6358" s="25"/>
    </row>
    <row r="6359" spans="1:10" ht="14.4">
      <c r="A6359" s="25"/>
      <c r="B6359" s="25"/>
      <c r="C6359" s="25"/>
      <c r="D6359" s="25"/>
      <c r="E6359" s="25"/>
      <c r="F6359" s="25"/>
      <c r="G6359" s="25"/>
      <c r="H6359" s="25"/>
      <c r="I6359" s="25"/>
      <c r="J6359" s="25"/>
    </row>
    <row r="6360" spans="1:10" ht="14.4">
      <c r="A6360" s="25"/>
      <c r="B6360" s="25"/>
      <c r="C6360" s="25"/>
      <c r="D6360" s="25"/>
      <c r="E6360" s="25"/>
      <c r="F6360" s="25"/>
      <c r="G6360" s="25"/>
      <c r="H6360" s="25"/>
      <c r="I6360" s="25"/>
      <c r="J6360" s="25"/>
    </row>
    <row r="6361" spans="1:10" ht="14.4">
      <c r="A6361" s="25"/>
      <c r="B6361" s="25"/>
      <c r="C6361" s="25"/>
      <c r="D6361" s="25"/>
      <c r="E6361" s="25"/>
      <c r="F6361" s="25"/>
      <c r="G6361" s="25"/>
      <c r="H6361" s="25"/>
      <c r="I6361" s="25"/>
      <c r="J6361" s="25"/>
    </row>
    <row r="6362" spans="1:10" ht="14.4">
      <c r="A6362" s="25"/>
      <c r="B6362" s="25"/>
      <c r="C6362" s="25"/>
      <c r="D6362" s="25"/>
      <c r="E6362" s="25"/>
      <c r="F6362" s="25"/>
      <c r="G6362" s="25"/>
      <c r="H6362" s="25"/>
      <c r="I6362" s="25"/>
      <c r="J6362" s="25"/>
    </row>
    <row r="6363" spans="1:10" ht="14.4">
      <c r="A6363" s="25"/>
      <c r="B6363" s="25"/>
      <c r="C6363" s="25"/>
      <c r="D6363" s="25"/>
      <c r="E6363" s="25"/>
      <c r="F6363" s="25"/>
      <c r="G6363" s="25"/>
      <c r="H6363" s="25"/>
      <c r="I6363" s="25"/>
      <c r="J6363" s="25"/>
    </row>
    <row r="6364" spans="1:10" ht="14.4">
      <c r="A6364" s="25"/>
      <c r="B6364" s="25"/>
      <c r="C6364" s="25"/>
      <c r="D6364" s="25"/>
      <c r="E6364" s="25"/>
      <c r="F6364" s="25"/>
      <c r="G6364" s="25"/>
      <c r="H6364" s="25"/>
      <c r="I6364" s="25"/>
      <c r="J6364" s="25"/>
    </row>
    <row r="6365" spans="1:10" ht="14.4">
      <c r="A6365" s="25"/>
      <c r="B6365" s="25"/>
      <c r="C6365" s="25"/>
      <c r="D6365" s="25"/>
      <c r="E6365" s="25"/>
      <c r="F6365" s="25"/>
      <c r="G6365" s="25"/>
      <c r="H6365" s="25"/>
      <c r="I6365" s="25"/>
      <c r="J6365" s="25"/>
    </row>
    <row r="6366" spans="1:10" ht="14.4">
      <c r="A6366" s="25"/>
      <c r="B6366" s="25"/>
      <c r="C6366" s="25"/>
      <c r="D6366" s="25"/>
      <c r="E6366" s="25"/>
      <c r="F6366" s="25"/>
      <c r="G6366" s="25"/>
      <c r="H6366" s="25"/>
      <c r="I6366" s="25"/>
      <c r="J6366" s="25"/>
    </row>
    <row r="6367" spans="1:10" ht="14.4">
      <c r="A6367" s="25"/>
      <c r="B6367" s="25"/>
      <c r="C6367" s="25"/>
      <c r="D6367" s="25"/>
      <c r="E6367" s="25"/>
      <c r="F6367" s="25"/>
      <c r="G6367" s="25"/>
      <c r="H6367" s="25"/>
      <c r="I6367" s="25"/>
      <c r="J6367" s="25"/>
    </row>
    <row r="6368" spans="1:10" ht="14.4">
      <c r="A6368" s="25"/>
      <c r="B6368" s="25"/>
      <c r="C6368" s="25"/>
      <c r="D6368" s="25"/>
      <c r="E6368" s="25"/>
      <c r="F6368" s="25"/>
      <c r="G6368" s="25"/>
      <c r="H6368" s="25"/>
      <c r="I6368" s="25"/>
      <c r="J6368" s="25"/>
    </row>
    <row r="6369" spans="1:10" ht="14.4">
      <c r="A6369" s="25"/>
      <c r="B6369" s="25"/>
      <c r="C6369" s="25"/>
      <c r="D6369" s="25"/>
      <c r="E6369" s="25"/>
      <c r="F6369" s="25"/>
      <c r="G6369" s="25"/>
      <c r="H6369" s="25"/>
      <c r="I6369" s="25"/>
      <c r="J6369" s="25"/>
    </row>
    <row r="6370" spans="1:10" ht="14.4">
      <c r="A6370" s="25"/>
      <c r="B6370" s="25"/>
      <c r="C6370" s="25"/>
      <c r="D6370" s="25"/>
      <c r="E6370" s="25"/>
      <c r="F6370" s="25"/>
      <c r="G6370" s="25"/>
      <c r="H6370" s="25"/>
      <c r="I6370" s="25"/>
      <c r="J6370" s="25"/>
    </row>
    <row r="6371" spans="1:10" ht="14.4">
      <c r="A6371" s="25"/>
      <c r="B6371" s="25"/>
      <c r="C6371" s="25"/>
      <c r="D6371" s="25"/>
      <c r="E6371" s="25"/>
      <c r="F6371" s="25"/>
      <c r="G6371" s="25"/>
      <c r="H6371" s="25"/>
      <c r="I6371" s="25"/>
      <c r="J6371" s="25"/>
    </row>
    <row r="6372" spans="1:10" ht="14.4">
      <c r="A6372" s="25"/>
      <c r="B6372" s="25"/>
      <c r="C6372" s="25"/>
      <c r="D6372" s="25"/>
      <c r="E6372" s="25"/>
      <c r="F6372" s="25"/>
      <c r="G6372" s="25"/>
      <c r="H6372" s="25"/>
      <c r="I6372" s="25"/>
      <c r="J6372" s="25"/>
    </row>
    <row r="6373" spans="1:10" ht="14.4">
      <c r="A6373" s="25"/>
      <c r="B6373" s="25"/>
      <c r="C6373" s="25"/>
      <c r="D6373" s="25"/>
      <c r="E6373" s="25"/>
      <c r="F6373" s="25"/>
      <c r="G6373" s="25"/>
      <c r="H6373" s="25"/>
      <c r="I6373" s="25"/>
      <c r="J6373" s="25"/>
    </row>
    <row r="6374" spans="1:10" ht="14.4">
      <c r="A6374" s="25"/>
      <c r="B6374" s="25"/>
      <c r="C6374" s="25"/>
      <c r="D6374" s="25"/>
      <c r="E6374" s="25"/>
      <c r="F6374" s="25"/>
      <c r="G6374" s="25"/>
      <c r="H6374" s="25"/>
      <c r="I6374" s="25"/>
      <c r="J6374" s="25"/>
    </row>
    <row r="6375" spans="1:10" ht="14.4">
      <c r="A6375" s="25"/>
      <c r="B6375" s="25"/>
      <c r="C6375" s="25"/>
      <c r="D6375" s="25"/>
      <c r="E6375" s="25"/>
      <c r="F6375" s="25"/>
      <c r="G6375" s="25"/>
      <c r="H6375" s="25"/>
      <c r="I6375" s="25"/>
      <c r="J6375" s="25"/>
    </row>
    <row r="6376" spans="1:10" ht="14.4">
      <c r="A6376" s="25"/>
      <c r="B6376" s="25"/>
      <c r="C6376" s="25"/>
      <c r="D6376" s="25"/>
      <c r="E6376" s="25"/>
      <c r="F6376" s="25"/>
      <c r="G6376" s="25"/>
      <c r="H6376" s="25"/>
      <c r="I6376" s="25"/>
      <c r="J6376" s="25"/>
    </row>
    <row r="6377" spans="1:10" ht="14.4">
      <c r="A6377" s="25"/>
      <c r="B6377" s="25"/>
      <c r="C6377" s="25"/>
      <c r="D6377" s="25"/>
      <c r="E6377" s="25"/>
      <c r="F6377" s="25"/>
      <c r="G6377" s="25"/>
      <c r="H6377" s="25"/>
      <c r="I6377" s="25"/>
      <c r="J6377" s="25"/>
    </row>
    <row r="6378" spans="1:10" ht="14.4">
      <c r="A6378" s="25"/>
      <c r="B6378" s="25"/>
      <c r="C6378" s="25"/>
      <c r="D6378" s="25"/>
      <c r="E6378" s="25"/>
      <c r="F6378" s="25"/>
      <c r="G6378" s="25"/>
      <c r="H6378" s="25"/>
      <c r="I6378" s="25"/>
      <c r="J6378" s="25"/>
    </row>
    <row r="6379" spans="1:10" ht="14.4">
      <c r="A6379" s="25"/>
      <c r="B6379" s="25"/>
      <c r="C6379" s="25"/>
      <c r="D6379" s="25"/>
      <c r="E6379" s="25"/>
      <c r="F6379" s="25"/>
      <c r="G6379" s="25"/>
      <c r="H6379" s="25"/>
      <c r="I6379" s="25"/>
      <c r="J6379" s="25"/>
    </row>
    <row r="6380" spans="1:10" ht="14.4">
      <c r="A6380" s="25"/>
      <c r="B6380" s="25"/>
      <c r="C6380" s="25"/>
      <c r="D6380" s="25"/>
      <c r="E6380" s="25"/>
      <c r="F6380" s="25"/>
      <c r="G6380" s="25"/>
      <c r="H6380" s="25"/>
      <c r="I6380" s="25"/>
      <c r="J6380" s="25"/>
    </row>
    <row r="6381" spans="1:10" ht="14.4">
      <c r="A6381" s="25"/>
      <c r="B6381" s="25"/>
      <c r="C6381" s="25"/>
      <c r="D6381" s="25"/>
      <c r="E6381" s="25"/>
      <c r="F6381" s="25"/>
      <c r="G6381" s="25"/>
      <c r="H6381" s="25"/>
      <c r="I6381" s="25"/>
      <c r="J6381" s="25"/>
    </row>
    <row r="6382" spans="1:10" ht="14.4">
      <c r="A6382" s="25"/>
      <c r="B6382" s="25"/>
      <c r="C6382" s="25"/>
      <c r="D6382" s="25"/>
      <c r="E6382" s="25"/>
      <c r="F6382" s="25"/>
      <c r="G6382" s="25"/>
      <c r="H6382" s="25"/>
      <c r="I6382" s="25"/>
      <c r="J6382" s="25"/>
    </row>
    <row r="6383" spans="1:10" ht="14.4">
      <c r="A6383" s="25"/>
      <c r="B6383" s="25"/>
      <c r="C6383" s="25"/>
      <c r="D6383" s="25"/>
      <c r="E6383" s="25"/>
      <c r="F6383" s="25"/>
      <c r="G6383" s="25"/>
      <c r="H6383" s="25"/>
      <c r="I6383" s="25"/>
      <c r="J6383" s="25"/>
    </row>
    <row r="6384" spans="1:10" ht="14.4">
      <c r="A6384" s="25"/>
      <c r="B6384" s="25"/>
      <c r="C6384" s="25"/>
      <c r="D6384" s="25"/>
      <c r="E6384" s="25"/>
      <c r="F6384" s="25"/>
      <c r="G6384" s="25"/>
      <c r="H6384" s="25"/>
      <c r="I6384" s="25"/>
      <c r="J6384" s="25"/>
    </row>
    <row r="6385" spans="1:10" ht="14.4">
      <c r="A6385" s="25"/>
      <c r="B6385" s="25"/>
      <c r="C6385" s="25"/>
      <c r="D6385" s="25"/>
      <c r="E6385" s="25"/>
      <c r="F6385" s="25"/>
      <c r="G6385" s="25"/>
      <c r="H6385" s="25"/>
      <c r="I6385" s="25"/>
      <c r="J6385" s="25"/>
    </row>
    <row r="6386" spans="1:10" ht="14.4">
      <c r="A6386" s="25"/>
      <c r="B6386" s="25"/>
      <c r="C6386" s="25"/>
      <c r="D6386" s="25"/>
      <c r="E6386" s="25"/>
      <c r="F6386" s="25"/>
      <c r="G6386" s="25"/>
      <c r="H6386" s="25"/>
      <c r="I6386" s="25"/>
      <c r="J6386" s="25"/>
    </row>
    <row r="6387" spans="1:10" ht="14.4">
      <c r="A6387" s="25"/>
      <c r="B6387" s="25"/>
      <c r="C6387" s="25"/>
      <c r="D6387" s="25"/>
      <c r="E6387" s="25"/>
      <c r="F6387" s="25"/>
      <c r="G6387" s="25"/>
      <c r="H6387" s="25"/>
      <c r="I6387" s="25"/>
      <c r="J6387" s="25"/>
    </row>
    <row r="6388" spans="1:10" ht="14.4">
      <c r="A6388" s="25"/>
      <c r="B6388" s="25"/>
      <c r="C6388" s="25"/>
      <c r="D6388" s="25"/>
      <c r="E6388" s="25"/>
      <c r="F6388" s="25"/>
      <c r="G6388" s="25"/>
      <c r="H6388" s="25"/>
      <c r="I6388" s="25"/>
      <c r="J6388" s="25"/>
    </row>
    <row r="6389" spans="1:10" ht="14.4">
      <c r="A6389" s="25"/>
      <c r="B6389" s="25"/>
      <c r="C6389" s="25"/>
      <c r="D6389" s="25"/>
      <c r="E6389" s="25"/>
      <c r="F6389" s="25"/>
      <c r="G6389" s="25"/>
      <c r="H6389" s="25"/>
      <c r="I6389" s="25"/>
      <c r="J6389" s="25"/>
    </row>
    <row r="6390" spans="1:10" ht="14.4">
      <c r="A6390" s="25"/>
      <c r="B6390" s="25"/>
      <c r="C6390" s="25"/>
      <c r="D6390" s="25"/>
      <c r="E6390" s="25"/>
      <c r="F6390" s="25"/>
      <c r="G6390" s="25"/>
      <c r="H6390" s="25"/>
      <c r="I6390" s="25"/>
      <c r="J6390" s="25"/>
    </row>
    <row r="6391" spans="1:10" ht="14.4">
      <c r="A6391" s="25"/>
      <c r="B6391" s="25"/>
      <c r="C6391" s="25"/>
      <c r="D6391" s="25"/>
      <c r="E6391" s="25"/>
      <c r="F6391" s="25"/>
      <c r="G6391" s="25"/>
      <c r="H6391" s="25"/>
      <c r="I6391" s="25"/>
      <c r="J6391" s="25"/>
    </row>
    <row r="6392" spans="1:10" ht="14.4">
      <c r="A6392" s="25"/>
      <c r="B6392" s="25"/>
      <c r="C6392" s="25"/>
      <c r="D6392" s="25"/>
      <c r="E6392" s="25"/>
      <c r="F6392" s="25"/>
      <c r="G6392" s="25"/>
      <c r="H6392" s="25"/>
      <c r="I6392" s="25"/>
      <c r="J6392" s="25"/>
    </row>
    <row r="6393" spans="1:10" ht="14.4">
      <c r="A6393" s="25"/>
      <c r="B6393" s="25"/>
      <c r="C6393" s="25"/>
      <c r="D6393" s="25"/>
      <c r="E6393" s="25"/>
      <c r="F6393" s="25"/>
      <c r="G6393" s="25"/>
      <c r="H6393" s="25"/>
      <c r="I6393" s="25"/>
      <c r="J6393" s="25"/>
    </row>
    <row r="6394" spans="1:10" ht="14.4">
      <c r="A6394" s="25"/>
      <c r="B6394" s="25"/>
      <c r="C6394" s="25"/>
      <c r="D6394" s="25"/>
      <c r="E6394" s="25"/>
      <c r="F6394" s="25"/>
      <c r="G6394" s="25"/>
      <c r="H6394" s="25"/>
      <c r="I6394" s="25"/>
      <c r="J6394" s="25"/>
    </row>
    <row r="6395" spans="1:10" ht="14.4">
      <c r="A6395" s="25"/>
      <c r="B6395" s="25"/>
      <c r="C6395" s="25"/>
      <c r="D6395" s="25"/>
      <c r="E6395" s="25"/>
      <c r="F6395" s="25"/>
      <c r="G6395" s="25"/>
      <c r="H6395" s="25"/>
      <c r="I6395" s="25"/>
      <c r="J6395" s="25"/>
    </row>
    <row r="6396" spans="1:10" ht="14.4">
      <c r="A6396" s="25"/>
      <c r="B6396" s="25"/>
      <c r="C6396" s="25"/>
      <c r="D6396" s="25"/>
      <c r="E6396" s="25"/>
      <c r="F6396" s="25"/>
      <c r="G6396" s="25"/>
      <c r="H6396" s="25"/>
      <c r="I6396" s="25"/>
      <c r="J6396" s="25"/>
    </row>
    <row r="6397" spans="1:10" ht="14.4">
      <c r="A6397" s="25"/>
      <c r="B6397" s="25"/>
      <c r="C6397" s="25"/>
      <c r="D6397" s="25"/>
      <c r="E6397" s="25"/>
      <c r="F6397" s="25"/>
      <c r="G6397" s="25"/>
      <c r="H6397" s="25"/>
      <c r="I6397" s="25"/>
      <c r="J6397" s="25"/>
    </row>
    <row r="6398" spans="1:10" ht="14.4">
      <c r="A6398" s="25"/>
      <c r="B6398" s="25"/>
      <c r="C6398" s="25"/>
      <c r="D6398" s="25"/>
      <c r="E6398" s="25"/>
      <c r="F6398" s="25"/>
      <c r="G6398" s="25"/>
      <c r="H6398" s="25"/>
      <c r="I6398" s="25"/>
      <c r="J6398" s="25"/>
    </row>
    <row r="6399" spans="1:10" ht="14.4">
      <c r="A6399" s="25"/>
      <c r="B6399" s="25"/>
      <c r="C6399" s="25"/>
      <c r="D6399" s="25"/>
      <c r="E6399" s="25"/>
      <c r="F6399" s="25"/>
      <c r="G6399" s="25"/>
      <c r="H6399" s="25"/>
      <c r="I6399" s="25"/>
      <c r="J6399" s="25"/>
    </row>
    <row r="6400" spans="1:10" ht="14.4">
      <c r="A6400" s="25"/>
      <c r="B6400" s="25"/>
      <c r="C6400" s="25"/>
      <c r="D6400" s="25"/>
      <c r="E6400" s="25"/>
      <c r="F6400" s="25"/>
      <c r="G6400" s="25"/>
      <c r="H6400" s="25"/>
      <c r="I6400" s="25"/>
      <c r="J6400" s="25"/>
    </row>
    <row r="6401" spans="1:10" ht="14.4">
      <c r="A6401" s="25"/>
      <c r="B6401" s="25"/>
      <c r="C6401" s="25"/>
      <c r="D6401" s="25"/>
      <c r="E6401" s="25"/>
      <c r="F6401" s="25"/>
      <c r="G6401" s="25"/>
      <c r="H6401" s="25"/>
      <c r="I6401" s="25"/>
      <c r="J6401" s="25"/>
    </row>
    <row r="6402" spans="1:10" ht="14.4">
      <c r="A6402" s="25"/>
      <c r="B6402" s="25"/>
      <c r="C6402" s="25"/>
      <c r="D6402" s="25"/>
      <c r="E6402" s="25"/>
      <c r="F6402" s="25"/>
      <c r="G6402" s="25"/>
      <c r="H6402" s="25"/>
      <c r="I6402" s="25"/>
      <c r="J6402" s="25"/>
    </row>
    <row r="6403" spans="1:10" ht="14.4">
      <c r="A6403" s="25"/>
      <c r="B6403" s="25"/>
      <c r="C6403" s="25"/>
      <c r="D6403" s="25"/>
      <c r="E6403" s="25"/>
      <c r="F6403" s="25"/>
      <c r="G6403" s="25"/>
      <c r="H6403" s="25"/>
      <c r="I6403" s="25"/>
      <c r="J6403" s="25"/>
    </row>
    <row r="6404" spans="1:10" ht="14.4">
      <c r="A6404" s="25"/>
      <c r="B6404" s="25"/>
      <c r="C6404" s="25"/>
      <c r="D6404" s="25"/>
      <c r="E6404" s="25"/>
      <c r="F6404" s="25"/>
      <c r="G6404" s="25"/>
      <c r="H6404" s="25"/>
      <c r="I6404" s="25"/>
      <c r="J6404" s="25"/>
    </row>
    <row r="6405" spans="1:10" ht="14.4">
      <c r="A6405" s="25"/>
      <c r="B6405" s="25"/>
      <c r="C6405" s="25"/>
      <c r="D6405" s="25"/>
      <c r="E6405" s="25"/>
      <c r="F6405" s="25"/>
      <c r="G6405" s="25"/>
      <c r="H6405" s="25"/>
      <c r="I6405" s="25"/>
      <c r="J6405" s="25"/>
    </row>
    <row r="6406" spans="1:10" ht="14.4">
      <c r="A6406" s="25"/>
      <c r="B6406" s="25"/>
      <c r="C6406" s="25"/>
      <c r="D6406" s="25"/>
      <c r="E6406" s="25"/>
      <c r="F6406" s="25"/>
      <c r="G6406" s="25"/>
      <c r="H6406" s="25"/>
      <c r="I6406" s="25"/>
      <c r="J6406" s="25"/>
    </row>
    <row r="6407" spans="1:10" ht="14.4">
      <c r="A6407" s="25"/>
      <c r="B6407" s="25"/>
      <c r="C6407" s="25"/>
      <c r="D6407" s="25"/>
      <c r="E6407" s="25"/>
      <c r="F6407" s="25"/>
      <c r="G6407" s="25"/>
      <c r="H6407" s="25"/>
      <c r="I6407" s="25"/>
      <c r="J6407" s="25"/>
    </row>
    <row r="6408" spans="1:10" ht="14.4">
      <c r="A6408" s="25"/>
      <c r="B6408" s="25"/>
      <c r="C6408" s="25"/>
      <c r="D6408" s="25"/>
      <c r="E6408" s="25"/>
      <c r="F6408" s="25"/>
      <c r="G6408" s="25"/>
      <c r="H6408" s="25"/>
      <c r="I6408" s="25"/>
      <c r="J6408" s="25"/>
    </row>
    <row r="6409" spans="1:10" ht="14.4">
      <c r="A6409" s="25"/>
      <c r="B6409" s="25"/>
      <c r="C6409" s="25"/>
      <c r="D6409" s="25"/>
      <c r="E6409" s="25"/>
      <c r="F6409" s="25"/>
      <c r="G6409" s="25"/>
      <c r="H6409" s="25"/>
      <c r="I6409" s="25"/>
      <c r="J6409" s="25"/>
    </row>
    <row r="6410" spans="1:10" ht="14.4">
      <c r="A6410" s="25"/>
      <c r="B6410" s="25"/>
      <c r="C6410" s="25"/>
      <c r="D6410" s="25"/>
      <c r="E6410" s="25"/>
      <c r="F6410" s="25"/>
      <c r="G6410" s="25"/>
      <c r="H6410" s="25"/>
      <c r="I6410" s="25"/>
      <c r="J6410" s="25"/>
    </row>
    <row r="6411" spans="1:10" ht="14.4">
      <c r="A6411" s="25"/>
      <c r="B6411" s="25"/>
      <c r="C6411" s="25"/>
      <c r="D6411" s="25"/>
      <c r="E6411" s="25"/>
      <c r="F6411" s="25"/>
      <c r="G6411" s="25"/>
      <c r="H6411" s="25"/>
      <c r="I6411" s="25"/>
      <c r="J6411" s="25"/>
    </row>
    <row r="6412" spans="1:10" ht="14.4">
      <c r="A6412" s="25"/>
      <c r="B6412" s="25"/>
      <c r="C6412" s="25"/>
      <c r="D6412" s="25"/>
      <c r="E6412" s="25"/>
      <c r="F6412" s="25"/>
      <c r="G6412" s="25"/>
      <c r="H6412" s="25"/>
      <c r="I6412" s="25"/>
      <c r="J6412" s="25"/>
    </row>
    <row r="6413" spans="1:10" ht="14.4">
      <c r="A6413" s="25"/>
      <c r="B6413" s="25"/>
      <c r="C6413" s="25"/>
      <c r="D6413" s="25"/>
      <c r="E6413" s="25"/>
      <c r="F6413" s="25"/>
      <c r="G6413" s="25"/>
      <c r="H6413" s="25"/>
      <c r="I6413" s="25"/>
      <c r="J6413" s="25"/>
    </row>
    <row r="6414" spans="1:10" ht="14.4">
      <c r="A6414" s="25"/>
      <c r="B6414" s="25"/>
      <c r="C6414" s="25"/>
      <c r="D6414" s="25"/>
      <c r="E6414" s="25"/>
      <c r="F6414" s="25"/>
      <c r="G6414" s="25"/>
      <c r="H6414" s="25"/>
      <c r="I6414" s="25"/>
      <c r="J6414" s="25"/>
    </row>
    <row r="6415" spans="1:10" ht="14.4">
      <c r="A6415" s="25"/>
      <c r="B6415" s="25"/>
      <c r="C6415" s="25"/>
      <c r="D6415" s="25"/>
      <c r="E6415" s="25"/>
      <c r="F6415" s="25"/>
      <c r="G6415" s="25"/>
      <c r="H6415" s="25"/>
      <c r="I6415" s="25"/>
      <c r="J6415" s="25"/>
    </row>
    <row r="6416" spans="1:10" ht="14.4">
      <c r="A6416" s="25"/>
      <c r="B6416" s="25"/>
      <c r="C6416" s="25"/>
      <c r="D6416" s="25"/>
      <c r="E6416" s="25"/>
      <c r="F6416" s="25"/>
      <c r="G6416" s="25"/>
      <c r="H6416" s="25"/>
      <c r="I6416" s="25"/>
      <c r="J6416" s="25"/>
    </row>
    <row r="6417" spans="1:10" ht="14.4">
      <c r="A6417" s="25"/>
      <c r="B6417" s="25"/>
      <c r="C6417" s="25"/>
      <c r="D6417" s="25"/>
      <c r="E6417" s="25"/>
      <c r="F6417" s="25"/>
      <c r="G6417" s="25"/>
      <c r="H6417" s="25"/>
      <c r="I6417" s="25"/>
      <c r="J6417" s="25"/>
    </row>
    <row r="6418" spans="1:10" ht="14.4">
      <c r="A6418" s="25"/>
      <c r="B6418" s="25"/>
      <c r="C6418" s="25"/>
      <c r="D6418" s="25"/>
      <c r="E6418" s="25"/>
      <c r="F6418" s="25"/>
      <c r="G6418" s="25"/>
      <c r="H6418" s="25"/>
      <c r="I6418" s="25"/>
      <c r="J6418" s="25"/>
    </row>
    <row r="6419" spans="1:10" ht="14.4">
      <c r="A6419" s="25"/>
      <c r="B6419" s="25"/>
      <c r="C6419" s="25"/>
      <c r="D6419" s="25"/>
      <c r="E6419" s="25"/>
      <c r="F6419" s="25"/>
      <c r="G6419" s="25"/>
      <c r="H6419" s="25"/>
      <c r="I6419" s="25"/>
      <c r="J6419" s="25"/>
    </row>
    <row r="6420" spans="1:10" ht="14.4">
      <c r="A6420" s="25"/>
      <c r="B6420" s="25"/>
      <c r="C6420" s="25"/>
      <c r="D6420" s="25"/>
      <c r="E6420" s="25"/>
      <c r="F6420" s="25"/>
      <c r="G6420" s="25"/>
      <c r="H6420" s="25"/>
      <c r="I6420" s="25"/>
      <c r="J6420" s="25"/>
    </row>
    <row r="6421" spans="1:10" ht="14.4">
      <c r="A6421" s="25"/>
      <c r="B6421" s="25"/>
      <c r="C6421" s="25"/>
      <c r="D6421" s="25"/>
      <c r="E6421" s="25"/>
      <c r="F6421" s="25"/>
      <c r="G6421" s="25"/>
      <c r="H6421" s="25"/>
      <c r="I6421" s="25"/>
      <c r="J6421" s="25"/>
    </row>
    <row r="6422" spans="1:10" ht="14.4">
      <c r="A6422" s="25"/>
      <c r="B6422" s="25"/>
      <c r="C6422" s="25"/>
      <c r="D6422" s="25"/>
      <c r="E6422" s="25"/>
      <c r="F6422" s="25"/>
      <c r="G6422" s="25"/>
      <c r="H6422" s="25"/>
      <c r="I6422" s="25"/>
      <c r="J6422" s="25"/>
    </row>
    <row r="6423" spans="1:10" ht="14.4">
      <c r="A6423" s="25"/>
      <c r="B6423" s="25"/>
      <c r="C6423" s="25"/>
      <c r="D6423" s="25"/>
      <c r="E6423" s="25"/>
      <c r="F6423" s="25"/>
      <c r="G6423" s="25"/>
      <c r="H6423" s="25"/>
      <c r="I6423" s="25"/>
      <c r="J6423" s="25"/>
    </row>
    <row r="6424" spans="1:10" ht="14.4">
      <c r="A6424" s="25"/>
      <c r="B6424" s="25"/>
      <c r="C6424" s="25"/>
      <c r="D6424" s="25"/>
      <c r="E6424" s="25"/>
      <c r="F6424" s="25"/>
      <c r="G6424" s="25"/>
      <c r="H6424" s="25"/>
      <c r="I6424" s="25"/>
      <c r="J6424" s="25"/>
    </row>
    <row r="6425" spans="1:10" ht="14.4">
      <c r="A6425" s="25"/>
      <c r="B6425" s="25"/>
      <c r="C6425" s="25"/>
      <c r="D6425" s="25"/>
      <c r="E6425" s="25"/>
      <c r="F6425" s="25"/>
      <c r="G6425" s="25"/>
      <c r="H6425" s="25"/>
      <c r="I6425" s="25"/>
      <c r="J6425" s="25"/>
    </row>
    <row r="6426" spans="1:10" ht="14.4">
      <c r="A6426" s="25"/>
      <c r="B6426" s="25"/>
      <c r="C6426" s="25"/>
      <c r="D6426" s="25"/>
      <c r="E6426" s="25"/>
      <c r="F6426" s="25"/>
      <c r="G6426" s="25"/>
      <c r="H6426" s="25"/>
      <c r="I6426" s="25"/>
      <c r="J6426" s="25"/>
    </row>
    <row r="6427" spans="1:10" ht="14.4">
      <c r="A6427" s="25"/>
      <c r="B6427" s="25"/>
      <c r="C6427" s="25"/>
      <c r="D6427" s="25"/>
      <c r="E6427" s="25"/>
      <c r="F6427" s="25"/>
      <c r="G6427" s="25"/>
      <c r="H6427" s="25"/>
      <c r="I6427" s="25"/>
      <c r="J6427" s="25"/>
    </row>
    <row r="6428" spans="1:10" ht="14.4">
      <c r="A6428" s="25"/>
      <c r="B6428" s="25"/>
      <c r="C6428" s="25"/>
      <c r="D6428" s="25"/>
      <c r="E6428" s="25"/>
      <c r="F6428" s="25"/>
      <c r="G6428" s="25"/>
      <c r="H6428" s="25"/>
      <c r="I6428" s="25"/>
      <c r="J6428" s="25"/>
    </row>
    <row r="6429" spans="1:10" ht="14.4">
      <c r="A6429" s="25"/>
      <c r="B6429" s="25"/>
      <c r="C6429" s="25"/>
      <c r="D6429" s="25"/>
      <c r="E6429" s="25"/>
      <c r="F6429" s="25"/>
      <c r="G6429" s="25"/>
      <c r="H6429" s="25"/>
      <c r="I6429" s="25"/>
      <c r="J6429" s="25"/>
    </row>
    <row r="6430" spans="1:10" ht="14.4">
      <c r="A6430" s="25"/>
      <c r="B6430" s="25"/>
      <c r="C6430" s="25"/>
      <c r="D6430" s="25"/>
      <c r="E6430" s="25"/>
      <c r="F6430" s="25"/>
      <c r="G6430" s="25"/>
      <c r="H6430" s="25"/>
      <c r="I6430" s="25"/>
      <c r="J6430" s="25"/>
    </row>
    <row r="6431" spans="1:10" ht="14.4">
      <c r="A6431" s="25"/>
      <c r="B6431" s="25"/>
      <c r="C6431" s="25"/>
      <c r="D6431" s="25"/>
      <c r="E6431" s="25"/>
      <c r="F6431" s="25"/>
      <c r="G6431" s="25"/>
      <c r="H6431" s="25"/>
      <c r="I6431" s="25"/>
      <c r="J6431" s="25"/>
    </row>
    <row r="6432" spans="1:10" ht="14.4">
      <c r="A6432" s="25"/>
      <c r="B6432" s="25"/>
      <c r="C6432" s="25"/>
      <c r="D6432" s="25"/>
      <c r="E6432" s="25"/>
      <c r="F6432" s="25"/>
      <c r="G6432" s="25"/>
      <c r="H6432" s="25"/>
      <c r="I6432" s="25"/>
      <c r="J6432" s="25"/>
    </row>
    <row r="6433" spans="1:10" ht="14.4">
      <c r="A6433" s="25"/>
      <c r="B6433" s="25"/>
      <c r="C6433" s="25"/>
      <c r="D6433" s="25"/>
      <c r="E6433" s="25"/>
      <c r="F6433" s="25"/>
      <c r="G6433" s="25"/>
      <c r="H6433" s="25"/>
      <c r="I6433" s="25"/>
      <c r="J6433" s="25"/>
    </row>
    <row r="6434" spans="1:10" ht="14.4">
      <c r="A6434" s="25"/>
      <c r="B6434" s="25"/>
      <c r="C6434" s="25"/>
      <c r="D6434" s="25"/>
      <c r="E6434" s="25"/>
      <c r="F6434" s="25"/>
      <c r="G6434" s="25"/>
      <c r="H6434" s="25"/>
      <c r="I6434" s="25"/>
      <c r="J6434" s="25"/>
    </row>
    <row r="6435" spans="1:10" ht="14.4">
      <c r="A6435" s="25"/>
      <c r="B6435" s="25"/>
      <c r="C6435" s="25"/>
      <c r="D6435" s="25"/>
      <c r="E6435" s="25"/>
      <c r="F6435" s="25"/>
      <c r="G6435" s="25"/>
      <c r="H6435" s="25"/>
      <c r="I6435" s="25"/>
      <c r="J6435" s="25"/>
    </row>
    <row r="6436" spans="1:10" ht="14.4">
      <c r="A6436" s="25"/>
      <c r="B6436" s="25"/>
      <c r="C6436" s="25"/>
      <c r="D6436" s="25"/>
      <c r="E6436" s="25"/>
      <c r="F6436" s="25"/>
      <c r="G6436" s="25"/>
      <c r="H6436" s="25"/>
      <c r="I6436" s="25"/>
      <c r="J6436" s="25"/>
    </row>
    <row r="6437" spans="1:10" ht="14.4">
      <c r="A6437" s="25"/>
      <c r="B6437" s="25"/>
      <c r="C6437" s="25"/>
      <c r="D6437" s="25"/>
      <c r="E6437" s="25"/>
      <c r="F6437" s="25"/>
      <c r="G6437" s="25"/>
      <c r="H6437" s="25"/>
      <c r="I6437" s="25"/>
      <c r="J6437" s="25"/>
    </row>
    <row r="6438" spans="1:10" ht="14.4">
      <c r="A6438" s="25"/>
      <c r="B6438" s="25"/>
      <c r="C6438" s="25"/>
      <c r="D6438" s="25"/>
      <c r="E6438" s="25"/>
      <c r="F6438" s="25"/>
      <c r="G6438" s="25"/>
      <c r="H6438" s="25"/>
      <c r="I6438" s="25"/>
      <c r="J6438" s="25"/>
    </row>
    <row r="6439" spans="1:10" ht="14.4">
      <c r="A6439" s="25"/>
      <c r="B6439" s="25"/>
      <c r="C6439" s="25"/>
      <c r="D6439" s="25"/>
      <c r="E6439" s="25"/>
      <c r="F6439" s="25"/>
      <c r="G6439" s="25"/>
      <c r="H6439" s="25"/>
      <c r="I6439" s="25"/>
      <c r="J6439" s="25"/>
    </row>
    <row r="6440" spans="1:10" ht="14.4">
      <c r="A6440" s="25"/>
      <c r="B6440" s="25"/>
      <c r="C6440" s="25"/>
      <c r="D6440" s="25"/>
      <c r="E6440" s="25"/>
      <c r="F6440" s="25"/>
      <c r="G6440" s="25"/>
      <c r="H6440" s="25"/>
      <c r="I6440" s="25"/>
      <c r="J6440" s="25"/>
    </row>
    <row r="6441" spans="1:10" ht="14.4">
      <c r="A6441" s="25"/>
      <c r="B6441" s="25"/>
      <c r="C6441" s="25"/>
      <c r="D6441" s="25"/>
      <c r="E6441" s="25"/>
      <c r="F6441" s="25"/>
      <c r="G6441" s="25"/>
      <c r="H6441" s="25"/>
      <c r="I6441" s="25"/>
      <c r="J6441" s="25"/>
    </row>
    <row r="6442" spans="1:10" ht="14.4">
      <c r="A6442" s="25"/>
      <c r="B6442" s="25"/>
      <c r="C6442" s="25"/>
      <c r="D6442" s="25"/>
      <c r="E6442" s="25"/>
      <c r="F6442" s="25"/>
      <c r="G6442" s="25"/>
      <c r="H6442" s="25"/>
      <c r="I6442" s="25"/>
      <c r="J6442" s="25"/>
    </row>
    <row r="6443" spans="1:10" ht="14.4">
      <c r="A6443" s="25"/>
      <c r="B6443" s="25"/>
      <c r="C6443" s="25"/>
      <c r="D6443" s="25"/>
      <c r="E6443" s="25"/>
      <c r="F6443" s="25"/>
      <c r="G6443" s="25"/>
      <c r="H6443" s="25"/>
      <c r="I6443" s="25"/>
      <c r="J6443" s="25"/>
    </row>
    <row r="6444" spans="1:10" ht="14.4">
      <c r="A6444" s="25"/>
      <c r="B6444" s="25"/>
      <c r="C6444" s="25"/>
      <c r="D6444" s="25"/>
      <c r="E6444" s="25"/>
      <c r="F6444" s="25"/>
      <c r="G6444" s="25"/>
      <c r="H6444" s="25"/>
      <c r="I6444" s="25"/>
      <c r="J6444" s="25"/>
    </row>
    <row r="6445" spans="1:10" ht="14.4">
      <c r="A6445" s="25"/>
      <c r="B6445" s="25"/>
      <c r="C6445" s="25"/>
      <c r="D6445" s="25"/>
      <c r="E6445" s="25"/>
      <c r="F6445" s="25"/>
      <c r="G6445" s="25"/>
      <c r="H6445" s="25"/>
      <c r="I6445" s="25"/>
      <c r="J6445" s="25"/>
    </row>
    <row r="6446" spans="1:10" ht="14.4">
      <c r="A6446" s="25"/>
      <c r="B6446" s="25"/>
      <c r="C6446" s="25"/>
      <c r="D6446" s="25"/>
      <c r="E6446" s="25"/>
      <c r="F6446" s="25"/>
      <c r="G6446" s="25"/>
      <c r="H6446" s="25"/>
      <c r="I6446" s="25"/>
      <c r="J6446" s="25"/>
    </row>
    <row r="6447" spans="1:10" ht="14.4">
      <c r="A6447" s="25"/>
      <c r="B6447" s="25"/>
      <c r="C6447" s="25"/>
      <c r="D6447" s="25"/>
      <c r="E6447" s="25"/>
      <c r="F6447" s="25"/>
      <c r="G6447" s="25"/>
      <c r="H6447" s="25"/>
      <c r="I6447" s="25"/>
      <c r="J6447" s="25"/>
    </row>
    <row r="6448" spans="1:10" ht="14.4">
      <c r="A6448" s="25"/>
      <c r="B6448" s="25"/>
      <c r="C6448" s="25"/>
      <c r="D6448" s="25"/>
      <c r="E6448" s="25"/>
      <c r="F6448" s="25"/>
      <c r="G6448" s="25"/>
      <c r="H6448" s="25"/>
      <c r="I6448" s="25"/>
      <c r="J6448" s="25"/>
    </row>
    <row r="6449" spans="1:10" ht="14.4">
      <c r="A6449" s="25"/>
      <c r="B6449" s="25"/>
      <c r="C6449" s="25"/>
      <c r="D6449" s="25"/>
      <c r="E6449" s="25"/>
      <c r="F6449" s="25"/>
      <c r="G6449" s="25"/>
      <c r="H6449" s="25"/>
      <c r="I6449" s="25"/>
      <c r="J6449" s="25"/>
    </row>
    <row r="6450" spans="1:10" ht="14.4">
      <c r="A6450" s="25"/>
      <c r="B6450" s="25"/>
      <c r="C6450" s="25"/>
      <c r="D6450" s="25"/>
      <c r="E6450" s="25"/>
      <c r="F6450" s="25"/>
      <c r="G6450" s="25"/>
      <c r="H6450" s="25"/>
      <c r="I6450" s="25"/>
      <c r="J6450" s="25"/>
    </row>
    <row r="6451" spans="1:10" ht="14.4">
      <c r="A6451" s="25"/>
      <c r="B6451" s="25"/>
      <c r="C6451" s="25"/>
      <c r="D6451" s="25"/>
      <c r="E6451" s="25"/>
      <c r="F6451" s="25"/>
      <c r="G6451" s="25"/>
      <c r="H6451" s="25"/>
      <c r="I6451" s="25"/>
      <c r="J6451" s="25"/>
    </row>
    <row r="6452" spans="1:10" ht="14.4">
      <c r="A6452" s="25"/>
      <c r="B6452" s="25"/>
      <c r="C6452" s="25"/>
      <c r="D6452" s="25"/>
      <c r="E6452" s="25"/>
      <c r="F6452" s="25"/>
      <c r="G6452" s="25"/>
      <c r="H6452" s="25"/>
      <c r="I6452" s="25"/>
      <c r="J6452" s="25"/>
    </row>
    <row r="6453" spans="1:10" ht="14.4">
      <c r="A6453" s="25"/>
      <c r="B6453" s="25"/>
      <c r="C6453" s="25"/>
      <c r="D6453" s="25"/>
      <c r="E6453" s="25"/>
      <c r="F6453" s="25"/>
      <c r="G6453" s="25"/>
      <c r="H6453" s="25"/>
      <c r="I6453" s="25"/>
      <c r="J6453" s="25"/>
    </row>
    <row r="6454" spans="1:10" ht="14.4">
      <c r="A6454" s="25"/>
      <c r="B6454" s="25"/>
      <c r="C6454" s="25"/>
      <c r="D6454" s="25"/>
      <c r="E6454" s="25"/>
      <c r="F6454" s="25"/>
      <c r="G6454" s="25"/>
      <c r="H6454" s="25"/>
      <c r="I6454" s="25"/>
      <c r="J6454" s="25"/>
    </row>
    <row r="6455" spans="1:10" ht="14.4">
      <c r="A6455" s="25"/>
      <c r="B6455" s="25"/>
      <c r="C6455" s="25"/>
      <c r="D6455" s="25"/>
      <c r="E6455" s="25"/>
      <c r="F6455" s="25"/>
      <c r="G6455" s="25"/>
      <c r="H6455" s="25"/>
      <c r="I6455" s="25"/>
      <c r="J6455" s="25"/>
    </row>
    <row r="6456" spans="1:10" ht="14.4">
      <c r="A6456" s="25"/>
      <c r="B6456" s="25"/>
      <c r="C6456" s="25"/>
      <c r="D6456" s="25"/>
      <c r="E6456" s="25"/>
      <c r="F6456" s="25"/>
      <c r="G6456" s="25"/>
      <c r="H6456" s="25"/>
      <c r="I6456" s="25"/>
      <c r="J6456" s="25"/>
    </row>
    <row r="6457" spans="1:10" ht="14.4">
      <c r="A6457" s="25"/>
      <c r="B6457" s="25"/>
      <c r="C6457" s="25"/>
      <c r="D6457" s="25"/>
      <c r="E6457" s="25"/>
      <c r="F6457" s="25"/>
      <c r="G6457" s="25"/>
      <c r="H6457" s="25"/>
      <c r="I6457" s="25"/>
      <c r="J6457" s="25"/>
    </row>
    <row r="6458" spans="1:10" ht="14.4">
      <c r="A6458" s="25"/>
      <c r="B6458" s="25"/>
      <c r="C6458" s="25"/>
      <c r="D6458" s="25"/>
      <c r="E6458" s="25"/>
      <c r="F6458" s="25"/>
      <c r="G6458" s="25"/>
      <c r="H6458" s="25"/>
      <c r="I6458" s="25"/>
      <c r="J6458" s="25"/>
    </row>
    <row r="6459" spans="1:10" ht="14.4">
      <c r="A6459" s="25"/>
      <c r="B6459" s="25"/>
      <c r="C6459" s="25"/>
      <c r="D6459" s="25"/>
      <c r="E6459" s="25"/>
      <c r="F6459" s="25"/>
      <c r="G6459" s="25"/>
      <c r="H6459" s="25"/>
      <c r="I6459" s="25"/>
      <c r="J6459" s="25"/>
    </row>
    <row r="6460" spans="1:10" ht="14.4">
      <c r="A6460" s="25"/>
      <c r="B6460" s="25"/>
      <c r="C6460" s="25"/>
      <c r="D6460" s="25"/>
      <c r="E6460" s="25"/>
      <c r="F6460" s="25"/>
      <c r="G6460" s="25"/>
      <c r="H6460" s="25"/>
      <c r="I6460" s="25"/>
      <c r="J6460" s="25"/>
    </row>
    <row r="6461" spans="1:10" ht="14.4">
      <c r="A6461" s="25"/>
      <c r="B6461" s="25"/>
      <c r="C6461" s="25"/>
      <c r="D6461" s="25"/>
      <c r="E6461" s="25"/>
      <c r="F6461" s="25"/>
      <c r="G6461" s="25"/>
      <c r="H6461" s="25"/>
      <c r="I6461" s="25"/>
      <c r="J6461" s="25"/>
    </row>
    <row r="6462" spans="1:10" ht="14.4">
      <c r="A6462" s="25"/>
      <c r="B6462" s="25"/>
      <c r="C6462" s="25"/>
      <c r="D6462" s="25"/>
      <c r="E6462" s="25"/>
      <c r="F6462" s="25"/>
      <c r="G6462" s="25"/>
      <c r="H6462" s="25"/>
      <c r="I6462" s="25"/>
      <c r="J6462" s="25"/>
    </row>
    <row r="6463" spans="1:10" ht="14.4">
      <c r="A6463" s="25"/>
      <c r="B6463" s="25"/>
      <c r="C6463" s="25"/>
      <c r="D6463" s="25"/>
      <c r="E6463" s="25"/>
      <c r="F6463" s="25"/>
      <c r="G6463" s="25"/>
      <c r="H6463" s="25"/>
      <c r="I6463" s="25"/>
      <c r="J6463" s="25"/>
    </row>
    <row r="6464" spans="1:10" ht="14.4">
      <c r="A6464" s="25"/>
      <c r="B6464" s="25"/>
      <c r="C6464" s="25"/>
      <c r="D6464" s="25"/>
      <c r="E6464" s="25"/>
      <c r="F6464" s="25"/>
      <c r="G6464" s="25"/>
      <c r="H6464" s="25"/>
      <c r="I6464" s="25"/>
      <c r="J6464" s="25"/>
    </row>
    <row r="6465" spans="1:10" ht="14.4">
      <c r="A6465" s="25"/>
      <c r="B6465" s="25"/>
      <c r="C6465" s="25"/>
      <c r="D6465" s="25"/>
      <c r="E6465" s="25"/>
      <c r="F6465" s="25"/>
      <c r="G6465" s="25"/>
      <c r="H6465" s="25"/>
      <c r="I6465" s="25"/>
      <c r="J6465" s="25"/>
    </row>
    <row r="6466" spans="1:10" ht="14.4">
      <c r="A6466" s="25"/>
      <c r="B6466" s="25"/>
      <c r="C6466" s="25"/>
      <c r="D6466" s="25"/>
      <c r="E6466" s="25"/>
      <c r="F6466" s="25"/>
      <c r="G6466" s="25"/>
      <c r="H6466" s="25"/>
      <c r="I6466" s="25"/>
      <c r="J6466" s="25"/>
    </row>
    <row r="6467" spans="1:10" ht="14.4">
      <c r="A6467" s="25"/>
      <c r="B6467" s="25"/>
      <c r="C6467" s="25"/>
      <c r="D6467" s="25"/>
      <c r="E6467" s="25"/>
      <c r="F6467" s="25"/>
      <c r="G6467" s="25"/>
      <c r="H6467" s="25"/>
      <c r="I6467" s="25"/>
      <c r="J6467" s="25"/>
    </row>
    <row r="6468" spans="1:10" ht="14.4">
      <c r="A6468" s="25"/>
      <c r="B6468" s="25"/>
      <c r="C6468" s="25"/>
      <c r="D6468" s="25"/>
      <c r="E6468" s="25"/>
      <c r="F6468" s="25"/>
      <c r="G6468" s="25"/>
      <c r="H6468" s="25"/>
      <c r="I6468" s="25"/>
      <c r="J6468" s="25"/>
    </row>
    <row r="6469" spans="1:10" ht="14.4">
      <c r="A6469" s="25"/>
      <c r="B6469" s="25"/>
      <c r="C6469" s="25"/>
      <c r="D6469" s="25"/>
      <c r="E6469" s="25"/>
      <c r="F6469" s="25"/>
      <c r="G6469" s="25"/>
      <c r="H6469" s="25"/>
      <c r="I6469" s="25"/>
      <c r="J6469" s="25"/>
    </row>
    <row r="6470" spans="1:10" ht="14.4">
      <c r="A6470" s="25"/>
      <c r="B6470" s="25"/>
      <c r="C6470" s="25"/>
      <c r="D6470" s="25"/>
      <c r="E6470" s="25"/>
      <c r="F6470" s="25"/>
      <c r="G6470" s="25"/>
      <c r="H6470" s="25"/>
      <c r="I6470" s="25"/>
      <c r="J6470" s="25"/>
    </row>
    <row r="6471" spans="1:10" ht="14.4">
      <c r="A6471" s="25"/>
      <c r="B6471" s="25"/>
      <c r="C6471" s="25"/>
      <c r="D6471" s="25"/>
      <c r="E6471" s="25"/>
      <c r="F6471" s="25"/>
      <c r="G6471" s="25"/>
      <c r="H6471" s="25"/>
      <c r="I6471" s="25"/>
      <c r="J6471" s="25"/>
    </row>
    <row r="6472" spans="1:10" ht="14.4">
      <c r="A6472" s="25"/>
      <c r="B6472" s="25"/>
      <c r="C6472" s="25"/>
      <c r="D6472" s="25"/>
      <c r="E6472" s="25"/>
      <c r="F6472" s="25"/>
      <c r="G6472" s="25"/>
      <c r="H6472" s="25"/>
      <c r="I6472" s="25"/>
      <c r="J6472" s="25"/>
    </row>
    <row r="6473" spans="1:10" ht="14.4">
      <c r="A6473" s="25"/>
      <c r="B6473" s="25"/>
      <c r="C6473" s="25"/>
      <c r="D6473" s="25"/>
      <c r="E6473" s="25"/>
      <c r="F6473" s="25"/>
      <c r="G6473" s="25"/>
      <c r="H6473" s="25"/>
      <c r="I6473" s="25"/>
      <c r="J6473" s="25"/>
    </row>
    <row r="6474" spans="1:10" ht="14.4">
      <c r="A6474" s="25"/>
      <c r="B6474" s="25"/>
      <c r="C6474" s="25"/>
      <c r="D6474" s="25"/>
      <c r="E6474" s="25"/>
      <c r="F6474" s="25"/>
      <c r="G6474" s="25"/>
      <c r="H6474" s="25"/>
      <c r="I6474" s="25"/>
      <c r="J6474" s="25"/>
    </row>
    <row r="6475" spans="1:10" ht="14.4">
      <c r="A6475" s="25"/>
      <c r="B6475" s="25"/>
      <c r="C6475" s="25"/>
      <c r="D6475" s="25"/>
      <c r="E6475" s="25"/>
      <c r="F6475" s="25"/>
      <c r="G6475" s="25"/>
      <c r="H6475" s="25"/>
      <c r="I6475" s="25"/>
      <c r="J6475" s="25"/>
    </row>
    <row r="6476" spans="1:10" ht="14.4">
      <c r="A6476" s="25"/>
      <c r="B6476" s="25"/>
      <c r="C6476" s="25"/>
      <c r="D6476" s="25"/>
      <c r="E6476" s="25"/>
      <c r="F6476" s="25"/>
      <c r="G6476" s="25"/>
      <c r="H6476" s="25"/>
      <c r="I6476" s="25"/>
      <c r="J6476" s="25"/>
    </row>
    <row r="6477" spans="1:10" ht="14.4">
      <c r="A6477" s="25"/>
      <c r="B6477" s="25"/>
      <c r="C6477" s="25"/>
      <c r="D6477" s="25"/>
      <c r="E6477" s="25"/>
      <c r="F6477" s="25"/>
      <c r="G6477" s="25"/>
      <c r="H6477" s="25"/>
      <c r="I6477" s="25"/>
      <c r="J6477" s="25"/>
    </row>
    <row r="6478" spans="1:10" ht="14.4">
      <c r="A6478" s="25"/>
      <c r="B6478" s="25"/>
      <c r="C6478" s="25"/>
      <c r="D6478" s="25"/>
      <c r="E6478" s="25"/>
      <c r="F6478" s="25"/>
      <c r="G6478" s="25"/>
      <c r="H6478" s="25"/>
      <c r="I6478" s="25"/>
      <c r="J6478" s="25"/>
    </row>
    <row r="6479" spans="1:10" ht="14.4">
      <c r="A6479" s="25"/>
      <c r="B6479" s="25"/>
      <c r="C6479" s="25"/>
      <c r="D6479" s="25"/>
      <c r="E6479" s="25"/>
      <c r="F6479" s="25"/>
      <c r="G6479" s="25"/>
      <c r="H6479" s="25"/>
      <c r="I6479" s="25"/>
      <c r="J6479" s="25"/>
    </row>
    <row r="6480" spans="1:10" ht="14.4">
      <c r="A6480" s="25"/>
      <c r="B6480" s="25"/>
      <c r="C6480" s="25"/>
      <c r="D6480" s="25"/>
      <c r="E6480" s="25"/>
      <c r="F6480" s="25"/>
      <c r="G6480" s="25"/>
      <c r="H6480" s="25"/>
      <c r="I6480" s="25"/>
      <c r="J6480" s="25"/>
    </row>
    <row r="6481" spans="1:10" ht="14.4">
      <c r="A6481" s="25"/>
      <c r="B6481" s="25"/>
      <c r="C6481" s="25"/>
      <c r="D6481" s="25"/>
      <c r="E6481" s="25"/>
      <c r="F6481" s="25"/>
      <c r="G6481" s="25"/>
      <c r="H6481" s="25"/>
      <c r="I6481" s="25"/>
      <c r="J6481" s="25"/>
    </row>
    <row r="6482" spans="1:10" ht="14.4">
      <c r="A6482" s="25"/>
      <c r="B6482" s="25"/>
      <c r="C6482" s="25"/>
      <c r="D6482" s="25"/>
      <c r="E6482" s="25"/>
      <c r="F6482" s="25"/>
      <c r="G6482" s="25"/>
      <c r="H6482" s="25"/>
      <c r="I6482" s="25"/>
      <c r="J6482" s="25"/>
    </row>
    <row r="6483" spans="1:10" ht="14.4">
      <c r="A6483" s="25"/>
      <c r="B6483" s="25"/>
      <c r="C6483" s="25"/>
      <c r="D6483" s="25"/>
      <c r="E6483" s="25"/>
      <c r="F6483" s="25"/>
      <c r="G6483" s="25"/>
      <c r="H6483" s="25"/>
      <c r="I6483" s="25"/>
      <c r="J6483" s="25"/>
    </row>
    <row r="6484" spans="1:10" ht="14.4">
      <c r="A6484" s="25"/>
      <c r="B6484" s="25"/>
      <c r="C6484" s="25"/>
      <c r="D6484" s="25"/>
      <c r="E6484" s="25"/>
      <c r="F6484" s="25"/>
      <c r="G6484" s="25"/>
      <c r="H6484" s="25"/>
      <c r="I6484" s="25"/>
      <c r="J6484" s="25"/>
    </row>
    <row r="6485" spans="1:10" ht="14.4">
      <c r="A6485" s="25"/>
      <c r="B6485" s="25"/>
      <c r="C6485" s="25"/>
      <c r="D6485" s="25"/>
      <c r="E6485" s="25"/>
      <c r="F6485" s="25"/>
      <c r="G6485" s="25"/>
      <c r="H6485" s="25"/>
      <c r="I6485" s="25"/>
      <c r="J6485" s="25"/>
    </row>
    <row r="6486" spans="1:10" ht="14.4">
      <c r="A6486" s="25"/>
      <c r="B6486" s="25"/>
      <c r="C6486" s="25"/>
      <c r="D6486" s="25"/>
      <c r="E6486" s="25"/>
      <c r="F6486" s="25"/>
      <c r="G6486" s="25"/>
      <c r="H6486" s="25"/>
      <c r="I6486" s="25"/>
      <c r="J6486" s="25"/>
    </row>
    <row r="6487" spans="1:10" ht="14.4">
      <c r="A6487" s="25"/>
      <c r="B6487" s="25"/>
      <c r="C6487" s="25"/>
      <c r="D6487" s="25"/>
      <c r="E6487" s="25"/>
      <c r="F6487" s="25"/>
      <c r="G6487" s="25"/>
      <c r="H6487" s="25"/>
      <c r="I6487" s="25"/>
      <c r="J6487" s="25"/>
    </row>
    <row r="6488" spans="1:10" ht="14.4">
      <c r="A6488" s="25"/>
      <c r="B6488" s="25"/>
      <c r="C6488" s="25"/>
      <c r="D6488" s="25"/>
      <c r="E6488" s="25"/>
      <c r="F6488" s="25"/>
      <c r="G6488" s="25"/>
      <c r="H6488" s="25"/>
      <c r="I6488" s="25"/>
      <c r="J6488" s="25"/>
    </row>
    <row r="6489" spans="1:10" ht="14.4">
      <c r="A6489" s="25"/>
      <c r="B6489" s="25"/>
      <c r="C6489" s="25"/>
      <c r="D6489" s="25"/>
      <c r="E6489" s="25"/>
      <c r="F6489" s="25"/>
      <c r="G6489" s="25"/>
      <c r="H6489" s="25"/>
      <c r="I6489" s="25"/>
      <c r="J6489" s="25"/>
    </row>
    <row r="6490" spans="1:10" ht="14.4">
      <c r="A6490" s="25"/>
      <c r="B6490" s="25"/>
      <c r="C6490" s="25"/>
      <c r="D6490" s="25"/>
      <c r="E6490" s="25"/>
      <c r="F6490" s="25"/>
      <c r="G6490" s="25"/>
      <c r="H6490" s="25"/>
      <c r="I6490" s="25"/>
      <c r="J6490" s="25"/>
    </row>
    <row r="6491" spans="1:10" ht="14.4">
      <c r="A6491" s="25"/>
      <c r="B6491" s="25"/>
      <c r="C6491" s="25"/>
      <c r="D6491" s="25"/>
      <c r="E6491" s="25"/>
      <c r="F6491" s="25"/>
      <c r="G6491" s="25"/>
      <c r="H6491" s="25"/>
      <c r="I6491" s="25"/>
      <c r="J6491" s="25"/>
    </row>
    <row r="6492" spans="1:10" ht="14.4">
      <c r="A6492" s="25"/>
      <c r="B6492" s="25"/>
      <c r="C6492" s="25"/>
      <c r="D6492" s="25"/>
      <c r="E6492" s="25"/>
      <c r="F6492" s="25"/>
      <c r="G6492" s="25"/>
      <c r="H6492" s="25"/>
      <c r="I6492" s="25"/>
      <c r="J6492" s="25"/>
    </row>
    <row r="6493" spans="1:10" ht="14.4">
      <c r="A6493" s="25"/>
      <c r="B6493" s="25"/>
      <c r="C6493" s="25"/>
      <c r="D6493" s="25"/>
      <c r="E6493" s="25"/>
      <c r="F6493" s="25"/>
      <c r="G6493" s="25"/>
      <c r="H6493" s="25"/>
      <c r="I6493" s="25"/>
      <c r="J6493" s="25"/>
    </row>
    <row r="6494" spans="1:10" ht="14.4">
      <c r="A6494" s="25"/>
      <c r="B6494" s="25"/>
      <c r="C6494" s="25"/>
      <c r="D6494" s="25"/>
      <c r="E6494" s="25"/>
      <c r="F6494" s="25"/>
      <c r="G6494" s="25"/>
      <c r="H6494" s="25"/>
      <c r="I6494" s="25"/>
      <c r="J6494" s="25"/>
    </row>
    <row r="6495" spans="1:10" ht="14.4">
      <c r="A6495" s="25"/>
      <c r="B6495" s="25"/>
      <c r="C6495" s="25"/>
      <c r="D6495" s="25"/>
      <c r="E6495" s="25"/>
      <c r="F6495" s="25"/>
      <c r="G6495" s="25"/>
      <c r="H6495" s="25"/>
      <c r="I6495" s="25"/>
      <c r="J6495" s="25"/>
    </row>
    <row r="6496" spans="1:10" ht="14.4">
      <c r="A6496" s="25"/>
      <c r="B6496" s="25"/>
      <c r="C6496" s="25"/>
      <c r="D6496" s="25"/>
      <c r="E6496" s="25"/>
      <c r="F6496" s="25"/>
      <c r="G6496" s="25"/>
      <c r="H6496" s="25"/>
      <c r="I6496" s="25"/>
      <c r="J6496" s="25"/>
    </row>
    <row r="6497" spans="1:10" ht="14.4">
      <c r="A6497" s="25"/>
      <c r="B6497" s="25"/>
      <c r="C6497" s="25"/>
      <c r="D6497" s="25"/>
      <c r="E6497" s="25"/>
      <c r="F6497" s="25"/>
      <c r="G6497" s="25"/>
      <c r="H6497" s="25"/>
      <c r="I6497" s="25"/>
      <c r="J6497" s="25"/>
    </row>
    <row r="6498" spans="1:10" ht="14.4">
      <c r="A6498" s="25"/>
      <c r="B6498" s="25"/>
      <c r="C6498" s="25"/>
      <c r="D6498" s="25"/>
      <c r="E6498" s="25"/>
      <c r="F6498" s="25"/>
      <c r="G6498" s="25"/>
      <c r="H6498" s="25"/>
      <c r="I6498" s="25"/>
      <c r="J6498" s="25"/>
    </row>
    <row r="6499" spans="1:10" ht="14.4">
      <c r="A6499" s="25"/>
      <c r="B6499" s="25"/>
      <c r="C6499" s="25"/>
      <c r="D6499" s="25"/>
      <c r="E6499" s="25"/>
      <c r="F6499" s="25"/>
      <c r="G6499" s="25"/>
      <c r="H6499" s="25"/>
      <c r="I6499" s="25"/>
      <c r="J6499" s="25"/>
    </row>
    <row r="6500" spans="1:10" ht="14.4">
      <c r="A6500" s="25"/>
      <c r="B6500" s="25"/>
      <c r="C6500" s="25"/>
      <c r="D6500" s="25"/>
      <c r="E6500" s="25"/>
      <c r="F6500" s="25"/>
      <c r="G6500" s="25"/>
      <c r="H6500" s="25"/>
      <c r="I6500" s="25"/>
      <c r="J6500" s="25"/>
    </row>
    <row r="6501" spans="1:10" ht="14.4">
      <c r="A6501" s="25"/>
      <c r="B6501" s="25"/>
      <c r="C6501" s="25"/>
      <c r="D6501" s="25"/>
      <c r="E6501" s="25"/>
      <c r="F6501" s="25"/>
      <c r="G6501" s="25"/>
      <c r="H6501" s="25"/>
      <c r="I6501" s="25"/>
      <c r="J6501" s="25"/>
    </row>
    <row r="6502" spans="1:10" ht="14.4">
      <c r="A6502" s="25"/>
      <c r="B6502" s="25"/>
      <c r="C6502" s="25"/>
      <c r="D6502" s="25"/>
      <c r="E6502" s="25"/>
      <c r="F6502" s="25"/>
      <c r="G6502" s="25"/>
      <c r="H6502" s="25"/>
      <c r="I6502" s="25"/>
      <c r="J6502" s="25"/>
    </row>
    <row r="6503" spans="1:10" ht="14.4">
      <c r="A6503" s="25"/>
      <c r="B6503" s="25"/>
      <c r="C6503" s="25"/>
      <c r="D6503" s="25"/>
      <c r="E6503" s="25"/>
      <c r="F6503" s="25"/>
      <c r="G6503" s="25"/>
      <c r="H6503" s="25"/>
      <c r="I6503" s="25"/>
      <c r="J6503" s="25"/>
    </row>
    <row r="6504" spans="1:10" ht="14.4">
      <c r="A6504" s="25"/>
      <c r="B6504" s="25"/>
      <c r="C6504" s="25"/>
      <c r="D6504" s="25"/>
      <c r="E6504" s="25"/>
      <c r="F6504" s="25"/>
      <c r="G6504" s="25"/>
      <c r="H6504" s="25"/>
      <c r="I6504" s="25"/>
      <c r="J6504" s="25"/>
    </row>
    <row r="6505" spans="1:10" ht="14.4">
      <c r="A6505" s="25"/>
      <c r="B6505" s="25"/>
      <c r="C6505" s="25"/>
      <c r="D6505" s="25"/>
      <c r="E6505" s="25"/>
      <c r="F6505" s="25"/>
      <c r="G6505" s="25"/>
      <c r="H6505" s="25"/>
      <c r="I6505" s="25"/>
      <c r="J6505" s="25"/>
    </row>
    <row r="6506" spans="1:10" ht="14.4">
      <c r="A6506" s="25"/>
      <c r="B6506" s="25"/>
      <c r="C6506" s="25"/>
      <c r="D6506" s="25"/>
      <c r="E6506" s="25"/>
      <c r="F6506" s="25"/>
      <c r="G6506" s="25"/>
      <c r="H6506" s="25"/>
      <c r="I6506" s="25"/>
      <c r="J6506" s="25"/>
    </row>
    <row r="6507" spans="1:10" ht="14.4">
      <c r="A6507" s="25"/>
      <c r="B6507" s="25"/>
      <c r="C6507" s="25"/>
      <c r="D6507" s="25"/>
      <c r="E6507" s="25"/>
      <c r="F6507" s="25"/>
      <c r="G6507" s="25"/>
      <c r="H6507" s="25"/>
      <c r="I6507" s="25"/>
      <c r="J6507" s="25"/>
    </row>
    <row r="6508" spans="1:10" ht="14.4">
      <c r="A6508" s="25"/>
      <c r="B6508" s="25"/>
      <c r="C6508" s="25"/>
      <c r="D6508" s="25"/>
      <c r="E6508" s="25"/>
      <c r="F6508" s="25"/>
      <c r="G6508" s="25"/>
      <c r="H6508" s="25"/>
      <c r="I6508" s="25"/>
      <c r="J6508" s="25"/>
    </row>
    <row r="6509" spans="1:10" ht="14.4">
      <c r="A6509" s="25"/>
      <c r="B6509" s="25"/>
      <c r="C6509" s="25"/>
      <c r="D6509" s="25"/>
      <c r="E6509" s="25"/>
      <c r="F6509" s="25"/>
      <c r="G6509" s="25"/>
      <c r="H6509" s="25"/>
      <c r="I6509" s="25"/>
      <c r="J6509" s="25"/>
    </row>
    <row r="6510" spans="1:10" ht="14.4">
      <c r="A6510" s="25"/>
      <c r="B6510" s="25"/>
      <c r="C6510" s="25"/>
      <c r="D6510" s="25"/>
      <c r="E6510" s="25"/>
      <c r="F6510" s="25"/>
      <c r="G6510" s="25"/>
      <c r="H6510" s="25"/>
      <c r="I6510" s="25"/>
      <c r="J6510" s="25"/>
    </row>
    <row r="6511" spans="1:10" ht="14.4">
      <c r="A6511" s="25"/>
      <c r="B6511" s="25"/>
      <c r="C6511" s="25"/>
      <c r="D6511" s="25"/>
      <c r="E6511" s="25"/>
      <c r="F6511" s="25"/>
      <c r="G6511" s="25"/>
      <c r="H6511" s="25"/>
      <c r="I6511" s="25"/>
      <c r="J6511" s="25"/>
    </row>
    <row r="6512" spans="1:10" ht="14.4">
      <c r="A6512" s="25"/>
      <c r="B6512" s="25"/>
      <c r="C6512" s="25"/>
      <c r="D6512" s="25"/>
      <c r="E6512" s="25"/>
      <c r="F6512" s="25"/>
      <c r="G6512" s="25"/>
      <c r="H6512" s="25"/>
      <c r="I6512" s="25"/>
      <c r="J6512" s="25"/>
    </row>
    <row r="6513" spans="1:10" ht="14.4">
      <c r="A6513" s="25"/>
      <c r="B6513" s="25"/>
      <c r="C6513" s="25"/>
      <c r="D6513" s="25"/>
      <c r="E6513" s="25"/>
      <c r="F6513" s="25"/>
      <c r="G6513" s="25"/>
      <c r="H6513" s="25"/>
      <c r="I6513" s="25"/>
      <c r="J6513" s="25"/>
    </row>
    <row r="6514" spans="1:10" ht="14.4">
      <c r="A6514" s="25"/>
      <c r="B6514" s="25"/>
      <c r="C6514" s="25"/>
      <c r="D6514" s="25"/>
      <c r="E6514" s="25"/>
      <c r="F6514" s="25"/>
      <c r="G6514" s="25"/>
      <c r="H6514" s="25"/>
      <c r="I6514" s="25"/>
      <c r="J6514" s="25"/>
    </row>
    <row r="6515" spans="1:10" ht="14.4">
      <c r="A6515" s="25"/>
      <c r="B6515" s="25"/>
      <c r="C6515" s="25"/>
      <c r="D6515" s="25"/>
      <c r="E6515" s="25"/>
      <c r="F6515" s="25"/>
      <c r="G6515" s="25"/>
      <c r="H6515" s="25"/>
      <c r="I6515" s="25"/>
      <c r="J6515" s="25"/>
    </row>
    <row r="6516" spans="1:10" ht="14.4">
      <c r="A6516" s="25"/>
      <c r="B6516" s="25"/>
      <c r="C6516" s="25"/>
      <c r="D6516" s="25"/>
      <c r="E6516" s="25"/>
      <c r="F6516" s="25"/>
      <c r="G6516" s="25"/>
      <c r="H6516" s="25"/>
      <c r="I6516" s="25"/>
      <c r="J6516" s="25"/>
    </row>
    <row r="6517" spans="1:10" ht="14.4">
      <c r="A6517" s="25"/>
      <c r="B6517" s="25"/>
      <c r="C6517" s="25"/>
      <c r="D6517" s="25"/>
      <c r="E6517" s="25"/>
      <c r="F6517" s="25"/>
      <c r="G6517" s="25"/>
      <c r="H6517" s="25"/>
      <c r="I6517" s="25"/>
      <c r="J6517" s="25"/>
    </row>
    <row r="6518" spans="1:10" ht="14.4">
      <c r="A6518" s="25"/>
      <c r="B6518" s="25"/>
      <c r="C6518" s="25"/>
      <c r="D6518" s="25"/>
      <c r="E6518" s="25"/>
      <c r="F6518" s="25"/>
      <c r="G6518" s="25"/>
      <c r="H6518" s="25"/>
      <c r="I6518" s="25"/>
      <c r="J6518" s="25"/>
    </row>
    <row r="6519" spans="1:10" ht="14.4">
      <c r="A6519" s="25"/>
      <c r="B6519" s="25"/>
      <c r="C6519" s="25"/>
      <c r="D6519" s="25"/>
      <c r="E6519" s="25"/>
      <c r="F6519" s="25"/>
      <c r="G6519" s="25"/>
      <c r="H6519" s="25"/>
      <c r="I6519" s="25"/>
      <c r="J6519" s="25"/>
    </row>
    <row r="6520" spans="1:10" ht="14.4">
      <c r="A6520" s="25"/>
      <c r="B6520" s="25"/>
      <c r="C6520" s="25"/>
      <c r="D6520" s="25"/>
      <c r="E6520" s="25"/>
      <c r="F6520" s="25"/>
      <c r="G6520" s="25"/>
      <c r="H6520" s="25"/>
      <c r="I6520" s="25"/>
      <c r="J6520" s="25"/>
    </row>
    <row r="6521" spans="1:10" ht="14.4">
      <c r="A6521" s="25"/>
      <c r="B6521" s="25"/>
      <c r="C6521" s="25"/>
      <c r="D6521" s="25"/>
      <c r="E6521" s="25"/>
      <c r="F6521" s="25"/>
      <c r="G6521" s="25"/>
      <c r="H6521" s="25"/>
      <c r="I6521" s="25"/>
      <c r="J6521" s="25"/>
    </row>
    <row r="6522" spans="1:10" ht="14.4">
      <c r="A6522" s="25"/>
      <c r="B6522" s="25"/>
      <c r="C6522" s="25"/>
      <c r="D6522" s="25"/>
      <c r="E6522" s="25"/>
      <c r="F6522" s="25"/>
      <c r="G6522" s="25"/>
      <c r="H6522" s="25"/>
      <c r="I6522" s="25"/>
      <c r="J6522" s="25"/>
    </row>
    <row r="6523" spans="1:10" ht="14.4">
      <c r="A6523" s="25"/>
      <c r="B6523" s="25"/>
      <c r="C6523" s="25"/>
      <c r="D6523" s="25"/>
      <c r="E6523" s="25"/>
      <c r="F6523" s="25"/>
      <c r="G6523" s="25"/>
      <c r="H6523" s="25"/>
      <c r="I6523" s="25"/>
      <c r="J6523" s="25"/>
    </row>
    <row r="6524" spans="1:10" ht="14.4">
      <c r="A6524" s="25"/>
      <c r="B6524" s="25"/>
      <c r="C6524" s="25"/>
      <c r="D6524" s="25"/>
      <c r="E6524" s="25"/>
      <c r="F6524" s="25"/>
      <c r="G6524" s="25"/>
      <c r="H6524" s="25"/>
      <c r="I6524" s="25"/>
      <c r="J6524" s="25"/>
    </row>
    <row r="6525" spans="1:10" ht="14.4">
      <c r="A6525" s="25"/>
      <c r="B6525" s="25"/>
      <c r="C6525" s="25"/>
      <c r="D6525" s="25"/>
      <c r="E6525" s="25"/>
      <c r="F6525" s="25"/>
      <c r="G6525" s="25"/>
      <c r="H6525" s="25"/>
      <c r="I6525" s="25"/>
      <c r="J6525" s="25"/>
    </row>
    <row r="6526" spans="1:10" ht="14.4">
      <c r="A6526" s="25"/>
      <c r="B6526" s="25"/>
      <c r="C6526" s="25"/>
      <c r="D6526" s="25"/>
      <c r="E6526" s="25"/>
      <c r="F6526" s="25"/>
      <c r="G6526" s="25"/>
      <c r="H6526" s="25"/>
      <c r="I6526" s="25"/>
      <c r="J6526" s="25"/>
    </row>
    <row r="6527" spans="1:10" ht="14.4">
      <c r="A6527" s="25"/>
      <c r="B6527" s="25"/>
      <c r="C6527" s="25"/>
      <c r="D6527" s="25"/>
      <c r="E6527" s="25"/>
      <c r="F6527" s="25"/>
      <c r="G6527" s="25"/>
      <c r="H6527" s="25"/>
      <c r="I6527" s="25"/>
      <c r="J6527" s="25"/>
    </row>
    <row r="6528" spans="1:10" ht="14.4">
      <c r="A6528" s="25"/>
      <c r="B6528" s="25"/>
      <c r="C6528" s="25"/>
      <c r="D6528" s="25"/>
      <c r="E6528" s="25"/>
      <c r="F6528" s="25"/>
      <c r="G6528" s="25"/>
      <c r="H6528" s="25"/>
      <c r="I6528" s="25"/>
      <c r="J6528" s="25"/>
    </row>
    <row r="6529" spans="1:10" ht="14.4">
      <c r="A6529" s="25"/>
      <c r="B6529" s="25"/>
      <c r="C6529" s="25"/>
      <c r="D6529" s="25"/>
      <c r="E6529" s="25"/>
      <c r="F6529" s="25"/>
      <c r="G6529" s="25"/>
      <c r="H6529" s="25"/>
      <c r="I6529" s="25"/>
      <c r="J6529" s="25"/>
    </row>
    <row r="6530" spans="1:10" ht="14.4">
      <c r="A6530" s="25"/>
      <c r="B6530" s="25"/>
      <c r="C6530" s="25"/>
      <c r="D6530" s="25"/>
      <c r="E6530" s="25"/>
      <c r="F6530" s="25"/>
      <c r="G6530" s="25"/>
      <c r="H6530" s="25"/>
      <c r="I6530" s="25"/>
      <c r="J6530" s="25"/>
    </row>
    <row r="6531" spans="1:10" ht="14.4">
      <c r="A6531" s="25"/>
      <c r="B6531" s="25"/>
      <c r="C6531" s="25"/>
      <c r="D6531" s="25"/>
      <c r="E6531" s="25"/>
      <c r="F6531" s="25"/>
      <c r="G6531" s="25"/>
      <c r="H6531" s="25"/>
      <c r="I6531" s="25"/>
      <c r="J6531" s="25"/>
    </row>
    <row r="6532" spans="1:10" ht="14.4">
      <c r="A6532" s="25"/>
      <c r="B6532" s="25"/>
      <c r="C6532" s="25"/>
      <c r="D6532" s="25"/>
      <c r="E6532" s="25"/>
      <c r="F6532" s="25"/>
      <c r="G6532" s="25"/>
      <c r="H6532" s="25"/>
      <c r="I6532" s="25"/>
      <c r="J6532" s="25"/>
    </row>
    <row r="6533" spans="1:10" ht="14.4">
      <c r="A6533" s="25"/>
      <c r="B6533" s="25"/>
      <c r="C6533" s="25"/>
      <c r="D6533" s="25"/>
      <c r="E6533" s="25"/>
      <c r="F6533" s="25"/>
      <c r="G6533" s="25"/>
      <c r="H6533" s="25"/>
      <c r="I6533" s="25"/>
      <c r="J6533" s="25"/>
    </row>
    <row r="6534" spans="1:10" ht="14.4">
      <c r="A6534" s="25"/>
      <c r="B6534" s="25"/>
      <c r="C6534" s="25"/>
      <c r="D6534" s="25"/>
      <c r="E6534" s="25"/>
      <c r="F6534" s="25"/>
      <c r="G6534" s="25"/>
      <c r="H6534" s="25"/>
      <c r="I6534" s="25"/>
      <c r="J6534" s="25"/>
    </row>
    <row r="6535" spans="1:10" ht="14.4">
      <c r="A6535" s="25"/>
      <c r="B6535" s="25"/>
      <c r="C6535" s="25"/>
      <c r="D6535" s="25"/>
      <c r="E6535" s="25"/>
      <c r="F6535" s="25"/>
      <c r="G6535" s="25"/>
      <c r="H6535" s="25"/>
      <c r="I6535" s="25"/>
      <c r="J6535" s="25"/>
    </row>
    <row r="6536" spans="1:10" ht="14.4">
      <c r="A6536" s="25"/>
      <c r="B6536" s="25"/>
      <c r="C6536" s="25"/>
      <c r="D6536" s="25"/>
      <c r="E6536" s="25"/>
      <c r="F6536" s="25"/>
      <c r="G6536" s="25"/>
      <c r="H6536" s="25"/>
      <c r="I6536" s="25"/>
      <c r="J6536" s="25"/>
    </row>
    <row r="6537" spans="1:10" ht="14.4">
      <c r="A6537" s="25"/>
      <c r="B6537" s="25"/>
      <c r="C6537" s="25"/>
      <c r="D6537" s="25"/>
      <c r="E6537" s="25"/>
      <c r="F6537" s="25"/>
      <c r="G6537" s="25"/>
      <c r="H6537" s="25"/>
      <c r="I6537" s="25"/>
      <c r="J6537" s="25"/>
    </row>
    <row r="6538" spans="1:10" ht="14.4">
      <c r="A6538" s="25"/>
      <c r="B6538" s="25"/>
      <c r="C6538" s="25"/>
      <c r="D6538" s="25"/>
      <c r="E6538" s="25"/>
      <c r="F6538" s="25"/>
      <c r="G6538" s="25"/>
      <c r="H6538" s="25"/>
      <c r="I6538" s="25"/>
      <c r="J6538" s="25"/>
    </row>
    <row r="6539" spans="1:10" ht="14.4">
      <c r="A6539" s="25"/>
      <c r="B6539" s="25"/>
      <c r="C6539" s="25"/>
      <c r="D6539" s="25"/>
      <c r="E6539" s="25"/>
      <c r="F6539" s="25"/>
      <c r="G6539" s="25"/>
      <c r="H6539" s="25"/>
      <c r="I6539" s="25"/>
      <c r="J6539" s="25"/>
    </row>
    <row r="6540" spans="1:10" ht="14.4">
      <c r="A6540" s="25"/>
      <c r="B6540" s="25"/>
      <c r="C6540" s="25"/>
      <c r="D6540" s="25"/>
      <c r="E6540" s="25"/>
      <c r="F6540" s="25"/>
      <c r="G6540" s="25"/>
      <c r="H6540" s="25"/>
      <c r="I6540" s="25"/>
      <c r="J6540" s="25"/>
    </row>
    <row r="6541" spans="1:10" ht="14.4">
      <c r="A6541" s="25"/>
      <c r="B6541" s="25"/>
      <c r="C6541" s="25"/>
      <c r="D6541" s="25"/>
      <c r="E6541" s="25"/>
      <c r="F6541" s="25"/>
      <c r="G6541" s="25"/>
      <c r="H6541" s="25"/>
      <c r="I6541" s="25"/>
      <c r="J6541" s="25"/>
    </row>
    <row r="6542" spans="1:10" ht="14.4">
      <c r="A6542" s="25"/>
      <c r="B6542" s="25"/>
      <c r="C6542" s="25"/>
      <c r="D6542" s="25"/>
      <c r="E6542" s="25"/>
      <c r="F6542" s="25"/>
      <c r="G6542" s="25"/>
      <c r="H6542" s="25"/>
      <c r="I6542" s="25"/>
      <c r="J6542" s="25"/>
    </row>
    <row r="6543" spans="1:10" ht="14.4">
      <c r="A6543" s="25"/>
      <c r="B6543" s="25"/>
      <c r="C6543" s="25"/>
      <c r="D6543" s="25"/>
      <c r="E6543" s="25"/>
      <c r="F6543" s="25"/>
      <c r="G6543" s="25"/>
      <c r="H6543" s="25"/>
      <c r="I6543" s="25"/>
      <c r="J6543" s="25"/>
    </row>
    <row r="6544" spans="1:10" ht="14.4">
      <c r="A6544" s="25"/>
      <c r="B6544" s="25"/>
      <c r="C6544" s="25"/>
      <c r="D6544" s="25"/>
      <c r="E6544" s="25"/>
      <c r="F6544" s="25"/>
      <c r="G6544" s="25"/>
      <c r="H6544" s="25"/>
      <c r="I6544" s="25"/>
      <c r="J6544" s="25"/>
    </row>
    <row r="6545" spans="1:10" ht="14.4">
      <c r="A6545" s="25"/>
      <c r="B6545" s="25"/>
      <c r="C6545" s="25"/>
      <c r="D6545" s="25"/>
      <c r="E6545" s="25"/>
      <c r="F6545" s="25"/>
      <c r="G6545" s="25"/>
      <c r="H6545" s="25"/>
      <c r="I6545" s="25"/>
      <c r="J6545" s="25"/>
    </row>
    <row r="6546" spans="1:10" ht="14.4">
      <c r="A6546" s="25"/>
      <c r="B6546" s="25"/>
      <c r="C6546" s="25"/>
      <c r="D6546" s="25"/>
      <c r="E6546" s="25"/>
      <c r="F6546" s="25"/>
      <c r="G6546" s="25"/>
      <c r="H6546" s="25"/>
      <c r="I6546" s="25"/>
      <c r="J6546" s="25"/>
    </row>
    <row r="6547" spans="1:10" ht="14.4">
      <c r="A6547" s="25"/>
      <c r="B6547" s="25"/>
      <c r="C6547" s="25"/>
      <c r="D6547" s="25"/>
      <c r="E6547" s="25"/>
      <c r="F6547" s="25"/>
      <c r="G6547" s="25"/>
      <c r="H6547" s="25"/>
      <c r="I6547" s="25"/>
      <c r="J6547" s="25"/>
    </row>
    <row r="6548" spans="1:10" ht="14.4">
      <c r="A6548" s="25"/>
      <c r="B6548" s="25"/>
      <c r="C6548" s="25"/>
      <c r="D6548" s="25"/>
      <c r="E6548" s="25"/>
      <c r="F6548" s="25"/>
      <c r="G6548" s="25"/>
      <c r="H6548" s="25"/>
      <c r="I6548" s="25"/>
      <c r="J6548" s="25"/>
    </row>
    <row r="6549" spans="1:10" ht="14.4">
      <c r="A6549" s="25"/>
      <c r="B6549" s="25"/>
      <c r="C6549" s="25"/>
      <c r="D6549" s="25"/>
      <c r="E6549" s="25"/>
      <c r="F6549" s="25"/>
      <c r="G6549" s="25"/>
      <c r="H6549" s="25"/>
      <c r="I6549" s="25"/>
      <c r="J6549" s="25"/>
    </row>
    <row r="6550" spans="1:10" ht="14.4">
      <c r="A6550" s="25"/>
      <c r="B6550" s="25"/>
      <c r="C6550" s="25"/>
      <c r="D6550" s="25"/>
      <c r="E6550" s="25"/>
      <c r="F6550" s="25"/>
      <c r="G6550" s="25"/>
      <c r="H6550" s="25"/>
      <c r="I6550" s="25"/>
      <c r="J6550" s="25"/>
    </row>
    <row r="6551" spans="1:10" ht="14.4">
      <c r="A6551" s="25"/>
      <c r="B6551" s="25"/>
      <c r="C6551" s="25"/>
      <c r="D6551" s="25"/>
      <c r="E6551" s="25"/>
      <c r="F6551" s="25"/>
      <c r="G6551" s="25"/>
      <c r="H6551" s="25"/>
      <c r="I6551" s="25"/>
      <c r="J6551" s="25"/>
    </row>
    <row r="6552" spans="1:10" ht="14.4">
      <c r="A6552" s="25"/>
      <c r="B6552" s="25"/>
      <c r="C6552" s="25"/>
      <c r="D6552" s="25"/>
      <c r="E6552" s="25"/>
      <c r="F6552" s="25"/>
      <c r="G6552" s="25"/>
      <c r="H6552" s="25"/>
      <c r="I6552" s="25"/>
      <c r="J6552" s="25"/>
    </row>
    <row r="6553" spans="1:10" ht="14.4">
      <c r="A6553" s="25"/>
      <c r="B6553" s="25"/>
      <c r="C6553" s="25"/>
      <c r="D6553" s="25"/>
      <c r="E6553" s="25"/>
      <c r="F6553" s="25"/>
      <c r="G6553" s="25"/>
      <c r="H6553" s="25"/>
      <c r="I6553" s="25"/>
      <c r="J6553" s="25"/>
    </row>
    <row r="6554" spans="1:10" ht="14.4">
      <c r="A6554" s="25"/>
      <c r="B6554" s="25"/>
      <c r="C6554" s="25"/>
      <c r="D6554" s="25"/>
      <c r="E6554" s="25"/>
      <c r="F6554" s="25"/>
      <c r="G6554" s="25"/>
      <c r="H6554" s="25"/>
      <c r="I6554" s="25"/>
      <c r="J6554" s="25"/>
    </row>
    <row r="6555" spans="1:10" ht="14.4">
      <c r="A6555" s="25"/>
      <c r="B6555" s="25"/>
      <c r="C6555" s="25"/>
      <c r="D6555" s="25"/>
      <c r="E6555" s="25"/>
      <c r="F6555" s="25"/>
      <c r="G6555" s="25"/>
      <c r="H6555" s="25"/>
      <c r="I6555" s="25"/>
      <c r="J6555" s="25"/>
    </row>
    <row r="6556" spans="1:10" ht="14.4">
      <c r="A6556" s="25"/>
      <c r="B6556" s="25"/>
      <c r="C6556" s="25"/>
      <c r="D6556" s="25"/>
      <c r="E6556" s="25"/>
      <c r="F6556" s="25"/>
      <c r="G6556" s="25"/>
      <c r="H6556" s="25"/>
      <c r="I6556" s="25"/>
      <c r="J6556" s="25"/>
    </row>
    <row r="6557" spans="1:10" ht="14.4">
      <c r="A6557" s="25"/>
      <c r="B6557" s="25"/>
      <c r="C6557" s="25"/>
      <c r="D6557" s="25"/>
      <c r="E6557" s="25"/>
      <c r="F6557" s="25"/>
      <c r="G6557" s="25"/>
      <c r="H6557" s="25"/>
      <c r="I6557" s="25"/>
      <c r="J6557" s="25"/>
    </row>
    <row r="6558" spans="1:10" ht="14.4">
      <c r="A6558" s="25"/>
      <c r="B6558" s="25"/>
      <c r="C6558" s="25"/>
      <c r="D6558" s="25"/>
      <c r="E6558" s="25"/>
      <c r="F6558" s="25"/>
      <c r="G6558" s="25"/>
      <c r="H6558" s="25"/>
      <c r="I6558" s="25"/>
      <c r="J6558" s="25"/>
    </row>
    <row r="6559" spans="1:10" ht="14.4">
      <c r="A6559" s="25"/>
      <c r="B6559" s="25"/>
      <c r="C6559" s="25"/>
      <c r="D6559" s="25"/>
      <c r="E6559" s="25"/>
      <c r="F6559" s="25"/>
      <c r="G6559" s="25"/>
      <c r="H6559" s="25"/>
      <c r="I6559" s="25"/>
      <c r="J6559" s="25"/>
    </row>
    <row r="6560" spans="1:10" ht="14.4">
      <c r="A6560" s="25"/>
      <c r="B6560" s="25"/>
      <c r="C6560" s="25"/>
      <c r="D6560" s="25"/>
      <c r="E6560" s="25"/>
      <c r="F6560" s="25"/>
      <c r="G6560" s="25"/>
      <c r="H6560" s="25"/>
      <c r="I6560" s="25"/>
      <c r="J6560" s="25"/>
    </row>
    <row r="6561" spans="1:10" ht="14.4">
      <c r="A6561" s="25"/>
      <c r="B6561" s="25"/>
      <c r="C6561" s="25"/>
      <c r="D6561" s="25"/>
      <c r="E6561" s="25"/>
      <c r="F6561" s="25"/>
      <c r="G6561" s="25"/>
      <c r="H6561" s="25"/>
      <c r="I6561" s="25"/>
      <c r="J6561" s="25"/>
    </row>
    <row r="6562" spans="1:10" ht="14.4">
      <c r="A6562" s="25"/>
      <c r="B6562" s="25"/>
      <c r="C6562" s="25"/>
      <c r="D6562" s="25"/>
      <c r="E6562" s="25"/>
      <c r="F6562" s="25"/>
      <c r="G6562" s="25"/>
      <c r="H6562" s="25"/>
      <c r="I6562" s="25"/>
      <c r="J6562" s="25"/>
    </row>
    <row r="6563" spans="1:10" ht="14.4">
      <c r="A6563" s="25"/>
      <c r="B6563" s="25"/>
      <c r="C6563" s="25"/>
      <c r="D6563" s="25"/>
      <c r="E6563" s="25"/>
      <c r="F6563" s="25"/>
      <c r="G6563" s="25"/>
      <c r="H6563" s="25"/>
      <c r="I6563" s="25"/>
      <c r="J6563" s="25"/>
    </row>
    <row r="6564" spans="1:10" ht="14.4">
      <c r="A6564" s="25"/>
      <c r="B6564" s="25"/>
      <c r="C6564" s="25"/>
      <c r="D6564" s="25"/>
      <c r="E6564" s="25"/>
      <c r="F6564" s="25"/>
      <c r="G6564" s="25"/>
      <c r="H6564" s="25"/>
      <c r="I6564" s="25"/>
      <c r="J6564" s="25"/>
    </row>
    <row r="6565" spans="1:10" ht="14.4">
      <c r="A6565" s="25"/>
      <c r="B6565" s="25"/>
      <c r="C6565" s="25"/>
      <c r="D6565" s="25"/>
      <c r="E6565" s="25"/>
      <c r="F6565" s="25"/>
      <c r="G6565" s="25"/>
      <c r="H6565" s="25"/>
      <c r="I6565" s="25"/>
      <c r="J6565" s="25"/>
    </row>
    <row r="6566" spans="1:10" ht="14.4">
      <c r="A6566" s="25"/>
      <c r="B6566" s="25"/>
      <c r="C6566" s="25"/>
      <c r="D6566" s="25"/>
      <c r="E6566" s="25"/>
      <c r="F6566" s="25"/>
      <c r="G6566" s="25"/>
      <c r="H6566" s="25"/>
      <c r="I6566" s="25"/>
      <c r="J6566" s="25"/>
    </row>
    <row r="6567" spans="1:10" ht="14.4">
      <c r="A6567" s="25"/>
      <c r="B6567" s="25"/>
      <c r="C6567" s="25"/>
      <c r="D6567" s="25"/>
      <c r="E6567" s="25"/>
      <c r="F6567" s="25"/>
      <c r="G6567" s="25"/>
      <c r="H6567" s="25"/>
      <c r="I6567" s="25"/>
      <c r="J6567" s="25"/>
    </row>
    <row r="6568" spans="1:10" ht="14.4">
      <c r="A6568" s="25"/>
      <c r="B6568" s="25"/>
      <c r="C6568" s="25"/>
      <c r="D6568" s="25"/>
      <c r="E6568" s="25"/>
      <c r="F6568" s="25"/>
      <c r="G6568" s="25"/>
      <c r="H6568" s="25"/>
      <c r="I6568" s="25"/>
      <c r="J6568" s="25"/>
    </row>
    <row r="6569" spans="1:10" ht="14.4">
      <c r="A6569" s="25"/>
      <c r="B6569" s="25"/>
      <c r="C6569" s="25"/>
      <c r="D6569" s="25"/>
      <c r="E6569" s="25"/>
      <c r="F6569" s="25"/>
      <c r="G6569" s="25"/>
      <c r="H6569" s="25"/>
      <c r="I6569" s="25"/>
      <c r="J6569" s="25"/>
    </row>
    <row r="6570" spans="1:10" ht="14.4">
      <c r="A6570" s="25"/>
      <c r="B6570" s="25"/>
      <c r="C6570" s="25"/>
      <c r="D6570" s="25"/>
      <c r="E6570" s="25"/>
      <c r="F6570" s="25"/>
      <c r="G6570" s="25"/>
      <c r="H6570" s="25"/>
      <c r="I6570" s="25"/>
      <c r="J6570" s="25"/>
    </row>
    <row r="6571" spans="1:10" ht="14.4">
      <c r="A6571" s="25"/>
      <c r="B6571" s="25"/>
      <c r="C6571" s="25"/>
      <c r="D6571" s="25"/>
      <c r="E6571" s="25"/>
      <c r="F6571" s="25"/>
      <c r="G6571" s="25"/>
      <c r="H6571" s="25"/>
      <c r="I6571" s="25"/>
      <c r="J6571" s="25"/>
    </row>
    <row r="6572" spans="1:10" ht="14.4">
      <c r="A6572" s="25"/>
      <c r="B6572" s="25"/>
      <c r="C6572" s="25"/>
      <c r="D6572" s="25"/>
      <c r="E6572" s="25"/>
      <c r="F6572" s="25"/>
      <c r="G6572" s="25"/>
      <c r="H6572" s="25"/>
      <c r="I6572" s="25"/>
      <c r="J6572" s="25"/>
    </row>
    <row r="6573" spans="1:10" ht="14.4">
      <c r="A6573" s="25"/>
      <c r="B6573" s="25"/>
      <c r="C6573" s="25"/>
      <c r="D6573" s="25"/>
      <c r="E6573" s="25"/>
      <c r="F6573" s="25"/>
      <c r="G6573" s="25"/>
      <c r="H6573" s="25"/>
      <c r="I6573" s="25"/>
      <c r="J6573" s="25"/>
    </row>
    <row r="6574" spans="1:10" ht="14.4">
      <c r="A6574" s="25"/>
      <c r="B6574" s="25"/>
      <c r="C6574" s="25"/>
      <c r="D6574" s="25"/>
      <c r="E6574" s="25"/>
      <c r="F6574" s="25"/>
      <c r="G6574" s="25"/>
      <c r="H6574" s="25"/>
      <c r="I6574" s="25"/>
      <c r="J6574" s="25"/>
    </row>
    <row r="6575" spans="1:10" ht="14.4">
      <c r="A6575" s="25"/>
      <c r="B6575" s="25"/>
      <c r="C6575" s="25"/>
      <c r="D6575" s="25"/>
      <c r="E6575" s="25"/>
      <c r="F6575" s="25"/>
      <c r="G6575" s="25"/>
      <c r="H6575" s="25"/>
      <c r="I6575" s="25"/>
      <c r="J6575" s="25"/>
    </row>
    <row r="6576" spans="1:10" ht="14.4">
      <c r="A6576" s="25"/>
      <c r="B6576" s="25"/>
      <c r="C6576" s="25"/>
      <c r="D6576" s="25"/>
      <c r="E6576" s="25"/>
      <c r="F6576" s="25"/>
      <c r="G6576" s="25"/>
      <c r="H6576" s="25"/>
      <c r="I6576" s="25"/>
      <c r="J6576" s="25"/>
    </row>
    <row r="6577" spans="1:10" ht="14.4">
      <c r="A6577" s="25"/>
      <c r="B6577" s="25"/>
      <c r="C6577" s="25"/>
      <c r="D6577" s="25"/>
      <c r="E6577" s="25"/>
      <c r="F6577" s="25"/>
      <c r="G6577" s="25"/>
      <c r="H6577" s="25"/>
      <c r="I6577" s="25"/>
      <c r="J6577" s="25"/>
    </row>
    <row r="6578" spans="1:10" ht="14.4">
      <c r="A6578" s="25"/>
      <c r="B6578" s="25"/>
      <c r="C6578" s="25"/>
      <c r="D6578" s="25"/>
      <c r="E6578" s="25"/>
      <c r="F6578" s="25"/>
      <c r="G6578" s="25"/>
      <c r="H6578" s="25"/>
      <c r="I6578" s="25"/>
      <c r="J6578" s="25"/>
    </row>
    <row r="6579" spans="1:10" ht="14.4">
      <c r="A6579" s="25"/>
      <c r="B6579" s="25"/>
      <c r="C6579" s="25"/>
      <c r="D6579" s="25"/>
      <c r="E6579" s="25"/>
      <c r="F6579" s="25"/>
      <c r="G6579" s="25"/>
      <c r="H6579" s="25"/>
      <c r="I6579" s="25"/>
      <c r="J6579" s="25"/>
    </row>
    <row r="6580" spans="1:10" ht="14.4">
      <c r="A6580" s="25"/>
      <c r="B6580" s="25"/>
      <c r="C6580" s="25"/>
      <c r="D6580" s="25"/>
      <c r="E6580" s="25"/>
      <c r="F6580" s="25"/>
      <c r="G6580" s="25"/>
      <c r="H6580" s="25"/>
      <c r="I6580" s="25"/>
      <c r="J6580" s="25"/>
    </row>
    <row r="6581" spans="1:10" ht="14.4">
      <c r="A6581" s="25"/>
      <c r="B6581" s="25"/>
      <c r="C6581" s="25"/>
      <c r="D6581" s="25"/>
      <c r="E6581" s="25"/>
      <c r="F6581" s="25"/>
      <c r="G6581" s="25"/>
      <c r="H6581" s="25"/>
      <c r="I6581" s="25"/>
      <c r="J6581" s="25"/>
    </row>
    <row r="6582" spans="1:10" ht="14.4">
      <c r="A6582" s="25"/>
      <c r="B6582" s="25"/>
      <c r="C6582" s="25"/>
      <c r="D6582" s="25"/>
      <c r="E6582" s="25"/>
      <c r="F6582" s="25"/>
      <c r="G6582" s="25"/>
      <c r="H6582" s="25"/>
      <c r="I6582" s="25"/>
      <c r="J6582" s="25"/>
    </row>
    <row r="6583" spans="1:10" ht="14.4">
      <c r="A6583" s="25"/>
      <c r="B6583" s="25"/>
      <c r="C6583" s="25"/>
      <c r="D6583" s="25"/>
      <c r="E6583" s="25"/>
      <c r="F6583" s="25"/>
      <c r="G6583" s="25"/>
      <c r="H6583" s="25"/>
      <c r="I6583" s="25"/>
      <c r="J6583" s="25"/>
    </row>
    <row r="6584" spans="1:10" ht="14.4">
      <c r="A6584" s="25"/>
      <c r="B6584" s="25"/>
      <c r="C6584" s="25"/>
      <c r="D6584" s="25"/>
      <c r="E6584" s="25"/>
      <c r="F6584" s="25"/>
      <c r="G6584" s="25"/>
      <c r="H6584" s="25"/>
      <c r="I6584" s="25"/>
      <c r="J6584" s="25"/>
    </row>
    <row r="6585" spans="1:10" ht="14.4">
      <c r="A6585" s="25"/>
      <c r="B6585" s="25"/>
      <c r="C6585" s="25"/>
      <c r="D6585" s="25"/>
      <c r="E6585" s="25"/>
      <c r="F6585" s="25"/>
      <c r="G6585" s="25"/>
      <c r="H6585" s="25"/>
      <c r="I6585" s="25"/>
      <c r="J6585" s="25"/>
    </row>
    <row r="6586" spans="1:10" ht="14.4">
      <c r="A6586" s="25"/>
      <c r="B6586" s="25"/>
      <c r="C6586" s="25"/>
      <c r="D6586" s="25"/>
      <c r="E6586" s="25"/>
      <c r="F6586" s="25"/>
      <c r="G6586" s="25"/>
      <c r="H6586" s="25"/>
      <c r="I6586" s="25"/>
      <c r="J6586" s="25"/>
    </row>
    <row r="6587" spans="1:10" ht="14.4">
      <c r="A6587" s="25"/>
      <c r="B6587" s="25"/>
      <c r="C6587" s="25"/>
      <c r="D6587" s="25"/>
      <c r="E6587" s="25"/>
      <c r="F6587" s="25"/>
      <c r="G6587" s="25"/>
      <c r="H6587" s="25"/>
      <c r="I6587" s="25"/>
      <c r="J6587" s="25"/>
    </row>
    <row r="6588" spans="1:10" ht="14.4">
      <c r="A6588" s="25"/>
      <c r="B6588" s="25"/>
      <c r="C6588" s="25"/>
      <c r="D6588" s="25"/>
      <c r="E6588" s="25"/>
      <c r="F6588" s="25"/>
      <c r="G6588" s="25"/>
      <c r="H6588" s="25"/>
      <c r="I6588" s="25"/>
      <c r="J6588" s="25"/>
    </row>
    <row r="6589" spans="1:10" ht="14.4">
      <c r="A6589" s="25"/>
      <c r="B6589" s="25"/>
      <c r="C6589" s="25"/>
      <c r="D6589" s="25"/>
      <c r="E6589" s="25"/>
      <c r="F6589" s="25"/>
      <c r="G6589" s="25"/>
      <c r="H6589" s="25"/>
      <c r="I6589" s="25"/>
      <c r="J6589" s="25"/>
    </row>
    <row r="6590" spans="1:10" ht="14.4">
      <c r="A6590" s="25"/>
      <c r="B6590" s="25"/>
      <c r="C6590" s="25"/>
      <c r="D6590" s="25"/>
      <c r="E6590" s="25"/>
      <c r="F6590" s="25"/>
      <c r="G6590" s="25"/>
      <c r="H6590" s="25"/>
      <c r="I6590" s="25"/>
      <c r="J6590" s="25"/>
    </row>
    <row r="6591" spans="1:10" ht="14.4">
      <c r="A6591" s="25"/>
      <c r="B6591" s="25"/>
      <c r="C6591" s="25"/>
      <c r="D6591" s="25"/>
      <c r="E6591" s="25"/>
      <c r="F6591" s="25"/>
      <c r="G6591" s="25"/>
      <c r="H6591" s="25"/>
      <c r="I6591" s="25"/>
      <c r="J6591" s="25"/>
    </row>
    <row r="6592" spans="1:10" ht="14.4">
      <c r="A6592" s="25"/>
      <c r="B6592" s="25"/>
      <c r="C6592" s="25"/>
      <c r="D6592" s="25"/>
      <c r="E6592" s="25"/>
      <c r="F6592" s="25"/>
      <c r="G6592" s="25"/>
      <c r="H6592" s="25"/>
      <c r="I6592" s="25"/>
      <c r="J6592" s="25"/>
    </row>
    <row r="6593" spans="1:10" ht="14.4">
      <c r="A6593" s="25"/>
      <c r="B6593" s="25"/>
      <c r="C6593" s="25"/>
      <c r="D6593" s="25"/>
      <c r="E6593" s="25"/>
      <c r="F6593" s="25"/>
      <c r="G6593" s="25"/>
      <c r="H6593" s="25"/>
      <c r="I6593" s="25"/>
      <c r="J6593" s="25"/>
    </row>
    <row r="6594" spans="1:10" ht="14.4">
      <c r="A6594" s="25"/>
      <c r="B6594" s="25"/>
      <c r="C6594" s="25"/>
      <c r="D6594" s="25"/>
      <c r="E6594" s="25"/>
      <c r="F6594" s="25"/>
      <c r="G6594" s="25"/>
      <c r="H6594" s="25"/>
      <c r="I6594" s="25"/>
      <c r="J6594" s="25"/>
    </row>
    <row r="6595" spans="1:10" ht="14.4">
      <c r="A6595" s="25"/>
      <c r="B6595" s="25"/>
      <c r="C6595" s="25"/>
      <c r="D6595" s="25"/>
      <c r="E6595" s="25"/>
      <c r="F6595" s="25"/>
      <c r="G6595" s="25"/>
      <c r="H6595" s="25"/>
      <c r="I6595" s="25"/>
      <c r="J6595" s="25"/>
    </row>
    <row r="6596" spans="1:10" ht="14.4">
      <c r="A6596" s="25"/>
      <c r="B6596" s="25"/>
      <c r="C6596" s="25"/>
      <c r="D6596" s="25"/>
      <c r="E6596" s="25"/>
      <c r="F6596" s="25"/>
      <c r="G6596" s="25"/>
      <c r="H6596" s="25"/>
      <c r="I6596" s="25"/>
      <c r="J6596" s="25"/>
    </row>
    <row r="6597" spans="1:10" ht="14.4">
      <c r="A6597" s="25"/>
      <c r="B6597" s="25"/>
      <c r="C6597" s="25"/>
      <c r="D6597" s="25"/>
      <c r="E6597" s="25"/>
      <c r="F6597" s="25"/>
      <c r="G6597" s="25"/>
      <c r="H6597" s="25"/>
      <c r="I6597" s="25"/>
      <c r="J6597" s="25"/>
    </row>
    <row r="6598" spans="1:10" ht="14.4">
      <c r="A6598" s="25"/>
      <c r="B6598" s="25"/>
      <c r="C6598" s="25"/>
      <c r="D6598" s="25"/>
      <c r="E6598" s="25"/>
      <c r="F6598" s="25"/>
      <c r="G6598" s="25"/>
      <c r="H6598" s="25"/>
      <c r="I6598" s="25"/>
      <c r="J6598" s="25"/>
    </row>
    <row r="6599" spans="1:10" ht="14.4">
      <c r="A6599" s="25"/>
      <c r="B6599" s="25"/>
      <c r="C6599" s="25"/>
      <c r="D6599" s="25"/>
      <c r="E6599" s="25"/>
      <c r="F6599" s="25"/>
      <c r="G6599" s="25"/>
      <c r="H6599" s="25"/>
      <c r="I6599" s="25"/>
      <c r="J6599" s="25"/>
    </row>
    <row r="6600" spans="1:10" ht="14.4">
      <c r="A6600" s="25"/>
      <c r="B6600" s="25"/>
      <c r="C6600" s="25"/>
      <c r="D6600" s="25"/>
      <c r="E6600" s="25"/>
      <c r="F6600" s="25"/>
      <c r="G6600" s="25"/>
      <c r="H6600" s="25"/>
      <c r="I6600" s="25"/>
      <c r="J6600" s="25"/>
    </row>
    <row r="6601" spans="1:10" ht="14.4">
      <c r="A6601" s="25"/>
      <c r="B6601" s="25"/>
      <c r="C6601" s="25"/>
      <c r="D6601" s="25"/>
      <c r="E6601" s="25"/>
      <c r="F6601" s="25"/>
      <c r="G6601" s="25"/>
      <c r="H6601" s="25"/>
      <c r="I6601" s="25"/>
      <c r="J6601" s="25"/>
    </row>
    <row r="6602" spans="1:10" ht="14.4">
      <c r="A6602" s="25"/>
      <c r="B6602" s="25"/>
      <c r="C6602" s="25"/>
      <c r="D6602" s="25"/>
      <c r="E6602" s="25"/>
      <c r="F6602" s="25"/>
      <c r="G6602" s="25"/>
      <c r="H6602" s="25"/>
      <c r="I6602" s="25"/>
      <c r="J6602" s="25"/>
    </row>
    <row r="6603" spans="1:10" ht="14.4">
      <c r="A6603" s="25"/>
      <c r="B6603" s="25"/>
      <c r="C6603" s="25"/>
      <c r="D6603" s="25"/>
      <c r="E6603" s="25"/>
      <c r="F6603" s="25"/>
      <c r="G6603" s="25"/>
      <c r="H6603" s="25"/>
      <c r="I6603" s="25"/>
      <c r="J6603" s="25"/>
    </row>
    <row r="6604" spans="1:10" ht="14.4">
      <c r="A6604" s="25"/>
      <c r="B6604" s="25"/>
      <c r="C6604" s="25"/>
      <c r="D6604" s="25"/>
      <c r="E6604" s="25"/>
      <c r="F6604" s="25"/>
      <c r="G6604" s="25"/>
      <c r="H6604" s="25"/>
      <c r="I6604" s="25"/>
      <c r="J6604" s="25"/>
    </row>
    <row r="6605" spans="1:10" ht="14.4">
      <c r="A6605" s="25"/>
      <c r="B6605" s="25"/>
      <c r="C6605" s="25"/>
      <c r="D6605" s="25"/>
      <c r="E6605" s="25"/>
      <c r="F6605" s="25"/>
      <c r="G6605" s="25"/>
      <c r="H6605" s="25"/>
      <c r="I6605" s="25"/>
      <c r="J6605" s="25"/>
    </row>
    <row r="6606" spans="1:10" ht="14.4">
      <c r="A6606" s="25"/>
      <c r="B6606" s="25"/>
      <c r="C6606" s="25"/>
      <c r="D6606" s="25"/>
      <c r="E6606" s="25"/>
      <c r="F6606" s="25"/>
      <c r="G6606" s="25"/>
      <c r="H6606" s="25"/>
      <c r="I6606" s="25"/>
      <c r="J6606" s="25"/>
    </row>
    <row r="6607" spans="1:10" ht="14.4">
      <c r="A6607" s="25"/>
      <c r="B6607" s="25"/>
      <c r="C6607" s="25"/>
      <c r="D6607" s="25"/>
      <c r="E6607" s="25"/>
      <c r="F6607" s="25"/>
      <c r="G6607" s="25"/>
      <c r="H6607" s="25"/>
      <c r="I6607" s="25"/>
      <c r="J6607" s="25"/>
    </row>
    <row r="6608" spans="1:10" ht="14.4">
      <c r="A6608" s="25"/>
      <c r="B6608" s="25"/>
      <c r="C6608" s="25"/>
      <c r="D6608" s="25"/>
      <c r="E6608" s="25"/>
      <c r="F6608" s="25"/>
      <c r="G6608" s="25"/>
      <c r="H6608" s="25"/>
      <c r="I6608" s="25"/>
      <c r="J6608" s="25"/>
    </row>
    <row r="6609" spans="1:10" ht="14.4">
      <c r="A6609" s="25"/>
      <c r="B6609" s="25"/>
      <c r="C6609" s="25"/>
      <c r="D6609" s="25"/>
      <c r="E6609" s="25"/>
      <c r="F6609" s="25"/>
      <c r="G6609" s="25"/>
      <c r="H6609" s="25"/>
      <c r="I6609" s="25"/>
      <c r="J6609" s="25"/>
    </row>
    <row r="6610" spans="1:10" ht="14.4">
      <c r="A6610" s="25"/>
      <c r="B6610" s="25"/>
      <c r="C6610" s="25"/>
      <c r="D6610" s="25"/>
      <c r="E6610" s="25"/>
      <c r="F6610" s="25"/>
      <c r="G6610" s="25"/>
      <c r="H6610" s="25"/>
      <c r="I6610" s="25"/>
      <c r="J6610" s="25"/>
    </row>
    <row r="6611" spans="1:10" ht="14.4">
      <c r="A6611" s="25"/>
      <c r="B6611" s="25"/>
      <c r="C6611" s="25"/>
      <c r="D6611" s="25"/>
      <c r="E6611" s="25"/>
      <c r="F6611" s="25"/>
      <c r="G6611" s="25"/>
      <c r="H6611" s="25"/>
      <c r="I6611" s="25"/>
      <c r="J6611" s="25"/>
    </row>
    <row r="6612" spans="1:10" ht="14.4">
      <c r="A6612" s="25"/>
      <c r="B6612" s="25"/>
      <c r="C6612" s="25"/>
      <c r="D6612" s="25"/>
      <c r="E6612" s="25"/>
      <c r="F6612" s="25"/>
      <c r="G6612" s="25"/>
      <c r="H6612" s="25"/>
      <c r="I6612" s="25"/>
      <c r="J6612" s="25"/>
    </row>
    <row r="6613" spans="1:10" ht="14.4">
      <c r="A6613" s="25"/>
      <c r="B6613" s="25"/>
      <c r="C6613" s="25"/>
      <c r="D6613" s="25"/>
      <c r="E6613" s="25"/>
      <c r="F6613" s="25"/>
      <c r="G6613" s="25"/>
      <c r="H6613" s="25"/>
      <c r="I6613" s="25"/>
      <c r="J6613" s="25"/>
    </row>
    <row r="6614" spans="1:10" ht="14.4">
      <c r="A6614" s="25"/>
      <c r="B6614" s="25"/>
      <c r="C6614" s="25"/>
      <c r="D6614" s="25"/>
      <c r="E6614" s="25"/>
      <c r="F6614" s="25"/>
      <c r="G6614" s="25"/>
      <c r="H6614" s="25"/>
      <c r="I6614" s="25"/>
      <c r="J6614" s="25"/>
    </row>
    <row r="6615" spans="1:10" ht="14.4">
      <c r="A6615" s="25"/>
      <c r="B6615" s="25"/>
      <c r="C6615" s="25"/>
      <c r="D6615" s="25"/>
      <c r="E6615" s="25"/>
      <c r="F6615" s="25"/>
      <c r="G6615" s="25"/>
      <c r="H6615" s="25"/>
      <c r="I6615" s="25"/>
      <c r="J6615" s="25"/>
    </row>
    <row r="6616" spans="1:10" ht="14.4">
      <c r="A6616" s="25"/>
      <c r="B6616" s="25"/>
      <c r="C6616" s="25"/>
      <c r="D6616" s="25"/>
      <c r="E6616" s="25"/>
      <c r="F6616" s="25"/>
      <c r="G6616" s="25"/>
      <c r="H6616" s="25"/>
      <c r="I6616" s="25"/>
      <c r="J6616" s="25"/>
    </row>
    <row r="6617" spans="1:10" ht="14.4">
      <c r="A6617" s="25"/>
      <c r="B6617" s="25"/>
      <c r="C6617" s="25"/>
      <c r="D6617" s="25"/>
      <c r="E6617" s="25"/>
      <c r="F6617" s="25"/>
      <c r="G6617" s="25"/>
      <c r="H6617" s="25"/>
      <c r="I6617" s="25"/>
      <c r="J6617" s="25"/>
    </row>
    <row r="6618" spans="1:10" ht="14.4">
      <c r="A6618" s="25"/>
      <c r="B6618" s="25"/>
      <c r="C6618" s="25"/>
      <c r="D6618" s="25"/>
      <c r="E6618" s="25"/>
      <c r="F6618" s="25"/>
      <c r="G6618" s="25"/>
      <c r="H6618" s="25"/>
      <c r="I6618" s="25"/>
      <c r="J6618" s="25"/>
    </row>
    <row r="6619" spans="1:10" ht="14.4">
      <c r="A6619" s="25"/>
      <c r="B6619" s="25"/>
      <c r="C6619" s="25"/>
      <c r="D6619" s="25"/>
      <c r="E6619" s="25"/>
      <c r="F6619" s="25"/>
      <c r="G6619" s="25"/>
      <c r="H6619" s="25"/>
      <c r="I6619" s="25"/>
      <c r="J6619" s="25"/>
    </row>
    <row r="6620" spans="1:10" ht="14.4">
      <c r="A6620" s="25"/>
      <c r="B6620" s="25"/>
      <c r="C6620" s="25"/>
      <c r="D6620" s="25"/>
      <c r="E6620" s="25"/>
      <c r="F6620" s="25"/>
      <c r="G6620" s="25"/>
      <c r="H6620" s="25"/>
      <c r="I6620" s="25"/>
      <c r="J6620" s="25"/>
    </row>
    <row r="6621" spans="1:10" ht="14.4">
      <c r="A6621" s="25"/>
      <c r="B6621" s="25"/>
      <c r="C6621" s="25"/>
      <c r="D6621" s="25"/>
      <c r="E6621" s="25"/>
      <c r="F6621" s="25"/>
      <c r="G6621" s="25"/>
      <c r="H6621" s="25"/>
      <c r="I6621" s="25"/>
      <c r="J6621" s="25"/>
    </row>
    <row r="6622" spans="1:10" ht="14.4">
      <c r="A6622" s="25"/>
      <c r="B6622" s="25"/>
      <c r="C6622" s="25"/>
      <c r="D6622" s="25"/>
      <c r="E6622" s="25"/>
      <c r="F6622" s="25"/>
      <c r="G6622" s="25"/>
      <c r="H6622" s="25"/>
      <c r="I6622" s="25"/>
      <c r="J6622" s="25"/>
    </row>
    <row r="6623" spans="1:10" ht="14.4">
      <c r="A6623" s="25"/>
      <c r="B6623" s="25"/>
      <c r="C6623" s="25"/>
      <c r="D6623" s="25"/>
      <c r="E6623" s="25"/>
      <c r="F6623" s="25"/>
      <c r="G6623" s="25"/>
      <c r="H6623" s="25"/>
      <c r="I6623" s="25"/>
      <c r="J6623" s="25"/>
    </row>
    <row r="6624" spans="1:10" ht="14.4">
      <c r="A6624" s="25"/>
      <c r="B6624" s="25"/>
      <c r="C6624" s="25"/>
      <c r="D6624" s="25"/>
      <c r="E6624" s="25"/>
      <c r="F6624" s="25"/>
      <c r="G6624" s="25"/>
      <c r="H6624" s="25"/>
      <c r="I6624" s="25"/>
      <c r="J6624" s="25"/>
    </row>
    <row r="6625" spans="1:10" ht="14.4">
      <c r="A6625" s="25"/>
      <c r="B6625" s="25"/>
      <c r="C6625" s="25"/>
      <c r="D6625" s="25"/>
      <c r="E6625" s="25"/>
      <c r="F6625" s="25"/>
      <c r="G6625" s="25"/>
      <c r="H6625" s="25"/>
      <c r="I6625" s="25"/>
      <c r="J6625" s="25"/>
    </row>
    <row r="6626" spans="1:10" ht="14.4">
      <c r="A6626" s="25"/>
      <c r="B6626" s="25"/>
      <c r="C6626" s="25"/>
      <c r="D6626" s="25"/>
      <c r="E6626" s="25"/>
      <c r="F6626" s="25"/>
      <c r="G6626" s="25"/>
      <c r="H6626" s="25"/>
      <c r="I6626" s="25"/>
      <c r="J6626" s="25"/>
    </row>
    <row r="6627" spans="1:10" ht="14.4">
      <c r="A6627" s="25"/>
      <c r="B6627" s="25"/>
      <c r="C6627" s="25"/>
      <c r="D6627" s="25"/>
      <c r="E6627" s="25"/>
      <c r="F6627" s="25"/>
      <c r="G6627" s="25"/>
      <c r="H6627" s="25"/>
      <c r="I6627" s="25"/>
      <c r="J6627" s="25"/>
    </row>
    <row r="6628" spans="1:10" ht="14.4">
      <c r="A6628" s="25"/>
      <c r="B6628" s="25"/>
      <c r="C6628" s="25"/>
      <c r="D6628" s="25"/>
      <c r="E6628" s="25"/>
      <c r="F6628" s="25"/>
      <c r="G6628" s="25"/>
      <c r="H6628" s="25"/>
      <c r="I6628" s="25"/>
      <c r="J6628" s="25"/>
    </row>
    <row r="6629" spans="1:10" ht="14.4">
      <c r="A6629" s="25"/>
      <c r="B6629" s="25"/>
      <c r="C6629" s="25"/>
      <c r="D6629" s="25"/>
      <c r="E6629" s="25"/>
      <c r="F6629" s="25"/>
      <c r="G6629" s="25"/>
      <c r="H6629" s="25"/>
      <c r="I6629" s="25"/>
      <c r="J6629" s="25"/>
    </row>
    <row r="6630" spans="1:10" ht="14.4">
      <c r="A6630" s="25"/>
      <c r="B6630" s="25"/>
      <c r="C6630" s="25"/>
      <c r="D6630" s="25"/>
      <c r="E6630" s="25"/>
      <c r="F6630" s="25"/>
      <c r="G6630" s="25"/>
      <c r="H6630" s="25"/>
      <c r="I6630" s="25"/>
      <c r="J6630" s="25"/>
    </row>
    <row r="6631" spans="1:10" ht="14.4">
      <c r="A6631" s="25"/>
      <c r="B6631" s="25"/>
      <c r="C6631" s="25"/>
      <c r="D6631" s="25"/>
      <c r="E6631" s="25"/>
      <c r="F6631" s="25"/>
      <c r="G6631" s="25"/>
      <c r="H6631" s="25"/>
      <c r="I6631" s="25"/>
      <c r="J6631" s="25"/>
    </row>
    <row r="6632" spans="1:10" ht="14.4">
      <c r="A6632" s="25"/>
      <c r="B6632" s="25"/>
      <c r="C6632" s="25"/>
      <c r="D6632" s="25"/>
      <c r="E6632" s="25"/>
      <c r="F6632" s="25"/>
      <c r="G6632" s="25"/>
      <c r="H6632" s="25"/>
      <c r="I6632" s="25"/>
      <c r="J6632" s="25"/>
    </row>
    <row r="6633" spans="1:10" ht="14.4">
      <c r="A6633" s="25"/>
      <c r="B6633" s="25"/>
      <c r="C6633" s="25"/>
      <c r="D6633" s="25"/>
      <c r="E6633" s="25"/>
      <c r="F6633" s="25"/>
      <c r="G6633" s="25"/>
      <c r="H6633" s="25"/>
      <c r="I6633" s="25"/>
      <c r="J6633" s="25"/>
    </row>
    <row r="6634" spans="1:10" ht="14.4">
      <c r="A6634" s="25"/>
      <c r="B6634" s="25"/>
      <c r="C6634" s="25"/>
      <c r="D6634" s="25"/>
      <c r="E6634" s="25"/>
      <c r="F6634" s="25"/>
      <c r="G6634" s="25"/>
      <c r="H6634" s="25"/>
      <c r="I6634" s="25"/>
      <c r="J6634" s="25"/>
    </row>
    <row r="6635" spans="1:10" ht="14.4">
      <c r="A6635" s="25"/>
      <c r="B6635" s="25"/>
      <c r="C6635" s="25"/>
      <c r="D6635" s="25"/>
      <c r="E6635" s="25"/>
      <c r="F6635" s="25"/>
      <c r="G6635" s="25"/>
      <c r="H6635" s="25"/>
      <c r="I6635" s="25"/>
      <c r="J6635" s="25"/>
    </row>
    <row r="6636" spans="1:10" ht="14.4">
      <c r="A6636" s="25"/>
      <c r="B6636" s="25"/>
      <c r="C6636" s="25"/>
      <c r="D6636" s="25"/>
      <c r="E6636" s="25"/>
      <c r="F6636" s="25"/>
      <c r="G6636" s="25"/>
      <c r="H6636" s="25"/>
      <c r="I6636" s="25"/>
      <c r="J6636" s="25"/>
    </row>
    <row r="6637" spans="1:10" ht="14.4">
      <c r="A6637" s="25"/>
      <c r="B6637" s="25"/>
      <c r="C6637" s="25"/>
      <c r="D6637" s="25"/>
      <c r="E6637" s="25"/>
      <c r="F6637" s="25"/>
      <c r="G6637" s="25"/>
      <c r="H6637" s="25"/>
      <c r="I6637" s="25"/>
      <c r="J6637" s="25"/>
    </row>
    <row r="6638" spans="1:10" ht="14.4">
      <c r="A6638" s="25"/>
      <c r="B6638" s="25"/>
      <c r="C6638" s="25"/>
      <c r="D6638" s="25"/>
      <c r="E6638" s="25"/>
      <c r="F6638" s="25"/>
      <c r="G6638" s="25"/>
      <c r="H6638" s="25"/>
      <c r="I6638" s="25"/>
      <c r="J6638" s="25"/>
    </row>
    <row r="6639" spans="1:10" ht="14.4">
      <c r="A6639" s="25"/>
      <c r="B6639" s="25"/>
      <c r="C6639" s="25"/>
      <c r="D6639" s="25"/>
      <c r="E6639" s="25"/>
      <c r="F6639" s="25"/>
      <c r="G6639" s="25"/>
      <c r="H6639" s="25"/>
      <c r="I6639" s="25"/>
      <c r="J6639" s="25"/>
    </row>
    <row r="6640" spans="1:10" ht="14.4">
      <c r="A6640" s="25"/>
      <c r="B6640" s="25"/>
      <c r="C6640" s="25"/>
      <c r="D6640" s="25"/>
      <c r="E6640" s="25"/>
      <c r="F6640" s="25"/>
      <c r="G6640" s="25"/>
      <c r="H6640" s="25"/>
      <c r="I6640" s="25"/>
      <c r="J6640" s="25"/>
    </row>
    <row r="6641" spans="1:10" ht="14.4">
      <c r="A6641" s="25"/>
      <c r="B6641" s="25"/>
      <c r="C6641" s="25"/>
      <c r="D6641" s="25"/>
      <c r="E6641" s="25"/>
      <c r="F6641" s="25"/>
      <c r="G6641" s="25"/>
      <c r="H6641" s="25"/>
      <c r="I6641" s="25"/>
      <c r="J6641" s="25"/>
    </row>
    <row r="6642" spans="1:10" ht="14.4">
      <c r="A6642" s="25"/>
      <c r="B6642" s="25"/>
      <c r="C6642" s="25"/>
      <c r="D6642" s="25"/>
      <c r="E6642" s="25"/>
      <c r="F6642" s="25"/>
      <c r="G6642" s="25"/>
      <c r="H6642" s="25"/>
      <c r="I6642" s="25"/>
      <c r="J6642" s="25"/>
    </row>
    <row r="6643" spans="1:10" ht="14.4">
      <c r="A6643" s="25"/>
      <c r="B6643" s="25"/>
      <c r="C6643" s="25"/>
      <c r="D6643" s="25"/>
      <c r="E6643" s="25"/>
      <c r="F6643" s="25"/>
      <c r="G6643" s="25"/>
      <c r="H6643" s="25"/>
      <c r="I6643" s="25"/>
      <c r="J6643" s="25"/>
    </row>
    <row r="6644" spans="1:10" ht="14.4">
      <c r="A6644" s="25"/>
      <c r="B6644" s="25"/>
      <c r="C6644" s="25"/>
      <c r="D6644" s="25"/>
      <c r="E6644" s="25"/>
      <c r="F6644" s="25"/>
      <c r="G6644" s="25"/>
      <c r="H6644" s="25"/>
      <c r="I6644" s="25"/>
      <c r="J6644" s="25"/>
    </row>
    <row r="6645" spans="1:10" ht="14.4">
      <c r="A6645" s="25"/>
      <c r="B6645" s="25"/>
      <c r="C6645" s="25"/>
      <c r="D6645" s="25"/>
      <c r="E6645" s="25"/>
      <c r="F6645" s="25"/>
      <c r="G6645" s="25"/>
      <c r="H6645" s="25"/>
      <c r="I6645" s="25"/>
      <c r="J6645" s="25"/>
    </row>
    <row r="6646" spans="1:10" ht="14.4">
      <c r="A6646" s="25"/>
      <c r="B6646" s="25"/>
      <c r="C6646" s="25"/>
      <c r="D6646" s="25"/>
      <c r="E6646" s="25"/>
      <c r="F6646" s="25"/>
      <c r="G6646" s="25"/>
      <c r="H6646" s="25"/>
      <c r="I6646" s="25"/>
      <c r="J6646" s="25"/>
    </row>
    <row r="6647" spans="1:10" ht="14.4">
      <c r="A6647" s="25"/>
      <c r="B6647" s="25"/>
      <c r="C6647" s="25"/>
      <c r="D6647" s="25"/>
      <c r="E6647" s="25"/>
      <c r="F6647" s="25"/>
      <c r="G6647" s="25"/>
      <c r="H6647" s="25"/>
      <c r="I6647" s="25"/>
      <c r="J6647" s="25"/>
    </row>
    <row r="6648" spans="1:10" ht="14.4">
      <c r="A6648" s="25"/>
      <c r="B6648" s="25"/>
      <c r="C6648" s="25"/>
      <c r="D6648" s="25"/>
      <c r="E6648" s="25"/>
      <c r="F6648" s="25"/>
      <c r="G6648" s="25"/>
      <c r="H6648" s="25"/>
      <c r="I6648" s="25"/>
      <c r="J6648" s="25"/>
    </row>
    <row r="6649" spans="1:10" ht="14.4">
      <c r="A6649" s="25"/>
      <c r="B6649" s="25"/>
      <c r="C6649" s="25"/>
      <c r="D6649" s="25"/>
      <c r="E6649" s="25"/>
      <c r="F6649" s="25"/>
      <c r="G6649" s="25"/>
      <c r="H6649" s="25"/>
      <c r="I6649" s="25"/>
      <c r="J6649" s="25"/>
    </row>
    <row r="6650" spans="1:10" ht="14.4">
      <c r="A6650" s="25"/>
      <c r="B6650" s="25"/>
      <c r="C6650" s="25"/>
      <c r="D6650" s="25"/>
      <c r="E6650" s="25"/>
      <c r="F6650" s="25"/>
      <c r="G6650" s="25"/>
      <c r="H6650" s="25"/>
      <c r="I6650" s="25"/>
      <c r="J6650" s="25"/>
    </row>
    <row r="6651" spans="1:10" ht="14.4">
      <c r="A6651" s="25"/>
      <c r="B6651" s="25"/>
      <c r="C6651" s="25"/>
      <c r="D6651" s="25"/>
      <c r="E6651" s="25"/>
      <c r="F6651" s="25"/>
      <c r="G6651" s="25"/>
      <c r="H6651" s="25"/>
      <c r="I6651" s="25"/>
      <c r="J6651" s="25"/>
    </row>
    <row r="6652" spans="1:10" ht="14.4">
      <c r="A6652" s="25"/>
      <c r="B6652" s="25"/>
      <c r="C6652" s="25"/>
      <c r="D6652" s="25"/>
      <c r="E6652" s="25"/>
      <c r="F6652" s="25"/>
      <c r="G6652" s="25"/>
      <c r="H6652" s="25"/>
      <c r="I6652" s="25"/>
      <c r="J6652" s="25"/>
    </row>
    <row r="6653" spans="1:10" ht="14.4">
      <c r="A6653" s="25"/>
      <c r="B6653" s="25"/>
      <c r="C6653" s="25"/>
      <c r="D6653" s="25"/>
      <c r="E6653" s="25"/>
      <c r="F6653" s="25"/>
      <c r="G6653" s="25"/>
      <c r="H6653" s="25"/>
      <c r="I6653" s="25"/>
      <c r="J6653" s="25"/>
    </row>
    <row r="6654" spans="1:10" ht="14.4">
      <c r="A6654" s="25"/>
      <c r="B6654" s="25"/>
      <c r="C6654" s="25"/>
      <c r="D6654" s="25"/>
      <c r="E6654" s="25"/>
      <c r="F6654" s="25"/>
      <c r="G6654" s="25"/>
      <c r="H6654" s="25"/>
      <c r="I6654" s="25"/>
      <c r="J6654" s="25"/>
    </row>
    <row r="6655" spans="1:10" ht="14.4">
      <c r="A6655" s="25"/>
      <c r="B6655" s="25"/>
      <c r="C6655" s="25"/>
      <c r="D6655" s="25"/>
      <c r="E6655" s="25"/>
      <c r="F6655" s="25"/>
      <c r="G6655" s="25"/>
      <c r="H6655" s="25"/>
      <c r="I6655" s="25"/>
      <c r="J6655" s="25"/>
    </row>
    <row r="6656" spans="1:10" ht="14.4">
      <c r="A6656" s="25"/>
      <c r="B6656" s="25"/>
      <c r="C6656" s="25"/>
      <c r="D6656" s="25"/>
      <c r="E6656" s="25"/>
      <c r="F6656" s="25"/>
      <c r="G6656" s="25"/>
      <c r="H6656" s="25"/>
      <c r="I6656" s="25"/>
      <c r="J6656" s="25"/>
    </row>
    <row r="6657" spans="1:10" ht="14.4">
      <c r="A6657" s="25"/>
      <c r="B6657" s="25"/>
      <c r="C6657" s="25"/>
      <c r="D6657" s="25"/>
      <c r="E6657" s="25"/>
      <c r="F6657" s="25"/>
      <c r="G6657" s="25"/>
      <c r="H6657" s="25"/>
      <c r="I6657" s="25"/>
      <c r="J6657" s="25"/>
    </row>
    <row r="6658" spans="1:10" ht="14.4">
      <c r="A6658" s="25"/>
      <c r="B6658" s="25"/>
      <c r="C6658" s="25"/>
      <c r="D6658" s="25"/>
      <c r="E6658" s="25"/>
      <c r="F6658" s="25"/>
      <c r="G6658" s="25"/>
      <c r="H6658" s="25"/>
      <c r="I6658" s="25"/>
      <c r="J6658" s="25"/>
    </row>
    <row r="6659" spans="1:10" ht="14.4">
      <c r="A6659" s="25"/>
      <c r="B6659" s="25"/>
      <c r="C6659" s="25"/>
      <c r="D6659" s="25"/>
      <c r="E6659" s="25"/>
      <c r="F6659" s="25"/>
      <c r="G6659" s="25"/>
      <c r="H6659" s="25"/>
      <c r="I6659" s="25"/>
      <c r="J6659" s="25"/>
    </row>
    <row r="6660" spans="1:10" ht="14.4">
      <c r="A6660" s="25"/>
      <c r="B6660" s="25"/>
      <c r="C6660" s="25"/>
      <c r="D6660" s="25"/>
      <c r="E6660" s="25"/>
      <c r="F6660" s="25"/>
      <c r="G6660" s="25"/>
      <c r="H6660" s="25"/>
      <c r="I6660" s="25"/>
      <c r="J6660" s="25"/>
    </row>
    <row r="6661" spans="1:10" ht="14.4">
      <c r="A6661" s="25"/>
      <c r="B6661" s="25"/>
      <c r="C6661" s="25"/>
      <c r="D6661" s="25"/>
      <c r="E6661" s="25"/>
      <c r="F6661" s="25"/>
      <c r="G6661" s="25"/>
      <c r="H6661" s="25"/>
      <c r="I6661" s="25"/>
      <c r="J6661" s="25"/>
    </row>
    <row r="6662" spans="1:10" ht="14.4">
      <c r="A6662" s="25"/>
      <c r="B6662" s="25"/>
      <c r="C6662" s="25"/>
      <c r="D6662" s="25"/>
      <c r="E6662" s="25"/>
      <c r="F6662" s="25"/>
      <c r="G6662" s="25"/>
      <c r="H6662" s="25"/>
      <c r="I6662" s="25"/>
      <c r="J6662" s="25"/>
    </row>
    <row r="6663" spans="1:10" ht="14.4">
      <c r="A6663" s="25"/>
      <c r="B6663" s="25"/>
      <c r="C6663" s="25"/>
      <c r="D6663" s="25"/>
      <c r="E6663" s="25"/>
      <c r="F6663" s="25"/>
      <c r="G6663" s="25"/>
      <c r="H6663" s="25"/>
      <c r="I6663" s="25"/>
      <c r="J6663" s="25"/>
    </row>
    <row r="6664" spans="1:10" ht="14.4">
      <c r="A6664" s="25"/>
      <c r="B6664" s="25"/>
      <c r="C6664" s="25"/>
      <c r="D6664" s="25"/>
      <c r="E6664" s="25"/>
      <c r="F6664" s="25"/>
      <c r="G6664" s="25"/>
      <c r="H6664" s="25"/>
      <c r="I6664" s="25"/>
      <c r="J6664" s="25"/>
    </row>
    <row r="6665" spans="1:10" ht="14.4">
      <c r="A6665" s="25"/>
      <c r="B6665" s="25"/>
      <c r="C6665" s="25"/>
      <c r="D6665" s="25"/>
      <c r="E6665" s="25"/>
      <c r="F6665" s="25"/>
      <c r="G6665" s="25"/>
      <c r="H6665" s="25"/>
      <c r="I6665" s="25"/>
      <c r="J6665" s="25"/>
    </row>
    <row r="6666" spans="1:10" ht="14.4">
      <c r="A6666" s="25"/>
      <c r="B6666" s="25"/>
      <c r="C6666" s="25"/>
      <c r="D6666" s="25"/>
      <c r="E6666" s="25"/>
      <c r="F6666" s="25"/>
      <c r="G6666" s="25"/>
      <c r="H6666" s="25"/>
      <c r="I6666" s="25"/>
      <c r="J6666" s="25"/>
    </row>
    <row r="6667" spans="1:10" ht="14.4">
      <c r="A6667" s="25"/>
      <c r="B6667" s="25"/>
      <c r="C6667" s="25"/>
      <c r="D6667" s="25"/>
      <c r="E6667" s="25"/>
      <c r="F6667" s="25"/>
      <c r="G6667" s="25"/>
      <c r="H6667" s="25"/>
      <c r="I6667" s="25"/>
      <c r="J6667" s="25"/>
    </row>
    <row r="6668" spans="1:10" ht="14.4">
      <c r="A6668" s="25"/>
      <c r="B6668" s="25"/>
      <c r="C6668" s="25"/>
      <c r="D6668" s="25"/>
      <c r="E6668" s="25"/>
      <c r="F6668" s="25"/>
      <c r="G6668" s="25"/>
      <c r="H6668" s="25"/>
      <c r="I6668" s="25"/>
      <c r="J6668" s="25"/>
    </row>
    <row r="6669" spans="1:10" ht="14.4">
      <c r="A6669" s="25"/>
      <c r="B6669" s="25"/>
      <c r="C6669" s="25"/>
      <c r="D6669" s="25"/>
      <c r="E6669" s="25"/>
      <c r="F6669" s="25"/>
      <c r="G6669" s="25"/>
      <c r="H6669" s="25"/>
      <c r="I6669" s="25"/>
      <c r="J6669" s="25"/>
    </row>
    <row r="6670" spans="1:10" ht="14.4">
      <c r="A6670" s="25"/>
      <c r="B6670" s="25"/>
      <c r="C6670" s="25"/>
      <c r="D6670" s="25"/>
      <c r="E6670" s="25"/>
      <c r="F6670" s="25"/>
      <c r="G6670" s="25"/>
      <c r="H6670" s="25"/>
      <c r="I6670" s="25"/>
      <c r="J6670" s="25"/>
    </row>
    <row r="6671" spans="1:10" ht="14.4">
      <c r="A6671" s="25"/>
      <c r="B6671" s="25"/>
      <c r="C6671" s="25"/>
      <c r="D6671" s="25"/>
      <c r="E6671" s="25"/>
      <c r="F6671" s="25"/>
      <c r="G6671" s="25"/>
      <c r="H6671" s="25"/>
      <c r="I6671" s="25"/>
      <c r="J6671" s="25"/>
    </row>
    <row r="6672" spans="1:10" ht="14.4">
      <c r="A6672" s="25"/>
      <c r="B6672" s="25"/>
      <c r="C6672" s="25"/>
      <c r="D6672" s="25"/>
      <c r="E6672" s="25"/>
      <c r="F6672" s="25"/>
      <c r="G6672" s="25"/>
      <c r="H6672" s="25"/>
      <c r="I6672" s="25"/>
      <c r="J6672" s="25"/>
    </row>
    <row r="6673" spans="1:10" ht="14.4">
      <c r="A6673" s="25"/>
      <c r="B6673" s="25"/>
      <c r="C6673" s="25"/>
      <c r="D6673" s="25"/>
      <c r="E6673" s="25"/>
      <c r="F6673" s="25"/>
      <c r="G6673" s="25"/>
      <c r="H6673" s="25"/>
      <c r="I6673" s="25"/>
      <c r="J6673" s="25"/>
    </row>
    <row r="6674" spans="1:10" ht="14.4">
      <c r="A6674" s="25"/>
      <c r="B6674" s="25"/>
      <c r="C6674" s="25"/>
      <c r="D6674" s="25"/>
      <c r="E6674" s="25"/>
      <c r="F6674" s="25"/>
      <c r="G6674" s="25"/>
      <c r="H6674" s="25"/>
      <c r="I6674" s="25"/>
      <c r="J6674" s="25"/>
    </row>
    <row r="6675" spans="1:10" ht="14.4">
      <c r="A6675" s="25"/>
      <c r="B6675" s="25"/>
      <c r="C6675" s="25"/>
      <c r="D6675" s="25"/>
      <c r="E6675" s="25"/>
      <c r="F6675" s="25"/>
      <c r="G6675" s="25"/>
      <c r="H6675" s="25"/>
      <c r="I6675" s="25"/>
      <c r="J6675" s="25"/>
    </row>
    <row r="6676" spans="1:10" ht="14.4">
      <c r="A6676" s="25"/>
      <c r="B6676" s="25"/>
      <c r="C6676" s="25"/>
      <c r="D6676" s="25"/>
      <c r="E6676" s="25"/>
      <c r="F6676" s="25"/>
      <c r="G6676" s="25"/>
      <c r="H6676" s="25"/>
      <c r="I6676" s="25"/>
      <c r="J6676" s="25"/>
    </row>
    <row r="6677" spans="1:10" ht="14.4">
      <c r="A6677" s="25"/>
      <c r="B6677" s="25"/>
      <c r="C6677" s="25"/>
      <c r="D6677" s="25"/>
      <c r="E6677" s="25"/>
      <c r="F6677" s="25"/>
      <c r="G6677" s="25"/>
      <c r="H6677" s="25"/>
      <c r="I6677" s="25"/>
      <c r="J6677" s="25"/>
    </row>
    <row r="6678" spans="1:10" ht="14.4">
      <c r="A6678" s="25"/>
      <c r="B6678" s="25"/>
      <c r="C6678" s="25"/>
      <c r="D6678" s="25"/>
      <c r="E6678" s="25"/>
      <c r="F6678" s="25"/>
      <c r="G6678" s="25"/>
      <c r="H6678" s="25"/>
      <c r="I6678" s="25"/>
      <c r="J6678" s="25"/>
    </row>
    <row r="6679" spans="1:10" ht="14.4">
      <c r="A6679" s="25"/>
      <c r="B6679" s="25"/>
      <c r="C6679" s="25"/>
      <c r="D6679" s="25"/>
      <c r="E6679" s="25"/>
      <c r="F6679" s="25"/>
      <c r="G6679" s="25"/>
      <c r="H6679" s="25"/>
      <c r="I6679" s="25"/>
      <c r="J6679" s="25"/>
    </row>
    <row r="6680" spans="1:10" ht="14.4">
      <c r="A6680" s="25"/>
      <c r="B6680" s="25"/>
      <c r="C6680" s="25"/>
      <c r="D6680" s="25"/>
      <c r="E6680" s="25"/>
      <c r="F6680" s="25"/>
      <c r="G6680" s="25"/>
      <c r="H6680" s="25"/>
      <c r="I6680" s="25"/>
      <c r="J6680" s="25"/>
    </row>
    <row r="6681" spans="1:10" ht="14.4">
      <c r="A6681" s="25"/>
      <c r="B6681" s="25"/>
      <c r="C6681" s="25"/>
      <c r="D6681" s="25"/>
      <c r="E6681" s="25"/>
      <c r="F6681" s="25"/>
      <c r="G6681" s="25"/>
      <c r="H6681" s="25"/>
      <c r="I6681" s="25"/>
      <c r="J6681" s="25"/>
    </row>
    <row r="6682" spans="1:10" ht="14.4">
      <c r="A6682" s="25"/>
      <c r="B6682" s="25"/>
      <c r="C6682" s="25"/>
      <c r="D6682" s="25"/>
      <c r="E6682" s="25"/>
      <c r="F6682" s="25"/>
      <c r="G6682" s="25"/>
      <c r="H6682" s="25"/>
      <c r="I6682" s="25"/>
      <c r="J6682" s="25"/>
    </row>
    <row r="6683" spans="1:10" ht="14.4">
      <c r="A6683" s="25"/>
      <c r="B6683" s="25"/>
      <c r="C6683" s="25"/>
      <c r="D6683" s="25"/>
      <c r="E6683" s="25"/>
      <c r="F6683" s="25"/>
      <c r="G6683" s="25"/>
      <c r="H6683" s="25"/>
      <c r="I6683" s="25"/>
      <c r="J6683" s="25"/>
    </row>
    <row r="6684" spans="1:10" ht="14.4">
      <c r="A6684" s="25"/>
      <c r="B6684" s="25"/>
      <c r="C6684" s="25"/>
      <c r="D6684" s="25"/>
      <c r="E6684" s="25"/>
      <c r="F6684" s="25"/>
      <c r="G6684" s="25"/>
      <c r="H6684" s="25"/>
      <c r="I6684" s="25"/>
      <c r="J6684" s="25"/>
    </row>
    <row r="6685" spans="1:10" ht="14.4">
      <c r="A6685" s="25"/>
      <c r="B6685" s="25"/>
      <c r="C6685" s="25"/>
      <c r="D6685" s="25"/>
      <c r="E6685" s="25"/>
      <c r="F6685" s="25"/>
      <c r="G6685" s="25"/>
      <c r="H6685" s="25"/>
      <c r="I6685" s="25"/>
      <c r="J6685" s="25"/>
    </row>
    <row r="6686" spans="1:10" ht="14.4">
      <c r="A6686" s="25"/>
      <c r="B6686" s="25"/>
      <c r="C6686" s="25"/>
      <c r="D6686" s="25"/>
      <c r="E6686" s="25"/>
      <c r="F6686" s="25"/>
      <c r="G6686" s="25"/>
      <c r="H6686" s="25"/>
      <c r="I6686" s="25"/>
      <c r="J6686" s="25"/>
    </row>
    <row r="6687" spans="1:10" ht="14.4">
      <c r="A6687" s="25"/>
      <c r="B6687" s="25"/>
      <c r="C6687" s="25"/>
      <c r="D6687" s="25"/>
      <c r="E6687" s="25"/>
      <c r="F6687" s="25"/>
      <c r="G6687" s="25"/>
      <c r="H6687" s="25"/>
      <c r="I6687" s="25"/>
      <c r="J6687" s="25"/>
    </row>
    <row r="6688" spans="1:10" ht="14.4">
      <c r="A6688" s="25"/>
      <c r="B6688" s="25"/>
      <c r="C6688" s="25"/>
      <c r="D6688" s="25"/>
      <c r="E6688" s="25"/>
      <c r="F6688" s="25"/>
      <c r="G6688" s="25"/>
      <c r="H6688" s="25"/>
      <c r="I6688" s="25"/>
      <c r="J6688" s="25"/>
    </row>
    <row r="6689" spans="1:10" ht="14.4">
      <c r="A6689" s="25"/>
      <c r="B6689" s="25"/>
      <c r="C6689" s="25"/>
      <c r="D6689" s="25"/>
      <c r="E6689" s="25"/>
      <c r="F6689" s="25"/>
      <c r="G6689" s="25"/>
      <c r="H6689" s="25"/>
      <c r="I6689" s="25"/>
      <c r="J6689" s="25"/>
    </row>
    <row r="6690" spans="1:10" ht="14.4">
      <c r="A6690" s="25"/>
      <c r="B6690" s="25"/>
      <c r="C6690" s="25"/>
      <c r="D6690" s="25"/>
      <c r="E6690" s="25"/>
      <c r="F6690" s="25"/>
      <c r="G6690" s="25"/>
      <c r="H6690" s="25"/>
      <c r="I6690" s="25"/>
      <c r="J6690" s="25"/>
    </row>
    <row r="6691" spans="1:10" ht="14.4">
      <c r="A6691" s="25"/>
      <c r="B6691" s="25"/>
      <c r="C6691" s="25"/>
      <c r="D6691" s="25"/>
      <c r="E6691" s="25"/>
      <c r="F6691" s="25"/>
      <c r="G6691" s="25"/>
      <c r="H6691" s="25"/>
      <c r="I6691" s="25"/>
      <c r="J6691" s="25"/>
    </row>
    <row r="6692" spans="1:10" ht="14.4">
      <c r="A6692" s="25"/>
      <c r="B6692" s="25"/>
      <c r="C6692" s="25"/>
      <c r="D6692" s="25"/>
      <c r="E6692" s="25"/>
      <c r="F6692" s="25"/>
      <c r="G6692" s="25"/>
      <c r="H6692" s="25"/>
      <c r="I6692" s="25"/>
      <c r="J6692" s="25"/>
    </row>
    <row r="6693" spans="1:10" ht="14.4">
      <c r="A6693" s="25"/>
      <c r="B6693" s="25"/>
      <c r="C6693" s="25"/>
      <c r="D6693" s="25"/>
      <c r="E6693" s="25"/>
      <c r="F6693" s="25"/>
      <c r="G6693" s="25"/>
      <c r="H6693" s="25"/>
      <c r="I6693" s="25"/>
      <c r="J6693" s="25"/>
    </row>
    <row r="6694" spans="1:10" ht="14.4">
      <c r="A6694" s="25"/>
      <c r="B6694" s="25"/>
      <c r="C6694" s="25"/>
      <c r="D6694" s="25"/>
      <c r="E6694" s="25"/>
      <c r="F6694" s="25"/>
      <c r="G6694" s="25"/>
      <c r="H6694" s="25"/>
      <c r="I6694" s="25"/>
      <c r="J6694" s="25"/>
    </row>
    <row r="6695" spans="1:10" ht="14.4">
      <c r="A6695" s="25"/>
      <c r="B6695" s="25"/>
      <c r="C6695" s="25"/>
      <c r="D6695" s="25"/>
      <c r="E6695" s="25"/>
      <c r="F6695" s="25"/>
      <c r="G6695" s="25"/>
      <c r="H6695" s="25"/>
      <c r="I6695" s="25"/>
      <c r="J6695" s="25"/>
    </row>
    <row r="6696" spans="1:10" ht="14.4">
      <c r="A6696" s="25"/>
      <c r="B6696" s="25"/>
      <c r="C6696" s="25"/>
      <c r="D6696" s="25"/>
      <c r="E6696" s="25"/>
      <c r="F6696" s="25"/>
      <c r="G6696" s="25"/>
      <c r="H6696" s="25"/>
      <c r="I6696" s="25"/>
      <c r="J6696" s="25"/>
    </row>
    <row r="6697" spans="1:10" ht="14.4">
      <c r="A6697" s="25"/>
      <c r="B6697" s="25"/>
      <c r="C6697" s="25"/>
      <c r="D6697" s="25"/>
      <c r="E6697" s="25"/>
      <c r="F6697" s="25"/>
      <c r="G6697" s="25"/>
      <c r="H6697" s="25"/>
      <c r="I6697" s="25"/>
      <c r="J6697" s="25"/>
    </row>
    <row r="6698" spans="1:10" ht="14.4">
      <c r="A6698" s="25"/>
      <c r="B6698" s="25"/>
      <c r="C6698" s="25"/>
      <c r="D6698" s="25"/>
      <c r="E6698" s="25"/>
      <c r="F6698" s="25"/>
      <c r="G6698" s="25"/>
      <c r="H6698" s="25"/>
      <c r="I6698" s="25"/>
      <c r="J6698" s="25"/>
    </row>
    <row r="6699" spans="1:10" ht="14.4">
      <c r="A6699" s="25"/>
      <c r="B6699" s="25"/>
      <c r="C6699" s="25"/>
      <c r="D6699" s="25"/>
      <c r="E6699" s="25"/>
      <c r="F6699" s="25"/>
      <c r="G6699" s="25"/>
      <c r="H6699" s="25"/>
      <c r="I6699" s="25"/>
      <c r="J6699" s="25"/>
    </row>
    <row r="6700" spans="1:10" ht="14.4">
      <c r="A6700" s="25"/>
      <c r="B6700" s="25"/>
      <c r="C6700" s="25"/>
      <c r="D6700" s="25"/>
      <c r="E6700" s="25"/>
      <c r="F6700" s="25"/>
      <c r="G6700" s="25"/>
      <c r="H6700" s="25"/>
      <c r="I6700" s="25"/>
      <c r="J6700" s="25"/>
    </row>
    <row r="6701" spans="1:10" ht="14.4">
      <c r="A6701" s="25"/>
      <c r="B6701" s="25"/>
      <c r="C6701" s="25"/>
      <c r="D6701" s="25"/>
      <c r="E6701" s="25"/>
      <c r="F6701" s="25"/>
      <c r="G6701" s="25"/>
      <c r="H6701" s="25"/>
      <c r="I6701" s="25"/>
      <c r="J6701" s="25"/>
    </row>
    <row r="6702" spans="1:10" ht="14.4">
      <c r="A6702" s="25"/>
      <c r="B6702" s="25"/>
      <c r="C6702" s="25"/>
      <c r="D6702" s="25"/>
      <c r="E6702" s="25"/>
      <c r="F6702" s="25"/>
      <c r="G6702" s="25"/>
      <c r="H6702" s="25"/>
      <c r="I6702" s="25"/>
      <c r="J6702" s="25"/>
    </row>
    <row r="6703" spans="1:10" ht="14.4">
      <c r="A6703" s="25"/>
      <c r="B6703" s="25"/>
      <c r="C6703" s="25"/>
      <c r="D6703" s="25"/>
      <c r="E6703" s="25"/>
      <c r="F6703" s="25"/>
      <c r="G6703" s="25"/>
      <c r="H6703" s="25"/>
      <c r="I6703" s="25"/>
      <c r="J6703" s="25"/>
    </row>
    <row r="6704" spans="1:10" ht="14.4">
      <c r="A6704" s="25"/>
      <c r="B6704" s="25"/>
      <c r="C6704" s="25"/>
      <c r="D6704" s="25"/>
      <c r="E6704" s="25"/>
      <c r="F6704" s="25"/>
      <c r="G6704" s="25"/>
      <c r="H6704" s="25"/>
      <c r="I6704" s="25"/>
      <c r="J6704" s="25"/>
    </row>
    <row r="6705" spans="1:10" ht="14.4">
      <c r="A6705" s="25"/>
      <c r="B6705" s="25"/>
      <c r="C6705" s="25"/>
      <c r="D6705" s="25"/>
      <c r="E6705" s="25"/>
      <c r="F6705" s="25"/>
      <c r="G6705" s="25"/>
      <c r="H6705" s="25"/>
      <c r="I6705" s="25"/>
      <c r="J6705" s="25"/>
    </row>
    <row r="6706" spans="1:10" ht="14.4">
      <c r="A6706" s="25"/>
      <c r="B6706" s="25"/>
      <c r="C6706" s="25"/>
      <c r="D6706" s="25"/>
      <c r="E6706" s="25"/>
      <c r="F6706" s="25"/>
      <c r="G6706" s="25"/>
      <c r="H6706" s="25"/>
      <c r="I6706" s="25"/>
      <c r="J6706" s="25"/>
    </row>
    <row r="6707" spans="1:10" ht="14.4">
      <c r="A6707" s="25"/>
      <c r="B6707" s="25"/>
      <c r="C6707" s="25"/>
      <c r="D6707" s="25"/>
      <c r="E6707" s="25"/>
      <c r="F6707" s="25"/>
      <c r="G6707" s="25"/>
      <c r="H6707" s="25"/>
      <c r="I6707" s="25"/>
      <c r="J6707" s="25"/>
    </row>
    <row r="6708" spans="1:10" ht="14.4">
      <c r="A6708" s="25"/>
      <c r="B6708" s="25"/>
      <c r="C6708" s="25"/>
      <c r="D6708" s="25"/>
      <c r="E6708" s="25"/>
      <c r="F6708" s="25"/>
      <c r="G6708" s="25"/>
      <c r="H6708" s="25"/>
      <c r="I6708" s="25"/>
      <c r="J6708" s="25"/>
    </row>
    <row r="6709" spans="1:10" ht="14.4">
      <c r="A6709" s="25"/>
      <c r="B6709" s="25"/>
      <c r="C6709" s="25"/>
      <c r="D6709" s="25"/>
      <c r="E6709" s="25"/>
      <c r="F6709" s="25"/>
      <c r="G6709" s="25"/>
      <c r="H6709" s="25"/>
      <c r="I6709" s="25"/>
      <c r="J6709" s="25"/>
    </row>
    <row r="6710" spans="1:10" ht="14.4">
      <c r="A6710" s="25"/>
      <c r="B6710" s="25"/>
      <c r="C6710" s="25"/>
      <c r="D6710" s="25"/>
      <c r="E6710" s="25"/>
      <c r="F6710" s="25"/>
      <c r="G6710" s="25"/>
      <c r="H6710" s="25"/>
      <c r="I6710" s="25"/>
      <c r="J6710" s="25"/>
    </row>
    <row r="6711" spans="1:10" ht="14.4">
      <c r="A6711" s="25"/>
      <c r="B6711" s="25"/>
      <c r="C6711" s="25"/>
      <c r="D6711" s="25"/>
      <c r="E6711" s="25"/>
      <c r="F6711" s="25"/>
      <c r="G6711" s="25"/>
      <c r="H6711" s="25"/>
      <c r="I6711" s="25"/>
      <c r="J6711" s="25"/>
    </row>
    <row r="6712" spans="1:10" ht="14.4">
      <c r="A6712" s="25"/>
      <c r="B6712" s="25"/>
      <c r="C6712" s="25"/>
      <c r="D6712" s="25"/>
      <c r="E6712" s="25"/>
      <c r="F6712" s="25"/>
      <c r="G6712" s="25"/>
      <c r="H6712" s="25"/>
      <c r="I6712" s="25"/>
      <c r="J6712" s="25"/>
    </row>
    <row r="6713" spans="1:10" ht="14.4">
      <c r="A6713" s="25"/>
      <c r="B6713" s="25"/>
      <c r="C6713" s="25"/>
      <c r="D6713" s="25"/>
      <c r="E6713" s="25"/>
      <c r="F6713" s="25"/>
      <c r="G6713" s="25"/>
      <c r="H6713" s="25"/>
      <c r="I6713" s="25"/>
      <c r="J6713" s="25"/>
    </row>
    <row r="6714" spans="1:10" ht="14.4">
      <c r="A6714" s="25"/>
      <c r="B6714" s="25"/>
      <c r="C6714" s="25"/>
      <c r="D6714" s="25"/>
      <c r="E6714" s="25"/>
      <c r="F6714" s="25"/>
      <c r="G6714" s="25"/>
      <c r="H6714" s="25"/>
      <c r="I6714" s="25"/>
      <c r="J6714" s="25"/>
    </row>
    <row r="6715" spans="1:10" ht="14.4">
      <c r="A6715" s="25"/>
      <c r="B6715" s="25"/>
      <c r="C6715" s="25"/>
      <c r="D6715" s="25"/>
      <c r="E6715" s="25"/>
      <c r="F6715" s="25"/>
      <c r="G6715" s="25"/>
      <c r="H6715" s="25"/>
      <c r="I6715" s="25"/>
      <c r="J6715" s="25"/>
    </row>
    <row r="6716" spans="1:10" ht="14.4">
      <c r="A6716" s="25"/>
      <c r="B6716" s="25"/>
      <c r="C6716" s="25"/>
      <c r="D6716" s="25"/>
      <c r="E6716" s="25"/>
      <c r="F6716" s="25"/>
      <c r="G6716" s="25"/>
      <c r="H6716" s="25"/>
      <c r="I6716" s="25"/>
      <c r="J6716" s="25"/>
    </row>
    <row r="6717" spans="1:10" ht="14.4">
      <c r="A6717" s="25"/>
      <c r="B6717" s="25"/>
      <c r="C6717" s="25"/>
      <c r="D6717" s="25"/>
      <c r="E6717" s="25"/>
      <c r="F6717" s="25"/>
      <c r="G6717" s="25"/>
      <c r="H6717" s="25"/>
      <c r="I6717" s="25"/>
      <c r="J6717" s="25"/>
    </row>
    <row r="6718" spans="1:10" ht="14.4">
      <c r="A6718" s="25"/>
      <c r="B6718" s="25"/>
      <c r="C6718" s="25"/>
      <c r="D6718" s="25"/>
      <c r="E6718" s="25"/>
      <c r="F6718" s="25"/>
      <c r="G6718" s="25"/>
      <c r="H6718" s="25"/>
      <c r="I6718" s="25"/>
      <c r="J6718" s="25"/>
    </row>
    <row r="6719" spans="1:10" ht="14.4">
      <c r="A6719" s="25"/>
      <c r="B6719" s="25"/>
      <c r="C6719" s="25"/>
      <c r="D6719" s="25"/>
      <c r="E6719" s="25"/>
      <c r="F6719" s="25"/>
      <c r="G6719" s="25"/>
      <c r="H6719" s="25"/>
      <c r="I6719" s="25"/>
      <c r="J6719" s="25"/>
    </row>
    <row r="6720" spans="1:10" ht="14.4">
      <c r="A6720" s="25"/>
      <c r="B6720" s="25"/>
      <c r="C6720" s="25"/>
      <c r="D6720" s="25"/>
      <c r="E6720" s="25"/>
      <c r="F6720" s="25"/>
      <c r="G6720" s="25"/>
      <c r="H6720" s="25"/>
      <c r="I6720" s="25"/>
      <c r="J6720" s="25"/>
    </row>
    <row r="6721" spans="1:10" ht="14.4">
      <c r="A6721" s="25"/>
      <c r="B6721" s="25"/>
      <c r="C6721" s="25"/>
      <c r="D6721" s="25"/>
      <c r="E6721" s="25"/>
      <c r="F6721" s="25"/>
      <c r="G6721" s="25"/>
      <c r="H6721" s="25"/>
      <c r="I6721" s="25"/>
      <c r="J6721" s="25"/>
    </row>
    <row r="6722" spans="1:10" ht="14.4">
      <c r="A6722" s="25"/>
      <c r="B6722" s="25"/>
      <c r="C6722" s="25"/>
      <c r="D6722" s="25"/>
      <c r="E6722" s="25"/>
      <c r="F6722" s="25"/>
      <c r="G6722" s="25"/>
      <c r="H6722" s="25"/>
      <c r="I6722" s="25"/>
      <c r="J6722" s="25"/>
    </row>
    <row r="6723" spans="1:10" ht="14.4">
      <c r="A6723" s="25"/>
      <c r="B6723" s="25"/>
      <c r="C6723" s="25"/>
      <c r="D6723" s="25"/>
      <c r="E6723" s="25"/>
      <c r="F6723" s="25"/>
      <c r="G6723" s="25"/>
      <c r="H6723" s="25"/>
      <c r="I6723" s="25"/>
      <c r="J6723" s="25"/>
    </row>
    <row r="6724" spans="1:10" ht="14.4">
      <c r="A6724" s="25"/>
      <c r="B6724" s="25"/>
      <c r="C6724" s="25"/>
      <c r="D6724" s="25"/>
      <c r="E6724" s="25"/>
      <c r="F6724" s="25"/>
      <c r="G6724" s="25"/>
      <c r="H6724" s="25"/>
      <c r="I6724" s="25"/>
      <c r="J6724" s="25"/>
    </row>
    <row r="6725" spans="1:10" ht="14.4">
      <c r="A6725" s="25"/>
      <c r="B6725" s="25"/>
      <c r="C6725" s="25"/>
      <c r="D6725" s="25"/>
      <c r="E6725" s="25"/>
      <c r="F6725" s="25"/>
      <c r="G6725" s="25"/>
      <c r="H6725" s="25"/>
      <c r="I6725" s="25"/>
      <c r="J6725" s="25"/>
    </row>
    <row r="6726" spans="1:10" ht="14.4">
      <c r="A6726" s="25"/>
      <c r="B6726" s="25"/>
      <c r="C6726" s="25"/>
      <c r="D6726" s="25"/>
      <c r="E6726" s="25"/>
      <c r="F6726" s="25"/>
      <c r="G6726" s="25"/>
      <c r="H6726" s="25"/>
      <c r="I6726" s="25"/>
      <c r="J6726" s="25"/>
    </row>
    <row r="6727" spans="1:10" ht="14.4">
      <c r="A6727" s="25"/>
      <c r="B6727" s="25"/>
      <c r="C6727" s="25"/>
      <c r="D6727" s="25"/>
      <c r="E6727" s="25"/>
      <c r="F6727" s="25"/>
      <c r="G6727" s="25"/>
      <c r="H6727" s="25"/>
      <c r="I6727" s="25"/>
      <c r="J6727" s="25"/>
    </row>
    <row r="6728" spans="1:10" ht="14.4">
      <c r="A6728" s="25"/>
      <c r="B6728" s="25"/>
      <c r="C6728" s="25"/>
      <c r="D6728" s="25"/>
      <c r="E6728" s="25"/>
      <c r="F6728" s="25"/>
      <c r="G6728" s="25"/>
      <c r="H6728" s="25"/>
      <c r="I6728" s="25"/>
      <c r="J6728" s="25"/>
    </row>
    <row r="6729" spans="1:10" ht="14.4">
      <c r="A6729" s="25"/>
      <c r="B6729" s="25"/>
      <c r="C6729" s="25"/>
      <c r="D6729" s="25"/>
      <c r="E6729" s="25"/>
      <c r="F6729" s="25"/>
      <c r="G6729" s="25"/>
      <c r="H6729" s="25"/>
      <c r="I6729" s="25"/>
      <c r="J6729" s="25"/>
    </row>
    <row r="6730" spans="1:10" ht="14.4">
      <c r="A6730" s="25"/>
      <c r="B6730" s="25"/>
      <c r="C6730" s="25"/>
      <c r="D6730" s="25"/>
      <c r="E6730" s="25"/>
      <c r="F6730" s="25"/>
      <c r="G6730" s="25"/>
      <c r="H6730" s="25"/>
      <c r="I6730" s="25"/>
      <c r="J6730" s="25"/>
    </row>
    <row r="6731" spans="1:10" ht="14.4">
      <c r="A6731" s="25"/>
      <c r="B6731" s="25"/>
      <c r="C6731" s="25"/>
      <c r="D6731" s="25"/>
      <c r="E6731" s="25"/>
      <c r="F6731" s="25"/>
      <c r="G6731" s="25"/>
      <c r="H6731" s="25"/>
      <c r="I6731" s="25"/>
      <c r="J6731" s="25"/>
    </row>
    <row r="6732" spans="1:10" ht="14.4">
      <c r="A6732" s="25"/>
      <c r="B6732" s="25"/>
      <c r="C6732" s="25"/>
      <c r="D6732" s="25"/>
      <c r="E6732" s="25"/>
      <c r="F6732" s="25"/>
      <c r="G6732" s="25"/>
      <c r="H6732" s="25"/>
      <c r="I6732" s="25"/>
      <c r="J6732" s="25"/>
    </row>
    <row r="6733" spans="1:10" ht="14.4">
      <c r="A6733" s="25"/>
      <c r="B6733" s="25"/>
      <c r="C6733" s="25"/>
      <c r="D6733" s="25"/>
      <c r="E6733" s="25"/>
      <c r="F6733" s="25"/>
      <c r="G6733" s="25"/>
      <c r="H6733" s="25"/>
      <c r="I6733" s="25"/>
      <c r="J6733" s="25"/>
    </row>
    <row r="6734" spans="1:10" ht="14.4">
      <c r="A6734" s="25"/>
      <c r="B6734" s="25"/>
      <c r="C6734" s="25"/>
      <c r="D6734" s="25"/>
      <c r="E6734" s="25"/>
      <c r="F6734" s="25"/>
      <c r="G6734" s="25"/>
      <c r="H6734" s="25"/>
      <c r="I6734" s="25"/>
      <c r="J6734" s="25"/>
    </row>
    <row r="6735" spans="1:10" ht="14.4">
      <c r="A6735" s="25"/>
      <c r="B6735" s="25"/>
      <c r="C6735" s="25"/>
      <c r="D6735" s="25"/>
      <c r="E6735" s="25"/>
      <c r="F6735" s="25"/>
      <c r="G6735" s="25"/>
      <c r="H6735" s="25"/>
      <c r="I6735" s="25"/>
      <c r="J6735" s="25"/>
    </row>
    <row r="6736" spans="1:10" ht="14.4">
      <c r="A6736" s="25"/>
      <c r="B6736" s="25"/>
      <c r="C6736" s="25"/>
      <c r="D6736" s="25"/>
      <c r="E6736" s="25"/>
      <c r="F6736" s="25"/>
      <c r="G6736" s="25"/>
      <c r="H6736" s="25"/>
      <c r="I6736" s="25"/>
      <c r="J6736" s="25"/>
    </row>
    <row r="6737" spans="1:10" ht="14.4">
      <c r="A6737" s="25"/>
      <c r="B6737" s="25"/>
      <c r="C6737" s="25"/>
      <c r="D6737" s="25"/>
      <c r="E6737" s="25"/>
      <c r="F6737" s="25"/>
      <c r="G6737" s="25"/>
      <c r="H6737" s="25"/>
      <c r="I6737" s="25"/>
      <c r="J6737" s="25"/>
    </row>
    <row r="6738" spans="1:10" ht="14.4">
      <c r="A6738" s="25"/>
      <c r="B6738" s="25"/>
      <c r="C6738" s="25"/>
      <c r="D6738" s="25"/>
      <c r="E6738" s="25"/>
      <c r="F6738" s="25"/>
      <c r="G6738" s="25"/>
      <c r="H6738" s="25"/>
      <c r="I6738" s="25"/>
      <c r="J6738" s="25"/>
    </row>
    <row r="6739" spans="1:10" ht="14.4">
      <c r="A6739" s="25"/>
      <c r="B6739" s="25"/>
      <c r="C6739" s="25"/>
      <c r="D6739" s="25"/>
      <c r="E6739" s="25"/>
      <c r="F6739" s="25"/>
      <c r="G6739" s="25"/>
      <c r="H6739" s="25"/>
      <c r="I6739" s="25"/>
      <c r="J6739" s="25"/>
    </row>
    <row r="6740" spans="1:10" ht="14.4">
      <c r="A6740" s="25"/>
      <c r="B6740" s="25"/>
      <c r="C6740" s="25"/>
      <c r="D6740" s="25"/>
      <c r="E6740" s="25"/>
      <c r="F6740" s="25"/>
      <c r="G6740" s="25"/>
      <c r="H6740" s="25"/>
      <c r="I6740" s="25"/>
      <c r="J6740" s="25"/>
    </row>
    <row r="6741" spans="1:10" ht="14.4">
      <c r="A6741" s="25"/>
      <c r="B6741" s="25"/>
      <c r="C6741" s="25"/>
      <c r="D6741" s="25"/>
      <c r="E6741" s="25"/>
      <c r="F6741" s="25"/>
      <c r="G6741" s="25"/>
      <c r="H6741" s="25"/>
      <c r="I6741" s="25"/>
      <c r="J6741" s="25"/>
    </row>
    <row r="6742" spans="1:10" ht="14.4">
      <c r="A6742" s="25"/>
      <c r="B6742" s="25"/>
      <c r="C6742" s="25"/>
      <c r="D6742" s="25"/>
      <c r="E6742" s="25"/>
      <c r="F6742" s="25"/>
      <c r="G6742" s="25"/>
      <c r="H6742" s="25"/>
      <c r="I6742" s="25"/>
      <c r="J6742" s="25"/>
    </row>
    <row r="6743" spans="1:10" ht="14.4">
      <c r="A6743" s="25"/>
      <c r="B6743" s="25"/>
      <c r="C6743" s="25"/>
      <c r="D6743" s="25"/>
      <c r="E6743" s="25"/>
      <c r="F6743" s="25"/>
      <c r="G6743" s="25"/>
      <c r="H6743" s="25"/>
      <c r="I6743" s="25"/>
      <c r="J6743" s="25"/>
    </row>
    <row r="6744" spans="1:10" ht="14.4">
      <c r="A6744" s="25"/>
      <c r="B6744" s="25"/>
      <c r="C6744" s="25"/>
      <c r="D6744" s="25"/>
      <c r="E6744" s="25"/>
      <c r="F6744" s="25"/>
      <c r="G6744" s="25"/>
      <c r="H6744" s="25"/>
      <c r="I6744" s="25"/>
      <c r="J6744" s="25"/>
    </row>
    <row r="6745" spans="1:10" ht="14.4">
      <c r="A6745" s="25"/>
      <c r="B6745" s="25"/>
      <c r="C6745" s="25"/>
      <c r="D6745" s="25"/>
      <c r="E6745" s="25"/>
      <c r="F6745" s="25"/>
      <c r="G6745" s="25"/>
      <c r="H6745" s="25"/>
      <c r="I6745" s="25"/>
      <c r="J6745" s="25"/>
    </row>
    <row r="6746" spans="1:10" ht="14.4">
      <c r="A6746" s="25"/>
      <c r="B6746" s="25"/>
      <c r="C6746" s="25"/>
      <c r="D6746" s="25"/>
      <c r="E6746" s="25"/>
      <c r="F6746" s="25"/>
      <c r="G6746" s="25"/>
      <c r="H6746" s="25"/>
      <c r="I6746" s="25"/>
      <c r="J6746" s="25"/>
    </row>
    <row r="6747" spans="1:10" ht="14.4">
      <c r="A6747" s="25"/>
      <c r="B6747" s="25"/>
      <c r="C6747" s="25"/>
      <c r="D6747" s="25"/>
      <c r="E6747" s="25"/>
      <c r="F6747" s="25"/>
      <c r="G6747" s="25"/>
      <c r="H6747" s="25"/>
      <c r="I6747" s="25"/>
      <c r="J6747" s="25"/>
    </row>
    <row r="6748" spans="1:10" ht="14.4">
      <c r="A6748" s="25"/>
      <c r="B6748" s="25"/>
      <c r="C6748" s="25"/>
      <c r="D6748" s="25"/>
      <c r="E6748" s="25"/>
      <c r="F6748" s="25"/>
      <c r="G6748" s="25"/>
      <c r="H6748" s="25"/>
      <c r="I6748" s="25"/>
      <c r="J6748" s="25"/>
    </row>
    <row r="6749" spans="1:10" ht="14.4">
      <c r="A6749" s="25"/>
      <c r="B6749" s="25"/>
      <c r="C6749" s="25"/>
      <c r="D6749" s="25"/>
      <c r="E6749" s="25"/>
      <c r="F6749" s="25"/>
      <c r="G6749" s="25"/>
      <c r="H6749" s="25"/>
      <c r="I6749" s="25"/>
      <c r="J6749" s="25"/>
    </row>
    <row r="6750" spans="1:10" ht="14.4">
      <c r="A6750" s="25"/>
      <c r="B6750" s="25"/>
      <c r="C6750" s="25"/>
      <c r="D6750" s="25"/>
      <c r="E6750" s="25"/>
      <c r="F6750" s="25"/>
      <c r="G6750" s="25"/>
      <c r="H6750" s="25"/>
      <c r="I6750" s="25"/>
      <c r="J6750" s="25"/>
    </row>
    <row r="6751" spans="1:10" ht="14.4">
      <c r="A6751" s="25"/>
      <c r="B6751" s="25"/>
      <c r="C6751" s="25"/>
      <c r="D6751" s="25"/>
      <c r="E6751" s="25"/>
      <c r="F6751" s="25"/>
      <c r="G6751" s="25"/>
      <c r="H6751" s="25"/>
      <c r="I6751" s="25"/>
      <c r="J6751" s="25"/>
    </row>
    <row r="6752" spans="1:10" ht="14.4">
      <c r="A6752" s="25"/>
      <c r="B6752" s="25"/>
      <c r="C6752" s="25"/>
      <c r="D6752" s="25"/>
      <c r="E6752" s="25"/>
      <c r="F6752" s="25"/>
      <c r="G6752" s="25"/>
      <c r="H6752" s="25"/>
      <c r="I6752" s="25"/>
      <c r="J6752" s="25"/>
    </row>
    <row r="6753" spans="1:10" ht="14.4">
      <c r="A6753" s="25"/>
      <c r="B6753" s="25"/>
      <c r="C6753" s="25"/>
      <c r="D6753" s="25"/>
      <c r="E6753" s="25"/>
      <c r="F6753" s="25"/>
      <c r="G6753" s="25"/>
      <c r="H6753" s="25"/>
      <c r="I6753" s="25"/>
      <c r="J6753" s="25"/>
    </row>
    <row r="6754" spans="1:10" ht="14.4">
      <c r="A6754" s="25"/>
      <c r="B6754" s="25"/>
      <c r="C6754" s="25"/>
      <c r="D6754" s="25"/>
      <c r="E6754" s="25"/>
      <c r="F6754" s="25"/>
      <c r="G6754" s="25"/>
      <c r="H6754" s="25"/>
      <c r="I6754" s="25"/>
      <c r="J6754" s="25"/>
    </row>
    <row r="6755" spans="1:10" ht="14.4">
      <c r="A6755" s="25"/>
      <c r="B6755" s="25"/>
      <c r="C6755" s="25"/>
      <c r="D6755" s="25"/>
      <c r="E6755" s="25"/>
      <c r="F6755" s="25"/>
      <c r="G6755" s="25"/>
      <c r="H6755" s="25"/>
      <c r="I6755" s="25"/>
      <c r="J6755" s="25"/>
    </row>
    <row r="6756" spans="1:10" ht="14.4">
      <c r="A6756" s="25"/>
      <c r="B6756" s="25"/>
      <c r="C6756" s="25"/>
      <c r="D6756" s="25"/>
      <c r="E6756" s="25"/>
      <c r="F6756" s="25"/>
      <c r="G6756" s="25"/>
      <c r="H6756" s="25"/>
      <c r="I6756" s="25"/>
      <c r="J6756" s="25"/>
    </row>
    <row r="6757" spans="1:10" ht="14.4">
      <c r="A6757" s="25"/>
      <c r="B6757" s="25"/>
      <c r="C6757" s="25"/>
      <c r="D6757" s="25"/>
      <c r="E6757" s="25"/>
      <c r="F6757" s="25"/>
      <c r="G6757" s="25"/>
      <c r="H6757" s="25"/>
      <c r="I6757" s="25"/>
      <c r="J6757" s="25"/>
    </row>
    <row r="6758" spans="1:10" ht="14.4">
      <c r="A6758" s="25"/>
      <c r="B6758" s="25"/>
      <c r="C6758" s="25"/>
      <c r="D6758" s="25"/>
      <c r="E6758" s="25"/>
      <c r="F6758" s="25"/>
      <c r="G6758" s="25"/>
      <c r="H6758" s="25"/>
      <c r="I6758" s="25"/>
      <c r="J6758" s="25"/>
    </row>
    <row r="6759" spans="1:10" ht="14.4">
      <c r="A6759" s="25"/>
      <c r="B6759" s="25"/>
      <c r="C6759" s="25"/>
      <c r="D6759" s="25"/>
      <c r="E6759" s="25"/>
      <c r="F6759" s="25"/>
      <c r="G6759" s="25"/>
      <c r="H6759" s="25"/>
      <c r="I6759" s="25"/>
      <c r="J6759" s="25"/>
    </row>
    <row r="6760" spans="1:10" ht="14.4">
      <c r="A6760" s="25"/>
      <c r="B6760" s="25"/>
      <c r="C6760" s="25"/>
      <c r="D6760" s="25"/>
      <c r="E6760" s="25"/>
      <c r="F6760" s="25"/>
      <c r="G6760" s="25"/>
      <c r="H6760" s="25"/>
      <c r="I6760" s="25"/>
      <c r="J6760" s="25"/>
    </row>
    <row r="6761" spans="1:10" ht="14.4">
      <c r="A6761" s="25"/>
      <c r="B6761" s="25"/>
      <c r="C6761" s="25"/>
      <c r="D6761" s="25"/>
      <c r="E6761" s="25"/>
      <c r="F6761" s="25"/>
      <c r="G6761" s="25"/>
      <c r="H6761" s="25"/>
      <c r="I6761" s="25"/>
      <c r="J6761" s="25"/>
    </row>
    <row r="6762" spans="1:10" ht="14.4">
      <c r="A6762" s="25"/>
      <c r="B6762" s="25"/>
      <c r="C6762" s="25"/>
      <c r="D6762" s="25"/>
      <c r="E6762" s="25"/>
      <c r="F6762" s="25"/>
      <c r="G6762" s="25"/>
      <c r="H6762" s="25"/>
      <c r="I6762" s="25"/>
      <c r="J6762" s="25"/>
    </row>
    <row r="6763" spans="1:10" ht="14.4">
      <c r="A6763" s="25"/>
      <c r="B6763" s="25"/>
      <c r="C6763" s="25"/>
      <c r="D6763" s="25"/>
      <c r="E6763" s="25"/>
      <c r="F6763" s="25"/>
      <c r="G6763" s="25"/>
      <c r="H6763" s="25"/>
      <c r="I6763" s="25"/>
      <c r="J6763" s="25"/>
    </row>
    <row r="6764" spans="1:10" ht="14.4">
      <c r="A6764" s="25"/>
      <c r="B6764" s="25"/>
      <c r="C6764" s="25"/>
      <c r="D6764" s="25"/>
      <c r="E6764" s="25"/>
      <c r="F6764" s="25"/>
      <c r="G6764" s="25"/>
      <c r="H6764" s="25"/>
      <c r="I6764" s="25"/>
      <c r="J6764" s="25"/>
    </row>
    <row r="6765" spans="1:10" ht="14.4">
      <c r="A6765" s="25"/>
      <c r="B6765" s="25"/>
      <c r="C6765" s="25"/>
      <c r="D6765" s="25"/>
      <c r="E6765" s="25"/>
      <c r="F6765" s="25"/>
      <c r="G6765" s="25"/>
      <c r="H6765" s="25"/>
      <c r="I6765" s="25"/>
      <c r="J6765" s="25"/>
    </row>
    <row r="6766" spans="1:10" ht="14.4">
      <c r="A6766" s="25"/>
      <c r="B6766" s="25"/>
      <c r="C6766" s="25"/>
      <c r="D6766" s="25"/>
      <c r="E6766" s="25"/>
      <c r="F6766" s="25"/>
      <c r="G6766" s="25"/>
      <c r="H6766" s="25"/>
      <c r="I6766" s="25"/>
      <c r="J6766" s="25"/>
    </row>
    <row r="6767" spans="1:10" ht="14.4">
      <c r="A6767" s="25"/>
      <c r="B6767" s="25"/>
      <c r="C6767" s="25"/>
      <c r="D6767" s="25"/>
      <c r="E6767" s="25"/>
      <c r="F6767" s="25"/>
      <c r="G6767" s="25"/>
      <c r="H6767" s="25"/>
      <c r="I6767" s="25"/>
      <c r="J6767" s="25"/>
    </row>
    <row r="6768" spans="1:10" ht="14.4">
      <c r="A6768" s="25"/>
      <c r="B6768" s="25"/>
      <c r="C6768" s="25"/>
      <c r="D6768" s="25"/>
      <c r="E6768" s="25"/>
      <c r="F6768" s="25"/>
      <c r="G6768" s="25"/>
      <c r="H6768" s="25"/>
      <c r="I6768" s="25"/>
      <c r="J6768" s="25"/>
    </row>
    <row r="6769" spans="1:10" ht="14.4">
      <c r="A6769" s="25"/>
      <c r="B6769" s="25"/>
      <c r="C6769" s="25"/>
      <c r="D6769" s="25"/>
      <c r="E6769" s="25"/>
      <c r="F6769" s="25"/>
      <c r="G6769" s="25"/>
      <c r="H6769" s="25"/>
      <c r="I6769" s="25"/>
      <c r="J6769" s="25"/>
    </row>
    <row r="6770" spans="1:10" ht="14.4">
      <c r="A6770" s="25"/>
      <c r="B6770" s="25"/>
      <c r="C6770" s="25"/>
      <c r="D6770" s="25"/>
      <c r="E6770" s="25"/>
      <c r="F6770" s="25"/>
      <c r="G6770" s="25"/>
      <c r="H6770" s="25"/>
      <c r="I6770" s="25"/>
      <c r="J6770" s="25"/>
    </row>
    <row r="6771" spans="1:10" ht="14.4">
      <c r="A6771" s="25"/>
      <c r="B6771" s="25"/>
      <c r="C6771" s="25"/>
      <c r="D6771" s="25"/>
      <c r="E6771" s="25"/>
      <c r="F6771" s="25"/>
      <c r="G6771" s="25"/>
      <c r="H6771" s="25"/>
      <c r="I6771" s="25"/>
      <c r="J6771" s="25"/>
    </row>
    <row r="6772" spans="1:10" ht="14.4">
      <c r="A6772" s="25"/>
      <c r="B6772" s="25"/>
      <c r="C6772" s="25"/>
      <c r="D6772" s="25"/>
      <c r="E6772" s="25"/>
      <c r="F6772" s="25"/>
      <c r="G6772" s="25"/>
      <c r="H6772" s="25"/>
      <c r="I6772" s="25"/>
      <c r="J6772" s="25"/>
    </row>
    <row r="6773" spans="1:10" ht="14.4">
      <c r="A6773" s="25"/>
      <c r="B6773" s="25"/>
      <c r="C6773" s="25"/>
      <c r="D6773" s="25"/>
      <c r="E6773" s="25"/>
      <c r="F6773" s="25"/>
      <c r="G6773" s="25"/>
      <c r="H6773" s="25"/>
      <c r="I6773" s="25"/>
      <c r="J6773" s="25"/>
    </row>
    <row r="6774" spans="1:10" ht="14.4">
      <c r="A6774" s="25"/>
      <c r="B6774" s="25"/>
      <c r="C6774" s="25"/>
      <c r="D6774" s="25"/>
      <c r="E6774" s="25"/>
      <c r="F6774" s="25"/>
      <c r="G6774" s="25"/>
      <c r="H6774" s="25"/>
      <c r="I6774" s="25"/>
      <c r="J6774" s="25"/>
    </row>
    <row r="6775" spans="1:10" ht="14.4">
      <c r="A6775" s="25"/>
      <c r="B6775" s="25"/>
      <c r="C6775" s="25"/>
      <c r="D6775" s="25"/>
      <c r="E6775" s="25"/>
      <c r="F6775" s="25"/>
      <c r="G6775" s="25"/>
      <c r="H6775" s="25"/>
      <c r="I6775" s="25"/>
      <c r="J6775" s="25"/>
    </row>
    <row r="6776" spans="1:10" ht="14.4">
      <c r="A6776" s="25"/>
      <c r="B6776" s="25"/>
      <c r="C6776" s="25"/>
      <c r="D6776" s="25"/>
      <c r="E6776" s="25"/>
      <c r="F6776" s="25"/>
      <c r="G6776" s="25"/>
      <c r="H6776" s="25"/>
      <c r="I6776" s="25"/>
      <c r="J6776" s="25"/>
    </row>
    <row r="6777" spans="1:10" ht="14.4">
      <c r="A6777" s="25"/>
      <c r="B6777" s="25"/>
      <c r="C6777" s="25"/>
      <c r="D6777" s="25"/>
      <c r="E6777" s="25"/>
      <c r="F6777" s="25"/>
      <c r="G6777" s="25"/>
      <c r="H6777" s="25"/>
      <c r="I6777" s="25"/>
      <c r="J6777" s="25"/>
    </row>
    <row r="6778" spans="1:10" ht="14.4">
      <c r="A6778" s="25"/>
      <c r="B6778" s="25"/>
      <c r="C6778" s="25"/>
      <c r="D6778" s="25"/>
      <c r="E6778" s="25"/>
      <c r="F6778" s="25"/>
      <c r="G6778" s="25"/>
      <c r="H6778" s="25"/>
      <c r="I6778" s="25"/>
      <c r="J6778" s="25"/>
    </row>
    <row r="6779" spans="1:10" ht="14.4">
      <c r="A6779" s="25"/>
      <c r="B6779" s="25"/>
      <c r="C6779" s="25"/>
      <c r="D6779" s="25"/>
      <c r="E6779" s="25"/>
      <c r="F6779" s="25"/>
      <c r="G6779" s="25"/>
      <c r="H6779" s="25"/>
      <c r="I6779" s="25"/>
      <c r="J6779" s="25"/>
    </row>
    <row r="6780" spans="1:10" ht="14.4">
      <c r="A6780" s="25"/>
      <c r="B6780" s="25"/>
      <c r="C6780" s="25"/>
      <c r="D6780" s="25"/>
      <c r="E6780" s="25"/>
      <c r="F6780" s="25"/>
      <c r="G6780" s="25"/>
      <c r="H6780" s="25"/>
      <c r="I6780" s="25"/>
      <c r="J6780" s="25"/>
    </row>
    <row r="6781" spans="1:10" ht="14.4">
      <c r="A6781" s="25"/>
      <c r="B6781" s="25"/>
      <c r="C6781" s="25"/>
      <c r="D6781" s="25"/>
      <c r="E6781" s="25"/>
      <c r="F6781" s="25"/>
      <c r="G6781" s="25"/>
      <c r="H6781" s="25"/>
      <c r="I6781" s="25"/>
      <c r="J6781" s="25"/>
    </row>
    <row r="6782" spans="1:10" ht="14.4">
      <c r="A6782" s="25"/>
      <c r="B6782" s="25"/>
      <c r="C6782" s="25"/>
      <c r="D6782" s="25"/>
      <c r="E6782" s="25"/>
      <c r="F6782" s="25"/>
      <c r="G6782" s="25"/>
      <c r="H6782" s="25"/>
      <c r="I6782" s="25"/>
      <c r="J6782" s="25"/>
    </row>
    <row r="6783" spans="1:10" ht="14.4">
      <c r="A6783" s="25"/>
      <c r="B6783" s="25"/>
      <c r="C6783" s="25"/>
      <c r="D6783" s="25"/>
      <c r="E6783" s="25"/>
      <c r="F6783" s="25"/>
      <c r="G6783" s="25"/>
      <c r="H6783" s="25"/>
      <c r="I6783" s="25"/>
      <c r="J6783" s="25"/>
    </row>
    <row r="6784" spans="1:10" ht="14.4">
      <c r="A6784" s="25"/>
      <c r="B6784" s="25"/>
      <c r="C6784" s="25"/>
      <c r="D6784" s="25"/>
      <c r="E6784" s="25"/>
      <c r="F6784" s="25"/>
      <c r="G6784" s="25"/>
      <c r="H6784" s="25"/>
      <c r="I6784" s="25"/>
      <c r="J6784" s="25"/>
    </row>
    <row r="6785" spans="1:10" ht="14.4">
      <c r="A6785" s="25"/>
      <c r="B6785" s="25"/>
      <c r="C6785" s="25"/>
      <c r="D6785" s="25"/>
      <c r="E6785" s="25"/>
      <c r="F6785" s="25"/>
      <c r="G6785" s="25"/>
      <c r="H6785" s="25"/>
      <c r="I6785" s="25"/>
      <c r="J6785" s="25"/>
    </row>
    <row r="6786" spans="1:10" ht="14.4">
      <c r="A6786" s="25"/>
      <c r="B6786" s="25"/>
      <c r="C6786" s="25"/>
      <c r="D6786" s="25"/>
      <c r="E6786" s="25"/>
      <c r="F6786" s="25"/>
      <c r="G6786" s="25"/>
      <c r="H6786" s="25"/>
      <c r="I6786" s="25"/>
      <c r="J6786" s="25"/>
    </row>
    <row r="6787" spans="1:10" ht="14.4">
      <c r="A6787" s="25"/>
      <c r="B6787" s="25"/>
      <c r="C6787" s="25"/>
      <c r="D6787" s="25"/>
      <c r="E6787" s="25"/>
      <c r="F6787" s="25"/>
      <c r="G6787" s="25"/>
      <c r="H6787" s="25"/>
      <c r="I6787" s="25"/>
      <c r="J6787" s="25"/>
    </row>
    <row r="6788" spans="1:10" ht="14.4">
      <c r="A6788" s="25"/>
      <c r="B6788" s="25"/>
      <c r="C6788" s="25"/>
      <c r="D6788" s="25"/>
      <c r="E6788" s="25"/>
      <c r="F6788" s="25"/>
      <c r="G6788" s="25"/>
      <c r="H6788" s="25"/>
      <c r="I6788" s="25"/>
      <c r="J6788" s="25"/>
    </row>
    <row r="6789" spans="1:10" ht="14.4">
      <c r="A6789" s="25"/>
      <c r="B6789" s="25"/>
      <c r="C6789" s="25"/>
      <c r="D6789" s="25"/>
      <c r="E6789" s="25"/>
      <c r="F6789" s="25"/>
      <c r="G6789" s="25"/>
      <c r="H6789" s="25"/>
      <c r="I6789" s="25"/>
      <c r="J6789" s="25"/>
    </row>
    <row r="6790" spans="1:10" ht="14.4">
      <c r="A6790" s="25"/>
      <c r="B6790" s="25"/>
      <c r="C6790" s="25"/>
      <c r="D6790" s="25"/>
      <c r="E6790" s="25"/>
      <c r="F6790" s="25"/>
      <c r="G6790" s="25"/>
      <c r="H6790" s="25"/>
      <c r="I6790" s="25"/>
      <c r="J6790" s="25"/>
    </row>
    <row r="6791" spans="1:10" ht="14.4">
      <c r="A6791" s="25"/>
      <c r="B6791" s="25"/>
      <c r="C6791" s="25"/>
      <c r="D6791" s="25"/>
      <c r="E6791" s="25"/>
      <c r="F6791" s="25"/>
      <c r="G6791" s="25"/>
      <c r="H6791" s="25"/>
      <c r="I6791" s="25"/>
      <c r="J6791" s="25"/>
    </row>
    <row r="6792" spans="1:10" ht="14.4">
      <c r="A6792" s="25"/>
      <c r="B6792" s="25"/>
      <c r="C6792" s="25"/>
      <c r="D6792" s="25"/>
      <c r="E6792" s="25"/>
      <c r="F6792" s="25"/>
      <c r="G6792" s="25"/>
      <c r="H6792" s="25"/>
      <c r="I6792" s="25"/>
      <c r="J6792" s="25"/>
    </row>
    <row r="6793" spans="1:10" ht="14.4">
      <c r="A6793" s="25"/>
      <c r="B6793" s="25"/>
      <c r="C6793" s="25"/>
      <c r="D6793" s="25"/>
      <c r="E6793" s="25"/>
      <c r="F6793" s="25"/>
      <c r="G6793" s="25"/>
      <c r="H6793" s="25"/>
      <c r="I6793" s="25"/>
      <c r="J6793" s="25"/>
    </row>
    <row r="6794" spans="1:10" ht="14.4">
      <c r="A6794" s="25"/>
      <c r="B6794" s="25"/>
      <c r="C6794" s="25"/>
      <c r="D6794" s="25"/>
      <c r="E6794" s="25"/>
      <c r="F6794" s="25"/>
      <c r="G6794" s="25"/>
      <c r="H6794" s="25"/>
      <c r="I6794" s="25"/>
      <c r="J6794" s="25"/>
    </row>
    <row r="6795" spans="1:10" ht="14.4">
      <c r="A6795" s="25"/>
      <c r="B6795" s="25"/>
      <c r="C6795" s="25"/>
      <c r="D6795" s="25"/>
      <c r="E6795" s="25"/>
      <c r="F6795" s="25"/>
      <c r="G6795" s="25"/>
      <c r="H6795" s="25"/>
      <c r="I6795" s="25"/>
      <c r="J6795" s="25"/>
    </row>
    <row r="6796" spans="1:10" ht="14.4">
      <c r="A6796" s="25"/>
      <c r="B6796" s="25"/>
      <c r="C6796" s="25"/>
      <c r="D6796" s="25"/>
      <c r="E6796" s="25"/>
      <c r="F6796" s="25"/>
      <c r="G6796" s="25"/>
      <c r="H6796" s="25"/>
      <c r="I6796" s="25"/>
      <c r="J6796" s="25"/>
    </row>
    <row r="6797" spans="1:10" ht="14.4">
      <c r="A6797" s="25"/>
      <c r="B6797" s="25"/>
      <c r="C6797" s="25"/>
      <c r="D6797" s="25"/>
      <c r="E6797" s="25"/>
      <c r="F6797" s="25"/>
      <c r="G6797" s="25"/>
      <c r="H6797" s="25"/>
      <c r="I6797" s="25"/>
      <c r="J6797" s="25"/>
    </row>
    <row r="6798" spans="1:10" ht="14.4">
      <c r="A6798" s="25"/>
      <c r="B6798" s="25"/>
      <c r="C6798" s="25"/>
      <c r="D6798" s="25"/>
      <c r="E6798" s="25"/>
      <c r="F6798" s="25"/>
      <c r="G6798" s="25"/>
      <c r="H6798" s="25"/>
      <c r="I6798" s="25"/>
      <c r="J6798" s="25"/>
    </row>
    <row r="6799" spans="1:10" ht="14.4">
      <c r="A6799" s="25"/>
      <c r="B6799" s="25"/>
      <c r="C6799" s="25"/>
      <c r="D6799" s="25"/>
      <c r="E6799" s="25"/>
      <c r="F6799" s="25"/>
      <c r="G6799" s="25"/>
      <c r="H6799" s="25"/>
      <c r="I6799" s="25"/>
      <c r="J6799" s="25"/>
    </row>
    <row r="6800" spans="1:10" ht="14.4">
      <c r="A6800" s="25"/>
      <c r="B6800" s="25"/>
      <c r="C6800" s="25"/>
      <c r="D6800" s="25"/>
      <c r="E6800" s="25"/>
      <c r="F6800" s="25"/>
      <c r="G6800" s="25"/>
      <c r="H6800" s="25"/>
      <c r="I6800" s="25"/>
      <c r="J6800" s="25"/>
    </row>
    <row r="6801" spans="1:10" ht="14.4">
      <c r="A6801" s="25"/>
      <c r="B6801" s="25"/>
      <c r="C6801" s="25"/>
      <c r="D6801" s="25"/>
      <c r="E6801" s="25"/>
      <c r="F6801" s="25"/>
      <c r="G6801" s="25"/>
      <c r="H6801" s="25"/>
      <c r="I6801" s="25"/>
      <c r="J6801" s="25"/>
    </row>
    <row r="6802" spans="1:10" ht="14.4">
      <c r="A6802" s="25"/>
      <c r="B6802" s="25"/>
      <c r="C6802" s="25"/>
      <c r="D6802" s="25"/>
      <c r="E6802" s="25"/>
      <c r="F6802" s="25"/>
      <c r="G6802" s="25"/>
      <c r="H6802" s="25"/>
      <c r="I6802" s="25"/>
      <c r="J6802" s="25"/>
    </row>
    <row r="6803" spans="1:10" ht="14.4">
      <c r="A6803" s="25"/>
      <c r="B6803" s="25"/>
      <c r="C6803" s="25"/>
      <c r="D6803" s="25"/>
      <c r="E6803" s="25"/>
      <c r="F6803" s="25"/>
      <c r="G6803" s="25"/>
      <c r="H6803" s="25"/>
      <c r="I6803" s="25"/>
      <c r="J6803" s="25"/>
    </row>
    <row r="6804" spans="1:10" ht="14.4">
      <c r="A6804" s="25"/>
      <c r="B6804" s="25"/>
      <c r="C6804" s="25"/>
      <c r="D6804" s="25"/>
      <c r="E6804" s="25"/>
      <c r="F6804" s="25"/>
      <c r="G6804" s="25"/>
      <c r="H6804" s="25"/>
      <c r="I6804" s="25"/>
      <c r="J6804" s="25"/>
    </row>
    <row r="6805" spans="1:10" ht="14.4">
      <c r="A6805" s="25"/>
      <c r="B6805" s="25"/>
      <c r="C6805" s="25"/>
      <c r="D6805" s="25"/>
      <c r="E6805" s="25"/>
      <c r="F6805" s="25"/>
      <c r="G6805" s="25"/>
      <c r="H6805" s="25"/>
      <c r="I6805" s="25"/>
      <c r="J6805" s="25"/>
    </row>
    <row r="6806" spans="1:10" ht="14.4">
      <c r="A6806" s="25"/>
      <c r="B6806" s="25"/>
      <c r="C6806" s="25"/>
      <c r="D6806" s="25"/>
      <c r="E6806" s="25"/>
      <c r="F6806" s="25"/>
      <c r="G6806" s="25"/>
      <c r="H6806" s="25"/>
      <c r="I6806" s="25"/>
      <c r="J6806" s="25"/>
    </row>
    <row r="6807" spans="1:10" ht="14.4">
      <c r="A6807" s="25"/>
      <c r="B6807" s="25"/>
      <c r="C6807" s="25"/>
      <c r="D6807" s="25"/>
      <c r="E6807" s="25"/>
      <c r="F6807" s="25"/>
      <c r="G6807" s="25"/>
      <c r="H6807" s="25"/>
      <c r="I6807" s="25"/>
      <c r="J6807" s="25"/>
    </row>
    <row r="6808" spans="1:10" ht="14.4">
      <c r="A6808" s="25"/>
      <c r="B6808" s="25"/>
      <c r="C6808" s="25"/>
      <c r="D6808" s="25"/>
      <c r="E6808" s="25"/>
      <c r="F6808" s="25"/>
      <c r="G6808" s="25"/>
      <c r="H6808" s="25"/>
      <c r="I6808" s="25"/>
      <c r="J6808" s="25"/>
    </row>
    <row r="6809" spans="1:10" ht="14.4">
      <c r="A6809" s="25"/>
      <c r="B6809" s="25"/>
      <c r="C6809" s="25"/>
      <c r="D6809" s="25"/>
      <c r="E6809" s="25"/>
      <c r="F6809" s="25"/>
      <c r="G6809" s="25"/>
      <c r="H6809" s="25"/>
      <c r="I6809" s="25"/>
      <c r="J6809" s="25"/>
    </row>
    <row r="6810" spans="1:10" ht="14.4">
      <c r="A6810" s="25"/>
      <c r="B6810" s="25"/>
      <c r="C6810" s="25"/>
      <c r="D6810" s="25"/>
      <c r="E6810" s="25"/>
      <c r="F6810" s="25"/>
      <c r="G6810" s="25"/>
      <c r="H6810" s="25"/>
      <c r="I6810" s="25"/>
      <c r="J6810" s="25"/>
    </row>
    <row r="6811" spans="1:10" ht="14.4">
      <c r="A6811" s="25"/>
      <c r="B6811" s="25"/>
      <c r="C6811" s="25"/>
      <c r="D6811" s="25"/>
      <c r="E6811" s="25"/>
      <c r="F6811" s="25"/>
      <c r="G6811" s="25"/>
      <c r="H6811" s="25"/>
      <c r="I6811" s="25"/>
      <c r="J6811" s="25"/>
    </row>
    <row r="6812" spans="1:10" ht="14.4">
      <c r="A6812" s="25"/>
      <c r="B6812" s="25"/>
      <c r="C6812" s="25"/>
      <c r="D6812" s="25"/>
      <c r="E6812" s="25"/>
      <c r="F6812" s="25"/>
      <c r="G6812" s="25"/>
      <c r="H6812" s="25"/>
      <c r="I6812" s="25"/>
      <c r="J6812" s="25"/>
    </row>
    <row r="6813" spans="1:10" ht="14.4">
      <c r="A6813" s="25"/>
      <c r="B6813" s="25"/>
      <c r="C6813" s="25"/>
      <c r="D6813" s="25"/>
      <c r="E6813" s="25"/>
      <c r="F6813" s="25"/>
      <c r="G6813" s="25"/>
      <c r="H6813" s="25"/>
      <c r="I6813" s="25"/>
      <c r="J6813" s="25"/>
    </row>
    <row r="6814" spans="1:10" ht="14.4">
      <c r="A6814" s="25"/>
      <c r="B6814" s="25"/>
      <c r="C6814" s="25"/>
      <c r="D6814" s="25"/>
      <c r="E6814" s="25"/>
      <c r="F6814" s="25"/>
      <c r="G6814" s="25"/>
      <c r="H6814" s="25"/>
      <c r="I6814" s="25"/>
      <c r="J6814" s="25"/>
    </row>
    <row r="6815" spans="1:10" ht="14.4">
      <c r="A6815" s="25"/>
      <c r="B6815" s="25"/>
      <c r="C6815" s="25"/>
      <c r="D6815" s="25"/>
      <c r="E6815" s="25"/>
      <c r="F6815" s="25"/>
      <c r="G6815" s="25"/>
      <c r="H6815" s="25"/>
      <c r="I6815" s="25"/>
      <c r="J6815" s="25"/>
    </row>
    <row r="6816" spans="1:10" ht="14.4">
      <c r="A6816" s="25"/>
      <c r="B6816" s="25"/>
      <c r="C6816" s="25"/>
      <c r="D6816" s="25"/>
      <c r="E6816" s="25"/>
      <c r="F6816" s="25"/>
      <c r="G6816" s="25"/>
      <c r="H6816" s="25"/>
      <c r="I6816" s="25"/>
      <c r="J6816" s="25"/>
    </row>
    <row r="6817" spans="1:10" ht="14.4">
      <c r="A6817" s="25"/>
      <c r="B6817" s="25"/>
      <c r="C6817" s="25"/>
      <c r="D6817" s="25"/>
      <c r="E6817" s="25"/>
      <c r="F6817" s="25"/>
      <c r="G6817" s="25"/>
      <c r="H6817" s="25"/>
      <c r="I6817" s="25"/>
      <c r="J6817" s="25"/>
    </row>
    <row r="6818" spans="1:10" ht="14.4">
      <c r="A6818" s="25"/>
      <c r="B6818" s="25"/>
      <c r="C6818" s="25"/>
      <c r="D6818" s="25"/>
      <c r="E6818" s="25"/>
      <c r="F6818" s="25"/>
      <c r="G6818" s="25"/>
      <c r="H6818" s="25"/>
      <c r="I6818" s="25"/>
      <c r="J6818" s="25"/>
    </row>
    <row r="6819" spans="1:10" ht="14.4">
      <c r="A6819" s="25"/>
      <c r="B6819" s="25"/>
      <c r="C6819" s="25"/>
      <c r="D6819" s="25"/>
      <c r="E6819" s="25"/>
      <c r="F6819" s="25"/>
      <c r="G6819" s="25"/>
      <c r="H6819" s="25"/>
      <c r="I6819" s="25"/>
      <c r="J6819" s="25"/>
    </row>
    <row r="6820" spans="1:10" ht="14.4">
      <c r="A6820" s="25"/>
      <c r="B6820" s="25"/>
      <c r="C6820" s="25"/>
      <c r="D6820" s="25"/>
      <c r="E6820" s="25"/>
      <c r="F6820" s="25"/>
      <c r="G6820" s="25"/>
      <c r="H6820" s="25"/>
      <c r="I6820" s="25"/>
      <c r="J6820" s="25"/>
    </row>
    <row r="6821" spans="1:10" ht="14.4">
      <c r="A6821" s="25"/>
      <c r="B6821" s="25"/>
      <c r="C6821" s="25"/>
      <c r="D6821" s="25"/>
      <c r="E6821" s="25"/>
      <c r="F6821" s="25"/>
      <c r="G6821" s="25"/>
      <c r="H6821" s="25"/>
      <c r="I6821" s="25"/>
      <c r="J6821" s="25"/>
    </row>
    <row r="6822" spans="1:10" ht="14.4">
      <c r="A6822" s="25"/>
      <c r="B6822" s="25"/>
      <c r="C6822" s="25"/>
      <c r="D6822" s="25"/>
      <c r="E6822" s="25"/>
      <c r="F6822" s="25"/>
      <c r="G6822" s="25"/>
      <c r="H6822" s="25"/>
      <c r="I6822" s="25"/>
      <c r="J6822" s="25"/>
    </row>
    <row r="6823" spans="1:10" ht="14.4">
      <c r="A6823" s="25"/>
      <c r="B6823" s="25"/>
      <c r="C6823" s="25"/>
      <c r="D6823" s="25"/>
      <c r="E6823" s="25"/>
      <c r="F6823" s="25"/>
      <c r="G6823" s="25"/>
      <c r="H6823" s="25"/>
      <c r="I6823" s="25"/>
      <c r="J6823" s="25"/>
    </row>
    <row r="6824" spans="1:10" ht="14.4">
      <c r="A6824" s="25"/>
      <c r="B6824" s="25"/>
      <c r="C6824" s="25"/>
      <c r="D6824" s="25"/>
      <c r="E6824" s="25"/>
      <c r="F6824" s="25"/>
      <c r="G6824" s="25"/>
      <c r="H6824" s="25"/>
      <c r="I6824" s="25"/>
      <c r="J6824" s="25"/>
    </row>
    <row r="6825" spans="1:10" ht="14.4">
      <c r="A6825" s="25"/>
      <c r="B6825" s="25"/>
      <c r="C6825" s="25"/>
      <c r="D6825" s="25"/>
      <c r="E6825" s="25"/>
      <c r="F6825" s="25"/>
      <c r="G6825" s="25"/>
      <c r="H6825" s="25"/>
      <c r="I6825" s="25"/>
      <c r="J6825" s="25"/>
    </row>
    <row r="6826" spans="1:10" ht="14.4">
      <c r="A6826" s="25"/>
      <c r="B6826" s="25"/>
      <c r="C6826" s="25"/>
      <c r="D6826" s="25"/>
      <c r="E6826" s="25"/>
      <c r="F6826" s="25"/>
      <c r="G6826" s="25"/>
      <c r="H6826" s="25"/>
      <c r="I6826" s="25"/>
      <c r="J6826" s="25"/>
    </row>
    <row r="6827" spans="1:10" ht="14.4">
      <c r="A6827" s="25"/>
      <c r="B6827" s="25"/>
      <c r="C6827" s="25"/>
      <c r="D6827" s="25"/>
      <c r="E6827" s="25"/>
      <c r="F6827" s="25"/>
      <c r="G6827" s="25"/>
      <c r="H6827" s="25"/>
      <c r="I6827" s="25"/>
      <c r="J6827" s="25"/>
    </row>
    <row r="6828" spans="1:10" ht="14.4">
      <c r="A6828" s="25"/>
      <c r="B6828" s="25"/>
      <c r="C6828" s="25"/>
      <c r="D6828" s="25"/>
      <c r="E6828" s="25"/>
      <c r="F6828" s="25"/>
      <c r="G6828" s="25"/>
      <c r="H6828" s="25"/>
      <c r="I6828" s="25"/>
      <c r="J6828" s="25"/>
    </row>
    <row r="6829" spans="1:10" ht="14.4">
      <c r="A6829" s="25"/>
      <c r="B6829" s="25"/>
      <c r="C6829" s="25"/>
      <c r="D6829" s="25"/>
      <c r="E6829" s="25"/>
      <c r="F6829" s="25"/>
      <c r="G6829" s="25"/>
      <c r="H6829" s="25"/>
      <c r="I6829" s="25"/>
      <c r="J6829" s="25"/>
    </row>
    <row r="6830" spans="1:10" ht="14.4">
      <c r="A6830" s="25"/>
      <c r="B6830" s="25"/>
      <c r="C6830" s="25"/>
      <c r="D6830" s="25"/>
      <c r="E6830" s="25"/>
      <c r="F6830" s="25"/>
      <c r="G6830" s="25"/>
      <c r="H6830" s="25"/>
      <c r="I6830" s="25"/>
      <c r="J6830" s="25"/>
    </row>
    <row r="6831" spans="1:10" ht="14.4">
      <c r="A6831" s="25"/>
      <c r="B6831" s="25"/>
      <c r="C6831" s="25"/>
      <c r="D6831" s="25"/>
      <c r="E6831" s="25"/>
      <c r="F6831" s="25"/>
      <c r="G6831" s="25"/>
      <c r="H6831" s="25"/>
      <c r="I6831" s="25"/>
      <c r="J6831" s="25"/>
    </row>
    <row r="6832" spans="1:10" ht="14.4">
      <c r="A6832" s="25"/>
      <c r="B6832" s="25"/>
      <c r="C6832" s="25"/>
      <c r="D6832" s="25"/>
      <c r="E6832" s="25"/>
      <c r="F6832" s="25"/>
      <c r="G6832" s="25"/>
      <c r="H6832" s="25"/>
      <c r="I6832" s="25"/>
      <c r="J6832" s="25"/>
    </row>
    <row r="6833" spans="1:10" ht="14.4">
      <c r="A6833" s="25"/>
      <c r="B6833" s="25"/>
      <c r="C6833" s="25"/>
      <c r="D6833" s="25"/>
      <c r="E6833" s="25"/>
      <c r="F6833" s="25"/>
      <c r="G6833" s="25"/>
      <c r="H6833" s="25"/>
      <c r="I6833" s="25"/>
      <c r="J6833" s="25"/>
    </row>
    <row r="6834" spans="1:10" ht="14.4">
      <c r="A6834" s="25"/>
      <c r="B6834" s="25"/>
      <c r="C6834" s="25"/>
      <c r="D6834" s="25"/>
      <c r="E6834" s="25"/>
      <c r="F6834" s="25"/>
      <c r="G6834" s="25"/>
      <c r="H6834" s="25"/>
      <c r="I6834" s="25"/>
      <c r="J6834" s="25"/>
    </row>
    <row r="6835" spans="1:10" ht="14.4">
      <c r="A6835" s="25"/>
      <c r="B6835" s="25"/>
      <c r="C6835" s="25"/>
      <c r="D6835" s="25"/>
      <c r="E6835" s="25"/>
      <c r="F6835" s="25"/>
      <c r="G6835" s="25"/>
      <c r="H6835" s="25"/>
      <c r="I6835" s="25"/>
      <c r="J6835" s="25"/>
    </row>
    <row r="6836" spans="1:10" ht="14.4">
      <c r="A6836" s="25"/>
      <c r="B6836" s="25"/>
      <c r="C6836" s="25"/>
      <c r="D6836" s="25"/>
      <c r="E6836" s="25"/>
      <c r="F6836" s="25"/>
      <c r="G6836" s="25"/>
      <c r="H6836" s="25"/>
      <c r="I6836" s="25"/>
      <c r="J6836" s="25"/>
    </row>
    <row r="6837" spans="1:10" ht="14.4">
      <c r="A6837" s="25"/>
      <c r="B6837" s="25"/>
      <c r="C6837" s="25"/>
      <c r="D6837" s="25"/>
      <c r="E6837" s="25"/>
      <c r="F6837" s="25"/>
      <c r="G6837" s="25"/>
      <c r="H6837" s="25"/>
      <c r="I6837" s="25"/>
      <c r="J6837" s="25"/>
    </row>
    <row r="6838" spans="1:10" ht="14.4">
      <c r="A6838" s="25"/>
      <c r="B6838" s="25"/>
      <c r="C6838" s="25"/>
      <c r="D6838" s="25"/>
      <c r="E6838" s="25"/>
      <c r="F6838" s="25"/>
      <c r="G6838" s="25"/>
      <c r="H6838" s="25"/>
      <c r="I6838" s="25"/>
      <c r="J6838" s="25"/>
    </row>
    <row r="6839" spans="1:10" ht="14.4">
      <c r="A6839" s="25"/>
      <c r="B6839" s="25"/>
      <c r="C6839" s="25"/>
      <c r="D6839" s="25"/>
      <c r="E6839" s="25"/>
      <c r="F6839" s="25"/>
      <c r="G6839" s="25"/>
      <c r="H6839" s="25"/>
      <c r="I6839" s="25"/>
      <c r="J6839" s="25"/>
    </row>
    <row r="6840" spans="1:10" ht="14.4">
      <c r="A6840" s="25"/>
      <c r="B6840" s="25"/>
      <c r="C6840" s="25"/>
      <c r="D6840" s="25"/>
      <c r="E6840" s="25"/>
      <c r="F6840" s="25"/>
      <c r="G6840" s="25"/>
      <c r="H6840" s="25"/>
      <c r="I6840" s="25"/>
      <c r="J6840" s="25"/>
    </row>
    <row r="6841" spans="1:10" ht="14.4">
      <c r="A6841" s="25"/>
      <c r="B6841" s="25"/>
      <c r="C6841" s="25"/>
      <c r="D6841" s="25"/>
      <c r="E6841" s="25"/>
      <c r="F6841" s="25"/>
      <c r="G6841" s="25"/>
      <c r="H6841" s="25"/>
      <c r="I6841" s="25"/>
      <c r="J6841" s="25"/>
    </row>
    <row r="6842" spans="1:10" ht="14.4">
      <c r="A6842" s="25"/>
      <c r="B6842" s="25"/>
      <c r="C6842" s="25"/>
      <c r="D6842" s="25"/>
      <c r="E6842" s="25"/>
      <c r="F6842" s="25"/>
      <c r="G6842" s="25"/>
      <c r="H6842" s="25"/>
      <c r="I6842" s="25"/>
      <c r="J6842" s="25"/>
    </row>
    <row r="6843" spans="1:10" ht="14.4">
      <c r="A6843" s="25"/>
      <c r="B6843" s="25"/>
      <c r="C6843" s="25"/>
      <c r="D6843" s="25"/>
      <c r="E6843" s="25"/>
      <c r="F6843" s="25"/>
      <c r="G6843" s="25"/>
      <c r="H6843" s="25"/>
      <c r="I6843" s="25"/>
      <c r="J6843" s="25"/>
    </row>
    <row r="6844" spans="1:10" ht="14.4">
      <c r="A6844" s="25"/>
      <c r="B6844" s="25"/>
      <c r="C6844" s="25"/>
      <c r="D6844" s="25"/>
      <c r="E6844" s="25"/>
      <c r="F6844" s="25"/>
      <c r="G6844" s="25"/>
      <c r="H6844" s="25"/>
      <c r="I6844" s="25"/>
      <c r="J6844" s="25"/>
    </row>
    <row r="6845" spans="1:10" ht="14.4">
      <c r="A6845" s="25"/>
      <c r="B6845" s="25"/>
      <c r="C6845" s="25"/>
      <c r="D6845" s="25"/>
      <c r="E6845" s="25"/>
      <c r="F6845" s="25"/>
      <c r="G6845" s="25"/>
      <c r="H6845" s="25"/>
      <c r="I6845" s="25"/>
      <c r="J6845" s="25"/>
    </row>
    <row r="6846" spans="1:10" ht="14.4">
      <c r="A6846" s="25"/>
      <c r="B6846" s="25"/>
      <c r="C6846" s="25"/>
      <c r="D6846" s="25"/>
      <c r="E6846" s="25"/>
      <c r="F6846" s="25"/>
      <c r="G6846" s="25"/>
      <c r="H6846" s="25"/>
      <c r="I6846" s="25"/>
      <c r="J6846" s="25"/>
    </row>
    <row r="6847" spans="1:10" ht="14.4">
      <c r="A6847" s="25"/>
      <c r="B6847" s="25"/>
      <c r="C6847" s="25"/>
      <c r="D6847" s="25"/>
      <c r="E6847" s="25"/>
      <c r="F6847" s="25"/>
      <c r="G6847" s="25"/>
      <c r="H6847" s="25"/>
      <c r="I6847" s="25"/>
      <c r="J6847" s="25"/>
    </row>
    <row r="6848" spans="1:10" ht="14.4">
      <c r="A6848" s="25"/>
      <c r="B6848" s="25"/>
      <c r="C6848" s="25"/>
      <c r="D6848" s="25"/>
      <c r="E6848" s="25"/>
      <c r="F6848" s="25"/>
      <c r="G6848" s="25"/>
      <c r="H6848" s="25"/>
      <c r="I6848" s="25"/>
      <c r="J6848" s="25"/>
    </row>
    <row r="6849" spans="1:10" ht="14.4">
      <c r="A6849" s="25"/>
      <c r="B6849" s="25"/>
      <c r="C6849" s="25"/>
      <c r="D6849" s="25"/>
      <c r="E6849" s="25"/>
      <c r="F6849" s="25"/>
      <c r="G6849" s="25"/>
      <c r="H6849" s="25"/>
      <c r="I6849" s="25"/>
      <c r="J6849" s="25"/>
    </row>
    <row r="6850" spans="1:10" ht="14.4">
      <c r="A6850" s="25"/>
      <c r="B6850" s="25"/>
      <c r="C6850" s="25"/>
      <c r="D6850" s="25"/>
      <c r="E6850" s="25"/>
      <c r="F6850" s="25"/>
      <c r="G6850" s="25"/>
      <c r="H6850" s="25"/>
      <c r="I6850" s="25"/>
      <c r="J6850" s="25"/>
    </row>
    <row r="6851" spans="1:10" ht="14.4">
      <c r="A6851" s="25"/>
      <c r="B6851" s="25"/>
      <c r="C6851" s="25"/>
      <c r="D6851" s="25"/>
      <c r="E6851" s="25"/>
      <c r="F6851" s="25"/>
      <c r="G6851" s="25"/>
      <c r="H6851" s="25"/>
      <c r="I6851" s="25"/>
      <c r="J6851" s="25"/>
    </row>
    <row r="6852" spans="1:10" ht="14.4">
      <c r="A6852" s="25"/>
      <c r="B6852" s="25"/>
      <c r="C6852" s="25"/>
      <c r="D6852" s="25"/>
      <c r="E6852" s="25"/>
      <c r="F6852" s="25"/>
      <c r="G6852" s="25"/>
      <c r="H6852" s="25"/>
      <c r="I6852" s="25"/>
      <c r="J6852" s="25"/>
    </row>
    <row r="6853" spans="1:10" ht="14.4">
      <c r="A6853" s="25"/>
      <c r="B6853" s="25"/>
      <c r="C6853" s="25"/>
      <c r="D6853" s="25"/>
      <c r="E6853" s="25"/>
      <c r="F6853" s="25"/>
      <c r="G6853" s="25"/>
      <c r="H6853" s="25"/>
      <c r="I6853" s="25"/>
      <c r="J6853" s="25"/>
    </row>
    <row r="6854" spans="1:10" ht="14.4">
      <c r="A6854" s="25"/>
      <c r="B6854" s="25"/>
      <c r="C6854" s="25"/>
      <c r="D6854" s="25"/>
      <c r="E6854" s="25"/>
      <c r="F6854" s="25"/>
      <c r="G6854" s="25"/>
      <c r="H6854" s="25"/>
      <c r="I6854" s="25"/>
      <c r="J6854" s="25"/>
    </row>
    <row r="6855" spans="1:10" ht="14.4">
      <c r="A6855" s="25"/>
      <c r="B6855" s="25"/>
      <c r="C6855" s="25"/>
      <c r="D6855" s="25"/>
      <c r="E6855" s="25"/>
      <c r="F6855" s="25"/>
      <c r="G6855" s="25"/>
      <c r="H6855" s="25"/>
      <c r="I6855" s="25"/>
      <c r="J6855" s="25"/>
    </row>
    <row r="6856" spans="1:10" ht="14.4">
      <c r="A6856" s="25"/>
      <c r="B6856" s="25"/>
      <c r="C6856" s="25"/>
      <c r="D6856" s="25"/>
      <c r="E6856" s="25"/>
      <c r="F6856" s="25"/>
      <c r="G6856" s="25"/>
      <c r="H6856" s="25"/>
      <c r="I6856" s="25"/>
      <c r="J6856" s="25"/>
    </row>
    <row r="6857" spans="1:10" ht="14.4">
      <c r="A6857" s="25"/>
      <c r="B6857" s="25"/>
      <c r="C6857" s="25"/>
      <c r="D6857" s="25"/>
      <c r="E6857" s="25"/>
      <c r="F6857" s="25"/>
      <c r="G6857" s="25"/>
      <c r="H6857" s="25"/>
      <c r="I6857" s="25"/>
      <c r="J6857" s="25"/>
    </row>
    <row r="6858" spans="1:10" ht="14.4">
      <c r="A6858" s="25"/>
      <c r="B6858" s="25"/>
      <c r="C6858" s="25"/>
      <c r="D6858" s="25"/>
      <c r="E6858" s="25"/>
      <c r="F6858" s="25"/>
      <c r="G6858" s="25"/>
      <c r="H6858" s="25"/>
      <c r="I6858" s="25"/>
      <c r="J6858" s="25"/>
    </row>
    <row r="6859" spans="1:10" ht="14.4">
      <c r="A6859" s="25"/>
      <c r="B6859" s="25"/>
      <c r="C6859" s="25"/>
      <c r="D6859" s="25"/>
      <c r="E6859" s="25"/>
      <c r="F6859" s="25"/>
      <c r="G6859" s="25"/>
      <c r="H6859" s="25"/>
      <c r="I6859" s="25"/>
      <c r="J6859" s="25"/>
    </row>
    <row r="6860" spans="1:10" ht="14.4">
      <c r="A6860" s="25"/>
      <c r="B6860" s="25"/>
      <c r="C6860" s="25"/>
      <c r="D6860" s="25"/>
      <c r="E6860" s="25"/>
      <c r="F6860" s="25"/>
      <c r="G6860" s="25"/>
      <c r="H6860" s="25"/>
      <c r="I6860" s="25"/>
      <c r="J6860" s="25"/>
    </row>
    <row r="6861" spans="1:10" ht="14.4">
      <c r="A6861" s="25"/>
      <c r="B6861" s="25"/>
      <c r="C6861" s="25"/>
      <c r="D6861" s="25"/>
      <c r="E6861" s="25"/>
      <c r="F6861" s="25"/>
      <c r="G6861" s="25"/>
      <c r="H6861" s="25"/>
      <c r="I6861" s="25"/>
      <c r="J6861" s="25"/>
    </row>
    <row r="6862" spans="1:10" ht="14.4">
      <c r="A6862" s="25"/>
      <c r="B6862" s="25"/>
      <c r="C6862" s="25"/>
      <c r="D6862" s="25"/>
      <c r="E6862" s="25"/>
      <c r="F6862" s="25"/>
      <c r="G6862" s="25"/>
      <c r="H6862" s="25"/>
      <c r="I6862" s="25"/>
      <c r="J6862" s="25"/>
    </row>
    <row r="6863" spans="1:10" ht="14.4">
      <c r="A6863" s="25"/>
      <c r="B6863" s="25"/>
      <c r="C6863" s="25"/>
      <c r="D6863" s="25"/>
      <c r="E6863" s="25"/>
      <c r="F6863" s="25"/>
      <c r="G6863" s="25"/>
      <c r="H6863" s="25"/>
      <c r="I6863" s="25"/>
      <c r="J6863" s="25"/>
    </row>
    <row r="6864" spans="1:10" ht="14.4">
      <c r="A6864" s="25"/>
      <c r="B6864" s="25"/>
      <c r="C6864" s="25"/>
      <c r="D6864" s="25"/>
      <c r="E6864" s="25"/>
      <c r="F6864" s="25"/>
      <c r="G6864" s="25"/>
      <c r="H6864" s="25"/>
      <c r="I6864" s="25"/>
      <c r="J6864" s="25"/>
    </row>
    <row r="6865" spans="1:10" ht="14.4">
      <c r="A6865" s="25"/>
      <c r="B6865" s="25"/>
      <c r="C6865" s="25"/>
      <c r="D6865" s="25"/>
      <c r="E6865" s="25"/>
      <c r="F6865" s="25"/>
      <c r="G6865" s="25"/>
      <c r="H6865" s="25"/>
      <c r="I6865" s="25"/>
      <c r="J6865" s="25"/>
    </row>
    <row r="6866" spans="1:10" ht="14.4">
      <c r="A6866" s="25"/>
      <c r="B6866" s="25"/>
      <c r="C6866" s="25"/>
      <c r="D6866" s="25"/>
      <c r="E6866" s="25"/>
      <c r="F6866" s="25"/>
      <c r="G6866" s="25"/>
      <c r="H6866" s="25"/>
      <c r="I6866" s="25"/>
      <c r="J6866" s="25"/>
    </row>
    <row r="6867" spans="1:10" ht="14.4">
      <c r="A6867" s="25"/>
      <c r="B6867" s="25"/>
      <c r="C6867" s="25"/>
      <c r="D6867" s="25"/>
      <c r="E6867" s="25"/>
      <c r="F6867" s="25"/>
      <c r="G6867" s="25"/>
      <c r="H6867" s="25"/>
      <c r="I6867" s="25"/>
      <c r="J6867" s="25"/>
    </row>
    <row r="6868" spans="1:10" ht="14.4">
      <c r="A6868" s="25"/>
      <c r="B6868" s="25"/>
      <c r="C6868" s="25"/>
      <c r="D6868" s="25"/>
      <c r="E6868" s="25"/>
      <c r="F6868" s="25"/>
      <c r="G6868" s="25"/>
      <c r="H6868" s="25"/>
      <c r="I6868" s="25"/>
      <c r="J6868" s="25"/>
    </row>
    <row r="6869" spans="1:10" ht="14.4">
      <c r="A6869" s="25"/>
      <c r="B6869" s="25"/>
      <c r="C6869" s="25"/>
      <c r="D6869" s="25"/>
      <c r="E6869" s="25"/>
      <c r="F6869" s="25"/>
      <c r="G6869" s="25"/>
      <c r="H6869" s="25"/>
      <c r="I6869" s="25"/>
      <c r="J6869" s="25"/>
    </row>
    <row r="6870" spans="1:10" ht="14.4">
      <c r="A6870" s="25"/>
      <c r="B6870" s="25"/>
      <c r="C6870" s="25"/>
      <c r="D6870" s="25"/>
      <c r="E6870" s="25"/>
      <c r="F6870" s="25"/>
      <c r="G6870" s="25"/>
      <c r="H6870" s="25"/>
      <c r="I6870" s="25"/>
      <c r="J6870" s="25"/>
    </row>
    <row r="6871" spans="1:10" ht="14.4">
      <c r="A6871" s="25"/>
      <c r="B6871" s="25"/>
      <c r="C6871" s="25"/>
      <c r="D6871" s="25"/>
      <c r="E6871" s="25"/>
      <c r="F6871" s="25"/>
      <c r="G6871" s="25"/>
      <c r="H6871" s="25"/>
      <c r="I6871" s="25"/>
      <c r="J6871" s="25"/>
    </row>
    <row r="6872" spans="1:10" ht="14.4">
      <c r="A6872" s="25"/>
      <c r="B6872" s="25"/>
      <c r="C6872" s="25"/>
      <c r="D6872" s="25"/>
      <c r="E6872" s="25"/>
      <c r="F6872" s="25"/>
      <c r="G6872" s="25"/>
      <c r="H6872" s="25"/>
      <c r="I6872" s="25"/>
      <c r="J6872" s="25"/>
    </row>
    <row r="6873" spans="1:10" ht="14.4">
      <c r="A6873" s="25"/>
      <c r="B6873" s="25"/>
      <c r="C6873" s="25"/>
      <c r="D6873" s="25"/>
      <c r="E6873" s="25"/>
      <c r="F6873" s="25"/>
      <c r="G6873" s="25"/>
      <c r="H6873" s="25"/>
      <c r="I6873" s="25"/>
      <c r="J6873" s="25"/>
    </row>
    <row r="6874" spans="1:10" ht="14.4">
      <c r="A6874" s="25"/>
      <c r="B6874" s="25"/>
      <c r="C6874" s="25"/>
      <c r="D6874" s="25"/>
      <c r="E6874" s="25"/>
      <c r="F6874" s="25"/>
      <c r="G6874" s="25"/>
      <c r="H6874" s="25"/>
      <c r="I6874" s="25"/>
      <c r="J6874" s="25"/>
    </row>
    <row r="6875" spans="1:10" ht="14.4">
      <c r="A6875" s="25"/>
      <c r="B6875" s="25"/>
      <c r="C6875" s="25"/>
      <c r="D6875" s="25"/>
      <c r="E6875" s="25"/>
      <c r="F6875" s="25"/>
      <c r="G6875" s="25"/>
      <c r="H6875" s="25"/>
      <c r="I6875" s="25"/>
      <c r="J6875" s="25"/>
    </row>
    <row r="6876" spans="1:10" ht="14.4">
      <c r="A6876" s="25"/>
      <c r="B6876" s="25"/>
      <c r="C6876" s="25"/>
      <c r="D6876" s="25"/>
      <c r="E6876" s="25"/>
      <c r="F6876" s="25"/>
      <c r="G6876" s="25"/>
      <c r="H6876" s="25"/>
      <c r="I6876" s="25"/>
      <c r="J6876" s="25"/>
    </row>
    <row r="6877" spans="1:10" ht="14.4">
      <c r="A6877" s="25"/>
      <c r="B6877" s="25"/>
      <c r="C6877" s="25"/>
      <c r="D6877" s="25"/>
      <c r="E6877" s="25"/>
      <c r="F6877" s="25"/>
      <c r="G6877" s="25"/>
      <c r="H6877" s="25"/>
      <c r="I6877" s="25"/>
      <c r="J6877" s="25"/>
    </row>
    <row r="6878" spans="1:10" ht="14.4">
      <c r="A6878" s="25"/>
      <c r="B6878" s="25"/>
      <c r="C6878" s="25"/>
      <c r="D6878" s="25"/>
      <c r="E6878" s="25"/>
      <c r="F6878" s="25"/>
      <c r="G6878" s="25"/>
      <c r="H6878" s="25"/>
      <c r="I6878" s="25"/>
      <c r="J6878" s="25"/>
    </row>
    <row r="6879" spans="1:10" ht="14.4">
      <c r="A6879" s="25"/>
      <c r="B6879" s="25"/>
      <c r="C6879" s="25"/>
      <c r="D6879" s="25"/>
      <c r="E6879" s="25"/>
      <c r="F6879" s="25"/>
      <c r="G6879" s="25"/>
      <c r="H6879" s="25"/>
      <c r="I6879" s="25"/>
      <c r="J6879" s="25"/>
    </row>
    <row r="6880" spans="1:10" ht="14.4">
      <c r="A6880" s="25"/>
      <c r="B6880" s="25"/>
      <c r="C6880" s="25"/>
      <c r="D6880" s="25"/>
      <c r="E6880" s="25"/>
      <c r="F6880" s="25"/>
      <c r="G6880" s="25"/>
      <c r="H6880" s="25"/>
      <c r="I6880" s="25"/>
      <c r="J6880" s="25"/>
    </row>
    <row r="6881" spans="1:10" ht="14.4">
      <c r="A6881" s="25"/>
      <c r="B6881" s="25"/>
      <c r="C6881" s="25"/>
      <c r="D6881" s="25"/>
      <c r="E6881" s="25"/>
      <c r="F6881" s="25"/>
      <c r="G6881" s="25"/>
      <c r="H6881" s="25"/>
      <c r="I6881" s="25"/>
      <c r="J6881" s="25"/>
    </row>
    <row r="6882" spans="1:10" ht="14.4">
      <c r="A6882" s="25"/>
      <c r="B6882" s="25"/>
      <c r="C6882" s="25"/>
      <c r="D6882" s="25"/>
      <c r="E6882" s="25"/>
      <c r="F6882" s="25"/>
      <c r="G6882" s="25"/>
      <c r="H6882" s="25"/>
      <c r="I6882" s="25"/>
      <c r="J6882" s="25"/>
    </row>
    <row r="6883" spans="1:10" ht="14.4">
      <c r="A6883" s="25"/>
      <c r="B6883" s="25"/>
      <c r="C6883" s="25"/>
      <c r="D6883" s="25"/>
      <c r="E6883" s="25"/>
      <c r="F6883" s="25"/>
      <c r="G6883" s="25"/>
      <c r="H6883" s="25"/>
      <c r="I6883" s="25"/>
      <c r="J6883" s="25"/>
    </row>
    <row r="6884" spans="1:10" ht="14.4">
      <c r="A6884" s="25"/>
      <c r="B6884" s="25"/>
      <c r="C6884" s="25"/>
      <c r="D6884" s="25"/>
      <c r="E6884" s="25"/>
      <c r="F6884" s="25"/>
      <c r="G6884" s="25"/>
      <c r="H6884" s="25"/>
      <c r="I6884" s="25"/>
      <c r="J6884" s="25"/>
    </row>
    <row r="6885" spans="1:10" ht="14.4">
      <c r="A6885" s="25"/>
      <c r="B6885" s="25"/>
      <c r="C6885" s="25"/>
      <c r="D6885" s="25"/>
      <c r="E6885" s="25"/>
      <c r="F6885" s="25"/>
      <c r="G6885" s="25"/>
      <c r="H6885" s="25"/>
      <c r="I6885" s="25"/>
      <c r="J6885" s="25"/>
    </row>
    <row r="6886" spans="1:10" ht="14.4">
      <c r="A6886" s="25"/>
      <c r="B6886" s="25"/>
      <c r="C6886" s="25"/>
      <c r="D6886" s="25"/>
      <c r="E6886" s="25"/>
      <c r="F6886" s="25"/>
      <c r="G6886" s="25"/>
      <c r="H6886" s="25"/>
      <c r="I6886" s="25"/>
      <c r="J6886" s="25"/>
    </row>
    <row r="6887" spans="1:10" ht="14.4">
      <c r="A6887" s="25"/>
      <c r="B6887" s="25"/>
      <c r="C6887" s="25"/>
      <c r="D6887" s="25"/>
      <c r="E6887" s="25"/>
      <c r="F6887" s="25"/>
      <c r="G6887" s="25"/>
      <c r="H6887" s="25"/>
      <c r="I6887" s="25"/>
      <c r="J6887" s="25"/>
    </row>
    <row r="6888" spans="1:10" ht="14.4">
      <c r="A6888" s="25"/>
      <c r="B6888" s="25"/>
      <c r="C6888" s="25"/>
      <c r="D6888" s="25"/>
      <c r="E6888" s="25"/>
      <c r="F6888" s="25"/>
      <c r="G6888" s="25"/>
      <c r="H6888" s="25"/>
      <c r="I6888" s="25"/>
      <c r="J6888" s="25"/>
    </row>
    <row r="6889" spans="1:10" ht="14.4">
      <c r="A6889" s="25"/>
      <c r="B6889" s="25"/>
      <c r="C6889" s="25"/>
      <c r="D6889" s="25"/>
      <c r="E6889" s="25"/>
      <c r="F6889" s="25"/>
      <c r="G6889" s="25"/>
      <c r="H6889" s="25"/>
      <c r="I6889" s="25"/>
      <c r="J6889" s="25"/>
    </row>
    <row r="6890" spans="1:10" ht="14.4">
      <c r="A6890" s="25"/>
      <c r="B6890" s="25"/>
      <c r="C6890" s="25"/>
      <c r="D6890" s="25"/>
      <c r="E6890" s="25"/>
      <c r="F6890" s="25"/>
      <c r="G6890" s="25"/>
      <c r="H6890" s="25"/>
      <c r="I6890" s="25"/>
      <c r="J6890" s="25"/>
    </row>
    <row r="6891" spans="1:10" ht="14.4">
      <c r="A6891" s="25"/>
      <c r="B6891" s="25"/>
      <c r="C6891" s="25"/>
      <c r="D6891" s="25"/>
      <c r="E6891" s="25"/>
      <c r="F6891" s="25"/>
      <c r="G6891" s="25"/>
      <c r="H6891" s="25"/>
      <c r="I6891" s="25"/>
      <c r="J6891" s="25"/>
    </row>
    <row r="6892" spans="1:10" ht="14.4">
      <c r="A6892" s="25"/>
      <c r="B6892" s="25"/>
      <c r="C6892" s="25"/>
      <c r="D6892" s="25"/>
      <c r="E6892" s="25"/>
      <c r="F6892" s="25"/>
      <c r="G6892" s="25"/>
      <c r="H6892" s="25"/>
      <c r="I6892" s="25"/>
      <c r="J6892" s="25"/>
    </row>
    <row r="6893" spans="1:10" ht="14.4">
      <c r="A6893" s="25"/>
      <c r="B6893" s="25"/>
      <c r="C6893" s="25"/>
      <c r="D6893" s="25"/>
      <c r="E6893" s="25"/>
      <c r="F6893" s="25"/>
      <c r="G6893" s="25"/>
      <c r="H6893" s="25"/>
      <c r="I6893" s="25"/>
      <c r="J6893" s="25"/>
    </row>
    <row r="6894" spans="1:10" ht="14.4">
      <c r="A6894" s="25"/>
      <c r="B6894" s="25"/>
      <c r="C6894" s="25"/>
      <c r="D6894" s="25"/>
      <c r="E6894" s="25"/>
      <c r="F6894" s="25"/>
      <c r="G6894" s="25"/>
      <c r="H6894" s="25"/>
      <c r="I6894" s="25"/>
      <c r="J6894" s="25"/>
    </row>
    <row r="6895" spans="1:10" ht="14.4">
      <c r="A6895" s="25"/>
      <c r="B6895" s="25"/>
      <c r="C6895" s="25"/>
      <c r="D6895" s="25"/>
      <c r="E6895" s="25"/>
      <c r="F6895" s="25"/>
      <c r="G6895" s="25"/>
      <c r="H6895" s="25"/>
      <c r="I6895" s="25"/>
      <c r="J6895" s="25"/>
    </row>
    <row r="6896" spans="1:10" ht="14.4">
      <c r="A6896" s="25"/>
      <c r="B6896" s="25"/>
      <c r="C6896" s="25"/>
      <c r="D6896" s="25"/>
      <c r="E6896" s="25"/>
      <c r="F6896" s="25"/>
      <c r="G6896" s="25"/>
      <c r="H6896" s="25"/>
      <c r="I6896" s="25"/>
      <c r="J6896" s="25"/>
    </row>
    <row r="6897" spans="1:10" ht="14.4">
      <c r="A6897" s="25"/>
      <c r="B6897" s="25"/>
      <c r="C6897" s="25"/>
      <c r="D6897" s="25"/>
      <c r="E6897" s="25"/>
      <c r="F6897" s="25"/>
      <c r="G6897" s="25"/>
      <c r="H6897" s="25"/>
      <c r="I6897" s="25"/>
      <c r="J6897" s="25"/>
    </row>
    <row r="6898" spans="1:10" ht="14.4">
      <c r="A6898" s="25"/>
      <c r="B6898" s="25"/>
      <c r="C6898" s="25"/>
      <c r="D6898" s="25"/>
      <c r="E6898" s="25"/>
      <c r="F6898" s="25"/>
      <c r="G6898" s="25"/>
      <c r="H6898" s="25"/>
      <c r="I6898" s="25"/>
      <c r="J6898" s="25"/>
    </row>
    <row r="6899" spans="1:10" ht="14.4">
      <c r="A6899" s="25"/>
      <c r="B6899" s="25"/>
      <c r="C6899" s="25"/>
      <c r="D6899" s="25"/>
      <c r="E6899" s="25"/>
      <c r="F6899" s="25"/>
      <c r="G6899" s="25"/>
      <c r="H6899" s="25"/>
      <c r="I6899" s="25"/>
      <c r="J6899" s="25"/>
    </row>
    <row r="6900" spans="1:10" ht="14.4">
      <c r="A6900" s="25"/>
      <c r="B6900" s="25"/>
      <c r="C6900" s="25"/>
      <c r="D6900" s="25"/>
      <c r="E6900" s="25"/>
      <c r="F6900" s="25"/>
      <c r="G6900" s="25"/>
      <c r="H6900" s="25"/>
      <c r="I6900" s="25"/>
      <c r="J6900" s="25"/>
    </row>
    <row r="6901" spans="1:10" ht="14.4">
      <c r="A6901" s="25"/>
      <c r="B6901" s="25"/>
      <c r="C6901" s="25"/>
      <c r="D6901" s="25"/>
      <c r="E6901" s="25"/>
      <c r="F6901" s="25"/>
      <c r="G6901" s="25"/>
      <c r="H6901" s="25"/>
      <c r="I6901" s="25"/>
      <c r="J6901" s="25"/>
    </row>
    <row r="6902" spans="1:10" ht="14.4">
      <c r="A6902" s="25"/>
      <c r="B6902" s="25"/>
      <c r="C6902" s="25"/>
      <c r="D6902" s="25"/>
      <c r="E6902" s="25"/>
      <c r="F6902" s="25"/>
      <c r="G6902" s="25"/>
      <c r="H6902" s="25"/>
      <c r="I6902" s="25"/>
      <c r="J6902" s="25"/>
    </row>
    <row r="6903" spans="1:10" ht="14.4">
      <c r="A6903" s="25"/>
      <c r="B6903" s="25"/>
      <c r="C6903" s="25"/>
      <c r="D6903" s="25"/>
      <c r="E6903" s="25"/>
      <c r="F6903" s="25"/>
      <c r="G6903" s="25"/>
      <c r="H6903" s="25"/>
      <c r="I6903" s="25"/>
      <c r="J6903" s="25"/>
    </row>
    <row r="6904" spans="1:10" ht="14.4">
      <c r="A6904" s="25"/>
      <c r="B6904" s="25"/>
      <c r="C6904" s="25"/>
      <c r="D6904" s="25"/>
      <c r="E6904" s="25"/>
      <c r="F6904" s="25"/>
      <c r="G6904" s="25"/>
      <c r="H6904" s="25"/>
      <c r="I6904" s="25"/>
      <c r="J6904" s="25"/>
    </row>
    <row r="6905" spans="1:10" ht="14.4">
      <c r="A6905" s="25"/>
      <c r="B6905" s="25"/>
      <c r="C6905" s="25"/>
      <c r="D6905" s="25"/>
      <c r="E6905" s="25"/>
      <c r="F6905" s="25"/>
      <c r="G6905" s="25"/>
      <c r="H6905" s="25"/>
      <c r="I6905" s="25"/>
      <c r="J6905" s="25"/>
    </row>
    <row r="6906" spans="1:10" ht="14.4">
      <c r="A6906" s="25"/>
      <c r="B6906" s="25"/>
      <c r="C6906" s="25"/>
      <c r="D6906" s="25"/>
      <c r="E6906" s="25"/>
      <c r="F6906" s="25"/>
      <c r="G6906" s="25"/>
      <c r="H6906" s="25"/>
      <c r="I6906" s="25"/>
      <c r="J6906" s="25"/>
    </row>
    <row r="6907" spans="1:10" ht="14.4">
      <c r="A6907" s="25"/>
      <c r="B6907" s="25"/>
      <c r="C6907" s="25"/>
      <c r="D6907" s="25"/>
      <c r="E6907" s="25"/>
      <c r="F6907" s="25"/>
      <c r="G6907" s="25"/>
      <c r="H6907" s="25"/>
      <c r="I6907" s="25"/>
      <c r="J6907" s="25"/>
    </row>
    <row r="6908" spans="1:10" ht="14.4">
      <c r="A6908" s="25"/>
      <c r="B6908" s="25"/>
      <c r="C6908" s="25"/>
      <c r="D6908" s="25"/>
      <c r="E6908" s="25"/>
      <c r="F6908" s="25"/>
      <c r="G6908" s="25"/>
      <c r="H6908" s="25"/>
      <c r="I6908" s="25"/>
      <c r="J6908" s="25"/>
    </row>
    <row r="6909" spans="1:10" ht="14.4">
      <c r="A6909" s="25"/>
      <c r="B6909" s="25"/>
      <c r="C6909" s="25"/>
      <c r="D6909" s="25"/>
      <c r="E6909" s="25"/>
      <c r="F6909" s="25"/>
      <c r="G6909" s="25"/>
      <c r="H6909" s="25"/>
      <c r="I6909" s="25"/>
      <c r="J6909" s="25"/>
    </row>
    <row r="6910" spans="1:10" ht="14.4">
      <c r="A6910" s="25"/>
      <c r="B6910" s="25"/>
      <c r="C6910" s="25"/>
      <c r="D6910" s="25"/>
      <c r="E6910" s="25"/>
      <c r="F6910" s="25"/>
      <c r="G6910" s="25"/>
      <c r="H6910" s="25"/>
      <c r="I6910" s="25"/>
      <c r="J6910" s="25"/>
    </row>
    <row r="6911" spans="1:10" ht="14.4">
      <c r="A6911" s="25"/>
      <c r="B6911" s="25"/>
      <c r="C6911" s="25"/>
      <c r="D6911" s="25"/>
      <c r="E6911" s="25"/>
      <c r="F6911" s="25"/>
      <c r="G6911" s="25"/>
      <c r="H6911" s="25"/>
      <c r="I6911" s="25"/>
      <c r="J6911" s="25"/>
    </row>
    <row r="6912" spans="1:10" ht="14.4">
      <c r="A6912" s="25"/>
      <c r="B6912" s="25"/>
      <c r="C6912" s="25"/>
      <c r="D6912" s="25"/>
      <c r="E6912" s="25"/>
      <c r="F6912" s="25"/>
      <c r="G6912" s="25"/>
      <c r="H6912" s="25"/>
      <c r="I6912" s="25"/>
      <c r="J6912" s="25"/>
    </row>
    <row r="6913" spans="1:10" ht="14.4">
      <c r="A6913" s="25"/>
      <c r="B6913" s="25"/>
      <c r="C6913" s="25"/>
      <c r="D6913" s="25"/>
      <c r="E6913" s="25"/>
      <c r="F6913" s="25"/>
      <c r="G6913" s="25"/>
      <c r="H6913" s="25"/>
      <c r="I6913" s="25"/>
      <c r="J6913" s="25"/>
    </row>
    <row r="6914" spans="1:10" ht="14.4">
      <c r="A6914" s="25"/>
      <c r="B6914" s="25"/>
      <c r="C6914" s="25"/>
      <c r="D6914" s="25"/>
      <c r="E6914" s="25"/>
      <c r="F6914" s="25"/>
      <c r="G6914" s="25"/>
      <c r="H6914" s="25"/>
      <c r="I6914" s="25"/>
      <c r="J6914" s="25"/>
    </row>
    <row r="6915" spans="1:10" ht="14.4">
      <c r="A6915" s="25"/>
      <c r="B6915" s="25"/>
      <c r="C6915" s="25"/>
      <c r="D6915" s="25"/>
      <c r="E6915" s="25"/>
      <c r="F6915" s="25"/>
      <c r="G6915" s="25"/>
      <c r="H6915" s="25"/>
      <c r="I6915" s="25"/>
      <c r="J6915" s="25"/>
    </row>
    <row r="6916" spans="1:10" ht="14.4">
      <c r="A6916" s="25"/>
      <c r="B6916" s="25"/>
      <c r="C6916" s="25"/>
      <c r="D6916" s="25"/>
      <c r="E6916" s="25"/>
      <c r="F6916" s="25"/>
      <c r="G6916" s="25"/>
      <c r="H6916" s="25"/>
      <c r="I6916" s="25"/>
      <c r="J6916" s="25"/>
    </row>
    <row r="6917" spans="1:10" ht="14.4">
      <c r="A6917" s="25"/>
      <c r="B6917" s="25"/>
      <c r="C6917" s="25"/>
      <c r="D6917" s="25"/>
      <c r="E6917" s="25"/>
      <c r="F6917" s="25"/>
      <c r="G6917" s="25"/>
      <c r="H6917" s="25"/>
      <c r="I6917" s="25"/>
      <c r="J6917" s="25"/>
    </row>
    <row r="6918" spans="1:10" ht="14.4">
      <c r="A6918" s="25"/>
      <c r="B6918" s="25"/>
      <c r="C6918" s="25"/>
      <c r="D6918" s="25"/>
      <c r="E6918" s="25"/>
      <c r="F6918" s="25"/>
      <c r="G6918" s="25"/>
      <c r="H6918" s="25"/>
      <c r="I6918" s="25"/>
      <c r="J6918" s="25"/>
    </row>
    <row r="6919" spans="1:10" ht="14.4">
      <c r="A6919" s="25"/>
      <c r="B6919" s="25"/>
      <c r="C6919" s="25"/>
      <c r="D6919" s="25"/>
      <c r="E6919" s="25"/>
      <c r="F6919" s="25"/>
      <c r="G6919" s="25"/>
      <c r="H6919" s="25"/>
      <c r="I6919" s="25"/>
      <c r="J6919" s="25"/>
    </row>
    <row r="6920" spans="1:10" ht="14.4">
      <c r="A6920" s="25"/>
      <c r="B6920" s="25"/>
      <c r="C6920" s="25"/>
      <c r="D6920" s="25"/>
      <c r="E6920" s="25"/>
      <c r="F6920" s="25"/>
      <c r="G6920" s="25"/>
      <c r="H6920" s="25"/>
      <c r="I6920" s="25"/>
      <c r="J6920" s="25"/>
    </row>
    <row r="6921" spans="1:10" ht="14.4">
      <c r="A6921" s="25"/>
      <c r="B6921" s="25"/>
      <c r="C6921" s="25"/>
      <c r="D6921" s="25"/>
      <c r="E6921" s="25"/>
      <c r="F6921" s="25"/>
      <c r="G6921" s="25"/>
      <c r="H6921" s="25"/>
      <c r="I6921" s="25"/>
      <c r="J6921" s="25"/>
    </row>
    <row r="6922" spans="1:10" ht="14.4">
      <c r="A6922" s="25"/>
      <c r="B6922" s="25"/>
      <c r="C6922" s="25"/>
      <c r="D6922" s="25"/>
      <c r="E6922" s="25"/>
      <c r="F6922" s="25"/>
      <c r="G6922" s="25"/>
      <c r="H6922" s="25"/>
      <c r="I6922" s="25"/>
      <c r="J6922" s="25"/>
    </row>
    <row r="6923" spans="1:10" ht="14.4">
      <c r="A6923" s="25"/>
      <c r="B6923" s="25"/>
      <c r="C6923" s="25"/>
      <c r="D6923" s="25"/>
      <c r="E6923" s="25"/>
      <c r="F6923" s="25"/>
      <c r="G6923" s="25"/>
      <c r="H6923" s="25"/>
      <c r="I6923" s="25"/>
      <c r="J6923" s="25"/>
    </row>
    <row r="6924" spans="1:10" ht="14.4">
      <c r="A6924" s="25"/>
      <c r="B6924" s="25"/>
      <c r="C6924" s="25"/>
      <c r="D6924" s="25"/>
      <c r="E6924" s="25"/>
      <c r="F6924" s="25"/>
      <c r="G6924" s="25"/>
      <c r="H6924" s="25"/>
      <c r="I6924" s="25"/>
      <c r="J6924" s="25"/>
    </row>
    <row r="6925" spans="1:10" ht="14.4">
      <c r="A6925" s="25"/>
      <c r="B6925" s="25"/>
      <c r="C6925" s="25"/>
      <c r="D6925" s="25"/>
      <c r="E6925" s="25"/>
      <c r="F6925" s="25"/>
      <c r="G6925" s="25"/>
      <c r="H6925" s="25"/>
      <c r="I6925" s="25"/>
      <c r="J6925" s="25"/>
    </row>
    <row r="6926" spans="1:10" ht="14.4">
      <c r="A6926" s="25"/>
      <c r="B6926" s="25"/>
      <c r="C6926" s="25"/>
      <c r="D6926" s="25"/>
      <c r="E6926" s="25"/>
      <c r="F6926" s="25"/>
      <c r="G6926" s="25"/>
      <c r="H6926" s="25"/>
      <c r="I6926" s="25"/>
      <c r="J6926" s="25"/>
    </row>
    <row r="6927" spans="1:10" ht="14.4">
      <c r="A6927" s="25"/>
      <c r="B6927" s="25"/>
      <c r="C6927" s="25"/>
      <c r="D6927" s="25"/>
      <c r="E6927" s="25"/>
      <c r="F6927" s="25"/>
      <c r="G6927" s="25"/>
      <c r="H6927" s="25"/>
      <c r="I6927" s="25"/>
      <c r="J6927" s="25"/>
    </row>
    <row r="6928" spans="1:10" ht="14.4">
      <c r="A6928" s="25"/>
      <c r="B6928" s="25"/>
      <c r="C6928" s="25"/>
      <c r="D6928" s="25"/>
      <c r="E6928" s="25"/>
      <c r="F6928" s="25"/>
      <c r="G6928" s="25"/>
      <c r="H6928" s="25"/>
      <c r="I6928" s="25"/>
      <c r="J6928" s="25"/>
    </row>
    <row r="6929" spans="1:10" ht="14.4">
      <c r="A6929" s="25"/>
      <c r="B6929" s="25"/>
      <c r="C6929" s="25"/>
      <c r="D6929" s="25"/>
      <c r="E6929" s="25"/>
      <c r="F6929" s="25"/>
      <c r="G6929" s="25"/>
      <c r="H6929" s="25"/>
      <c r="I6929" s="25"/>
      <c r="J6929" s="25"/>
    </row>
    <row r="6930" spans="1:10" ht="14.4">
      <c r="A6930" s="25"/>
      <c r="B6930" s="25"/>
      <c r="C6930" s="25"/>
      <c r="D6930" s="25"/>
      <c r="E6930" s="25"/>
      <c r="F6930" s="25"/>
      <c r="G6930" s="25"/>
      <c r="H6930" s="25"/>
      <c r="I6930" s="25"/>
      <c r="J6930" s="25"/>
    </row>
    <row r="6931" spans="1:10" ht="14.4">
      <c r="A6931" s="25"/>
      <c r="B6931" s="25"/>
      <c r="C6931" s="25"/>
      <c r="D6931" s="25"/>
      <c r="E6931" s="25"/>
      <c r="F6931" s="25"/>
      <c r="G6931" s="25"/>
      <c r="H6931" s="25"/>
      <c r="I6931" s="25"/>
      <c r="J6931" s="25"/>
    </row>
    <row r="6932" spans="1:10" ht="14.4">
      <c r="A6932" s="25"/>
      <c r="B6932" s="25"/>
      <c r="C6932" s="25"/>
      <c r="D6932" s="25"/>
      <c r="E6932" s="25"/>
      <c r="F6932" s="25"/>
      <c r="G6932" s="25"/>
      <c r="H6932" s="25"/>
      <c r="I6932" s="25"/>
      <c r="J6932" s="25"/>
    </row>
    <row r="6933" spans="1:10" ht="14.4">
      <c r="A6933" s="25"/>
      <c r="B6933" s="25"/>
      <c r="C6933" s="25"/>
      <c r="D6933" s="25"/>
      <c r="E6933" s="25"/>
      <c r="F6933" s="25"/>
      <c r="G6933" s="25"/>
      <c r="H6933" s="25"/>
      <c r="I6933" s="25"/>
      <c r="J6933" s="25"/>
    </row>
    <row r="6934" spans="1:10" ht="14.4">
      <c r="A6934" s="25"/>
      <c r="B6934" s="25"/>
      <c r="C6934" s="25"/>
      <c r="D6934" s="25"/>
      <c r="E6934" s="25"/>
      <c r="F6934" s="25"/>
      <c r="G6934" s="25"/>
      <c r="H6934" s="25"/>
      <c r="I6934" s="25"/>
      <c r="J6934" s="25"/>
    </row>
    <row r="6935" spans="1:10" ht="14.4">
      <c r="A6935" s="25"/>
      <c r="B6935" s="25"/>
      <c r="C6935" s="25"/>
      <c r="D6935" s="25"/>
      <c r="E6935" s="25"/>
      <c r="F6935" s="25"/>
      <c r="G6935" s="25"/>
      <c r="H6935" s="25"/>
      <c r="I6935" s="25"/>
      <c r="J6935" s="25"/>
    </row>
    <row r="6936" spans="1:10" ht="14.4">
      <c r="A6936" s="25"/>
      <c r="B6936" s="25"/>
      <c r="C6936" s="25"/>
      <c r="D6936" s="25"/>
      <c r="E6936" s="25"/>
      <c r="F6936" s="25"/>
      <c r="G6936" s="25"/>
      <c r="H6936" s="25"/>
      <c r="I6936" s="25"/>
      <c r="J6936" s="25"/>
    </row>
    <row r="6937" spans="1:10" ht="14.4">
      <c r="A6937" s="25"/>
      <c r="B6937" s="25"/>
      <c r="C6937" s="25"/>
      <c r="D6937" s="25"/>
      <c r="E6937" s="25"/>
      <c r="F6937" s="25"/>
      <c r="G6937" s="25"/>
      <c r="H6937" s="25"/>
      <c r="I6937" s="25"/>
      <c r="J6937" s="25"/>
    </row>
    <row r="6938" spans="1:10" ht="14.4">
      <c r="A6938" s="25"/>
      <c r="B6938" s="25"/>
      <c r="C6938" s="25"/>
      <c r="D6938" s="25"/>
      <c r="E6938" s="25"/>
      <c r="F6938" s="25"/>
      <c r="G6938" s="25"/>
      <c r="H6938" s="25"/>
      <c r="I6938" s="25"/>
      <c r="J6938" s="25"/>
    </row>
    <row r="6939" spans="1:10" ht="14.4">
      <c r="A6939" s="25"/>
      <c r="B6939" s="25"/>
      <c r="C6939" s="25"/>
      <c r="D6939" s="25"/>
      <c r="E6939" s="25"/>
      <c r="F6939" s="25"/>
      <c r="G6939" s="25"/>
      <c r="H6939" s="25"/>
      <c r="I6939" s="25"/>
      <c r="J6939" s="25"/>
    </row>
    <row r="6940" spans="1:10" ht="14.4">
      <c r="A6940" s="25"/>
      <c r="B6940" s="25"/>
      <c r="C6940" s="25"/>
      <c r="D6940" s="25"/>
      <c r="E6940" s="25"/>
      <c r="F6940" s="25"/>
      <c r="G6940" s="25"/>
      <c r="H6940" s="25"/>
      <c r="I6940" s="25"/>
      <c r="J6940" s="25"/>
    </row>
    <row r="6941" spans="1:10" ht="14.4">
      <c r="A6941" s="25"/>
      <c r="B6941" s="25"/>
      <c r="C6941" s="25"/>
      <c r="D6941" s="25"/>
      <c r="E6941" s="25"/>
      <c r="F6941" s="25"/>
      <c r="G6941" s="25"/>
      <c r="H6941" s="25"/>
      <c r="I6941" s="25"/>
      <c r="J6941" s="25"/>
    </row>
    <row r="6942" spans="1:10" ht="14.4">
      <c r="A6942" s="25"/>
      <c r="B6942" s="25"/>
      <c r="C6942" s="25"/>
      <c r="D6942" s="25"/>
      <c r="E6942" s="25"/>
      <c r="F6942" s="25"/>
      <c r="G6942" s="25"/>
      <c r="H6942" s="25"/>
      <c r="I6942" s="25"/>
      <c r="J6942" s="25"/>
    </row>
    <row r="6943" spans="1:10" ht="14.4">
      <c r="A6943" s="25"/>
      <c r="B6943" s="25"/>
      <c r="C6943" s="25"/>
      <c r="D6943" s="25"/>
      <c r="E6943" s="25"/>
      <c r="F6943" s="25"/>
      <c r="G6943" s="25"/>
      <c r="H6943" s="25"/>
      <c r="I6943" s="25"/>
      <c r="J6943" s="25"/>
    </row>
    <row r="6944" spans="1:10" ht="14.4">
      <c r="A6944" s="25"/>
      <c r="B6944" s="25"/>
      <c r="C6944" s="25"/>
      <c r="D6944" s="25"/>
      <c r="E6944" s="25"/>
      <c r="F6944" s="25"/>
      <c r="G6944" s="25"/>
      <c r="H6944" s="25"/>
      <c r="I6944" s="25"/>
      <c r="J6944" s="25"/>
    </row>
    <row r="6945" spans="1:10" ht="14.4">
      <c r="A6945" s="25"/>
      <c r="B6945" s="25"/>
      <c r="C6945" s="25"/>
      <c r="D6945" s="25"/>
      <c r="E6945" s="25"/>
      <c r="F6945" s="25"/>
      <c r="G6945" s="25"/>
      <c r="H6945" s="25"/>
      <c r="I6945" s="25"/>
      <c r="J6945" s="25"/>
    </row>
    <row r="6946" spans="1:10" ht="14.4">
      <c r="A6946" s="25"/>
      <c r="B6946" s="25"/>
      <c r="C6946" s="25"/>
      <c r="D6946" s="25"/>
      <c r="E6946" s="25"/>
      <c r="F6946" s="25"/>
      <c r="G6946" s="25"/>
      <c r="H6946" s="25"/>
      <c r="I6946" s="25"/>
      <c r="J6946" s="25"/>
    </row>
    <row r="6947" spans="1:10" ht="14.4">
      <c r="A6947" s="25"/>
      <c r="B6947" s="25"/>
      <c r="C6947" s="25"/>
      <c r="D6947" s="25"/>
      <c r="E6947" s="25"/>
      <c r="F6947" s="25"/>
      <c r="G6947" s="25"/>
      <c r="H6947" s="25"/>
      <c r="I6947" s="25"/>
      <c r="J6947" s="25"/>
    </row>
    <row r="6948" spans="1:10" ht="14.4">
      <c r="A6948" s="25"/>
      <c r="B6948" s="25"/>
      <c r="C6948" s="25"/>
      <c r="D6948" s="25"/>
      <c r="E6948" s="25"/>
      <c r="F6948" s="25"/>
      <c r="G6948" s="25"/>
      <c r="H6948" s="25"/>
      <c r="I6948" s="25"/>
      <c r="J6948" s="25"/>
    </row>
    <row r="6949" spans="1:10" ht="14.4">
      <c r="A6949" s="25"/>
      <c r="B6949" s="25"/>
      <c r="C6949" s="25"/>
      <c r="D6949" s="25"/>
      <c r="E6949" s="25"/>
      <c r="F6949" s="25"/>
      <c r="G6949" s="25"/>
      <c r="H6949" s="25"/>
      <c r="I6949" s="25"/>
      <c r="J6949" s="25"/>
    </row>
    <row r="6950" spans="1:10" ht="14.4">
      <c r="A6950" s="25"/>
      <c r="B6950" s="25"/>
      <c r="C6950" s="25"/>
      <c r="D6950" s="25"/>
      <c r="E6950" s="25"/>
      <c r="F6950" s="25"/>
      <c r="G6950" s="25"/>
      <c r="H6950" s="25"/>
      <c r="I6950" s="25"/>
      <c r="J6950" s="25"/>
    </row>
    <row r="6951" spans="1:10" ht="14.4">
      <c r="A6951" s="25"/>
      <c r="B6951" s="25"/>
      <c r="C6951" s="25"/>
      <c r="D6951" s="25"/>
      <c r="E6951" s="25"/>
      <c r="F6951" s="25"/>
      <c r="G6951" s="25"/>
      <c r="H6951" s="25"/>
      <c r="I6951" s="25"/>
      <c r="J6951" s="25"/>
    </row>
    <row r="6952" spans="1:10" ht="14.4">
      <c r="A6952" s="25"/>
      <c r="B6952" s="25"/>
      <c r="C6952" s="25"/>
      <c r="D6952" s="25"/>
      <c r="E6952" s="25"/>
      <c r="F6952" s="25"/>
      <c r="G6952" s="25"/>
      <c r="H6952" s="25"/>
      <c r="I6952" s="25"/>
      <c r="J6952" s="25"/>
    </row>
    <row r="6953" spans="1:10" ht="14.4">
      <c r="A6953" s="25"/>
      <c r="B6953" s="25"/>
      <c r="C6953" s="25"/>
      <c r="D6953" s="25"/>
      <c r="E6953" s="25"/>
      <c r="F6953" s="25"/>
      <c r="G6953" s="25"/>
      <c r="H6953" s="25"/>
      <c r="I6953" s="25"/>
      <c r="J6953" s="25"/>
    </row>
    <row r="6954" spans="1:10" ht="14.4">
      <c r="A6954" s="25"/>
      <c r="B6954" s="25"/>
      <c r="C6954" s="25"/>
      <c r="D6954" s="25"/>
      <c r="E6954" s="25"/>
      <c r="F6954" s="25"/>
      <c r="G6954" s="25"/>
      <c r="H6954" s="25"/>
      <c r="I6954" s="25"/>
      <c r="J6954" s="25"/>
    </row>
    <row r="6955" spans="1:10" ht="14.4">
      <c r="A6955" s="25"/>
      <c r="B6955" s="25"/>
      <c r="C6955" s="25"/>
      <c r="D6955" s="25"/>
      <c r="E6955" s="25"/>
      <c r="F6955" s="25"/>
      <c r="G6955" s="25"/>
      <c r="H6955" s="25"/>
      <c r="I6955" s="25"/>
      <c r="J6955" s="25"/>
    </row>
    <row r="6956" spans="1:10" ht="14.4">
      <c r="A6956" s="25"/>
      <c r="B6956" s="25"/>
      <c r="C6956" s="25"/>
      <c r="D6956" s="25"/>
      <c r="E6956" s="25"/>
      <c r="F6956" s="25"/>
      <c r="G6956" s="25"/>
      <c r="H6956" s="25"/>
      <c r="I6956" s="25"/>
      <c r="J6956" s="25"/>
    </row>
    <row r="6957" spans="1:10" ht="14.4">
      <c r="A6957" s="25"/>
      <c r="B6957" s="25"/>
      <c r="C6957" s="25"/>
      <c r="D6957" s="25"/>
      <c r="E6957" s="25"/>
      <c r="F6957" s="25"/>
      <c r="G6957" s="25"/>
      <c r="H6957" s="25"/>
      <c r="I6957" s="25"/>
      <c r="J6957" s="25"/>
    </row>
    <row r="6958" spans="1:10" ht="14.4">
      <c r="A6958" s="25"/>
      <c r="B6958" s="25"/>
      <c r="C6958" s="25"/>
      <c r="D6958" s="25"/>
      <c r="E6958" s="25"/>
      <c r="F6958" s="25"/>
      <c r="G6958" s="25"/>
      <c r="H6958" s="25"/>
      <c r="I6958" s="25"/>
      <c r="J6958" s="25"/>
    </row>
    <row r="6959" spans="1:10" ht="14.4">
      <c r="A6959" s="25"/>
      <c r="B6959" s="25"/>
      <c r="C6959" s="25"/>
      <c r="D6959" s="25"/>
      <c r="E6959" s="25"/>
      <c r="F6959" s="25"/>
      <c r="G6959" s="25"/>
      <c r="H6959" s="25"/>
      <c r="I6959" s="25"/>
      <c r="J6959" s="25"/>
    </row>
    <row r="6960" spans="1:10" ht="14.4">
      <c r="A6960" s="25"/>
      <c r="B6960" s="25"/>
      <c r="C6960" s="25"/>
      <c r="D6960" s="25"/>
      <c r="E6960" s="25"/>
      <c r="F6960" s="25"/>
      <c r="G6960" s="25"/>
      <c r="H6960" s="25"/>
      <c r="I6960" s="25"/>
      <c r="J6960" s="25"/>
    </row>
    <row r="6961" spans="1:10" ht="14.4">
      <c r="A6961" s="25"/>
      <c r="B6961" s="25"/>
      <c r="C6961" s="25"/>
      <c r="D6961" s="25"/>
      <c r="E6961" s="25"/>
      <c r="F6961" s="25"/>
      <c r="G6961" s="25"/>
      <c r="H6961" s="25"/>
      <c r="I6961" s="25"/>
      <c r="J6961" s="25"/>
    </row>
    <row r="6962" spans="1:10" ht="14.4">
      <c r="A6962" s="25"/>
      <c r="B6962" s="25"/>
      <c r="C6962" s="25"/>
      <c r="D6962" s="25"/>
      <c r="E6962" s="25"/>
      <c r="F6962" s="25"/>
      <c r="G6962" s="25"/>
      <c r="H6962" s="25"/>
      <c r="I6962" s="25"/>
      <c r="J6962" s="25"/>
    </row>
    <row r="6963" spans="1:10" ht="14.4">
      <c r="A6963" s="25"/>
      <c r="B6963" s="25"/>
      <c r="C6963" s="25"/>
      <c r="D6963" s="25"/>
      <c r="E6963" s="25"/>
      <c r="F6963" s="25"/>
      <c r="G6963" s="25"/>
      <c r="H6963" s="25"/>
      <c r="I6963" s="25"/>
      <c r="J6963" s="25"/>
    </row>
    <row r="6964" spans="1:10" ht="14.4">
      <c r="A6964" s="25"/>
      <c r="B6964" s="25"/>
      <c r="C6964" s="25"/>
      <c r="D6964" s="25"/>
      <c r="E6964" s="25"/>
      <c r="F6964" s="25"/>
      <c r="G6964" s="25"/>
      <c r="H6964" s="25"/>
      <c r="I6964" s="25"/>
      <c r="J6964" s="25"/>
    </row>
    <row r="6965" spans="1:10" ht="14.4">
      <c r="A6965" s="25"/>
      <c r="B6965" s="25"/>
      <c r="C6965" s="25"/>
      <c r="D6965" s="25"/>
      <c r="E6965" s="25"/>
      <c r="F6965" s="25"/>
      <c r="G6965" s="25"/>
      <c r="H6965" s="25"/>
      <c r="I6965" s="25"/>
      <c r="J6965" s="25"/>
    </row>
    <row r="6966" spans="1:10" ht="14.4">
      <c r="A6966" s="25"/>
      <c r="B6966" s="25"/>
      <c r="C6966" s="25"/>
      <c r="D6966" s="25"/>
      <c r="E6966" s="25"/>
      <c r="F6966" s="25"/>
      <c r="G6966" s="25"/>
      <c r="H6966" s="25"/>
      <c r="I6966" s="25"/>
      <c r="J6966" s="25"/>
    </row>
    <row r="6967" spans="1:10" ht="14.4">
      <c r="A6967" s="25"/>
      <c r="B6967" s="25"/>
      <c r="C6967" s="25"/>
      <c r="D6967" s="25"/>
      <c r="E6967" s="25"/>
      <c r="F6967" s="25"/>
      <c r="G6967" s="25"/>
      <c r="H6967" s="25"/>
      <c r="I6967" s="25"/>
      <c r="J6967" s="25"/>
    </row>
    <row r="6968" spans="1:10" ht="14.4">
      <c r="A6968" s="25"/>
      <c r="B6968" s="25"/>
      <c r="C6968" s="25"/>
      <c r="D6968" s="25"/>
      <c r="E6968" s="25"/>
      <c r="F6968" s="25"/>
      <c r="G6968" s="25"/>
      <c r="H6968" s="25"/>
      <c r="I6968" s="25"/>
      <c r="J6968" s="25"/>
    </row>
    <row r="6969" spans="1:10" ht="14.4">
      <c r="A6969" s="25"/>
      <c r="B6969" s="25"/>
      <c r="C6969" s="25"/>
      <c r="D6969" s="25"/>
      <c r="E6969" s="25"/>
      <c r="F6969" s="25"/>
      <c r="G6969" s="25"/>
      <c r="H6969" s="25"/>
      <c r="I6969" s="25"/>
      <c r="J6969" s="25"/>
    </row>
    <row r="6970" spans="1:10" ht="14.4">
      <c r="A6970" s="25"/>
      <c r="B6970" s="25"/>
      <c r="C6970" s="25"/>
      <c r="D6970" s="25"/>
      <c r="E6970" s="25"/>
      <c r="F6970" s="25"/>
      <c r="G6970" s="25"/>
      <c r="H6970" s="25"/>
      <c r="I6970" s="25"/>
      <c r="J6970" s="25"/>
    </row>
    <row r="6971" spans="1:10" ht="14.4">
      <c r="A6971" s="25"/>
      <c r="B6971" s="25"/>
      <c r="C6971" s="25"/>
      <c r="D6971" s="25"/>
      <c r="E6971" s="25"/>
      <c r="F6971" s="25"/>
      <c r="G6971" s="25"/>
      <c r="H6971" s="25"/>
      <c r="I6971" s="25"/>
      <c r="J6971" s="25"/>
    </row>
    <row r="6972" spans="1:10" ht="14.4">
      <c r="A6972" s="25"/>
      <c r="B6972" s="25"/>
      <c r="C6972" s="25"/>
      <c r="D6972" s="25"/>
      <c r="E6972" s="25"/>
      <c r="F6972" s="25"/>
      <c r="G6972" s="25"/>
      <c r="H6972" s="25"/>
      <c r="I6972" s="25"/>
      <c r="J6972" s="25"/>
    </row>
    <row r="6973" spans="1:10" ht="14.4">
      <c r="A6973" s="25"/>
      <c r="B6973" s="25"/>
      <c r="C6973" s="25"/>
      <c r="D6973" s="25"/>
      <c r="E6973" s="25"/>
      <c r="F6973" s="25"/>
      <c r="G6973" s="25"/>
      <c r="H6973" s="25"/>
      <c r="I6973" s="25"/>
      <c r="J6973" s="25"/>
    </row>
    <row r="6974" spans="1:10" ht="14.4">
      <c r="A6974" s="25"/>
      <c r="B6974" s="25"/>
      <c r="C6974" s="25"/>
      <c r="D6974" s="25"/>
      <c r="E6974" s="25"/>
      <c r="F6974" s="25"/>
      <c r="G6974" s="25"/>
      <c r="H6974" s="25"/>
      <c r="I6974" s="25"/>
      <c r="J6974" s="25"/>
    </row>
    <row r="6975" spans="1:10" ht="14.4">
      <c r="A6975" s="25"/>
      <c r="B6975" s="25"/>
      <c r="C6975" s="25"/>
      <c r="D6975" s="25"/>
      <c r="E6975" s="25"/>
      <c r="F6975" s="25"/>
      <c r="G6975" s="25"/>
      <c r="H6975" s="25"/>
      <c r="I6975" s="25"/>
      <c r="J6975" s="25"/>
    </row>
    <row r="6976" spans="1:10" ht="14.4">
      <c r="A6976" s="25"/>
      <c r="B6976" s="25"/>
      <c r="C6976" s="25"/>
      <c r="D6976" s="25"/>
      <c r="E6976" s="25"/>
      <c r="F6976" s="25"/>
      <c r="G6976" s="25"/>
      <c r="H6976" s="25"/>
      <c r="I6976" s="25"/>
      <c r="J6976" s="25"/>
    </row>
    <row r="6977" spans="1:10" ht="14.4">
      <c r="A6977" s="25"/>
      <c r="B6977" s="25"/>
      <c r="C6977" s="25"/>
      <c r="D6977" s="25"/>
      <c r="E6977" s="25"/>
      <c r="F6977" s="25"/>
      <c r="G6977" s="25"/>
      <c r="H6977" s="25"/>
      <c r="I6977" s="25"/>
      <c r="J6977" s="25"/>
    </row>
    <row r="6978" spans="1:10" ht="14.4">
      <c r="A6978" s="25"/>
      <c r="B6978" s="25"/>
      <c r="C6978" s="25"/>
      <c r="D6978" s="25"/>
      <c r="E6978" s="25"/>
      <c r="F6978" s="25"/>
      <c r="G6978" s="25"/>
      <c r="H6978" s="25"/>
      <c r="I6978" s="25"/>
      <c r="J6978" s="25"/>
    </row>
    <row r="6979" spans="1:10" ht="14.4">
      <c r="A6979" s="25"/>
      <c r="B6979" s="25"/>
      <c r="C6979" s="25"/>
      <c r="D6979" s="25"/>
      <c r="E6979" s="25"/>
      <c r="F6979" s="25"/>
      <c r="G6979" s="25"/>
      <c r="H6979" s="25"/>
      <c r="I6979" s="25"/>
      <c r="J6979" s="25"/>
    </row>
    <row r="6980" spans="1:10" ht="14.4">
      <c r="A6980" s="25"/>
      <c r="B6980" s="25"/>
      <c r="C6980" s="25"/>
      <c r="D6980" s="25"/>
      <c r="E6980" s="25"/>
      <c r="F6980" s="25"/>
      <c r="G6980" s="25"/>
      <c r="H6980" s="25"/>
      <c r="I6980" s="25"/>
      <c r="J6980" s="25"/>
    </row>
    <row r="6981" spans="1:10" ht="14.4">
      <c r="A6981" s="25"/>
      <c r="B6981" s="25"/>
      <c r="C6981" s="25"/>
      <c r="D6981" s="25"/>
      <c r="E6981" s="25"/>
      <c r="F6981" s="25"/>
      <c r="G6981" s="25"/>
      <c r="H6981" s="25"/>
      <c r="I6981" s="25"/>
      <c r="J6981" s="25"/>
    </row>
    <row r="6982" spans="1:10" ht="14.4">
      <c r="A6982" s="25"/>
      <c r="B6982" s="25"/>
      <c r="C6982" s="25"/>
      <c r="D6982" s="25"/>
      <c r="E6982" s="25"/>
      <c r="F6982" s="25"/>
      <c r="G6982" s="25"/>
      <c r="H6982" s="25"/>
      <c r="I6982" s="25"/>
      <c r="J6982" s="25"/>
    </row>
    <row r="6983" spans="1:10" ht="14.4">
      <c r="A6983" s="25"/>
      <c r="B6983" s="25"/>
      <c r="C6983" s="25"/>
      <c r="D6983" s="25"/>
      <c r="E6983" s="25"/>
      <c r="F6983" s="25"/>
      <c r="G6983" s="25"/>
      <c r="H6983" s="25"/>
      <c r="I6983" s="25"/>
      <c r="J6983" s="25"/>
    </row>
    <row r="6984" spans="1:10" ht="14.4">
      <c r="A6984" s="25"/>
      <c r="B6984" s="25"/>
      <c r="C6984" s="25"/>
      <c r="D6984" s="25"/>
      <c r="E6984" s="25"/>
      <c r="F6984" s="25"/>
      <c r="G6984" s="25"/>
      <c r="H6984" s="25"/>
      <c r="I6984" s="25"/>
      <c r="J6984" s="25"/>
    </row>
    <row r="6985" spans="1:10" ht="14.4">
      <c r="A6985" s="25"/>
      <c r="B6985" s="25"/>
      <c r="C6985" s="25"/>
      <c r="D6985" s="25"/>
      <c r="E6985" s="25"/>
      <c r="F6985" s="25"/>
      <c r="G6985" s="25"/>
      <c r="H6985" s="25"/>
      <c r="I6985" s="25"/>
      <c r="J6985" s="25"/>
    </row>
    <row r="6986" spans="1:10" ht="14.4">
      <c r="A6986" s="25"/>
      <c r="B6986" s="25"/>
      <c r="C6986" s="25"/>
      <c r="D6986" s="25"/>
      <c r="E6986" s="25"/>
      <c r="F6986" s="25"/>
      <c r="G6986" s="25"/>
      <c r="H6986" s="25"/>
      <c r="I6986" s="25"/>
      <c r="J6986" s="25"/>
    </row>
    <row r="6987" spans="1:10" ht="14.4">
      <c r="A6987" s="25"/>
      <c r="B6987" s="25"/>
      <c r="C6987" s="25"/>
      <c r="D6987" s="25"/>
      <c r="E6987" s="25"/>
      <c r="F6987" s="25"/>
      <c r="G6987" s="25"/>
      <c r="H6987" s="25"/>
      <c r="I6987" s="25"/>
      <c r="J6987" s="25"/>
    </row>
    <row r="6988" spans="1:10" ht="14.4">
      <c r="A6988" s="25"/>
      <c r="B6988" s="25"/>
      <c r="C6988" s="25"/>
      <c r="D6988" s="25"/>
      <c r="E6988" s="25"/>
      <c r="F6988" s="25"/>
      <c r="G6988" s="25"/>
      <c r="H6988" s="25"/>
      <c r="I6988" s="25"/>
      <c r="J6988" s="25"/>
    </row>
    <row r="6989" spans="1:10" ht="14.4">
      <c r="A6989" s="25"/>
      <c r="B6989" s="25"/>
      <c r="C6989" s="25"/>
      <c r="D6989" s="25"/>
      <c r="E6989" s="25"/>
      <c r="F6989" s="25"/>
      <c r="G6989" s="25"/>
      <c r="H6989" s="25"/>
      <c r="I6989" s="25"/>
      <c r="J6989" s="25"/>
    </row>
    <row r="6990" spans="1:10" ht="14.4">
      <c r="A6990" s="25"/>
      <c r="B6990" s="25"/>
      <c r="C6990" s="25"/>
      <c r="D6990" s="25"/>
      <c r="E6990" s="25"/>
      <c r="F6990" s="25"/>
      <c r="G6990" s="25"/>
      <c r="H6990" s="25"/>
      <c r="I6990" s="25"/>
      <c r="J6990" s="25"/>
    </row>
    <row r="6991" spans="1:10" ht="14.4">
      <c r="A6991" s="25"/>
      <c r="B6991" s="25"/>
      <c r="C6991" s="25"/>
      <c r="D6991" s="25"/>
      <c r="E6991" s="25"/>
      <c r="F6991" s="25"/>
      <c r="G6991" s="25"/>
      <c r="H6991" s="25"/>
      <c r="I6991" s="25"/>
      <c r="J6991" s="25"/>
    </row>
    <row r="6992" spans="1:10" ht="14.4">
      <c r="A6992" s="25"/>
      <c r="B6992" s="25"/>
      <c r="C6992" s="25"/>
      <c r="D6992" s="25"/>
      <c r="E6992" s="25"/>
      <c r="F6992" s="25"/>
      <c r="G6992" s="25"/>
      <c r="H6992" s="25"/>
      <c r="I6992" s="25"/>
      <c r="J6992" s="25"/>
    </row>
    <row r="6993" spans="1:10" ht="14.4">
      <c r="A6993" s="25"/>
      <c r="B6993" s="25"/>
      <c r="C6993" s="25"/>
      <c r="D6993" s="25"/>
      <c r="E6993" s="25"/>
      <c r="F6993" s="25"/>
      <c r="G6993" s="25"/>
      <c r="H6993" s="25"/>
      <c r="I6993" s="25"/>
      <c r="J6993" s="25"/>
    </row>
    <row r="6994" spans="1:10" ht="14.4">
      <c r="A6994" s="25"/>
      <c r="B6994" s="25"/>
      <c r="C6994" s="25"/>
      <c r="D6994" s="25"/>
      <c r="E6994" s="25"/>
      <c r="F6994" s="25"/>
      <c r="G6994" s="25"/>
      <c r="H6994" s="25"/>
      <c r="I6994" s="25"/>
      <c r="J6994" s="25"/>
    </row>
    <row r="6995" spans="1:10" ht="14.4">
      <c r="A6995" s="25"/>
      <c r="B6995" s="25"/>
      <c r="C6995" s="25"/>
      <c r="D6995" s="25"/>
      <c r="E6995" s="25"/>
      <c r="F6995" s="25"/>
      <c r="G6995" s="25"/>
      <c r="H6995" s="25"/>
      <c r="I6995" s="25"/>
      <c r="J6995" s="25"/>
    </row>
    <row r="6996" spans="1:10" ht="14.4">
      <c r="A6996" s="25"/>
      <c r="B6996" s="25"/>
      <c r="C6996" s="25"/>
      <c r="D6996" s="25"/>
      <c r="E6996" s="25"/>
      <c r="F6996" s="25"/>
      <c r="G6996" s="25"/>
      <c r="H6996" s="25"/>
      <c r="I6996" s="25"/>
      <c r="J6996" s="25"/>
    </row>
    <row r="6997" spans="1:10" ht="14.4">
      <c r="A6997" s="25"/>
      <c r="B6997" s="25"/>
      <c r="C6997" s="25"/>
      <c r="D6997" s="25"/>
      <c r="E6997" s="25"/>
      <c r="F6997" s="25"/>
      <c r="G6997" s="25"/>
      <c r="H6997" s="25"/>
      <c r="I6997" s="25"/>
      <c r="J6997" s="25"/>
    </row>
    <row r="6998" spans="1:10" ht="14.4">
      <c r="A6998" s="25"/>
      <c r="B6998" s="25"/>
      <c r="C6998" s="25"/>
      <c r="D6998" s="25"/>
      <c r="E6998" s="25"/>
      <c r="F6998" s="25"/>
      <c r="G6998" s="25"/>
      <c r="H6998" s="25"/>
      <c r="I6998" s="25"/>
      <c r="J6998" s="25"/>
    </row>
    <row r="6999" spans="1:10" ht="14.4">
      <c r="A6999" s="25"/>
      <c r="B6999" s="25"/>
      <c r="C6999" s="25"/>
      <c r="D6999" s="25"/>
      <c r="E6999" s="25"/>
      <c r="F6999" s="25"/>
      <c r="G6999" s="25"/>
      <c r="H6999" s="25"/>
      <c r="I6999" s="25"/>
      <c r="J6999" s="25"/>
    </row>
    <row r="7000" spans="1:10" ht="14.4">
      <c r="A7000" s="25"/>
      <c r="B7000" s="25"/>
      <c r="C7000" s="25"/>
      <c r="D7000" s="25"/>
      <c r="E7000" s="25"/>
      <c r="F7000" s="25"/>
      <c r="G7000" s="25"/>
      <c r="H7000" s="25"/>
      <c r="I7000" s="25"/>
      <c r="J7000" s="25"/>
    </row>
    <row r="7001" spans="1:10" ht="14.4">
      <c r="A7001" s="25"/>
      <c r="B7001" s="25"/>
      <c r="C7001" s="25"/>
      <c r="D7001" s="25"/>
      <c r="E7001" s="25"/>
      <c r="F7001" s="25"/>
      <c r="G7001" s="25"/>
      <c r="H7001" s="25"/>
      <c r="I7001" s="25"/>
      <c r="J7001" s="25"/>
    </row>
    <row r="7002" spans="1:10" ht="14.4">
      <c r="A7002" s="25"/>
      <c r="B7002" s="25"/>
      <c r="C7002" s="25"/>
      <c r="D7002" s="25"/>
      <c r="E7002" s="25"/>
      <c r="F7002" s="25"/>
      <c r="G7002" s="25"/>
      <c r="H7002" s="25"/>
      <c r="I7002" s="25"/>
      <c r="J7002" s="25"/>
    </row>
    <row r="7003" spans="1:10" ht="14.4">
      <c r="A7003" s="25"/>
      <c r="B7003" s="25"/>
      <c r="C7003" s="25"/>
      <c r="D7003" s="25"/>
      <c r="E7003" s="25"/>
      <c r="F7003" s="25"/>
      <c r="G7003" s="25"/>
      <c r="H7003" s="25"/>
      <c r="I7003" s="25"/>
      <c r="J7003" s="25"/>
    </row>
    <row r="7004" spans="1:10" ht="14.4">
      <c r="A7004" s="25"/>
      <c r="B7004" s="25"/>
      <c r="C7004" s="25"/>
      <c r="D7004" s="25"/>
      <c r="E7004" s="25"/>
      <c r="F7004" s="25"/>
      <c r="G7004" s="25"/>
      <c r="H7004" s="25"/>
      <c r="I7004" s="25"/>
      <c r="J7004" s="25"/>
    </row>
    <row r="7005" spans="1:10" ht="14.4">
      <c r="A7005" s="25"/>
      <c r="B7005" s="25"/>
      <c r="C7005" s="25"/>
      <c r="D7005" s="25"/>
      <c r="E7005" s="25"/>
      <c r="F7005" s="25"/>
      <c r="G7005" s="25"/>
      <c r="H7005" s="25"/>
      <c r="I7005" s="25"/>
      <c r="J7005" s="25"/>
    </row>
    <row r="7006" spans="1:10" ht="14.4">
      <c r="A7006" s="25"/>
      <c r="B7006" s="25"/>
      <c r="C7006" s="25"/>
      <c r="D7006" s="25"/>
      <c r="E7006" s="25"/>
      <c r="F7006" s="25"/>
      <c r="G7006" s="25"/>
      <c r="H7006" s="25"/>
      <c r="I7006" s="25"/>
      <c r="J7006" s="25"/>
    </row>
    <row r="7007" spans="1:10" ht="14.4">
      <c r="A7007" s="25"/>
      <c r="B7007" s="25"/>
      <c r="C7007" s="25"/>
      <c r="D7007" s="25"/>
      <c r="E7007" s="25"/>
      <c r="F7007" s="25"/>
      <c r="G7007" s="25"/>
      <c r="H7007" s="25"/>
      <c r="I7007" s="25"/>
      <c r="J7007" s="25"/>
    </row>
    <row r="7008" spans="1:10" ht="14.4">
      <c r="A7008" s="25"/>
      <c r="B7008" s="25"/>
      <c r="C7008" s="25"/>
      <c r="D7008" s="25"/>
      <c r="E7008" s="25"/>
      <c r="F7008" s="25"/>
      <c r="G7008" s="25"/>
      <c r="H7008" s="25"/>
      <c r="I7008" s="25"/>
      <c r="J7008" s="25"/>
    </row>
    <row r="7009" spans="1:10" ht="14.4">
      <c r="A7009" s="25"/>
      <c r="B7009" s="25"/>
      <c r="C7009" s="25"/>
      <c r="D7009" s="25"/>
      <c r="E7009" s="25"/>
      <c r="F7009" s="25"/>
      <c r="G7009" s="25"/>
      <c r="H7009" s="25"/>
      <c r="I7009" s="25"/>
      <c r="J7009" s="25"/>
    </row>
    <row r="7010" spans="1:10" ht="14.4">
      <c r="A7010" s="25"/>
      <c r="B7010" s="25"/>
      <c r="C7010" s="25"/>
      <c r="D7010" s="25"/>
      <c r="E7010" s="25"/>
      <c r="F7010" s="25"/>
      <c r="G7010" s="25"/>
      <c r="H7010" s="25"/>
      <c r="I7010" s="25"/>
      <c r="J7010" s="25"/>
    </row>
    <row r="7011" spans="1:10" ht="14.4">
      <c r="A7011" s="25"/>
      <c r="B7011" s="25"/>
      <c r="C7011" s="25"/>
      <c r="D7011" s="25"/>
      <c r="E7011" s="25"/>
      <c r="F7011" s="25"/>
      <c r="G7011" s="25"/>
      <c r="H7011" s="25"/>
      <c r="I7011" s="25"/>
      <c r="J7011" s="25"/>
    </row>
    <row r="7012" spans="1:10" ht="14.4">
      <c r="A7012" s="25"/>
      <c r="B7012" s="25"/>
      <c r="C7012" s="25"/>
      <c r="D7012" s="25"/>
      <c r="E7012" s="25"/>
      <c r="F7012" s="25"/>
      <c r="G7012" s="25"/>
      <c r="H7012" s="25"/>
      <c r="I7012" s="25"/>
      <c r="J7012" s="25"/>
    </row>
    <row r="7013" spans="1:10" ht="14.4">
      <c r="A7013" s="25"/>
      <c r="B7013" s="25"/>
      <c r="C7013" s="25"/>
      <c r="D7013" s="25"/>
      <c r="E7013" s="25"/>
      <c r="F7013" s="25"/>
      <c r="G7013" s="25"/>
      <c r="H7013" s="25"/>
      <c r="I7013" s="25"/>
      <c r="J7013" s="25"/>
    </row>
    <row r="7014" spans="1:10" ht="14.4">
      <c r="A7014" s="25"/>
      <c r="B7014" s="25"/>
      <c r="C7014" s="25"/>
      <c r="D7014" s="25"/>
      <c r="E7014" s="25"/>
      <c r="F7014" s="25"/>
      <c r="G7014" s="25"/>
      <c r="H7014" s="25"/>
      <c r="I7014" s="25"/>
      <c r="J7014" s="25"/>
    </row>
    <row r="7015" spans="1:10" ht="14.4">
      <c r="A7015" s="25"/>
      <c r="B7015" s="25"/>
      <c r="C7015" s="25"/>
      <c r="D7015" s="25"/>
      <c r="E7015" s="25"/>
      <c r="F7015" s="25"/>
      <c r="G7015" s="25"/>
      <c r="H7015" s="25"/>
      <c r="I7015" s="25"/>
      <c r="J7015" s="25"/>
    </row>
    <row r="7016" spans="1:10" ht="14.4">
      <c r="A7016" s="25"/>
      <c r="B7016" s="25"/>
      <c r="C7016" s="25"/>
      <c r="D7016" s="25"/>
      <c r="E7016" s="25"/>
      <c r="F7016" s="25"/>
      <c r="G7016" s="25"/>
      <c r="H7016" s="25"/>
      <c r="I7016" s="25"/>
      <c r="J7016" s="25"/>
    </row>
    <row r="7017" spans="1:10" ht="14.4">
      <c r="A7017" s="25"/>
      <c r="B7017" s="25"/>
      <c r="C7017" s="25"/>
      <c r="D7017" s="25"/>
      <c r="E7017" s="25"/>
      <c r="F7017" s="25"/>
      <c r="G7017" s="25"/>
      <c r="H7017" s="25"/>
      <c r="I7017" s="25"/>
      <c r="J7017" s="25"/>
    </row>
    <row r="7018" spans="1:10" ht="14.4">
      <c r="A7018" s="25"/>
      <c r="B7018" s="25"/>
      <c r="C7018" s="25"/>
      <c r="D7018" s="25"/>
      <c r="E7018" s="25"/>
      <c r="F7018" s="25"/>
      <c r="G7018" s="25"/>
      <c r="H7018" s="25"/>
      <c r="I7018" s="25"/>
      <c r="J7018" s="25"/>
    </row>
    <row r="7019" spans="1:10" ht="14.4">
      <c r="A7019" s="25"/>
      <c r="B7019" s="25"/>
      <c r="C7019" s="25"/>
      <c r="D7019" s="25"/>
      <c r="E7019" s="25"/>
      <c r="F7019" s="25"/>
      <c r="G7019" s="25"/>
      <c r="H7019" s="25"/>
      <c r="I7019" s="25"/>
      <c r="J7019" s="25"/>
    </row>
    <row r="7020" spans="1:10" ht="14.4">
      <c r="A7020" s="25"/>
      <c r="B7020" s="25"/>
      <c r="C7020" s="25"/>
      <c r="D7020" s="25"/>
      <c r="E7020" s="25"/>
      <c r="F7020" s="25"/>
      <c r="G7020" s="25"/>
      <c r="H7020" s="25"/>
      <c r="I7020" s="25"/>
      <c r="J7020" s="25"/>
    </row>
    <row r="7021" spans="1:10" ht="14.4">
      <c r="A7021" s="25"/>
      <c r="B7021" s="25"/>
      <c r="C7021" s="25"/>
      <c r="D7021" s="25"/>
      <c r="E7021" s="25"/>
      <c r="F7021" s="25"/>
      <c r="G7021" s="25"/>
      <c r="H7021" s="25"/>
      <c r="I7021" s="25"/>
      <c r="J7021" s="25"/>
    </row>
    <row r="7022" spans="1:10" ht="14.4">
      <c r="A7022" s="25"/>
      <c r="B7022" s="25"/>
      <c r="C7022" s="25"/>
      <c r="D7022" s="25"/>
      <c r="E7022" s="25"/>
      <c r="F7022" s="25"/>
      <c r="G7022" s="25"/>
      <c r="H7022" s="25"/>
      <c r="I7022" s="25"/>
      <c r="J7022" s="25"/>
    </row>
    <row r="7023" spans="1:10" ht="14.4">
      <c r="A7023" s="25"/>
      <c r="B7023" s="25"/>
      <c r="C7023" s="25"/>
      <c r="D7023" s="25"/>
      <c r="E7023" s="25"/>
      <c r="F7023" s="25"/>
      <c r="G7023" s="25"/>
      <c r="H7023" s="25"/>
      <c r="I7023" s="25"/>
      <c r="J7023" s="25"/>
    </row>
    <row r="7024" spans="1:10" ht="14.4">
      <c r="A7024" s="25"/>
      <c r="B7024" s="25"/>
      <c r="C7024" s="25"/>
      <c r="D7024" s="25"/>
      <c r="E7024" s="25"/>
      <c r="F7024" s="25"/>
      <c r="G7024" s="25"/>
      <c r="H7024" s="25"/>
      <c r="I7024" s="25"/>
      <c r="J7024" s="25"/>
    </row>
    <row r="7025" spans="1:10" ht="14.4">
      <c r="A7025" s="25"/>
      <c r="B7025" s="25"/>
      <c r="C7025" s="25"/>
      <c r="D7025" s="25"/>
      <c r="E7025" s="25"/>
      <c r="F7025" s="25"/>
      <c r="G7025" s="25"/>
      <c r="H7025" s="25"/>
      <c r="I7025" s="25"/>
      <c r="J7025" s="25"/>
    </row>
    <row r="7026" spans="1:10" ht="14.4">
      <c r="A7026" s="25"/>
      <c r="B7026" s="25"/>
      <c r="C7026" s="25"/>
      <c r="D7026" s="25"/>
      <c r="E7026" s="25"/>
      <c r="F7026" s="25"/>
      <c r="G7026" s="25"/>
      <c r="H7026" s="25"/>
      <c r="I7026" s="25"/>
      <c r="J7026" s="25"/>
    </row>
    <row r="7027" spans="1:10" ht="14.4">
      <c r="A7027" s="25"/>
      <c r="B7027" s="25"/>
      <c r="C7027" s="25"/>
      <c r="D7027" s="25"/>
      <c r="E7027" s="25"/>
      <c r="F7027" s="25"/>
      <c r="G7027" s="25"/>
      <c r="H7027" s="25"/>
      <c r="I7027" s="25"/>
      <c r="J7027" s="25"/>
    </row>
    <row r="7028" spans="1:10" ht="14.4">
      <c r="A7028" s="25"/>
      <c r="B7028" s="25"/>
      <c r="C7028" s="25"/>
      <c r="D7028" s="25"/>
      <c r="E7028" s="25"/>
      <c r="F7028" s="25"/>
      <c r="G7028" s="25"/>
      <c r="H7028" s="25"/>
      <c r="I7028" s="25"/>
      <c r="J7028" s="25"/>
    </row>
    <row r="7029" spans="1:10" ht="14.4">
      <c r="A7029" s="25"/>
      <c r="B7029" s="25"/>
      <c r="C7029" s="25"/>
      <c r="D7029" s="25"/>
      <c r="E7029" s="25"/>
      <c r="F7029" s="25"/>
      <c r="G7029" s="25"/>
      <c r="H7029" s="25"/>
      <c r="I7029" s="25"/>
      <c r="J7029" s="25"/>
    </row>
    <row r="7030" spans="1:10" ht="14.4">
      <c r="A7030" s="25"/>
      <c r="B7030" s="25"/>
      <c r="C7030" s="25"/>
      <c r="D7030" s="25"/>
      <c r="E7030" s="25"/>
      <c r="F7030" s="25"/>
      <c r="G7030" s="25"/>
      <c r="H7030" s="25"/>
      <c r="I7030" s="25"/>
      <c r="J7030" s="25"/>
    </row>
    <row r="7031" spans="1:10" ht="14.4">
      <c r="A7031" s="25"/>
      <c r="B7031" s="25"/>
      <c r="C7031" s="25"/>
      <c r="D7031" s="25"/>
      <c r="E7031" s="25"/>
      <c r="F7031" s="25"/>
      <c r="G7031" s="25"/>
      <c r="H7031" s="25"/>
      <c r="I7031" s="25"/>
      <c r="J7031" s="25"/>
    </row>
    <row r="7032" spans="1:10" ht="14.4">
      <c r="A7032" s="25"/>
      <c r="B7032" s="25"/>
      <c r="C7032" s="25"/>
      <c r="D7032" s="25"/>
      <c r="E7032" s="25"/>
      <c r="F7032" s="25"/>
      <c r="G7032" s="25"/>
      <c r="H7032" s="25"/>
      <c r="I7032" s="25"/>
      <c r="J7032" s="25"/>
    </row>
    <row r="7033" spans="1:10" ht="14.4">
      <c r="A7033" s="25"/>
      <c r="B7033" s="25"/>
      <c r="C7033" s="25"/>
      <c r="D7033" s="25"/>
      <c r="E7033" s="25"/>
      <c r="F7033" s="25"/>
      <c r="G7033" s="25"/>
      <c r="H7033" s="25"/>
      <c r="I7033" s="25"/>
      <c r="J7033" s="25"/>
    </row>
    <row r="7034" spans="1:10" ht="14.4">
      <c r="A7034" s="25"/>
      <c r="B7034" s="25"/>
      <c r="C7034" s="25"/>
      <c r="D7034" s="25"/>
      <c r="E7034" s="25"/>
      <c r="F7034" s="25"/>
      <c r="G7034" s="25"/>
      <c r="H7034" s="25"/>
      <c r="I7034" s="25"/>
      <c r="J7034" s="25"/>
    </row>
    <row r="7035" spans="1:10" ht="14.4">
      <c r="A7035" s="25"/>
      <c r="B7035" s="25"/>
      <c r="C7035" s="25"/>
      <c r="D7035" s="25"/>
      <c r="E7035" s="25"/>
      <c r="F7035" s="25"/>
      <c r="G7035" s="25"/>
      <c r="H7035" s="25"/>
      <c r="I7035" s="25"/>
      <c r="J7035" s="25"/>
    </row>
    <row r="7036" spans="1:10" ht="14.4">
      <c r="A7036" s="25"/>
      <c r="B7036" s="25"/>
      <c r="C7036" s="25"/>
      <c r="D7036" s="25"/>
      <c r="E7036" s="25"/>
      <c r="F7036" s="25"/>
      <c r="G7036" s="25"/>
      <c r="H7036" s="25"/>
      <c r="I7036" s="25"/>
      <c r="J7036" s="25"/>
    </row>
    <row r="7037" spans="1:10" ht="14.4">
      <c r="A7037" s="25"/>
      <c r="B7037" s="25"/>
      <c r="C7037" s="25"/>
      <c r="D7037" s="25"/>
      <c r="E7037" s="25"/>
      <c r="F7037" s="25"/>
      <c r="G7037" s="25"/>
      <c r="H7037" s="25"/>
      <c r="I7037" s="25"/>
      <c r="J7037" s="25"/>
    </row>
    <row r="7038" spans="1:10" ht="14.4">
      <c r="A7038" s="25"/>
      <c r="B7038" s="25"/>
      <c r="C7038" s="25"/>
      <c r="D7038" s="25"/>
      <c r="E7038" s="25"/>
      <c r="F7038" s="25"/>
      <c r="G7038" s="25"/>
      <c r="H7038" s="25"/>
      <c r="I7038" s="25"/>
      <c r="J7038" s="25"/>
    </row>
    <row r="7039" spans="1:10" ht="14.4">
      <c r="A7039" s="25"/>
      <c r="B7039" s="25"/>
      <c r="C7039" s="25"/>
      <c r="D7039" s="25"/>
      <c r="E7039" s="25"/>
      <c r="F7039" s="25"/>
      <c r="G7039" s="25"/>
      <c r="H7039" s="25"/>
      <c r="I7039" s="25"/>
      <c r="J7039" s="25"/>
    </row>
    <row r="7040" spans="1:10" ht="14.4">
      <c r="A7040" s="25"/>
      <c r="B7040" s="25"/>
      <c r="C7040" s="25"/>
      <c r="D7040" s="25"/>
      <c r="E7040" s="25"/>
      <c r="F7040" s="25"/>
      <c r="G7040" s="25"/>
      <c r="H7040" s="25"/>
      <c r="I7040" s="25"/>
      <c r="J7040" s="25"/>
    </row>
    <row r="7041" spans="1:10" ht="14.4">
      <c r="A7041" s="25"/>
      <c r="B7041" s="25"/>
      <c r="C7041" s="25"/>
      <c r="D7041" s="25"/>
      <c r="E7041" s="25"/>
      <c r="F7041" s="25"/>
      <c r="G7041" s="25"/>
      <c r="H7041" s="25"/>
      <c r="I7041" s="25"/>
      <c r="J7041" s="25"/>
    </row>
    <row r="7042" spans="1:10" ht="14.4">
      <c r="A7042" s="25"/>
      <c r="B7042" s="25"/>
      <c r="C7042" s="25"/>
      <c r="D7042" s="25"/>
      <c r="E7042" s="25"/>
      <c r="F7042" s="25"/>
      <c r="G7042" s="25"/>
      <c r="H7042" s="25"/>
      <c r="I7042" s="25"/>
      <c r="J7042" s="25"/>
    </row>
    <row r="7043" spans="1:10" ht="14.4">
      <c r="A7043" s="25"/>
      <c r="B7043" s="25"/>
      <c r="C7043" s="25"/>
      <c r="D7043" s="25"/>
      <c r="E7043" s="25"/>
      <c r="F7043" s="25"/>
      <c r="G7043" s="25"/>
      <c r="H7043" s="25"/>
      <c r="I7043" s="25"/>
      <c r="J7043" s="25"/>
    </row>
    <row r="7044" spans="1:10" ht="14.4">
      <c r="A7044" s="25"/>
      <c r="B7044" s="25"/>
      <c r="C7044" s="25"/>
      <c r="D7044" s="25"/>
      <c r="E7044" s="25"/>
      <c r="F7044" s="25"/>
      <c r="G7044" s="25"/>
      <c r="H7044" s="25"/>
      <c r="I7044" s="25"/>
      <c r="J7044" s="25"/>
    </row>
    <row r="7045" spans="1:10" ht="14.4">
      <c r="A7045" s="25"/>
      <c r="B7045" s="25"/>
      <c r="C7045" s="25"/>
      <c r="D7045" s="25"/>
      <c r="E7045" s="25"/>
      <c r="F7045" s="25"/>
      <c r="G7045" s="25"/>
      <c r="H7045" s="25"/>
      <c r="I7045" s="25"/>
      <c r="J7045" s="25"/>
    </row>
    <row r="7046" spans="1:10" ht="14.4">
      <c r="A7046" s="25"/>
      <c r="B7046" s="25"/>
      <c r="C7046" s="25"/>
      <c r="D7046" s="25"/>
      <c r="E7046" s="25"/>
      <c r="F7046" s="25"/>
      <c r="G7046" s="25"/>
      <c r="H7046" s="25"/>
      <c r="I7046" s="25"/>
      <c r="J7046" s="25"/>
    </row>
    <row r="7047" spans="1:10" ht="14.4">
      <c r="A7047" s="25"/>
      <c r="B7047" s="25"/>
      <c r="C7047" s="25"/>
      <c r="D7047" s="25"/>
      <c r="E7047" s="25"/>
      <c r="F7047" s="25"/>
      <c r="G7047" s="25"/>
      <c r="H7047" s="25"/>
      <c r="I7047" s="25"/>
      <c r="J7047" s="25"/>
    </row>
    <row r="7048" spans="1:10" ht="14.4">
      <c r="A7048" s="25"/>
      <c r="B7048" s="25"/>
      <c r="C7048" s="25"/>
      <c r="D7048" s="25"/>
      <c r="E7048" s="25"/>
      <c r="F7048" s="25"/>
      <c r="G7048" s="25"/>
      <c r="H7048" s="25"/>
      <c r="I7048" s="25"/>
      <c r="J7048" s="25"/>
    </row>
    <row r="7049" spans="1:10" ht="14.4">
      <c r="A7049" s="25"/>
      <c r="B7049" s="25"/>
      <c r="C7049" s="25"/>
      <c r="D7049" s="25"/>
      <c r="E7049" s="25"/>
      <c r="F7049" s="25"/>
      <c r="G7049" s="25"/>
      <c r="H7049" s="25"/>
      <c r="I7049" s="25"/>
      <c r="J7049" s="25"/>
    </row>
    <row r="7050" spans="1:10" ht="14.4">
      <c r="A7050" s="25"/>
      <c r="B7050" s="25"/>
      <c r="C7050" s="25"/>
      <c r="D7050" s="25"/>
      <c r="E7050" s="25"/>
      <c r="F7050" s="25"/>
      <c r="G7050" s="25"/>
      <c r="H7050" s="25"/>
      <c r="I7050" s="25"/>
      <c r="J7050" s="25"/>
    </row>
    <row r="7051" spans="1:10" ht="14.4">
      <c r="A7051" s="25"/>
      <c r="B7051" s="25"/>
      <c r="C7051" s="25"/>
      <c r="D7051" s="25"/>
      <c r="E7051" s="25"/>
      <c r="F7051" s="25"/>
      <c r="G7051" s="25"/>
      <c r="H7051" s="25"/>
      <c r="I7051" s="25"/>
      <c r="J7051" s="25"/>
    </row>
    <row r="7052" spans="1:10" ht="14.4">
      <c r="A7052" s="25"/>
      <c r="B7052" s="25"/>
      <c r="C7052" s="25"/>
      <c r="D7052" s="25"/>
      <c r="E7052" s="25"/>
      <c r="F7052" s="25"/>
      <c r="G7052" s="25"/>
      <c r="H7052" s="25"/>
      <c r="I7052" s="25"/>
      <c r="J7052" s="25"/>
    </row>
    <row r="7053" spans="1:10" ht="14.4">
      <c r="A7053" s="25"/>
      <c r="B7053" s="25"/>
      <c r="C7053" s="25"/>
      <c r="D7053" s="25"/>
      <c r="E7053" s="25"/>
      <c r="F7053" s="25"/>
      <c r="G7053" s="25"/>
      <c r="H7053" s="25"/>
      <c r="I7053" s="25"/>
      <c r="J7053" s="25"/>
    </row>
    <row r="7054" spans="1:10" ht="14.4">
      <c r="A7054" s="25"/>
      <c r="B7054" s="25"/>
      <c r="C7054" s="25"/>
      <c r="D7054" s="25"/>
      <c r="E7054" s="25"/>
      <c r="F7054" s="25"/>
      <c r="G7054" s="25"/>
      <c r="H7054" s="25"/>
      <c r="I7054" s="25"/>
      <c r="J7054" s="25"/>
    </row>
    <row r="7055" spans="1:10" ht="14.4">
      <c r="A7055" s="25"/>
      <c r="B7055" s="25"/>
      <c r="C7055" s="25"/>
      <c r="D7055" s="25"/>
      <c r="E7055" s="25"/>
      <c r="F7055" s="25"/>
      <c r="G7055" s="25"/>
      <c r="H7055" s="25"/>
      <c r="I7055" s="25"/>
      <c r="J7055" s="25"/>
    </row>
    <row r="7056" spans="1:10" ht="14.4">
      <c r="A7056" s="25"/>
      <c r="B7056" s="25"/>
      <c r="C7056" s="25"/>
      <c r="D7056" s="25"/>
      <c r="E7056" s="25"/>
      <c r="F7056" s="25"/>
      <c r="G7056" s="25"/>
      <c r="H7056" s="25"/>
      <c r="I7056" s="25"/>
      <c r="J7056" s="25"/>
    </row>
    <row r="7057" spans="1:10" ht="14.4">
      <c r="A7057" s="25"/>
      <c r="B7057" s="25"/>
      <c r="C7057" s="25"/>
      <c r="D7057" s="25"/>
      <c r="E7057" s="25"/>
      <c r="F7057" s="25"/>
      <c r="G7057" s="25"/>
      <c r="H7057" s="25"/>
      <c r="I7057" s="25"/>
      <c r="J7057" s="25"/>
    </row>
    <row r="7058" spans="1:10" ht="14.4">
      <c r="A7058" s="25"/>
      <c r="B7058" s="25"/>
      <c r="C7058" s="25"/>
      <c r="D7058" s="25"/>
      <c r="E7058" s="25"/>
      <c r="F7058" s="25"/>
      <c r="G7058" s="25"/>
      <c r="H7058" s="25"/>
      <c r="I7058" s="25"/>
      <c r="J7058" s="25"/>
    </row>
    <row r="7059" spans="1:10" ht="14.4">
      <c r="A7059" s="25"/>
      <c r="B7059" s="25"/>
      <c r="C7059" s="25"/>
      <c r="D7059" s="25"/>
      <c r="E7059" s="25"/>
      <c r="F7059" s="25"/>
      <c r="G7059" s="25"/>
      <c r="H7059" s="25"/>
      <c r="I7059" s="25"/>
      <c r="J7059" s="25"/>
    </row>
    <row r="7060" spans="1:10" ht="14.4">
      <c r="A7060" s="25"/>
      <c r="B7060" s="25"/>
      <c r="C7060" s="25"/>
      <c r="D7060" s="25"/>
      <c r="E7060" s="25"/>
      <c r="F7060" s="25"/>
      <c r="G7060" s="25"/>
      <c r="H7060" s="25"/>
      <c r="I7060" s="25"/>
      <c r="J7060" s="25"/>
    </row>
    <row r="7061" spans="1:10" ht="14.4">
      <c r="A7061" s="25"/>
      <c r="B7061" s="25"/>
      <c r="C7061" s="25"/>
      <c r="D7061" s="25"/>
      <c r="E7061" s="25"/>
      <c r="F7061" s="25"/>
      <c r="G7061" s="25"/>
      <c r="H7061" s="25"/>
      <c r="I7061" s="25"/>
      <c r="J7061" s="25"/>
    </row>
    <row r="7062" spans="1:10" ht="14.4">
      <c r="A7062" s="25"/>
      <c r="B7062" s="25"/>
      <c r="C7062" s="25"/>
      <c r="D7062" s="25"/>
      <c r="E7062" s="25"/>
      <c r="F7062" s="25"/>
      <c r="G7062" s="25"/>
      <c r="H7062" s="25"/>
      <c r="I7062" s="25"/>
      <c r="J7062" s="25"/>
    </row>
    <row r="7063" spans="1:10" ht="14.4">
      <c r="A7063" s="25"/>
      <c r="B7063" s="25"/>
      <c r="C7063" s="25"/>
      <c r="D7063" s="25"/>
      <c r="E7063" s="25"/>
      <c r="F7063" s="25"/>
      <c r="G7063" s="25"/>
      <c r="H7063" s="25"/>
      <c r="I7063" s="25"/>
      <c r="J7063" s="25"/>
    </row>
    <row r="7064" spans="1:10" ht="14.4">
      <c r="A7064" s="25"/>
      <c r="B7064" s="25"/>
      <c r="C7064" s="25"/>
      <c r="D7064" s="25"/>
      <c r="E7064" s="25"/>
      <c r="F7064" s="25"/>
      <c r="G7064" s="25"/>
      <c r="H7064" s="25"/>
      <c r="I7064" s="25"/>
      <c r="J7064" s="25"/>
    </row>
    <row r="7065" spans="1:10" ht="14.4">
      <c r="A7065" s="25"/>
      <c r="B7065" s="25"/>
      <c r="C7065" s="25"/>
      <c r="D7065" s="25"/>
      <c r="E7065" s="25"/>
      <c r="F7065" s="25"/>
      <c r="G7065" s="25"/>
      <c r="H7065" s="25"/>
      <c r="I7065" s="25"/>
      <c r="J7065" s="25"/>
    </row>
    <row r="7066" spans="1:10" ht="14.4">
      <c r="A7066" s="25"/>
      <c r="B7066" s="25"/>
      <c r="C7066" s="25"/>
      <c r="D7066" s="25"/>
      <c r="E7066" s="25"/>
      <c r="F7066" s="25"/>
      <c r="G7066" s="25"/>
      <c r="H7066" s="25"/>
      <c r="I7066" s="25"/>
      <c r="J7066" s="25"/>
    </row>
    <row r="7067" spans="1:10" ht="14.4">
      <c r="A7067" s="25"/>
      <c r="B7067" s="25"/>
      <c r="C7067" s="25"/>
      <c r="D7067" s="25"/>
      <c r="E7067" s="25"/>
      <c r="F7067" s="25"/>
      <c r="G7067" s="25"/>
      <c r="H7067" s="25"/>
      <c r="I7067" s="25"/>
      <c r="J7067" s="25"/>
    </row>
    <row r="7068" spans="1:10" ht="14.4">
      <c r="A7068" s="25"/>
      <c r="B7068" s="25"/>
      <c r="C7068" s="25"/>
      <c r="D7068" s="25"/>
      <c r="E7068" s="25"/>
      <c r="F7068" s="25"/>
      <c r="G7068" s="25"/>
      <c r="H7068" s="25"/>
      <c r="I7068" s="25"/>
      <c r="J7068" s="25"/>
    </row>
    <row r="7069" spans="1:10" ht="14.4">
      <c r="A7069" s="25"/>
      <c r="B7069" s="25"/>
      <c r="C7069" s="25"/>
      <c r="D7069" s="25"/>
      <c r="E7069" s="25"/>
      <c r="F7069" s="25"/>
      <c r="G7069" s="25"/>
      <c r="H7069" s="25"/>
      <c r="I7069" s="25"/>
      <c r="J7069" s="25"/>
    </row>
    <row r="7070" spans="1:10" ht="14.4">
      <c r="A7070" s="25"/>
      <c r="B7070" s="25"/>
      <c r="C7070" s="25"/>
      <c r="D7070" s="25"/>
      <c r="E7070" s="25"/>
      <c r="F7070" s="25"/>
      <c r="G7070" s="25"/>
      <c r="H7070" s="25"/>
      <c r="I7070" s="25"/>
      <c r="J7070" s="25"/>
    </row>
    <row r="7071" spans="1:10" ht="14.4">
      <c r="A7071" s="25"/>
      <c r="B7071" s="25"/>
      <c r="C7071" s="25"/>
      <c r="D7071" s="25"/>
      <c r="E7071" s="25"/>
      <c r="F7071" s="25"/>
      <c r="G7071" s="25"/>
      <c r="H7071" s="25"/>
      <c r="I7071" s="25"/>
      <c r="J7071" s="25"/>
    </row>
    <row r="7072" spans="1:10" ht="14.4">
      <c r="A7072" s="25"/>
      <c r="B7072" s="25"/>
      <c r="C7072" s="25"/>
      <c r="D7072" s="25"/>
      <c r="E7072" s="25"/>
      <c r="F7072" s="25"/>
      <c r="G7072" s="25"/>
      <c r="H7072" s="25"/>
      <c r="I7072" s="25"/>
      <c r="J7072" s="25"/>
    </row>
    <row r="7073" spans="1:10" ht="14.4">
      <c r="A7073" s="25"/>
      <c r="B7073" s="25"/>
      <c r="C7073" s="25"/>
      <c r="D7073" s="25"/>
      <c r="E7073" s="25"/>
      <c r="F7073" s="25"/>
      <c r="G7073" s="25"/>
      <c r="H7073" s="25"/>
      <c r="I7073" s="25"/>
      <c r="J7073" s="25"/>
    </row>
    <row r="7074" spans="1:10" ht="14.4">
      <c r="A7074" s="25"/>
      <c r="B7074" s="25"/>
      <c r="C7074" s="25"/>
      <c r="D7074" s="25"/>
      <c r="E7074" s="25"/>
      <c r="F7074" s="25"/>
      <c r="G7074" s="25"/>
      <c r="H7074" s="25"/>
      <c r="I7074" s="25"/>
      <c r="J7074" s="25"/>
    </row>
    <row r="7075" spans="1:10" ht="14.4">
      <c r="A7075" s="25"/>
      <c r="B7075" s="25"/>
      <c r="C7075" s="25"/>
      <c r="D7075" s="25"/>
      <c r="E7075" s="25"/>
      <c r="F7075" s="25"/>
      <c r="G7075" s="25"/>
      <c r="H7075" s="25"/>
      <c r="I7075" s="25"/>
      <c r="J7075" s="25"/>
    </row>
    <row r="7076" spans="1:10" ht="14.4">
      <c r="A7076" s="25"/>
      <c r="B7076" s="25"/>
      <c r="C7076" s="25"/>
      <c r="D7076" s="25"/>
      <c r="E7076" s="25"/>
      <c r="F7076" s="25"/>
      <c r="G7076" s="25"/>
      <c r="H7076" s="25"/>
      <c r="I7076" s="25"/>
      <c r="J7076" s="25"/>
    </row>
    <row r="7077" spans="1:10" ht="14.4">
      <c r="A7077" s="25"/>
      <c r="B7077" s="25"/>
      <c r="C7077" s="25"/>
      <c r="D7077" s="25"/>
      <c r="E7077" s="25"/>
      <c r="F7077" s="25"/>
      <c r="G7077" s="25"/>
      <c r="H7077" s="25"/>
      <c r="I7077" s="25"/>
      <c r="J7077" s="25"/>
    </row>
    <row r="7078" spans="1:10" ht="14.4">
      <c r="A7078" s="25"/>
      <c r="B7078" s="25"/>
      <c r="C7078" s="25"/>
      <c r="D7078" s="25"/>
      <c r="E7078" s="25"/>
      <c r="F7078" s="25"/>
      <c r="G7078" s="25"/>
      <c r="H7078" s="25"/>
      <c r="I7078" s="25"/>
      <c r="J7078" s="25"/>
    </row>
    <row r="7079" spans="1:10" ht="14.4">
      <c r="A7079" s="25"/>
      <c r="B7079" s="25"/>
      <c r="C7079" s="25"/>
      <c r="D7079" s="25"/>
      <c r="E7079" s="25"/>
      <c r="F7079" s="25"/>
      <c r="G7079" s="25"/>
      <c r="H7079" s="25"/>
      <c r="I7079" s="25"/>
      <c r="J7079" s="25"/>
    </row>
    <row r="7080" spans="1:10" ht="14.4">
      <c r="A7080" s="25"/>
      <c r="B7080" s="25"/>
      <c r="C7080" s="25"/>
      <c r="D7080" s="25"/>
      <c r="E7080" s="25"/>
      <c r="F7080" s="25"/>
      <c r="G7080" s="25"/>
      <c r="H7080" s="25"/>
      <c r="I7080" s="25"/>
      <c r="J7080" s="25"/>
    </row>
    <row r="7081" spans="1:10" ht="14.4">
      <c r="A7081" s="25"/>
      <c r="B7081" s="25"/>
      <c r="C7081" s="25"/>
      <c r="D7081" s="25"/>
      <c r="E7081" s="25"/>
      <c r="F7081" s="25"/>
      <c r="G7081" s="25"/>
      <c r="H7081" s="25"/>
      <c r="I7081" s="25"/>
      <c r="J7081" s="25"/>
    </row>
    <row r="7082" spans="1:10" ht="14.4">
      <c r="A7082" s="25"/>
      <c r="B7082" s="25"/>
      <c r="C7082" s="25"/>
      <c r="D7082" s="25"/>
      <c r="E7082" s="25"/>
      <c r="F7082" s="25"/>
      <c r="G7082" s="25"/>
      <c r="H7082" s="25"/>
      <c r="I7082" s="25"/>
      <c r="J7082" s="25"/>
    </row>
    <row r="7083" spans="1:10" ht="14.4">
      <c r="A7083" s="25"/>
      <c r="B7083" s="25"/>
      <c r="C7083" s="25"/>
      <c r="D7083" s="25"/>
      <c r="E7083" s="25"/>
      <c r="F7083" s="25"/>
      <c r="G7083" s="25"/>
      <c r="H7083" s="25"/>
      <c r="I7083" s="25"/>
      <c r="J7083" s="25"/>
    </row>
    <row r="7084" spans="1:10" ht="14.4">
      <c r="A7084" s="25"/>
      <c r="B7084" s="25"/>
      <c r="C7084" s="25"/>
      <c r="D7084" s="25"/>
      <c r="E7084" s="25"/>
      <c r="F7084" s="25"/>
      <c r="G7084" s="25"/>
      <c r="H7084" s="25"/>
      <c r="I7084" s="25"/>
      <c r="J7084" s="25"/>
    </row>
    <row r="7085" spans="1:10" ht="14.4">
      <c r="A7085" s="25"/>
      <c r="B7085" s="25"/>
      <c r="C7085" s="25"/>
      <c r="D7085" s="25"/>
      <c r="E7085" s="25"/>
      <c r="F7085" s="25"/>
      <c r="G7085" s="25"/>
      <c r="H7085" s="25"/>
      <c r="I7085" s="25"/>
      <c r="J7085" s="25"/>
    </row>
    <row r="7086" spans="1:10" ht="14.4">
      <c r="A7086" s="25"/>
      <c r="B7086" s="25"/>
      <c r="C7086" s="25"/>
      <c r="D7086" s="25"/>
      <c r="E7086" s="25"/>
      <c r="F7086" s="25"/>
      <c r="G7086" s="25"/>
      <c r="H7086" s="25"/>
      <c r="I7086" s="25"/>
      <c r="J7086" s="25"/>
    </row>
    <row r="7087" spans="1:10" ht="14.4">
      <c r="A7087" s="25"/>
      <c r="B7087" s="25"/>
      <c r="C7087" s="25"/>
      <c r="D7087" s="25"/>
      <c r="E7087" s="25"/>
      <c r="F7087" s="25"/>
      <c r="G7087" s="25"/>
      <c r="H7087" s="25"/>
      <c r="I7087" s="25"/>
      <c r="J7087" s="25"/>
    </row>
    <row r="7088" spans="1:10" ht="14.4">
      <c r="A7088" s="25"/>
      <c r="B7088" s="25"/>
      <c r="C7088" s="25"/>
      <c r="D7088" s="25"/>
      <c r="E7088" s="25"/>
      <c r="F7088" s="25"/>
      <c r="G7088" s="25"/>
      <c r="H7088" s="25"/>
      <c r="I7088" s="25"/>
      <c r="J7088" s="25"/>
    </row>
    <row r="7089" spans="1:10" ht="14.4">
      <c r="A7089" s="25"/>
      <c r="B7089" s="25"/>
      <c r="C7089" s="25"/>
      <c r="D7089" s="25"/>
      <c r="E7089" s="25"/>
      <c r="F7089" s="25"/>
      <c r="G7089" s="25"/>
      <c r="H7089" s="25"/>
      <c r="I7089" s="25"/>
      <c r="J7089" s="25"/>
    </row>
    <row r="7090" spans="1:10" ht="14.4">
      <c r="A7090" s="25"/>
      <c r="B7090" s="25"/>
      <c r="C7090" s="25"/>
      <c r="D7090" s="25"/>
      <c r="E7090" s="25"/>
      <c r="F7090" s="25"/>
      <c r="G7090" s="25"/>
      <c r="H7090" s="25"/>
      <c r="I7090" s="25"/>
      <c r="J7090" s="25"/>
    </row>
    <row r="7091" spans="1:10" ht="14.4">
      <c r="A7091" s="25"/>
      <c r="B7091" s="25"/>
      <c r="C7091" s="25"/>
      <c r="D7091" s="25"/>
      <c r="E7091" s="25"/>
      <c r="F7091" s="25"/>
      <c r="G7091" s="25"/>
      <c r="H7091" s="25"/>
      <c r="I7091" s="25"/>
      <c r="J7091" s="25"/>
    </row>
    <row r="7092" spans="1:10" ht="14.4">
      <c r="A7092" s="25"/>
      <c r="B7092" s="25"/>
      <c r="C7092" s="25"/>
      <c r="D7092" s="25"/>
      <c r="E7092" s="25"/>
      <c r="F7092" s="25"/>
      <c r="G7092" s="25"/>
      <c r="H7092" s="25"/>
      <c r="I7092" s="25"/>
      <c r="J7092" s="25"/>
    </row>
    <row r="7093" spans="1:10" ht="14.4">
      <c r="A7093" s="25"/>
      <c r="B7093" s="25"/>
      <c r="C7093" s="25"/>
      <c r="D7093" s="25"/>
      <c r="E7093" s="25"/>
      <c r="F7093" s="25"/>
      <c r="G7093" s="25"/>
      <c r="H7093" s="25"/>
      <c r="I7093" s="25"/>
      <c r="J7093" s="25"/>
    </row>
    <row r="7094" spans="1:10" ht="14.4">
      <c r="A7094" s="25"/>
      <c r="B7094" s="25"/>
      <c r="C7094" s="25"/>
      <c r="D7094" s="25"/>
      <c r="E7094" s="25"/>
      <c r="F7094" s="25"/>
      <c r="G7094" s="25"/>
      <c r="H7094" s="25"/>
      <c r="I7094" s="25"/>
      <c r="J7094" s="25"/>
    </row>
    <row r="7095" spans="1:10" ht="14.4">
      <c r="A7095" s="25"/>
      <c r="B7095" s="25"/>
      <c r="C7095" s="25"/>
      <c r="D7095" s="25"/>
      <c r="E7095" s="25"/>
      <c r="F7095" s="25"/>
      <c r="G7095" s="25"/>
      <c r="H7095" s="25"/>
      <c r="I7095" s="25"/>
      <c r="J7095" s="25"/>
    </row>
    <row r="7096" spans="1:10" ht="14.4">
      <c r="A7096" s="25"/>
      <c r="B7096" s="25"/>
      <c r="C7096" s="25"/>
      <c r="D7096" s="25"/>
      <c r="E7096" s="25"/>
      <c r="F7096" s="25"/>
      <c r="G7096" s="25"/>
      <c r="H7096" s="25"/>
      <c r="I7096" s="25"/>
      <c r="J7096" s="25"/>
    </row>
    <row r="7097" spans="1:10" ht="14.4">
      <c r="A7097" s="25"/>
      <c r="B7097" s="25"/>
      <c r="C7097" s="25"/>
      <c r="D7097" s="25"/>
      <c r="E7097" s="25"/>
      <c r="F7097" s="25"/>
      <c r="G7097" s="25"/>
      <c r="H7097" s="25"/>
      <c r="I7097" s="25"/>
      <c r="J7097" s="25"/>
    </row>
    <row r="7098" spans="1:10" ht="14.4">
      <c r="A7098" s="25"/>
      <c r="B7098" s="25"/>
      <c r="C7098" s="25"/>
      <c r="D7098" s="25"/>
      <c r="E7098" s="25"/>
      <c r="F7098" s="25"/>
      <c r="G7098" s="25"/>
      <c r="H7098" s="25"/>
      <c r="I7098" s="25"/>
      <c r="J7098" s="25"/>
    </row>
    <row r="7099" spans="1:10" ht="14.4">
      <c r="A7099" s="25"/>
      <c r="B7099" s="25"/>
      <c r="C7099" s="25"/>
      <c r="D7099" s="25"/>
      <c r="E7099" s="25"/>
      <c r="F7099" s="25"/>
      <c r="G7099" s="25"/>
      <c r="H7099" s="25"/>
      <c r="I7099" s="25"/>
      <c r="J7099" s="25"/>
    </row>
    <row r="7100" spans="1:10" ht="14.4">
      <c r="A7100" s="25"/>
      <c r="B7100" s="25"/>
      <c r="C7100" s="25"/>
      <c r="D7100" s="25"/>
      <c r="E7100" s="25"/>
      <c r="F7100" s="25"/>
      <c r="G7100" s="25"/>
      <c r="H7100" s="25"/>
      <c r="I7100" s="25"/>
      <c r="J7100" s="25"/>
    </row>
    <row r="7101" spans="1:10" ht="14.4">
      <c r="A7101" s="25"/>
      <c r="B7101" s="25"/>
      <c r="C7101" s="25"/>
      <c r="D7101" s="25"/>
      <c r="E7101" s="25"/>
      <c r="F7101" s="25"/>
      <c r="G7101" s="25"/>
      <c r="H7101" s="25"/>
      <c r="I7101" s="25"/>
      <c r="J7101" s="25"/>
    </row>
    <row r="7102" spans="1:10" ht="14.4">
      <c r="A7102" s="25"/>
      <c r="B7102" s="25"/>
      <c r="C7102" s="25"/>
      <c r="D7102" s="25"/>
      <c r="E7102" s="25"/>
      <c r="F7102" s="25"/>
      <c r="G7102" s="25"/>
      <c r="H7102" s="25"/>
      <c r="I7102" s="25"/>
      <c r="J7102" s="25"/>
    </row>
    <row r="7103" spans="1:10" ht="14.4">
      <c r="A7103" s="25"/>
      <c r="B7103" s="25"/>
      <c r="C7103" s="25"/>
      <c r="D7103" s="25"/>
      <c r="E7103" s="25"/>
      <c r="F7103" s="25"/>
      <c r="G7103" s="25"/>
      <c r="H7103" s="25"/>
      <c r="I7103" s="25"/>
      <c r="J7103" s="25"/>
    </row>
    <row r="7104" spans="1:10" ht="14.4">
      <c r="A7104" s="25"/>
      <c r="B7104" s="25"/>
      <c r="C7104" s="25"/>
      <c r="D7104" s="25"/>
      <c r="E7104" s="25"/>
      <c r="F7104" s="25"/>
      <c r="G7104" s="25"/>
      <c r="H7104" s="25"/>
      <c r="I7104" s="25"/>
      <c r="J7104" s="25"/>
    </row>
    <row r="7105" spans="1:10" ht="14.4">
      <c r="A7105" s="25"/>
      <c r="B7105" s="25"/>
      <c r="C7105" s="25"/>
      <c r="D7105" s="25"/>
      <c r="E7105" s="25"/>
      <c r="F7105" s="25"/>
      <c r="G7105" s="25"/>
      <c r="H7105" s="25"/>
      <c r="I7105" s="25"/>
      <c r="J7105" s="25"/>
    </row>
    <row r="7106" spans="1:10" ht="14.4">
      <c r="A7106" s="25"/>
      <c r="B7106" s="25"/>
      <c r="C7106" s="25"/>
      <c r="D7106" s="25"/>
      <c r="E7106" s="25"/>
      <c r="F7106" s="25"/>
      <c r="G7106" s="25"/>
      <c r="H7106" s="25"/>
      <c r="I7106" s="25"/>
      <c r="J7106" s="25"/>
    </row>
    <row r="7107" spans="1:10" ht="14.4">
      <c r="A7107" s="25"/>
      <c r="B7107" s="25"/>
      <c r="C7107" s="25"/>
      <c r="D7107" s="25"/>
      <c r="E7107" s="25"/>
      <c r="F7107" s="25"/>
      <c r="G7107" s="25"/>
      <c r="H7107" s="25"/>
      <c r="I7107" s="25"/>
      <c r="J7107" s="25"/>
    </row>
    <row r="7108" spans="1:10" ht="14.4">
      <c r="A7108" s="25"/>
      <c r="B7108" s="25"/>
      <c r="C7108" s="25"/>
      <c r="D7108" s="25"/>
      <c r="E7108" s="25"/>
      <c r="F7108" s="25"/>
      <c r="G7108" s="25"/>
      <c r="H7108" s="25"/>
      <c r="I7108" s="25"/>
      <c r="J7108" s="25"/>
    </row>
    <row r="7109" spans="1:10" ht="14.4">
      <c r="A7109" s="25"/>
      <c r="B7109" s="25"/>
      <c r="C7109" s="25"/>
      <c r="D7109" s="25"/>
      <c r="E7109" s="25"/>
      <c r="F7109" s="25"/>
      <c r="G7109" s="25"/>
      <c r="H7109" s="25"/>
      <c r="I7109" s="25"/>
      <c r="J7109" s="25"/>
    </row>
    <row r="7110" spans="1:10" ht="14.4">
      <c r="A7110" s="25"/>
      <c r="B7110" s="25"/>
      <c r="C7110" s="25"/>
      <c r="D7110" s="25"/>
      <c r="E7110" s="25"/>
      <c r="F7110" s="25"/>
      <c r="G7110" s="25"/>
      <c r="H7110" s="25"/>
      <c r="I7110" s="25"/>
      <c r="J7110" s="25"/>
    </row>
    <row r="7111" spans="1:10" ht="14.4">
      <c r="A7111" s="25"/>
      <c r="B7111" s="25"/>
      <c r="C7111" s="25"/>
      <c r="D7111" s="25"/>
      <c r="E7111" s="25"/>
      <c r="F7111" s="25"/>
      <c r="G7111" s="25"/>
      <c r="H7111" s="25"/>
      <c r="I7111" s="25"/>
      <c r="J7111" s="25"/>
    </row>
    <row r="7112" spans="1:10" ht="14.4">
      <c r="A7112" s="25"/>
      <c r="B7112" s="25"/>
      <c r="C7112" s="25"/>
      <c r="D7112" s="25"/>
      <c r="E7112" s="25"/>
      <c r="F7112" s="25"/>
      <c r="G7112" s="25"/>
      <c r="H7112" s="25"/>
      <c r="I7112" s="25"/>
      <c r="J7112" s="25"/>
    </row>
    <row r="7113" spans="1:10" ht="14.4">
      <c r="A7113" s="25"/>
      <c r="B7113" s="25"/>
      <c r="C7113" s="25"/>
      <c r="D7113" s="25"/>
      <c r="E7113" s="25"/>
      <c r="F7113" s="25"/>
      <c r="G7113" s="25"/>
      <c r="H7113" s="25"/>
      <c r="I7113" s="25"/>
      <c r="J7113" s="25"/>
    </row>
    <row r="7114" spans="1:10" ht="14.4">
      <c r="A7114" s="25"/>
      <c r="B7114" s="25"/>
      <c r="C7114" s="25"/>
      <c r="D7114" s="25"/>
      <c r="E7114" s="25"/>
      <c r="F7114" s="25"/>
      <c r="G7114" s="25"/>
      <c r="H7114" s="25"/>
      <c r="I7114" s="25"/>
      <c r="J7114" s="25"/>
    </row>
    <row r="7115" spans="1:10" ht="14.4">
      <c r="A7115" s="25"/>
      <c r="B7115" s="25"/>
      <c r="C7115" s="25"/>
      <c r="D7115" s="25"/>
      <c r="E7115" s="25"/>
      <c r="F7115" s="25"/>
      <c r="G7115" s="25"/>
      <c r="H7115" s="25"/>
      <c r="I7115" s="25"/>
      <c r="J7115" s="25"/>
    </row>
    <row r="7116" spans="1:10" ht="14.4">
      <c r="A7116" s="25"/>
      <c r="B7116" s="25"/>
      <c r="C7116" s="25"/>
      <c r="D7116" s="25"/>
      <c r="E7116" s="25"/>
      <c r="F7116" s="25"/>
      <c r="G7116" s="25"/>
      <c r="H7116" s="25"/>
      <c r="I7116" s="25"/>
      <c r="J7116" s="25"/>
    </row>
    <row r="7117" spans="1:10" ht="14.4">
      <c r="A7117" s="25"/>
      <c r="B7117" s="25"/>
      <c r="C7117" s="25"/>
      <c r="D7117" s="25"/>
      <c r="E7117" s="25"/>
      <c r="F7117" s="25"/>
      <c r="G7117" s="25"/>
      <c r="H7117" s="25"/>
      <c r="I7117" s="25"/>
      <c r="J7117" s="25"/>
    </row>
    <row r="7118" spans="1:10" ht="14.4">
      <c r="A7118" s="25"/>
      <c r="B7118" s="25"/>
      <c r="C7118" s="25"/>
      <c r="D7118" s="25"/>
      <c r="E7118" s="25"/>
      <c r="F7118" s="25"/>
      <c r="G7118" s="25"/>
      <c r="H7118" s="25"/>
      <c r="I7118" s="25"/>
      <c r="J7118" s="25"/>
    </row>
    <row r="7119" spans="1:10" ht="14.4">
      <c r="A7119" s="25"/>
      <c r="B7119" s="25"/>
      <c r="C7119" s="25"/>
      <c r="D7119" s="25"/>
      <c r="E7119" s="25"/>
      <c r="F7119" s="25"/>
      <c r="G7119" s="25"/>
      <c r="H7119" s="25"/>
      <c r="I7119" s="25"/>
      <c r="J7119" s="25"/>
    </row>
    <row r="7120" spans="1:10" ht="14.4">
      <c r="A7120" s="25"/>
      <c r="B7120" s="25"/>
      <c r="C7120" s="25"/>
      <c r="D7120" s="25"/>
      <c r="E7120" s="25"/>
      <c r="F7120" s="25"/>
      <c r="G7120" s="25"/>
      <c r="H7120" s="25"/>
      <c r="I7120" s="25"/>
      <c r="J7120" s="25"/>
    </row>
    <row r="7121" spans="1:10" ht="14.4">
      <c r="A7121" s="25"/>
      <c r="B7121" s="25"/>
      <c r="C7121" s="25"/>
      <c r="D7121" s="25"/>
      <c r="E7121" s="25"/>
      <c r="F7121" s="25"/>
      <c r="G7121" s="25"/>
      <c r="H7121" s="25"/>
      <c r="I7121" s="25"/>
      <c r="J7121" s="25"/>
    </row>
    <row r="7122" spans="1:10" ht="14.4">
      <c r="A7122" s="25"/>
      <c r="B7122" s="25"/>
      <c r="C7122" s="25"/>
      <c r="D7122" s="25"/>
      <c r="E7122" s="25"/>
      <c r="F7122" s="25"/>
      <c r="G7122" s="25"/>
      <c r="H7122" s="25"/>
      <c r="I7122" s="25"/>
      <c r="J7122" s="25"/>
    </row>
    <row r="7123" spans="1:10" ht="14.4">
      <c r="A7123" s="25"/>
      <c r="B7123" s="25"/>
      <c r="C7123" s="25"/>
      <c r="D7123" s="25"/>
      <c r="E7123" s="25"/>
      <c r="F7123" s="25"/>
      <c r="G7123" s="25"/>
      <c r="H7123" s="25"/>
      <c r="I7123" s="25"/>
      <c r="J7123" s="25"/>
    </row>
    <row r="7124" spans="1:10" ht="14.4">
      <c r="A7124" s="25"/>
      <c r="B7124" s="25"/>
      <c r="C7124" s="25"/>
      <c r="D7124" s="25"/>
      <c r="E7124" s="25"/>
      <c r="F7124" s="25"/>
      <c r="G7124" s="25"/>
      <c r="H7124" s="25"/>
      <c r="I7124" s="25"/>
      <c r="J7124" s="25"/>
    </row>
    <row r="7125" spans="1:10" ht="14.4">
      <c r="A7125" s="25"/>
      <c r="B7125" s="25"/>
      <c r="C7125" s="25"/>
      <c r="D7125" s="25"/>
      <c r="E7125" s="25"/>
      <c r="F7125" s="25"/>
      <c r="G7125" s="25"/>
      <c r="H7125" s="25"/>
      <c r="I7125" s="25"/>
      <c r="J7125" s="25"/>
    </row>
    <row r="7126" spans="1:10" ht="14.4">
      <c r="A7126" s="25"/>
      <c r="B7126" s="25"/>
      <c r="C7126" s="25"/>
      <c r="D7126" s="25"/>
      <c r="E7126" s="25"/>
      <c r="F7126" s="25"/>
      <c r="G7126" s="25"/>
      <c r="H7126" s="25"/>
      <c r="I7126" s="25"/>
      <c r="J7126" s="25"/>
    </row>
    <row r="7127" spans="1:10" ht="14.4">
      <c r="A7127" s="25"/>
      <c r="B7127" s="25"/>
      <c r="C7127" s="25"/>
      <c r="D7127" s="25"/>
      <c r="E7127" s="25"/>
      <c r="F7127" s="25"/>
      <c r="G7127" s="25"/>
      <c r="H7127" s="25"/>
      <c r="I7127" s="25"/>
      <c r="J7127" s="25"/>
    </row>
    <row r="7128" spans="1:10" ht="14.4">
      <c r="A7128" s="25"/>
      <c r="B7128" s="25"/>
      <c r="C7128" s="25"/>
      <c r="D7128" s="25"/>
      <c r="E7128" s="25"/>
      <c r="F7128" s="25"/>
      <c r="G7128" s="25"/>
      <c r="H7128" s="25"/>
      <c r="I7128" s="25"/>
      <c r="J7128" s="25"/>
    </row>
    <row r="7129" spans="1:10" ht="14.4">
      <c r="A7129" s="25"/>
      <c r="B7129" s="25"/>
      <c r="C7129" s="25"/>
      <c r="D7129" s="25"/>
      <c r="E7129" s="25"/>
      <c r="F7129" s="25"/>
      <c r="G7129" s="25"/>
      <c r="H7129" s="25"/>
      <c r="I7129" s="25"/>
      <c r="J7129" s="25"/>
    </row>
    <row r="7130" spans="1:10" ht="14.4">
      <c r="A7130" s="25"/>
      <c r="B7130" s="25"/>
      <c r="C7130" s="25"/>
      <c r="D7130" s="25"/>
      <c r="E7130" s="25"/>
      <c r="F7130" s="25"/>
      <c r="G7130" s="25"/>
      <c r="H7130" s="25"/>
      <c r="I7130" s="25"/>
      <c r="J7130" s="25"/>
    </row>
    <row r="7131" spans="1:10" ht="14.4">
      <c r="A7131" s="25"/>
      <c r="B7131" s="25"/>
      <c r="C7131" s="25"/>
      <c r="D7131" s="25"/>
      <c r="E7131" s="25"/>
      <c r="F7131" s="25"/>
      <c r="G7131" s="25"/>
      <c r="H7131" s="25"/>
      <c r="I7131" s="25"/>
      <c r="J7131" s="25"/>
    </row>
    <row r="7132" spans="1:10" ht="14.4">
      <c r="A7132" s="25"/>
      <c r="B7132" s="25"/>
      <c r="C7132" s="25"/>
      <c r="D7132" s="25"/>
      <c r="E7132" s="25"/>
      <c r="F7132" s="25"/>
      <c r="G7132" s="25"/>
      <c r="H7132" s="25"/>
      <c r="I7132" s="25"/>
      <c r="J7132" s="25"/>
    </row>
    <row r="7133" spans="1:10" ht="14.4">
      <c r="A7133" s="25"/>
      <c r="B7133" s="25"/>
      <c r="C7133" s="25"/>
      <c r="D7133" s="25"/>
      <c r="E7133" s="25"/>
      <c r="F7133" s="25"/>
      <c r="G7133" s="25"/>
      <c r="H7133" s="25"/>
      <c r="I7133" s="25"/>
      <c r="J7133" s="25"/>
    </row>
    <row r="7134" spans="1:10" ht="14.4">
      <c r="A7134" s="25"/>
      <c r="B7134" s="25"/>
      <c r="C7134" s="25"/>
      <c r="D7134" s="25"/>
      <c r="E7134" s="25"/>
      <c r="F7134" s="25"/>
      <c r="G7134" s="25"/>
      <c r="H7134" s="25"/>
      <c r="I7134" s="25"/>
      <c r="J7134" s="25"/>
    </row>
    <row r="7135" spans="1:10" ht="14.4">
      <c r="A7135" s="25"/>
      <c r="B7135" s="25"/>
      <c r="C7135" s="25"/>
      <c r="D7135" s="25"/>
      <c r="E7135" s="25"/>
      <c r="F7135" s="25"/>
      <c r="G7135" s="25"/>
      <c r="H7135" s="25"/>
      <c r="I7135" s="25"/>
      <c r="J7135" s="25"/>
    </row>
    <row r="7136" spans="1:10" ht="14.4">
      <c r="A7136" s="25"/>
      <c r="B7136" s="25"/>
      <c r="C7136" s="25"/>
      <c r="D7136" s="25"/>
      <c r="E7136" s="25"/>
      <c r="F7136" s="25"/>
      <c r="G7136" s="25"/>
      <c r="H7136" s="25"/>
      <c r="I7136" s="25"/>
      <c r="J7136" s="25"/>
    </row>
    <row r="7137" spans="1:10" ht="14.4">
      <c r="A7137" s="25"/>
      <c r="B7137" s="25"/>
      <c r="C7137" s="25"/>
      <c r="D7137" s="25"/>
      <c r="E7137" s="25"/>
      <c r="F7137" s="25"/>
      <c r="G7137" s="25"/>
      <c r="H7137" s="25"/>
      <c r="I7137" s="25"/>
      <c r="J7137" s="25"/>
    </row>
    <row r="7138" spans="1:10" ht="14.4">
      <c r="A7138" s="25"/>
      <c r="B7138" s="25"/>
      <c r="C7138" s="25"/>
      <c r="D7138" s="25"/>
      <c r="E7138" s="25"/>
      <c r="F7138" s="25"/>
      <c r="G7138" s="25"/>
      <c r="H7138" s="25"/>
      <c r="I7138" s="25"/>
      <c r="J7138" s="25"/>
    </row>
    <row r="7139" spans="1:10" ht="14.4">
      <c r="A7139" s="25"/>
      <c r="B7139" s="25"/>
      <c r="C7139" s="25"/>
      <c r="D7139" s="25"/>
      <c r="E7139" s="25"/>
      <c r="F7139" s="25"/>
      <c r="G7139" s="25"/>
      <c r="H7139" s="25"/>
      <c r="I7139" s="25"/>
      <c r="J7139" s="25"/>
    </row>
    <row r="7140" spans="1:10" ht="14.4">
      <c r="A7140" s="25"/>
      <c r="B7140" s="25"/>
      <c r="C7140" s="25"/>
      <c r="D7140" s="25"/>
      <c r="E7140" s="25"/>
      <c r="F7140" s="25"/>
      <c r="G7140" s="25"/>
      <c r="H7140" s="25"/>
      <c r="I7140" s="25"/>
      <c r="J7140" s="25"/>
    </row>
    <row r="7141" spans="1:10" ht="14.4">
      <c r="A7141" s="25"/>
      <c r="B7141" s="25"/>
      <c r="C7141" s="25"/>
      <c r="D7141" s="25"/>
      <c r="E7141" s="25"/>
      <c r="F7141" s="25"/>
      <c r="G7141" s="25"/>
      <c r="H7141" s="25"/>
      <c r="I7141" s="25"/>
      <c r="J7141" s="25"/>
    </row>
    <row r="7142" spans="1:10" ht="14.4">
      <c r="A7142" s="25"/>
      <c r="B7142" s="25"/>
      <c r="C7142" s="25"/>
      <c r="D7142" s="25"/>
      <c r="E7142" s="25"/>
      <c r="F7142" s="25"/>
      <c r="G7142" s="25"/>
      <c r="H7142" s="25"/>
      <c r="I7142" s="25"/>
      <c r="J7142" s="25"/>
    </row>
    <row r="7143" spans="1:10" ht="14.4">
      <c r="A7143" s="25"/>
      <c r="B7143" s="25"/>
      <c r="C7143" s="25"/>
      <c r="D7143" s="25"/>
      <c r="E7143" s="25"/>
      <c r="F7143" s="25"/>
      <c r="G7143" s="25"/>
      <c r="H7143" s="25"/>
      <c r="I7143" s="25"/>
      <c r="J7143" s="25"/>
    </row>
    <row r="7144" spans="1:10" ht="14.4">
      <c r="A7144" s="25"/>
      <c r="B7144" s="25"/>
      <c r="C7144" s="25"/>
      <c r="D7144" s="25"/>
      <c r="E7144" s="25"/>
      <c r="F7144" s="25"/>
      <c r="G7144" s="25"/>
      <c r="H7144" s="25"/>
      <c r="I7144" s="25"/>
      <c r="J7144" s="25"/>
    </row>
    <row r="7145" spans="1:10" ht="14.4">
      <c r="A7145" s="25"/>
      <c r="B7145" s="25"/>
      <c r="C7145" s="25"/>
      <c r="D7145" s="25"/>
      <c r="E7145" s="25"/>
      <c r="F7145" s="25"/>
      <c r="G7145" s="25"/>
      <c r="H7145" s="25"/>
      <c r="I7145" s="25"/>
      <c r="J7145" s="25"/>
    </row>
    <row r="7146" spans="1:10" ht="14.4">
      <c r="A7146" s="25"/>
      <c r="B7146" s="25"/>
      <c r="C7146" s="25"/>
      <c r="D7146" s="25"/>
      <c r="E7146" s="25"/>
      <c r="F7146" s="25"/>
      <c r="G7146" s="25"/>
      <c r="H7146" s="25"/>
      <c r="I7146" s="25"/>
      <c r="J7146" s="25"/>
    </row>
    <row r="7147" spans="1:10" ht="14.4">
      <c r="A7147" s="25"/>
      <c r="B7147" s="25"/>
      <c r="C7147" s="25"/>
      <c r="D7147" s="25"/>
      <c r="E7147" s="25"/>
      <c r="F7147" s="25"/>
      <c r="G7147" s="25"/>
      <c r="H7147" s="25"/>
      <c r="I7147" s="25"/>
      <c r="J7147" s="25"/>
    </row>
    <row r="7148" spans="1:10" ht="14.4">
      <c r="A7148" s="25"/>
      <c r="B7148" s="25"/>
      <c r="C7148" s="25"/>
      <c r="D7148" s="25"/>
      <c r="E7148" s="25"/>
      <c r="F7148" s="25"/>
      <c r="G7148" s="25"/>
      <c r="H7148" s="25"/>
      <c r="I7148" s="25"/>
      <c r="J7148" s="25"/>
    </row>
    <row r="7149" spans="1:10" ht="14.4">
      <c r="A7149" s="25"/>
      <c r="B7149" s="25"/>
      <c r="C7149" s="25"/>
      <c r="D7149" s="25"/>
      <c r="E7149" s="25"/>
      <c r="F7149" s="25"/>
      <c r="G7149" s="25"/>
      <c r="H7149" s="25"/>
      <c r="I7149" s="25"/>
      <c r="J7149" s="25"/>
    </row>
    <row r="7150" spans="1:10" ht="14.4">
      <c r="A7150" s="25"/>
      <c r="B7150" s="25"/>
      <c r="C7150" s="25"/>
      <c r="D7150" s="25"/>
      <c r="E7150" s="25"/>
      <c r="F7150" s="25"/>
      <c r="G7150" s="25"/>
      <c r="H7150" s="25"/>
      <c r="I7150" s="25"/>
      <c r="J7150" s="25"/>
    </row>
    <row r="7151" spans="1:10" ht="14.4">
      <c r="A7151" s="25"/>
      <c r="B7151" s="25"/>
      <c r="C7151" s="25"/>
      <c r="D7151" s="25"/>
      <c r="E7151" s="25"/>
      <c r="F7151" s="25"/>
      <c r="G7151" s="25"/>
      <c r="H7151" s="25"/>
      <c r="I7151" s="25"/>
      <c r="J7151" s="25"/>
    </row>
    <row r="7152" spans="1:10" ht="14.4">
      <c r="A7152" s="25"/>
      <c r="B7152" s="25"/>
      <c r="C7152" s="25"/>
      <c r="D7152" s="25"/>
      <c r="E7152" s="25"/>
      <c r="F7152" s="25"/>
      <c r="G7152" s="25"/>
      <c r="H7152" s="25"/>
      <c r="I7152" s="25"/>
      <c r="J7152" s="25"/>
    </row>
    <row r="7153" spans="1:10" ht="14.4">
      <c r="A7153" s="25"/>
      <c r="B7153" s="25"/>
      <c r="C7153" s="25"/>
      <c r="D7153" s="25"/>
      <c r="E7153" s="25"/>
      <c r="F7153" s="25"/>
      <c r="G7153" s="25"/>
      <c r="H7153" s="25"/>
      <c r="I7153" s="25"/>
      <c r="J7153" s="25"/>
    </row>
    <row r="7154" spans="1:10" ht="14.4">
      <c r="A7154" s="25"/>
      <c r="B7154" s="25"/>
      <c r="C7154" s="25"/>
      <c r="D7154" s="25"/>
      <c r="E7154" s="25"/>
      <c r="F7154" s="25"/>
      <c r="G7154" s="25"/>
      <c r="H7154" s="25"/>
      <c r="I7154" s="25"/>
      <c r="J7154" s="25"/>
    </row>
    <row r="7155" spans="1:10" ht="14.4">
      <c r="A7155" s="25"/>
      <c r="B7155" s="25"/>
      <c r="C7155" s="25"/>
      <c r="D7155" s="25"/>
      <c r="E7155" s="25"/>
      <c r="F7155" s="25"/>
      <c r="G7155" s="25"/>
      <c r="H7155" s="25"/>
      <c r="I7155" s="25"/>
      <c r="J7155" s="25"/>
    </row>
    <row r="7156" spans="1:10" ht="14.4">
      <c r="A7156" s="25"/>
      <c r="B7156" s="25"/>
      <c r="C7156" s="25"/>
      <c r="D7156" s="25"/>
      <c r="E7156" s="25"/>
      <c r="F7156" s="25"/>
      <c r="G7156" s="25"/>
      <c r="H7156" s="25"/>
      <c r="I7156" s="25"/>
      <c r="J7156" s="25"/>
    </row>
    <row r="7157" spans="1:10" ht="14.4">
      <c r="A7157" s="25"/>
      <c r="B7157" s="25"/>
      <c r="C7157" s="25"/>
      <c r="D7157" s="25"/>
      <c r="E7157" s="25"/>
      <c r="F7157" s="25"/>
      <c r="G7157" s="25"/>
      <c r="H7157" s="25"/>
      <c r="I7157" s="25"/>
      <c r="J7157" s="25"/>
    </row>
    <row r="7158" spans="1:10" ht="14.4">
      <c r="A7158" s="25"/>
      <c r="B7158" s="25"/>
      <c r="C7158" s="25"/>
      <c r="D7158" s="25"/>
      <c r="E7158" s="25"/>
      <c r="F7158" s="25"/>
      <c r="G7158" s="25"/>
      <c r="H7158" s="25"/>
      <c r="I7158" s="25"/>
      <c r="J7158" s="25"/>
    </row>
    <row r="7159" spans="1:10" ht="14.4">
      <c r="A7159" s="25"/>
      <c r="B7159" s="25"/>
      <c r="C7159" s="25"/>
      <c r="D7159" s="25"/>
      <c r="E7159" s="25"/>
      <c r="F7159" s="25"/>
      <c r="G7159" s="25"/>
      <c r="H7159" s="25"/>
      <c r="I7159" s="25"/>
      <c r="J7159" s="25"/>
    </row>
    <row r="7160" spans="1:10" ht="14.4">
      <c r="A7160" s="25"/>
      <c r="B7160" s="25"/>
      <c r="C7160" s="25"/>
      <c r="D7160" s="25"/>
      <c r="E7160" s="25"/>
      <c r="F7160" s="25"/>
      <c r="G7160" s="25"/>
      <c r="H7160" s="25"/>
      <c r="I7160" s="25"/>
      <c r="J7160" s="25"/>
    </row>
    <row r="7161" spans="1:10" ht="14.4">
      <c r="A7161" s="25"/>
      <c r="B7161" s="25"/>
      <c r="C7161" s="25"/>
      <c r="D7161" s="25"/>
      <c r="E7161" s="25"/>
      <c r="F7161" s="25"/>
      <c r="G7161" s="25"/>
      <c r="H7161" s="25"/>
      <c r="I7161" s="25"/>
      <c r="J7161" s="25"/>
    </row>
    <row r="7162" spans="1:10" ht="14.4">
      <c r="A7162" s="25"/>
      <c r="B7162" s="25"/>
      <c r="C7162" s="25"/>
      <c r="D7162" s="25"/>
      <c r="E7162" s="25"/>
      <c r="F7162" s="25"/>
      <c r="G7162" s="25"/>
      <c r="H7162" s="25"/>
      <c r="I7162" s="25"/>
      <c r="J7162" s="25"/>
    </row>
    <row r="7163" spans="1:10" ht="14.4">
      <c r="A7163" s="25"/>
      <c r="B7163" s="25"/>
      <c r="C7163" s="25"/>
      <c r="D7163" s="25"/>
      <c r="E7163" s="25"/>
      <c r="F7163" s="25"/>
      <c r="G7163" s="25"/>
      <c r="H7163" s="25"/>
      <c r="I7163" s="25"/>
      <c r="J7163" s="25"/>
    </row>
    <row r="7164" spans="1:10" ht="14.4">
      <c r="A7164" s="25"/>
      <c r="B7164" s="25"/>
      <c r="C7164" s="25"/>
      <c r="D7164" s="25"/>
      <c r="E7164" s="25"/>
      <c r="F7164" s="25"/>
      <c r="G7164" s="25"/>
      <c r="H7164" s="25"/>
      <c r="I7164" s="25"/>
      <c r="J7164" s="25"/>
    </row>
    <row r="7165" spans="1:10" ht="14.4">
      <c r="A7165" s="25"/>
      <c r="B7165" s="25"/>
      <c r="C7165" s="25"/>
      <c r="D7165" s="25"/>
      <c r="E7165" s="25"/>
      <c r="F7165" s="25"/>
      <c r="G7165" s="25"/>
      <c r="H7165" s="25"/>
      <c r="I7165" s="25"/>
      <c r="J7165" s="25"/>
    </row>
    <row r="7166" spans="1:10" ht="14.4">
      <c r="A7166" s="25"/>
      <c r="B7166" s="25"/>
      <c r="C7166" s="25"/>
      <c r="D7166" s="25"/>
      <c r="E7166" s="25"/>
      <c r="F7166" s="25"/>
      <c r="G7166" s="25"/>
      <c r="H7166" s="25"/>
      <c r="I7166" s="25"/>
      <c r="J7166" s="25"/>
    </row>
    <row r="7167" spans="1:10" ht="14.4">
      <c r="A7167" s="25"/>
      <c r="B7167" s="25"/>
      <c r="C7167" s="25"/>
      <c r="D7167" s="25"/>
      <c r="E7167" s="25"/>
      <c r="F7167" s="25"/>
      <c r="G7167" s="25"/>
      <c r="H7167" s="25"/>
      <c r="I7167" s="25"/>
      <c r="J7167" s="25"/>
    </row>
    <row r="7168" spans="1:10" ht="14.4">
      <c r="A7168" s="25"/>
      <c r="B7168" s="25"/>
      <c r="C7168" s="25"/>
      <c r="D7168" s="25"/>
      <c r="E7168" s="25"/>
      <c r="F7168" s="25"/>
      <c r="G7168" s="25"/>
      <c r="H7168" s="25"/>
      <c r="I7168" s="25"/>
      <c r="J7168" s="25"/>
    </row>
    <row r="7169" spans="1:10" ht="14.4">
      <c r="A7169" s="25"/>
      <c r="B7169" s="25"/>
      <c r="C7169" s="25"/>
      <c r="D7169" s="25"/>
      <c r="E7169" s="25"/>
      <c r="F7169" s="25"/>
      <c r="G7169" s="25"/>
      <c r="H7169" s="25"/>
      <c r="I7169" s="25"/>
      <c r="J7169" s="25"/>
    </row>
    <row r="7170" spans="1:10" ht="14.4">
      <c r="A7170" s="25"/>
      <c r="B7170" s="25"/>
      <c r="C7170" s="25"/>
      <c r="D7170" s="25"/>
      <c r="E7170" s="25"/>
      <c r="F7170" s="25"/>
      <c r="G7170" s="25"/>
      <c r="H7170" s="25"/>
      <c r="I7170" s="25"/>
      <c r="J7170" s="25"/>
    </row>
    <row r="7171" spans="1:10" ht="14.4">
      <c r="A7171" s="25"/>
      <c r="B7171" s="25"/>
      <c r="C7171" s="25"/>
      <c r="D7171" s="25"/>
      <c r="E7171" s="25"/>
      <c r="F7171" s="25"/>
      <c r="G7171" s="25"/>
      <c r="H7171" s="25"/>
      <c r="I7171" s="25"/>
      <c r="J7171" s="25"/>
    </row>
    <row r="7172" spans="1:10" ht="14.4">
      <c r="A7172" s="25"/>
      <c r="B7172" s="25"/>
      <c r="C7172" s="25"/>
      <c r="D7172" s="25"/>
      <c r="E7172" s="25"/>
      <c r="F7172" s="25"/>
      <c r="G7172" s="25"/>
      <c r="H7172" s="25"/>
      <c r="I7172" s="25"/>
      <c r="J7172" s="25"/>
    </row>
    <row r="7173" spans="1:10" ht="14.4">
      <c r="A7173" s="25"/>
      <c r="B7173" s="25"/>
      <c r="C7173" s="25"/>
      <c r="D7173" s="25"/>
      <c r="E7173" s="25"/>
      <c r="F7173" s="25"/>
      <c r="G7173" s="25"/>
      <c r="H7173" s="25"/>
      <c r="I7173" s="25"/>
      <c r="J7173" s="25"/>
    </row>
    <row r="7174" spans="1:10" ht="14.4">
      <c r="A7174" s="25"/>
      <c r="B7174" s="25"/>
      <c r="C7174" s="25"/>
      <c r="D7174" s="25"/>
      <c r="E7174" s="25"/>
      <c r="F7174" s="25"/>
      <c r="G7174" s="25"/>
      <c r="H7174" s="25"/>
      <c r="I7174" s="25"/>
      <c r="J7174" s="25"/>
    </row>
    <row r="7175" spans="1:10" ht="14.4">
      <c r="A7175" s="25"/>
      <c r="B7175" s="25"/>
      <c r="C7175" s="25"/>
      <c r="D7175" s="25"/>
      <c r="E7175" s="25"/>
      <c r="F7175" s="25"/>
      <c r="G7175" s="25"/>
      <c r="H7175" s="25"/>
      <c r="I7175" s="25"/>
      <c r="J7175" s="25"/>
    </row>
    <row r="7176" spans="1:10" ht="14.4">
      <c r="A7176" s="25"/>
      <c r="B7176" s="25"/>
      <c r="C7176" s="25"/>
      <c r="D7176" s="25"/>
      <c r="E7176" s="25"/>
      <c r="F7176" s="25"/>
      <c r="G7176" s="25"/>
      <c r="H7176" s="25"/>
      <c r="I7176" s="25"/>
      <c r="J7176" s="25"/>
    </row>
    <row r="7177" spans="1:10" ht="14.4">
      <c r="A7177" s="25"/>
      <c r="B7177" s="25"/>
      <c r="C7177" s="25"/>
      <c r="D7177" s="25"/>
      <c r="E7177" s="25"/>
      <c r="F7177" s="25"/>
      <c r="G7177" s="25"/>
      <c r="H7177" s="25"/>
      <c r="I7177" s="25"/>
      <c r="J7177" s="25"/>
    </row>
    <row r="7178" spans="1:10" ht="14.4">
      <c r="A7178" s="25"/>
      <c r="B7178" s="25"/>
      <c r="C7178" s="25"/>
      <c r="D7178" s="25"/>
      <c r="E7178" s="25"/>
      <c r="F7178" s="25"/>
      <c r="G7178" s="25"/>
      <c r="H7178" s="25"/>
      <c r="I7178" s="25"/>
      <c r="J7178" s="25"/>
    </row>
    <row r="7179" spans="1:10" ht="14.4">
      <c r="A7179" s="25"/>
      <c r="B7179" s="25"/>
      <c r="C7179" s="25"/>
      <c r="D7179" s="25"/>
      <c r="E7179" s="25"/>
      <c r="F7179" s="25"/>
      <c r="G7179" s="25"/>
      <c r="H7179" s="25"/>
      <c r="I7179" s="25"/>
      <c r="J7179" s="25"/>
    </row>
    <row r="7180" spans="1:10" ht="14.4">
      <c r="A7180" s="25"/>
      <c r="B7180" s="25"/>
      <c r="C7180" s="25"/>
      <c r="D7180" s="25"/>
      <c r="E7180" s="25"/>
      <c r="F7180" s="25"/>
      <c r="G7180" s="25"/>
      <c r="H7180" s="25"/>
      <c r="I7180" s="25"/>
      <c r="J7180" s="25"/>
    </row>
    <row r="7181" spans="1:10" ht="14.4">
      <c r="A7181" s="25"/>
      <c r="B7181" s="25"/>
      <c r="C7181" s="25"/>
      <c r="D7181" s="25"/>
      <c r="E7181" s="25"/>
      <c r="F7181" s="25"/>
      <c r="G7181" s="25"/>
      <c r="H7181" s="25"/>
      <c r="I7181" s="25"/>
      <c r="J7181" s="25"/>
    </row>
    <row r="7182" spans="1:10" ht="14.4">
      <c r="A7182" s="25"/>
      <c r="B7182" s="25"/>
      <c r="C7182" s="25"/>
      <c r="D7182" s="25"/>
      <c r="E7182" s="25"/>
      <c r="F7182" s="25"/>
      <c r="G7182" s="25"/>
      <c r="H7182" s="25"/>
      <c r="I7182" s="25"/>
      <c r="J7182" s="25"/>
    </row>
    <row r="7183" spans="1:10" ht="14.4">
      <c r="A7183" s="25"/>
      <c r="B7183" s="25"/>
      <c r="C7183" s="25"/>
      <c r="D7183" s="25"/>
      <c r="E7183" s="25"/>
      <c r="F7183" s="25"/>
      <c r="G7183" s="25"/>
      <c r="H7183" s="25"/>
      <c r="I7183" s="25"/>
      <c r="J7183" s="25"/>
    </row>
    <row r="7184" spans="1:10" ht="14.4">
      <c r="A7184" s="25"/>
      <c r="B7184" s="25"/>
      <c r="C7184" s="25"/>
      <c r="D7184" s="25"/>
      <c r="E7184" s="25"/>
      <c r="F7184" s="25"/>
      <c r="G7184" s="25"/>
      <c r="H7184" s="25"/>
      <c r="I7184" s="25"/>
      <c r="J7184" s="25"/>
    </row>
    <row r="7185" spans="1:10" ht="14.4">
      <c r="A7185" s="25"/>
      <c r="B7185" s="25"/>
      <c r="C7185" s="25"/>
      <c r="D7185" s="25"/>
      <c r="E7185" s="25"/>
      <c r="F7185" s="25"/>
      <c r="G7185" s="25"/>
      <c r="H7185" s="25"/>
      <c r="I7185" s="25"/>
      <c r="J7185" s="25"/>
    </row>
    <row r="7186" spans="1:10" ht="14.4">
      <c r="A7186" s="25"/>
      <c r="B7186" s="25"/>
      <c r="C7186" s="25"/>
      <c r="D7186" s="25"/>
      <c r="E7186" s="25"/>
      <c r="F7186" s="25"/>
      <c r="G7186" s="25"/>
      <c r="H7186" s="25"/>
      <c r="I7186" s="25"/>
      <c r="J7186" s="25"/>
    </row>
    <row r="7187" spans="1:10" ht="14.4">
      <c r="A7187" s="25"/>
      <c r="B7187" s="25"/>
      <c r="C7187" s="25"/>
      <c r="D7187" s="25"/>
      <c r="E7187" s="25"/>
      <c r="F7187" s="25"/>
      <c r="G7187" s="25"/>
      <c r="H7187" s="25"/>
      <c r="I7187" s="25"/>
      <c r="J7187" s="25"/>
    </row>
    <row r="7188" spans="1:10" ht="14.4">
      <c r="A7188" s="25"/>
      <c r="B7188" s="25"/>
      <c r="C7188" s="25"/>
      <c r="D7188" s="25"/>
      <c r="E7188" s="25"/>
      <c r="F7188" s="25"/>
      <c r="G7188" s="25"/>
      <c r="H7188" s="25"/>
      <c r="I7188" s="25"/>
      <c r="J7188" s="25"/>
    </row>
    <row r="7189" spans="1:10" ht="14.4">
      <c r="A7189" s="25"/>
      <c r="B7189" s="25"/>
      <c r="C7189" s="25"/>
      <c r="D7189" s="25"/>
      <c r="E7189" s="25"/>
      <c r="F7189" s="25"/>
      <c r="G7189" s="25"/>
      <c r="H7189" s="25"/>
      <c r="I7189" s="25"/>
      <c r="J7189" s="25"/>
    </row>
    <row r="7190" spans="1:10" ht="14.4">
      <c r="A7190" s="25"/>
      <c r="B7190" s="25"/>
      <c r="C7190" s="25"/>
      <c r="D7190" s="25"/>
      <c r="E7190" s="25"/>
      <c r="F7190" s="25"/>
      <c r="G7190" s="25"/>
      <c r="H7190" s="25"/>
      <c r="I7190" s="25"/>
      <c r="J7190" s="25"/>
    </row>
    <row r="7191" spans="1:10" ht="14.4">
      <c r="A7191" s="25"/>
      <c r="B7191" s="25"/>
      <c r="C7191" s="25"/>
      <c r="D7191" s="25"/>
      <c r="E7191" s="25"/>
      <c r="F7191" s="25"/>
      <c r="G7191" s="25"/>
      <c r="H7191" s="25"/>
      <c r="I7191" s="25"/>
      <c r="J7191" s="25"/>
    </row>
    <row r="7192" spans="1:10" ht="14.4">
      <c r="A7192" s="25"/>
      <c r="B7192" s="25"/>
      <c r="C7192" s="25"/>
      <c r="D7192" s="25"/>
      <c r="E7192" s="25"/>
      <c r="F7192" s="25"/>
      <c r="G7192" s="25"/>
      <c r="H7192" s="25"/>
      <c r="I7192" s="25"/>
      <c r="J7192" s="25"/>
    </row>
    <row r="7193" spans="1:10" ht="14.4">
      <c r="A7193" s="25"/>
      <c r="B7193" s="25"/>
      <c r="C7193" s="25"/>
      <c r="D7193" s="25"/>
      <c r="E7193" s="25"/>
      <c r="F7193" s="25"/>
      <c r="G7193" s="25"/>
      <c r="H7193" s="25"/>
      <c r="I7193" s="25"/>
      <c r="J7193" s="25"/>
    </row>
    <row r="7194" spans="1:10" ht="14.4">
      <c r="A7194" s="25"/>
      <c r="B7194" s="25"/>
      <c r="C7194" s="25"/>
      <c r="D7194" s="25"/>
      <c r="E7194" s="25"/>
      <c r="F7194" s="25"/>
      <c r="G7194" s="25"/>
      <c r="H7194" s="25"/>
      <c r="I7194" s="25"/>
      <c r="J7194" s="25"/>
    </row>
    <row r="7195" spans="1:10" ht="14.4">
      <c r="A7195" s="25"/>
      <c r="B7195" s="25"/>
      <c r="C7195" s="25"/>
      <c r="D7195" s="25"/>
      <c r="E7195" s="25"/>
      <c r="F7195" s="25"/>
      <c r="G7195" s="25"/>
      <c r="H7195" s="25"/>
      <c r="I7195" s="25"/>
      <c r="J7195" s="25"/>
    </row>
    <row r="7196" spans="1:10" ht="14.4">
      <c r="A7196" s="25"/>
      <c r="B7196" s="25"/>
      <c r="C7196" s="25"/>
      <c r="D7196" s="25"/>
      <c r="E7196" s="25"/>
      <c r="F7196" s="25"/>
      <c r="G7196" s="25"/>
      <c r="H7196" s="25"/>
      <c r="I7196" s="25"/>
      <c r="J7196" s="25"/>
    </row>
    <row r="7197" spans="1:10" ht="14.4">
      <c r="A7197" s="25"/>
      <c r="B7197" s="25"/>
      <c r="C7197" s="25"/>
      <c r="D7197" s="25"/>
      <c r="E7197" s="25"/>
      <c r="F7197" s="25"/>
      <c r="G7197" s="25"/>
      <c r="H7197" s="25"/>
      <c r="I7197" s="25"/>
      <c r="J7197" s="25"/>
    </row>
    <row r="7198" spans="1:10" ht="14.4">
      <c r="A7198" s="25"/>
      <c r="B7198" s="25"/>
      <c r="C7198" s="25"/>
      <c r="D7198" s="25"/>
      <c r="E7198" s="25"/>
      <c r="F7198" s="25"/>
      <c r="G7198" s="25"/>
      <c r="H7198" s="25"/>
      <c r="I7198" s="25"/>
      <c r="J7198" s="25"/>
    </row>
    <row r="7199" spans="1:10" ht="14.4">
      <c r="A7199" s="25"/>
      <c r="B7199" s="25"/>
      <c r="C7199" s="25"/>
      <c r="D7199" s="25"/>
      <c r="E7199" s="25"/>
      <c r="F7199" s="25"/>
      <c r="G7199" s="25"/>
      <c r="H7199" s="25"/>
      <c r="I7199" s="25"/>
      <c r="J7199" s="25"/>
    </row>
    <row r="7200" spans="1:10" ht="14.4">
      <c r="A7200" s="25"/>
      <c r="B7200" s="25"/>
      <c r="C7200" s="25"/>
      <c r="D7200" s="25"/>
      <c r="E7200" s="25"/>
      <c r="F7200" s="25"/>
      <c r="G7200" s="25"/>
      <c r="H7200" s="25"/>
      <c r="I7200" s="25"/>
      <c r="J7200" s="25"/>
    </row>
    <row r="7201" spans="1:10" ht="14.4">
      <c r="A7201" s="25"/>
      <c r="B7201" s="25"/>
      <c r="C7201" s="25"/>
      <c r="D7201" s="25"/>
      <c r="E7201" s="25"/>
      <c r="F7201" s="25"/>
      <c r="G7201" s="25"/>
      <c r="H7201" s="25"/>
      <c r="I7201" s="25"/>
      <c r="J7201" s="25"/>
    </row>
    <row r="7202" spans="1:10" ht="14.4">
      <c r="A7202" s="25"/>
      <c r="B7202" s="25"/>
      <c r="C7202" s="25"/>
      <c r="D7202" s="25"/>
      <c r="E7202" s="25"/>
      <c r="F7202" s="25"/>
      <c r="G7202" s="25"/>
      <c r="H7202" s="25"/>
      <c r="I7202" s="25"/>
      <c r="J7202" s="25"/>
    </row>
    <row r="7203" spans="1:10" ht="14.4">
      <c r="A7203" s="25"/>
      <c r="B7203" s="25"/>
      <c r="C7203" s="25"/>
      <c r="D7203" s="25"/>
      <c r="E7203" s="25"/>
      <c r="F7203" s="25"/>
      <c r="G7203" s="25"/>
      <c r="H7203" s="25"/>
      <c r="I7203" s="25"/>
      <c r="J7203" s="25"/>
    </row>
    <row r="7204" spans="1:10" ht="14.4">
      <c r="A7204" s="25"/>
      <c r="B7204" s="25"/>
      <c r="C7204" s="25"/>
      <c r="D7204" s="25"/>
      <c r="E7204" s="25"/>
      <c r="F7204" s="25"/>
      <c r="G7204" s="25"/>
      <c r="H7204" s="25"/>
      <c r="I7204" s="25"/>
      <c r="J7204" s="25"/>
    </row>
    <row r="7205" spans="1:10" ht="14.4">
      <c r="A7205" s="25"/>
      <c r="B7205" s="25"/>
      <c r="C7205" s="25"/>
      <c r="D7205" s="25"/>
      <c r="E7205" s="25"/>
      <c r="F7205" s="25"/>
      <c r="G7205" s="25"/>
      <c r="H7205" s="25"/>
      <c r="I7205" s="25"/>
      <c r="J7205" s="25"/>
    </row>
    <row r="7206" spans="1:10" ht="14.4">
      <c r="A7206" s="25"/>
      <c r="B7206" s="25"/>
      <c r="C7206" s="25"/>
      <c r="D7206" s="25"/>
      <c r="E7206" s="25"/>
      <c r="F7206" s="25"/>
      <c r="G7206" s="25"/>
      <c r="H7206" s="25"/>
      <c r="I7206" s="25"/>
      <c r="J7206" s="25"/>
    </row>
    <row r="7207" spans="1:10" ht="14.4">
      <c r="A7207" s="25"/>
      <c r="B7207" s="25"/>
      <c r="C7207" s="25"/>
      <c r="D7207" s="25"/>
      <c r="E7207" s="25"/>
      <c r="F7207" s="25"/>
      <c r="G7207" s="25"/>
      <c r="H7207" s="25"/>
      <c r="I7207" s="25"/>
      <c r="J7207" s="25"/>
    </row>
    <row r="7208" spans="1:10" ht="14.4">
      <c r="A7208" s="25"/>
      <c r="B7208" s="25"/>
      <c r="C7208" s="25"/>
      <c r="D7208" s="25"/>
      <c r="E7208" s="25"/>
      <c r="F7208" s="25"/>
      <c r="G7208" s="25"/>
      <c r="H7208" s="25"/>
      <c r="I7208" s="25"/>
      <c r="J7208" s="25"/>
    </row>
    <row r="7209" spans="1:10" ht="14.4">
      <c r="A7209" s="25"/>
      <c r="B7209" s="25"/>
      <c r="C7209" s="25"/>
      <c r="D7209" s="25"/>
      <c r="E7209" s="25"/>
      <c r="F7209" s="25"/>
      <c r="G7209" s="25"/>
      <c r="H7209" s="25"/>
      <c r="I7209" s="25"/>
      <c r="J7209" s="25"/>
    </row>
    <row r="7210" spans="1:10" ht="14.4">
      <c r="A7210" s="25"/>
      <c r="B7210" s="25"/>
      <c r="C7210" s="25"/>
      <c r="D7210" s="25"/>
      <c r="E7210" s="25"/>
      <c r="F7210" s="25"/>
      <c r="G7210" s="25"/>
      <c r="H7210" s="25"/>
      <c r="I7210" s="25"/>
      <c r="J7210" s="25"/>
    </row>
    <row r="7211" spans="1:10" ht="14.4">
      <c r="A7211" s="25"/>
      <c r="B7211" s="25"/>
      <c r="C7211" s="25"/>
      <c r="D7211" s="25"/>
      <c r="E7211" s="25"/>
      <c r="F7211" s="25"/>
      <c r="G7211" s="25"/>
      <c r="H7211" s="25"/>
      <c r="I7211" s="25"/>
      <c r="J7211" s="25"/>
    </row>
    <row r="7212" spans="1:10" ht="14.4">
      <c r="A7212" s="25"/>
      <c r="B7212" s="25"/>
      <c r="C7212" s="25"/>
      <c r="D7212" s="25"/>
      <c r="E7212" s="25"/>
      <c r="F7212" s="25"/>
      <c r="G7212" s="25"/>
      <c r="H7212" s="25"/>
      <c r="I7212" s="25"/>
      <c r="J7212" s="25"/>
    </row>
    <row r="7213" spans="1:10" ht="14.4">
      <c r="A7213" s="25"/>
      <c r="B7213" s="25"/>
      <c r="C7213" s="25"/>
      <c r="D7213" s="25"/>
      <c r="E7213" s="25"/>
      <c r="F7213" s="25"/>
      <c r="G7213" s="25"/>
      <c r="H7213" s="25"/>
      <c r="I7213" s="25"/>
      <c r="J7213" s="25"/>
    </row>
    <row r="7214" spans="1:10" ht="14.4">
      <c r="A7214" s="25"/>
      <c r="B7214" s="25"/>
      <c r="C7214" s="25"/>
      <c r="D7214" s="25"/>
      <c r="E7214" s="25"/>
      <c r="F7214" s="25"/>
      <c r="G7214" s="25"/>
      <c r="H7214" s="25"/>
      <c r="I7214" s="25"/>
      <c r="J7214" s="25"/>
    </row>
    <row r="7215" spans="1:10" ht="14.4">
      <c r="A7215" s="25"/>
      <c r="B7215" s="25"/>
      <c r="C7215" s="25"/>
      <c r="D7215" s="25"/>
      <c r="E7215" s="25"/>
      <c r="F7215" s="25"/>
      <c r="G7215" s="25"/>
      <c r="H7215" s="25"/>
      <c r="I7215" s="25"/>
      <c r="J7215" s="25"/>
    </row>
    <row r="7216" spans="1:10" ht="14.4">
      <c r="A7216" s="25"/>
      <c r="B7216" s="25"/>
      <c r="C7216" s="25"/>
      <c r="D7216" s="25"/>
      <c r="E7216" s="25"/>
      <c r="F7216" s="25"/>
      <c r="G7216" s="25"/>
      <c r="H7216" s="25"/>
      <c r="I7216" s="25"/>
      <c r="J7216" s="25"/>
    </row>
    <row r="7217" spans="1:10" ht="14.4">
      <c r="A7217" s="25"/>
      <c r="B7217" s="25"/>
      <c r="C7217" s="25"/>
      <c r="D7217" s="25"/>
      <c r="E7217" s="25"/>
      <c r="F7217" s="25"/>
      <c r="G7217" s="25"/>
      <c r="H7217" s="25"/>
      <c r="I7217" s="25"/>
      <c r="J7217" s="25"/>
    </row>
    <row r="7218" spans="1:10" ht="14.4">
      <c r="A7218" s="25"/>
      <c r="B7218" s="25"/>
      <c r="C7218" s="25"/>
      <c r="D7218" s="25"/>
      <c r="E7218" s="25"/>
      <c r="F7218" s="25"/>
      <c r="G7218" s="25"/>
      <c r="H7218" s="25"/>
      <c r="I7218" s="25"/>
      <c r="J7218" s="25"/>
    </row>
    <row r="7219" spans="1:10" ht="14.4">
      <c r="A7219" s="25"/>
      <c r="B7219" s="25"/>
      <c r="C7219" s="25"/>
      <c r="D7219" s="25"/>
      <c r="E7219" s="25"/>
      <c r="F7219" s="25"/>
      <c r="G7219" s="25"/>
      <c r="H7219" s="25"/>
      <c r="I7219" s="25"/>
      <c r="J7219" s="25"/>
    </row>
    <row r="7220" spans="1:10" ht="14.4">
      <c r="A7220" s="25"/>
      <c r="B7220" s="25"/>
      <c r="C7220" s="25"/>
      <c r="D7220" s="25"/>
      <c r="E7220" s="25"/>
      <c r="F7220" s="25"/>
      <c r="G7220" s="25"/>
      <c r="H7220" s="25"/>
      <c r="I7220" s="25"/>
      <c r="J7220" s="25"/>
    </row>
    <row r="7221" spans="1:10" ht="14.4">
      <c r="A7221" s="25"/>
      <c r="B7221" s="25"/>
      <c r="C7221" s="25"/>
      <c r="D7221" s="25"/>
      <c r="E7221" s="25"/>
      <c r="F7221" s="25"/>
      <c r="G7221" s="25"/>
      <c r="H7221" s="25"/>
      <c r="I7221" s="25"/>
      <c r="J7221" s="25"/>
    </row>
    <row r="7222" spans="1:10" ht="14.4">
      <c r="A7222" s="25"/>
      <c r="B7222" s="25"/>
      <c r="C7222" s="25"/>
      <c r="D7222" s="25"/>
      <c r="E7222" s="25"/>
      <c r="F7222" s="25"/>
      <c r="G7222" s="25"/>
      <c r="H7222" s="25"/>
      <c r="I7222" s="25"/>
      <c r="J7222" s="25"/>
    </row>
    <row r="7223" spans="1:10" ht="14.4">
      <c r="A7223" s="25"/>
      <c r="B7223" s="25"/>
      <c r="C7223" s="25"/>
      <c r="D7223" s="25"/>
      <c r="E7223" s="25"/>
      <c r="F7223" s="25"/>
      <c r="G7223" s="25"/>
      <c r="H7223" s="25"/>
      <c r="I7223" s="25"/>
      <c r="J7223" s="25"/>
    </row>
    <row r="7224" spans="1:10" ht="14.4">
      <c r="A7224" s="25"/>
      <c r="B7224" s="25"/>
      <c r="C7224" s="25"/>
      <c r="D7224" s="25"/>
      <c r="E7224" s="25"/>
      <c r="F7224" s="25"/>
      <c r="G7224" s="25"/>
      <c r="H7224" s="25"/>
      <c r="I7224" s="25"/>
      <c r="J7224" s="25"/>
    </row>
    <row r="7225" spans="1:10" ht="14.4">
      <c r="A7225" s="25"/>
      <c r="B7225" s="25"/>
      <c r="C7225" s="25"/>
      <c r="D7225" s="25"/>
      <c r="E7225" s="25"/>
      <c r="F7225" s="25"/>
      <c r="G7225" s="25"/>
      <c r="H7225" s="25"/>
      <c r="I7225" s="25"/>
      <c r="J7225" s="25"/>
    </row>
    <row r="7226" spans="1:10" ht="14.4">
      <c r="A7226" s="25"/>
      <c r="B7226" s="25"/>
      <c r="C7226" s="25"/>
      <c r="D7226" s="25"/>
      <c r="E7226" s="25"/>
      <c r="F7226" s="25"/>
      <c r="G7226" s="25"/>
      <c r="H7226" s="25"/>
      <c r="I7226" s="25"/>
      <c r="J7226" s="25"/>
    </row>
    <row r="7227" spans="1:10" ht="14.4">
      <c r="A7227" s="25"/>
      <c r="B7227" s="25"/>
      <c r="C7227" s="25"/>
      <c r="D7227" s="25"/>
      <c r="E7227" s="25"/>
      <c r="F7227" s="25"/>
      <c r="G7227" s="25"/>
      <c r="H7227" s="25"/>
      <c r="I7227" s="25"/>
      <c r="J7227" s="25"/>
    </row>
    <row r="7228" spans="1:10" ht="14.4">
      <c r="A7228" s="25"/>
      <c r="B7228" s="25"/>
      <c r="C7228" s="25"/>
      <c r="D7228" s="25"/>
      <c r="E7228" s="25"/>
      <c r="F7228" s="25"/>
      <c r="G7228" s="25"/>
      <c r="H7228" s="25"/>
      <c r="I7228" s="25"/>
      <c r="J7228" s="25"/>
    </row>
    <row r="7229" spans="1:10" ht="14.4">
      <c r="A7229" s="25"/>
      <c r="B7229" s="25"/>
      <c r="C7229" s="25"/>
      <c r="D7229" s="25"/>
      <c r="E7229" s="25"/>
      <c r="F7229" s="25"/>
      <c r="G7229" s="25"/>
      <c r="H7229" s="25"/>
      <c r="I7229" s="25"/>
      <c r="J7229" s="25"/>
    </row>
    <row r="7230" spans="1:10" ht="14.4">
      <c r="A7230" s="25"/>
      <c r="B7230" s="25"/>
      <c r="C7230" s="25"/>
      <c r="D7230" s="25"/>
      <c r="E7230" s="25"/>
      <c r="F7230" s="25"/>
      <c r="G7230" s="25"/>
      <c r="H7230" s="25"/>
      <c r="I7230" s="25"/>
      <c r="J7230" s="25"/>
    </row>
    <row r="7231" spans="1:10" ht="14.4">
      <c r="A7231" s="25"/>
      <c r="B7231" s="25"/>
      <c r="C7231" s="25"/>
      <c r="D7231" s="25"/>
      <c r="E7231" s="25"/>
      <c r="F7231" s="25"/>
      <c r="G7231" s="25"/>
      <c r="H7231" s="25"/>
      <c r="I7231" s="25"/>
      <c r="J7231" s="25"/>
    </row>
    <row r="7232" spans="1:10" ht="14.4">
      <c r="A7232" s="25"/>
      <c r="B7232" s="25"/>
      <c r="C7232" s="25"/>
      <c r="D7232" s="25"/>
      <c r="E7232" s="25"/>
      <c r="F7232" s="25"/>
      <c r="G7232" s="25"/>
      <c r="H7232" s="25"/>
      <c r="I7232" s="25"/>
      <c r="J7232" s="25"/>
    </row>
    <row r="7233" spans="1:10" ht="14.4">
      <c r="A7233" s="25"/>
      <c r="B7233" s="25"/>
      <c r="C7233" s="25"/>
      <c r="D7233" s="25"/>
      <c r="E7233" s="25"/>
      <c r="F7233" s="25"/>
      <c r="G7233" s="25"/>
      <c r="H7233" s="25"/>
      <c r="I7233" s="25"/>
      <c r="J7233" s="25"/>
    </row>
    <row r="7234" spans="1:10" ht="14.4">
      <c r="A7234" s="25"/>
      <c r="B7234" s="25"/>
      <c r="C7234" s="25"/>
      <c r="D7234" s="25"/>
      <c r="E7234" s="25"/>
      <c r="F7234" s="25"/>
      <c r="G7234" s="25"/>
      <c r="H7234" s="25"/>
      <c r="I7234" s="25"/>
      <c r="J7234" s="25"/>
    </row>
    <row r="7235" spans="1:10" ht="14.4">
      <c r="A7235" s="25"/>
      <c r="B7235" s="25"/>
      <c r="C7235" s="25"/>
      <c r="D7235" s="25"/>
      <c r="E7235" s="25"/>
      <c r="F7235" s="25"/>
      <c r="G7235" s="25"/>
      <c r="H7235" s="25"/>
      <c r="I7235" s="25"/>
      <c r="J7235" s="25"/>
    </row>
    <row r="7236" spans="1:10" ht="14.4">
      <c r="A7236" s="25"/>
      <c r="B7236" s="25"/>
      <c r="C7236" s="25"/>
      <c r="D7236" s="25"/>
      <c r="E7236" s="25"/>
      <c r="F7236" s="25"/>
      <c r="G7236" s="25"/>
      <c r="H7236" s="25"/>
      <c r="I7236" s="25"/>
      <c r="J7236" s="25"/>
    </row>
    <row r="7237" spans="1:10" ht="14.4">
      <c r="A7237" s="25"/>
      <c r="B7237" s="25"/>
      <c r="C7237" s="25"/>
      <c r="D7237" s="25"/>
      <c r="E7237" s="25"/>
      <c r="F7237" s="25"/>
      <c r="G7237" s="25"/>
      <c r="H7237" s="25"/>
      <c r="I7237" s="25"/>
      <c r="J7237" s="25"/>
    </row>
    <row r="7238" spans="1:10" ht="14.4">
      <c r="A7238" s="25"/>
      <c r="B7238" s="25"/>
      <c r="C7238" s="25"/>
      <c r="D7238" s="25"/>
      <c r="E7238" s="25"/>
      <c r="F7238" s="25"/>
      <c r="G7238" s="25"/>
      <c r="H7238" s="25"/>
      <c r="I7238" s="25"/>
      <c r="J7238" s="25"/>
    </row>
    <row r="7239" spans="1:10" ht="14.4">
      <c r="A7239" s="25"/>
      <c r="B7239" s="25"/>
      <c r="C7239" s="25"/>
      <c r="D7239" s="25"/>
      <c r="E7239" s="25"/>
      <c r="F7239" s="25"/>
      <c r="G7239" s="25"/>
      <c r="H7239" s="25"/>
      <c r="I7239" s="25"/>
      <c r="J7239" s="25"/>
    </row>
    <row r="7240" spans="1:10" ht="14.4">
      <c r="A7240" s="25"/>
      <c r="B7240" s="25"/>
      <c r="C7240" s="25"/>
      <c r="D7240" s="25"/>
      <c r="E7240" s="25"/>
      <c r="F7240" s="25"/>
      <c r="G7240" s="25"/>
      <c r="H7240" s="25"/>
      <c r="I7240" s="25"/>
      <c r="J7240" s="25"/>
    </row>
    <row r="7241" spans="1:10" ht="14.4">
      <c r="A7241" s="25"/>
      <c r="B7241" s="25"/>
      <c r="C7241" s="25"/>
      <c r="D7241" s="25"/>
      <c r="E7241" s="25"/>
      <c r="F7241" s="25"/>
      <c r="G7241" s="25"/>
      <c r="H7241" s="25"/>
      <c r="I7241" s="25"/>
      <c r="J7241" s="25"/>
    </row>
    <row r="7242" spans="1:10" ht="14.4">
      <c r="A7242" s="25"/>
      <c r="B7242" s="25"/>
      <c r="C7242" s="25"/>
      <c r="D7242" s="25"/>
      <c r="E7242" s="25"/>
      <c r="F7242" s="25"/>
      <c r="G7242" s="25"/>
      <c r="H7242" s="25"/>
      <c r="I7242" s="25"/>
      <c r="J7242" s="25"/>
    </row>
    <row r="7243" spans="1:10" ht="14.4">
      <c r="A7243" s="25"/>
      <c r="B7243" s="25"/>
      <c r="C7243" s="25"/>
      <c r="D7243" s="25"/>
      <c r="E7243" s="25"/>
      <c r="F7243" s="25"/>
      <c r="G7243" s="25"/>
      <c r="H7243" s="25"/>
      <c r="I7243" s="25"/>
      <c r="J7243" s="25"/>
    </row>
    <row r="7244" spans="1:10" ht="14.4">
      <c r="A7244" s="25"/>
      <c r="B7244" s="25"/>
      <c r="C7244" s="25"/>
      <c r="D7244" s="25"/>
      <c r="E7244" s="25"/>
      <c r="F7244" s="25"/>
      <c r="G7244" s="25"/>
      <c r="H7244" s="25"/>
      <c r="I7244" s="25"/>
      <c r="J7244" s="25"/>
    </row>
    <row r="7245" spans="1:10" ht="14.4">
      <c r="A7245" s="25"/>
      <c r="B7245" s="25"/>
      <c r="C7245" s="25"/>
      <c r="D7245" s="25"/>
      <c r="E7245" s="25"/>
      <c r="F7245" s="25"/>
      <c r="G7245" s="25"/>
      <c r="H7245" s="25"/>
      <c r="I7245" s="25"/>
      <c r="J7245" s="25"/>
    </row>
    <row r="7246" spans="1:10" ht="14.4">
      <c r="A7246" s="25"/>
      <c r="B7246" s="25"/>
      <c r="C7246" s="25"/>
      <c r="D7246" s="25"/>
      <c r="E7246" s="25"/>
      <c r="F7246" s="25"/>
      <c r="G7246" s="25"/>
      <c r="H7246" s="25"/>
      <c r="I7246" s="25"/>
      <c r="J7246" s="25"/>
    </row>
    <row r="7247" spans="1:10" ht="14.4">
      <c r="A7247" s="25"/>
      <c r="B7247" s="25"/>
      <c r="C7247" s="25"/>
      <c r="D7247" s="25"/>
      <c r="E7247" s="25"/>
      <c r="F7247" s="25"/>
      <c r="G7247" s="25"/>
      <c r="H7247" s="25"/>
      <c r="I7247" s="25"/>
      <c r="J7247" s="25"/>
    </row>
    <row r="7248" spans="1:10" ht="14.4">
      <c r="A7248" s="25"/>
      <c r="B7248" s="25"/>
      <c r="C7248" s="25"/>
      <c r="D7248" s="25"/>
      <c r="E7248" s="25"/>
      <c r="F7248" s="25"/>
      <c r="G7248" s="25"/>
      <c r="H7248" s="25"/>
      <c r="I7248" s="25"/>
      <c r="J7248" s="25"/>
    </row>
    <row r="7249" spans="1:10" ht="14.4">
      <c r="A7249" s="25"/>
      <c r="B7249" s="25"/>
      <c r="C7249" s="25"/>
      <c r="D7249" s="25"/>
      <c r="E7249" s="25"/>
      <c r="F7249" s="25"/>
      <c r="G7249" s="25"/>
      <c r="H7249" s="25"/>
      <c r="I7249" s="25"/>
      <c r="J7249" s="25"/>
    </row>
    <row r="7250" spans="1:10" ht="14.4">
      <c r="A7250" s="25"/>
      <c r="B7250" s="25"/>
      <c r="C7250" s="25"/>
      <c r="D7250" s="25"/>
      <c r="E7250" s="25"/>
      <c r="F7250" s="25"/>
      <c r="G7250" s="25"/>
      <c r="H7250" s="25"/>
      <c r="I7250" s="25"/>
      <c r="J7250" s="25"/>
    </row>
    <row r="7251" spans="1:10" ht="14.4">
      <c r="A7251" s="25"/>
      <c r="B7251" s="25"/>
      <c r="C7251" s="25"/>
      <c r="D7251" s="25"/>
      <c r="E7251" s="25"/>
      <c r="F7251" s="25"/>
      <c r="G7251" s="25"/>
      <c r="H7251" s="25"/>
      <c r="I7251" s="25"/>
      <c r="J7251" s="25"/>
    </row>
    <row r="7252" spans="1:10" ht="14.4">
      <c r="A7252" s="25"/>
      <c r="B7252" s="25"/>
      <c r="C7252" s="25"/>
      <c r="D7252" s="25"/>
      <c r="E7252" s="25"/>
      <c r="F7252" s="25"/>
      <c r="G7252" s="25"/>
      <c r="H7252" s="25"/>
      <c r="I7252" s="25"/>
      <c r="J7252" s="25"/>
    </row>
    <row r="7253" spans="1:10" ht="14.4">
      <c r="A7253" s="25"/>
      <c r="B7253" s="25"/>
      <c r="C7253" s="25"/>
      <c r="D7253" s="25"/>
      <c r="E7253" s="25"/>
      <c r="F7253" s="25"/>
      <c r="G7253" s="25"/>
      <c r="H7253" s="25"/>
      <c r="I7253" s="25"/>
      <c r="J7253" s="25"/>
    </row>
    <row r="7254" spans="1:10" ht="14.4">
      <c r="A7254" s="25"/>
      <c r="B7254" s="25"/>
      <c r="C7254" s="25"/>
      <c r="D7254" s="25"/>
      <c r="E7254" s="25"/>
      <c r="F7254" s="25"/>
      <c r="G7254" s="25"/>
      <c r="H7254" s="25"/>
      <c r="I7254" s="25"/>
      <c r="J7254" s="25"/>
    </row>
    <row r="7255" spans="1:10" ht="14.4">
      <c r="A7255" s="25"/>
      <c r="B7255" s="25"/>
      <c r="C7255" s="25"/>
      <c r="D7255" s="25"/>
      <c r="E7255" s="25"/>
      <c r="F7255" s="25"/>
      <c r="G7255" s="25"/>
      <c r="H7255" s="25"/>
      <c r="I7255" s="25"/>
      <c r="J7255" s="25"/>
    </row>
    <row r="7256" spans="1:10" ht="14.4">
      <c r="A7256" s="25"/>
      <c r="B7256" s="25"/>
      <c r="C7256" s="25"/>
      <c r="D7256" s="25"/>
      <c r="E7256" s="25"/>
      <c r="F7256" s="25"/>
      <c r="G7256" s="25"/>
      <c r="H7256" s="25"/>
      <c r="I7256" s="25"/>
      <c r="J7256" s="25"/>
    </row>
    <row r="7257" spans="1:10" ht="14.4">
      <c r="A7257" s="25"/>
      <c r="B7257" s="25"/>
      <c r="C7257" s="25"/>
      <c r="D7257" s="25"/>
      <c r="E7257" s="25"/>
      <c r="F7257" s="25"/>
      <c r="G7257" s="25"/>
      <c r="H7257" s="25"/>
      <c r="I7257" s="25"/>
      <c r="J7257" s="25"/>
    </row>
    <row r="7258" spans="1:10" ht="14.4">
      <c r="A7258" s="25"/>
      <c r="B7258" s="25"/>
      <c r="C7258" s="25"/>
      <c r="D7258" s="25"/>
      <c r="E7258" s="25"/>
      <c r="F7258" s="25"/>
      <c r="G7258" s="25"/>
      <c r="H7258" s="25"/>
      <c r="I7258" s="25"/>
      <c r="J7258" s="25"/>
    </row>
    <row r="7259" spans="1:10" ht="14.4">
      <c r="A7259" s="25"/>
      <c r="B7259" s="25"/>
      <c r="C7259" s="25"/>
      <c r="D7259" s="25"/>
      <c r="E7259" s="25"/>
      <c r="F7259" s="25"/>
      <c r="G7259" s="25"/>
      <c r="H7259" s="25"/>
      <c r="I7259" s="25"/>
      <c r="J7259" s="25"/>
    </row>
    <row r="7260" spans="1:10" ht="14.4">
      <c r="A7260" s="25"/>
      <c r="B7260" s="25"/>
      <c r="C7260" s="25"/>
      <c r="D7260" s="25"/>
      <c r="E7260" s="25"/>
      <c r="F7260" s="25"/>
      <c r="G7260" s="25"/>
      <c r="H7260" s="25"/>
      <c r="I7260" s="25"/>
      <c r="J7260" s="25"/>
    </row>
    <row r="7261" spans="1:10" ht="14.4">
      <c r="A7261" s="25"/>
      <c r="B7261" s="25"/>
      <c r="C7261" s="25"/>
      <c r="D7261" s="25"/>
      <c r="E7261" s="25"/>
      <c r="F7261" s="25"/>
      <c r="G7261" s="25"/>
      <c r="H7261" s="25"/>
      <c r="I7261" s="25"/>
      <c r="J7261" s="25"/>
    </row>
    <row r="7262" spans="1:10" ht="14.4">
      <c r="A7262" s="25"/>
      <c r="B7262" s="25"/>
      <c r="C7262" s="25"/>
      <c r="D7262" s="25"/>
      <c r="E7262" s="25"/>
      <c r="F7262" s="25"/>
      <c r="G7262" s="25"/>
      <c r="H7262" s="25"/>
      <c r="I7262" s="25"/>
      <c r="J7262" s="25"/>
    </row>
    <row r="7263" spans="1:10" ht="14.4">
      <c r="A7263" s="25"/>
      <c r="B7263" s="25"/>
      <c r="C7263" s="25"/>
      <c r="D7263" s="25"/>
      <c r="E7263" s="25"/>
      <c r="F7263" s="25"/>
      <c r="G7263" s="25"/>
      <c r="H7263" s="25"/>
      <c r="I7263" s="25"/>
      <c r="J7263" s="25"/>
    </row>
    <row r="7264" spans="1:10" ht="14.4">
      <c r="A7264" s="25"/>
      <c r="B7264" s="25"/>
      <c r="C7264" s="25"/>
      <c r="D7264" s="25"/>
      <c r="E7264" s="25"/>
      <c r="F7264" s="25"/>
      <c r="G7264" s="25"/>
      <c r="H7264" s="25"/>
      <c r="I7264" s="25"/>
      <c r="J7264" s="25"/>
    </row>
    <row r="7265" spans="1:10" ht="14.4">
      <c r="A7265" s="25"/>
      <c r="B7265" s="25"/>
      <c r="C7265" s="25"/>
      <c r="D7265" s="25"/>
      <c r="E7265" s="25"/>
      <c r="F7265" s="25"/>
      <c r="G7265" s="25"/>
      <c r="H7265" s="25"/>
      <c r="I7265" s="25"/>
      <c r="J7265" s="25"/>
    </row>
    <row r="7266" spans="1:10" ht="14.4">
      <c r="A7266" s="25"/>
      <c r="B7266" s="25"/>
      <c r="C7266" s="25"/>
      <c r="D7266" s="25"/>
      <c r="E7266" s="25"/>
      <c r="F7266" s="25"/>
      <c r="G7266" s="25"/>
      <c r="H7266" s="25"/>
      <c r="I7266" s="25"/>
      <c r="J7266" s="25"/>
    </row>
    <row r="7267" spans="1:10" ht="14.4">
      <c r="A7267" s="25"/>
      <c r="B7267" s="25"/>
      <c r="C7267" s="25"/>
      <c r="D7267" s="25"/>
      <c r="E7267" s="25"/>
      <c r="F7267" s="25"/>
      <c r="G7267" s="25"/>
      <c r="H7267" s="25"/>
      <c r="I7267" s="25"/>
      <c r="J7267" s="25"/>
    </row>
    <row r="7268" spans="1:10" ht="14.4">
      <c r="A7268" s="25"/>
      <c r="B7268" s="25"/>
      <c r="C7268" s="25"/>
      <c r="D7268" s="25"/>
      <c r="E7268" s="25"/>
      <c r="F7268" s="25"/>
      <c r="G7268" s="25"/>
      <c r="H7268" s="25"/>
      <c r="I7268" s="25"/>
      <c r="J7268" s="25"/>
    </row>
    <row r="7269" spans="1:10" ht="14.4">
      <c r="A7269" s="25"/>
      <c r="B7269" s="25"/>
      <c r="C7269" s="25"/>
      <c r="D7269" s="25"/>
      <c r="E7269" s="25"/>
      <c r="F7269" s="25"/>
      <c r="G7269" s="25"/>
      <c r="H7269" s="25"/>
      <c r="I7269" s="25"/>
      <c r="J7269" s="25"/>
    </row>
    <row r="7270" spans="1:10" ht="14.4">
      <c r="A7270" s="25"/>
      <c r="B7270" s="25"/>
      <c r="C7270" s="25"/>
      <c r="D7270" s="25"/>
      <c r="E7270" s="25"/>
      <c r="F7270" s="25"/>
      <c r="G7270" s="25"/>
      <c r="H7270" s="25"/>
      <c r="I7270" s="25"/>
      <c r="J7270" s="25"/>
    </row>
    <row r="7271" spans="1:10" ht="14.4">
      <c r="A7271" s="25"/>
      <c r="B7271" s="25"/>
      <c r="C7271" s="25"/>
      <c r="D7271" s="25"/>
      <c r="E7271" s="25"/>
      <c r="F7271" s="25"/>
      <c r="G7271" s="25"/>
      <c r="H7271" s="25"/>
      <c r="I7271" s="25"/>
      <c r="J7271" s="25"/>
    </row>
    <row r="7272" spans="1:10" ht="14.4">
      <c r="A7272" s="25"/>
      <c r="B7272" s="25"/>
      <c r="C7272" s="25"/>
      <c r="D7272" s="25"/>
      <c r="E7272" s="25"/>
      <c r="F7272" s="25"/>
      <c r="G7272" s="25"/>
      <c r="H7272" s="25"/>
      <c r="I7272" s="25"/>
      <c r="J7272" s="25"/>
    </row>
    <row r="7273" spans="1:10" ht="14.4">
      <c r="A7273" s="25"/>
      <c r="B7273" s="25"/>
      <c r="C7273" s="25"/>
      <c r="D7273" s="25"/>
      <c r="E7273" s="25"/>
      <c r="F7273" s="25"/>
      <c r="G7273" s="25"/>
      <c r="H7273" s="25"/>
      <c r="I7273" s="25"/>
      <c r="J7273" s="25"/>
    </row>
    <row r="7274" spans="1:10" ht="14.4">
      <c r="A7274" s="25"/>
      <c r="B7274" s="25"/>
      <c r="C7274" s="25"/>
      <c r="D7274" s="25"/>
      <c r="E7274" s="25"/>
      <c r="F7274" s="25"/>
      <c r="G7274" s="25"/>
      <c r="H7274" s="25"/>
      <c r="I7274" s="25"/>
      <c r="J7274" s="25"/>
    </row>
    <row r="7275" spans="1:10" ht="14.4">
      <c r="A7275" s="25"/>
      <c r="B7275" s="25"/>
      <c r="C7275" s="25"/>
      <c r="D7275" s="25"/>
      <c r="E7275" s="25"/>
      <c r="F7275" s="25"/>
      <c r="G7275" s="25"/>
      <c r="H7275" s="25"/>
      <c r="I7275" s="25"/>
      <c r="J7275" s="25"/>
    </row>
    <row r="7276" spans="1:10" ht="14.4">
      <c r="A7276" s="25"/>
      <c r="B7276" s="25"/>
      <c r="C7276" s="25"/>
      <c r="D7276" s="25"/>
      <c r="E7276" s="25"/>
      <c r="F7276" s="25"/>
      <c r="G7276" s="25"/>
      <c r="H7276" s="25"/>
      <c r="I7276" s="25"/>
      <c r="J7276" s="25"/>
    </row>
    <row r="7277" spans="1:10" ht="14.4">
      <c r="A7277" s="25"/>
      <c r="B7277" s="25"/>
      <c r="C7277" s="25"/>
      <c r="D7277" s="25"/>
      <c r="E7277" s="25"/>
      <c r="F7277" s="25"/>
      <c r="G7277" s="25"/>
      <c r="H7277" s="25"/>
      <c r="I7277" s="25"/>
      <c r="J7277" s="25"/>
    </row>
    <row r="7278" spans="1:10" ht="14.4">
      <c r="A7278" s="25"/>
      <c r="B7278" s="25"/>
      <c r="C7278" s="25"/>
      <c r="D7278" s="25"/>
      <c r="E7278" s="25"/>
      <c r="F7278" s="25"/>
      <c r="G7278" s="25"/>
      <c r="H7278" s="25"/>
      <c r="I7278" s="25"/>
      <c r="J7278" s="25"/>
    </row>
    <row r="7279" spans="1:10" ht="14.4">
      <c r="A7279" s="25"/>
      <c r="B7279" s="25"/>
      <c r="C7279" s="25"/>
      <c r="D7279" s="25"/>
      <c r="E7279" s="25"/>
      <c r="F7279" s="25"/>
      <c r="G7279" s="25"/>
      <c r="H7279" s="25"/>
      <c r="I7279" s="25"/>
      <c r="J7279" s="25"/>
    </row>
    <row r="7280" spans="1:10" ht="14.4">
      <c r="A7280" s="25"/>
      <c r="B7280" s="25"/>
      <c r="C7280" s="25"/>
      <c r="D7280" s="25"/>
      <c r="E7280" s="25"/>
      <c r="F7280" s="25"/>
      <c r="G7280" s="25"/>
      <c r="H7280" s="25"/>
      <c r="I7280" s="25"/>
      <c r="J7280" s="25"/>
    </row>
    <row r="7281" spans="1:10" ht="14.4">
      <c r="A7281" s="25"/>
      <c r="B7281" s="25"/>
      <c r="C7281" s="25"/>
      <c r="D7281" s="25"/>
      <c r="E7281" s="25"/>
      <c r="F7281" s="25"/>
      <c r="G7281" s="25"/>
      <c r="H7281" s="25"/>
      <c r="I7281" s="25"/>
      <c r="J7281" s="25"/>
    </row>
    <row r="7282" spans="1:10" ht="14.4">
      <c r="A7282" s="25"/>
      <c r="B7282" s="25"/>
      <c r="C7282" s="25"/>
      <c r="D7282" s="25"/>
      <c r="E7282" s="25"/>
      <c r="F7282" s="25"/>
      <c r="G7282" s="25"/>
      <c r="H7282" s="25"/>
      <c r="I7282" s="25"/>
      <c r="J7282" s="25"/>
    </row>
    <row r="7283" spans="1:10" ht="14.4">
      <c r="A7283" s="25"/>
      <c r="B7283" s="25"/>
      <c r="C7283" s="25"/>
      <c r="D7283" s="25"/>
      <c r="E7283" s="25"/>
      <c r="F7283" s="25"/>
      <c r="G7283" s="25"/>
      <c r="H7283" s="25"/>
      <c r="I7283" s="25"/>
      <c r="J7283" s="25"/>
    </row>
    <row r="7284" spans="1:10" ht="14.4">
      <c r="A7284" s="25"/>
      <c r="B7284" s="25"/>
      <c r="C7284" s="25"/>
      <c r="D7284" s="25"/>
      <c r="E7284" s="25"/>
      <c r="F7284" s="25"/>
      <c r="G7284" s="25"/>
      <c r="H7284" s="25"/>
      <c r="I7284" s="25"/>
      <c r="J7284" s="25"/>
    </row>
    <row r="7285" spans="1:10" ht="14.4">
      <c r="A7285" s="25"/>
      <c r="B7285" s="25"/>
      <c r="C7285" s="25"/>
      <c r="D7285" s="25"/>
      <c r="E7285" s="25"/>
      <c r="F7285" s="25"/>
      <c r="G7285" s="25"/>
      <c r="H7285" s="25"/>
      <c r="I7285" s="25"/>
      <c r="J7285" s="25"/>
    </row>
    <row r="7286" spans="1:10" ht="14.4">
      <c r="A7286" s="25"/>
      <c r="B7286" s="25"/>
      <c r="C7286" s="25"/>
      <c r="D7286" s="25"/>
      <c r="E7286" s="25"/>
      <c r="F7286" s="25"/>
      <c r="G7286" s="25"/>
      <c r="H7286" s="25"/>
      <c r="I7286" s="25"/>
      <c r="J7286" s="25"/>
    </row>
    <row r="7287" spans="1:10" ht="14.4">
      <c r="A7287" s="25"/>
      <c r="B7287" s="25"/>
      <c r="C7287" s="25"/>
      <c r="D7287" s="25"/>
      <c r="E7287" s="25"/>
      <c r="F7287" s="25"/>
      <c r="G7287" s="25"/>
      <c r="H7287" s="25"/>
      <c r="I7287" s="25"/>
      <c r="J7287" s="25"/>
    </row>
    <row r="7288" spans="1:10" ht="14.4">
      <c r="A7288" s="25"/>
      <c r="B7288" s="25"/>
      <c r="C7288" s="25"/>
      <c r="D7288" s="25"/>
      <c r="E7288" s="25"/>
      <c r="F7288" s="25"/>
      <c r="G7288" s="25"/>
      <c r="H7288" s="25"/>
      <c r="I7288" s="25"/>
      <c r="J7288" s="25"/>
    </row>
    <row r="7289" spans="1:10" ht="14.4">
      <c r="A7289" s="25"/>
      <c r="B7289" s="25"/>
      <c r="C7289" s="25"/>
      <c r="D7289" s="25"/>
      <c r="E7289" s="25"/>
      <c r="F7289" s="25"/>
      <c r="G7289" s="25"/>
      <c r="H7289" s="25"/>
      <c r="I7289" s="25"/>
      <c r="J7289" s="25"/>
    </row>
    <row r="7290" spans="1:10" ht="14.4">
      <c r="A7290" s="25"/>
      <c r="B7290" s="25"/>
      <c r="C7290" s="25"/>
      <c r="D7290" s="25"/>
      <c r="E7290" s="25"/>
      <c r="F7290" s="25"/>
      <c r="G7290" s="25"/>
      <c r="H7290" s="25"/>
      <c r="I7290" s="25"/>
      <c r="J7290" s="25"/>
    </row>
    <row r="7291" spans="1:10" ht="14.4">
      <c r="A7291" s="25"/>
      <c r="B7291" s="25"/>
      <c r="C7291" s="25"/>
      <c r="D7291" s="25"/>
      <c r="E7291" s="25"/>
      <c r="F7291" s="25"/>
      <c r="G7291" s="25"/>
      <c r="H7291" s="25"/>
      <c r="I7291" s="25"/>
      <c r="J7291" s="25"/>
    </row>
    <row r="7292" spans="1:10" ht="14.4">
      <c r="A7292" s="25"/>
      <c r="B7292" s="25"/>
      <c r="C7292" s="25"/>
      <c r="D7292" s="25"/>
      <c r="E7292" s="25"/>
      <c r="F7292" s="25"/>
      <c r="G7292" s="25"/>
      <c r="H7292" s="25"/>
      <c r="I7292" s="25"/>
      <c r="J7292" s="25"/>
    </row>
    <row r="7293" spans="1:10" ht="14.4">
      <c r="A7293" s="25"/>
      <c r="B7293" s="25"/>
      <c r="C7293" s="25"/>
      <c r="D7293" s="25"/>
      <c r="E7293" s="25"/>
      <c r="F7293" s="25"/>
      <c r="G7293" s="25"/>
      <c r="H7293" s="25"/>
      <c r="I7293" s="25"/>
      <c r="J7293" s="25"/>
    </row>
    <row r="7294" spans="1:10" ht="14.4">
      <c r="A7294" s="25"/>
      <c r="B7294" s="25"/>
      <c r="C7294" s="25"/>
      <c r="D7294" s="25"/>
      <c r="E7294" s="25"/>
      <c r="F7294" s="25"/>
      <c r="G7294" s="25"/>
      <c r="H7294" s="25"/>
      <c r="I7294" s="25"/>
      <c r="J7294" s="25"/>
    </row>
    <row r="7295" spans="1:10" ht="14.4">
      <c r="A7295" s="25"/>
      <c r="B7295" s="25"/>
      <c r="C7295" s="25"/>
      <c r="D7295" s="25"/>
      <c r="E7295" s="25"/>
      <c r="F7295" s="25"/>
      <c r="G7295" s="25"/>
      <c r="H7295" s="25"/>
      <c r="I7295" s="25"/>
      <c r="J7295" s="25"/>
    </row>
    <row r="7296" spans="1:10" ht="14.4">
      <c r="A7296" s="25"/>
      <c r="B7296" s="25"/>
      <c r="C7296" s="25"/>
      <c r="D7296" s="25"/>
      <c r="E7296" s="25"/>
      <c r="F7296" s="25"/>
      <c r="G7296" s="25"/>
      <c r="H7296" s="25"/>
      <c r="I7296" s="25"/>
      <c r="J7296" s="25"/>
    </row>
    <row r="7297" spans="1:10" ht="14.4">
      <c r="A7297" s="25"/>
      <c r="B7297" s="25"/>
      <c r="C7297" s="25"/>
      <c r="D7297" s="25"/>
      <c r="E7297" s="25"/>
      <c r="F7297" s="25"/>
      <c r="G7297" s="25"/>
      <c r="H7297" s="25"/>
      <c r="I7297" s="25"/>
      <c r="J7297" s="25"/>
    </row>
    <row r="7298" spans="1:10" ht="14.4">
      <c r="A7298" s="25"/>
      <c r="B7298" s="25"/>
      <c r="C7298" s="25"/>
      <c r="D7298" s="25"/>
      <c r="E7298" s="25"/>
      <c r="F7298" s="25"/>
      <c r="G7298" s="25"/>
      <c r="H7298" s="25"/>
      <c r="I7298" s="25"/>
      <c r="J7298" s="25"/>
    </row>
    <row r="7299" spans="1:10" ht="14.4">
      <c r="A7299" s="25"/>
      <c r="B7299" s="25"/>
      <c r="C7299" s="25"/>
      <c r="D7299" s="25"/>
      <c r="E7299" s="25"/>
      <c r="F7299" s="25"/>
      <c r="G7299" s="25"/>
      <c r="H7299" s="25"/>
      <c r="I7299" s="25"/>
      <c r="J7299" s="25"/>
    </row>
    <row r="7300" spans="1:10" ht="14.4">
      <c r="A7300" s="25"/>
      <c r="B7300" s="25"/>
      <c r="C7300" s="25"/>
      <c r="D7300" s="25"/>
      <c r="E7300" s="25"/>
      <c r="F7300" s="25"/>
      <c r="G7300" s="25"/>
      <c r="H7300" s="25"/>
      <c r="I7300" s="25"/>
      <c r="J7300" s="25"/>
    </row>
    <row r="7301" spans="1:10" ht="14.4">
      <c r="A7301" s="25"/>
      <c r="B7301" s="25"/>
      <c r="C7301" s="25"/>
      <c r="D7301" s="25"/>
      <c r="E7301" s="25"/>
      <c r="F7301" s="25"/>
      <c r="G7301" s="25"/>
      <c r="H7301" s="25"/>
      <c r="I7301" s="25"/>
      <c r="J7301" s="25"/>
    </row>
    <row r="7302" spans="1:10" ht="14.4">
      <c r="A7302" s="25"/>
      <c r="B7302" s="25"/>
      <c r="C7302" s="25"/>
      <c r="D7302" s="25"/>
      <c r="E7302" s="25"/>
      <c r="F7302" s="25"/>
      <c r="G7302" s="25"/>
      <c r="H7302" s="25"/>
      <c r="I7302" s="25"/>
      <c r="J7302" s="25"/>
    </row>
    <row r="7303" spans="1:10" ht="14.4">
      <c r="A7303" s="25"/>
      <c r="B7303" s="25"/>
      <c r="C7303" s="25"/>
      <c r="D7303" s="25"/>
      <c r="E7303" s="25"/>
      <c r="F7303" s="25"/>
      <c r="G7303" s="25"/>
      <c r="H7303" s="25"/>
      <c r="I7303" s="25"/>
      <c r="J7303" s="25"/>
    </row>
    <row r="7304" spans="1:10" ht="14.4">
      <c r="A7304" s="25"/>
      <c r="B7304" s="25"/>
      <c r="C7304" s="25"/>
      <c r="D7304" s="25"/>
      <c r="E7304" s="25"/>
      <c r="F7304" s="25"/>
      <c r="G7304" s="25"/>
      <c r="H7304" s="25"/>
      <c r="I7304" s="25"/>
      <c r="J7304" s="25"/>
    </row>
    <row r="7305" spans="1:10" ht="14.4">
      <c r="A7305" s="25"/>
      <c r="B7305" s="25"/>
      <c r="C7305" s="25"/>
      <c r="D7305" s="25"/>
      <c r="E7305" s="25"/>
      <c r="F7305" s="25"/>
      <c r="G7305" s="25"/>
      <c r="H7305" s="25"/>
      <c r="I7305" s="25"/>
      <c r="J7305" s="25"/>
    </row>
    <row r="7306" spans="1:10" ht="14.4">
      <c r="A7306" s="25"/>
      <c r="B7306" s="25"/>
      <c r="C7306" s="25"/>
      <c r="D7306" s="25"/>
      <c r="E7306" s="25"/>
      <c r="F7306" s="25"/>
      <c r="G7306" s="25"/>
      <c r="H7306" s="25"/>
      <c r="I7306" s="25"/>
      <c r="J7306" s="25"/>
    </row>
    <row r="7307" spans="1:10" ht="14.4">
      <c r="A7307" s="25"/>
      <c r="B7307" s="25"/>
      <c r="C7307" s="25"/>
      <c r="D7307" s="25"/>
      <c r="E7307" s="25"/>
      <c r="F7307" s="25"/>
      <c r="G7307" s="25"/>
      <c r="H7307" s="25"/>
      <c r="I7307" s="25"/>
      <c r="J7307" s="25"/>
    </row>
    <row r="7308" spans="1:10" ht="14.4">
      <c r="A7308" s="25"/>
      <c r="B7308" s="25"/>
      <c r="C7308" s="25"/>
      <c r="D7308" s="25"/>
      <c r="E7308" s="25"/>
      <c r="F7308" s="25"/>
      <c r="G7308" s="25"/>
      <c r="H7308" s="25"/>
      <c r="I7308" s="25"/>
      <c r="J7308" s="25"/>
    </row>
    <row r="7309" spans="1:10" ht="14.4">
      <c r="A7309" s="25"/>
      <c r="B7309" s="25"/>
      <c r="C7309" s="25"/>
      <c r="D7309" s="25"/>
      <c r="E7309" s="25"/>
      <c r="F7309" s="25"/>
      <c r="G7309" s="25"/>
      <c r="H7309" s="25"/>
      <c r="I7309" s="25"/>
      <c r="J7309" s="25"/>
    </row>
    <row r="7310" spans="1:10" ht="14.4">
      <c r="A7310" s="25"/>
      <c r="B7310" s="25"/>
      <c r="C7310" s="25"/>
      <c r="D7310" s="25"/>
      <c r="E7310" s="25"/>
      <c r="F7310" s="25"/>
      <c r="G7310" s="25"/>
      <c r="H7310" s="25"/>
      <c r="I7310" s="25"/>
      <c r="J7310" s="25"/>
    </row>
    <row r="7311" spans="1:10" ht="14.4">
      <c r="A7311" s="25"/>
      <c r="B7311" s="25"/>
      <c r="C7311" s="25"/>
      <c r="D7311" s="25"/>
      <c r="E7311" s="25"/>
      <c r="F7311" s="25"/>
      <c r="G7311" s="25"/>
      <c r="H7311" s="25"/>
      <c r="I7311" s="25"/>
      <c r="J7311" s="25"/>
    </row>
    <row r="7312" spans="1:10" ht="14.4">
      <c r="A7312" s="25"/>
      <c r="B7312" s="25"/>
      <c r="C7312" s="25"/>
      <c r="D7312" s="25"/>
      <c r="E7312" s="25"/>
      <c r="F7312" s="25"/>
      <c r="G7312" s="25"/>
      <c r="H7312" s="25"/>
      <c r="I7312" s="25"/>
      <c r="J7312" s="25"/>
    </row>
    <row r="7313" spans="1:10" ht="14.4">
      <c r="A7313" s="25"/>
      <c r="B7313" s="25"/>
      <c r="C7313" s="25"/>
      <c r="D7313" s="25"/>
      <c r="E7313" s="25"/>
      <c r="F7313" s="25"/>
      <c r="G7313" s="25"/>
      <c r="H7313" s="25"/>
      <c r="I7313" s="25"/>
      <c r="J7313" s="25"/>
    </row>
    <row r="7314" spans="1:10" ht="14.4">
      <c r="A7314" s="25"/>
      <c r="B7314" s="25"/>
      <c r="C7314" s="25"/>
      <c r="D7314" s="25"/>
      <c r="E7314" s="25"/>
      <c r="F7314" s="25"/>
      <c r="G7314" s="25"/>
      <c r="H7314" s="25"/>
      <c r="I7314" s="25"/>
      <c r="J7314" s="25"/>
    </row>
    <row r="7315" spans="1:10" ht="14.4">
      <c r="A7315" s="25"/>
      <c r="B7315" s="25"/>
      <c r="C7315" s="25"/>
      <c r="D7315" s="25"/>
      <c r="E7315" s="25"/>
      <c r="F7315" s="25"/>
      <c r="G7315" s="25"/>
      <c r="H7315" s="25"/>
      <c r="I7315" s="25"/>
      <c r="J7315" s="25"/>
    </row>
    <row r="7316" spans="1:10" ht="14.4">
      <c r="A7316" s="25"/>
      <c r="B7316" s="25"/>
      <c r="C7316" s="25"/>
      <c r="D7316" s="25"/>
      <c r="E7316" s="25"/>
      <c r="F7316" s="25"/>
      <c r="G7316" s="25"/>
      <c r="H7316" s="25"/>
      <c r="I7316" s="25"/>
      <c r="J7316" s="25"/>
    </row>
    <row r="7317" spans="1:10" ht="14.4">
      <c r="A7317" s="25"/>
      <c r="B7317" s="25"/>
      <c r="C7317" s="25"/>
      <c r="D7317" s="25"/>
      <c r="E7317" s="25"/>
      <c r="F7317" s="25"/>
      <c r="G7317" s="25"/>
      <c r="H7317" s="25"/>
      <c r="I7317" s="25"/>
      <c r="J7317" s="25"/>
    </row>
    <row r="7318" spans="1:10" ht="14.4">
      <c r="A7318" s="25"/>
      <c r="B7318" s="25"/>
      <c r="C7318" s="25"/>
      <c r="D7318" s="25"/>
      <c r="E7318" s="25"/>
      <c r="F7318" s="25"/>
      <c r="G7318" s="25"/>
      <c r="H7318" s="25"/>
      <c r="I7318" s="25"/>
      <c r="J7318" s="25"/>
    </row>
    <row r="7319" spans="1:10" ht="14.4">
      <c r="A7319" s="25"/>
      <c r="B7319" s="25"/>
      <c r="C7319" s="25"/>
      <c r="D7319" s="25"/>
      <c r="E7319" s="25"/>
      <c r="F7319" s="25"/>
      <c r="G7319" s="25"/>
      <c r="H7319" s="25"/>
      <c r="I7319" s="25"/>
      <c r="J7319" s="25"/>
    </row>
    <row r="7320" spans="1:10" ht="14.4">
      <c r="A7320" s="25"/>
      <c r="B7320" s="25"/>
      <c r="C7320" s="25"/>
      <c r="D7320" s="25"/>
      <c r="E7320" s="25"/>
      <c r="F7320" s="25"/>
      <c r="G7320" s="25"/>
      <c r="H7320" s="25"/>
      <c r="I7320" s="25"/>
      <c r="J7320" s="25"/>
    </row>
    <row r="7321" spans="1:10" ht="14.4">
      <c r="A7321" s="25"/>
      <c r="B7321" s="25"/>
      <c r="C7321" s="25"/>
      <c r="D7321" s="25"/>
      <c r="E7321" s="25"/>
      <c r="F7321" s="25"/>
      <c r="G7321" s="25"/>
      <c r="H7321" s="25"/>
      <c r="I7321" s="25"/>
      <c r="J7321" s="25"/>
    </row>
    <row r="7322" spans="1:10" ht="14.4">
      <c r="A7322" s="25"/>
      <c r="B7322" s="25"/>
      <c r="C7322" s="25"/>
      <c r="D7322" s="25"/>
      <c r="E7322" s="25"/>
      <c r="F7322" s="25"/>
      <c r="G7322" s="25"/>
      <c r="H7322" s="25"/>
      <c r="I7322" s="25"/>
      <c r="J7322" s="25"/>
    </row>
    <row r="7323" spans="1:10" ht="14.4">
      <c r="A7323" s="25"/>
      <c r="B7323" s="25"/>
      <c r="C7323" s="25"/>
      <c r="D7323" s="25"/>
      <c r="E7323" s="25"/>
      <c r="F7323" s="25"/>
      <c r="G7323" s="25"/>
      <c r="H7323" s="25"/>
      <c r="I7323" s="25"/>
      <c r="J7323" s="25"/>
    </row>
    <row r="7324" spans="1:10" ht="14.4">
      <c r="A7324" s="25"/>
      <c r="B7324" s="25"/>
      <c r="C7324" s="25"/>
      <c r="D7324" s="25"/>
      <c r="E7324" s="25"/>
      <c r="F7324" s="25"/>
      <c r="G7324" s="25"/>
      <c r="H7324" s="25"/>
      <c r="I7324" s="25"/>
      <c r="J7324" s="25"/>
    </row>
    <row r="7325" spans="1:10" ht="14.4">
      <c r="A7325" s="25"/>
      <c r="B7325" s="25"/>
      <c r="C7325" s="25"/>
      <c r="D7325" s="25"/>
      <c r="E7325" s="25"/>
      <c r="F7325" s="25"/>
      <c r="G7325" s="25"/>
      <c r="H7325" s="25"/>
      <c r="I7325" s="25"/>
      <c r="J7325" s="25"/>
    </row>
    <row r="7326" spans="1:10" ht="14.4">
      <c r="A7326" s="25"/>
      <c r="B7326" s="25"/>
      <c r="C7326" s="25"/>
      <c r="D7326" s="25"/>
      <c r="E7326" s="25"/>
      <c r="F7326" s="25"/>
      <c r="G7326" s="25"/>
      <c r="H7326" s="25"/>
      <c r="I7326" s="25"/>
      <c r="J7326" s="25"/>
    </row>
    <row r="7327" spans="1:10" ht="14.4">
      <c r="A7327" s="25"/>
      <c r="B7327" s="25"/>
      <c r="C7327" s="25"/>
      <c r="D7327" s="25"/>
      <c r="E7327" s="25"/>
      <c r="F7327" s="25"/>
      <c r="G7327" s="25"/>
      <c r="H7327" s="25"/>
      <c r="I7327" s="25"/>
      <c r="J7327" s="25"/>
    </row>
    <row r="7328" spans="1:10" ht="14.4">
      <c r="A7328" s="25"/>
      <c r="B7328" s="25"/>
      <c r="C7328" s="25"/>
      <c r="D7328" s="25"/>
      <c r="E7328" s="25"/>
      <c r="F7328" s="25"/>
      <c r="G7328" s="25"/>
      <c r="H7328" s="25"/>
      <c r="I7328" s="25"/>
      <c r="J7328" s="25"/>
    </row>
    <row r="7329" spans="1:10" ht="14.4">
      <c r="A7329" s="25"/>
      <c r="B7329" s="25"/>
      <c r="C7329" s="25"/>
      <c r="D7329" s="25"/>
      <c r="E7329" s="25"/>
      <c r="F7329" s="25"/>
      <c r="G7329" s="25"/>
      <c r="H7329" s="25"/>
      <c r="I7329" s="25"/>
      <c r="J7329" s="25"/>
    </row>
    <row r="7330" spans="1:10" ht="14.4">
      <c r="A7330" s="25"/>
      <c r="B7330" s="25"/>
      <c r="C7330" s="25"/>
      <c r="D7330" s="25"/>
      <c r="E7330" s="25"/>
      <c r="F7330" s="25"/>
      <c r="G7330" s="25"/>
      <c r="H7330" s="25"/>
      <c r="I7330" s="25"/>
      <c r="J7330" s="25"/>
    </row>
    <row r="7331" spans="1:10" ht="14.4">
      <c r="A7331" s="25"/>
      <c r="B7331" s="25"/>
      <c r="C7331" s="25"/>
      <c r="D7331" s="25"/>
      <c r="E7331" s="25"/>
      <c r="F7331" s="25"/>
      <c r="G7331" s="25"/>
      <c r="H7331" s="25"/>
      <c r="I7331" s="25"/>
      <c r="J7331" s="25"/>
    </row>
    <row r="7332" spans="1:10" ht="14.4">
      <c r="A7332" s="25"/>
      <c r="B7332" s="25"/>
      <c r="C7332" s="25"/>
      <c r="D7332" s="25"/>
      <c r="E7332" s="25"/>
      <c r="F7332" s="25"/>
      <c r="G7332" s="25"/>
      <c r="H7332" s="25"/>
      <c r="I7332" s="25"/>
      <c r="J7332" s="25"/>
    </row>
    <row r="7333" spans="1:10" ht="14.4">
      <c r="A7333" s="25"/>
      <c r="B7333" s="25"/>
      <c r="C7333" s="25"/>
      <c r="D7333" s="25"/>
      <c r="E7333" s="25"/>
      <c r="F7333" s="25"/>
      <c r="G7333" s="25"/>
      <c r="H7333" s="25"/>
      <c r="I7333" s="25"/>
      <c r="J7333" s="25"/>
    </row>
    <row r="7334" spans="1:10" ht="14.4">
      <c r="A7334" s="25"/>
      <c r="B7334" s="25"/>
      <c r="C7334" s="25"/>
      <c r="D7334" s="25"/>
      <c r="E7334" s="25"/>
      <c r="F7334" s="25"/>
      <c r="G7334" s="25"/>
      <c r="H7334" s="25"/>
      <c r="I7334" s="25"/>
      <c r="J7334" s="25"/>
    </row>
    <row r="7335" spans="1:10" ht="14.4">
      <c r="A7335" s="25"/>
      <c r="B7335" s="25"/>
      <c r="C7335" s="25"/>
      <c r="D7335" s="25"/>
      <c r="E7335" s="25"/>
      <c r="F7335" s="25"/>
      <c r="G7335" s="25"/>
      <c r="H7335" s="25"/>
      <c r="I7335" s="25"/>
      <c r="J7335" s="25"/>
    </row>
    <row r="7336" spans="1:10" ht="14.4">
      <c r="A7336" s="25"/>
      <c r="B7336" s="25"/>
      <c r="C7336" s="25"/>
      <c r="D7336" s="25"/>
      <c r="E7336" s="25"/>
      <c r="F7336" s="25"/>
      <c r="G7336" s="25"/>
      <c r="H7336" s="25"/>
      <c r="I7336" s="25"/>
      <c r="J7336" s="25"/>
    </row>
    <row r="7337" spans="1:10" ht="14.4">
      <c r="A7337" s="25"/>
      <c r="B7337" s="25"/>
      <c r="C7337" s="25"/>
      <c r="D7337" s="25"/>
      <c r="E7337" s="25"/>
      <c r="F7337" s="25"/>
      <c r="G7337" s="25"/>
      <c r="H7337" s="25"/>
      <c r="I7337" s="25"/>
      <c r="J7337" s="25"/>
    </row>
    <row r="7338" spans="1:10" ht="14.4">
      <c r="A7338" s="25"/>
      <c r="B7338" s="25"/>
      <c r="C7338" s="25"/>
      <c r="D7338" s="25"/>
      <c r="E7338" s="25"/>
      <c r="F7338" s="25"/>
      <c r="G7338" s="25"/>
      <c r="H7338" s="25"/>
      <c r="I7338" s="25"/>
      <c r="J7338" s="25"/>
    </row>
    <row r="7339" spans="1:10" ht="14.4">
      <c r="A7339" s="25"/>
      <c r="B7339" s="25"/>
      <c r="C7339" s="25"/>
      <c r="D7339" s="25"/>
      <c r="E7339" s="25"/>
      <c r="F7339" s="25"/>
      <c r="G7339" s="25"/>
      <c r="H7339" s="25"/>
      <c r="I7339" s="25"/>
      <c r="J7339" s="25"/>
    </row>
    <row r="7340" spans="1:10" ht="14.4">
      <c r="A7340" s="25"/>
      <c r="B7340" s="25"/>
      <c r="C7340" s="25"/>
      <c r="D7340" s="25"/>
      <c r="E7340" s="25"/>
      <c r="F7340" s="25"/>
      <c r="G7340" s="25"/>
      <c r="H7340" s="25"/>
      <c r="I7340" s="25"/>
      <c r="J7340" s="25"/>
    </row>
    <row r="7341" spans="1:10" ht="14.4">
      <c r="A7341" s="25"/>
      <c r="B7341" s="25"/>
      <c r="C7341" s="25"/>
      <c r="D7341" s="25"/>
      <c r="E7341" s="25"/>
      <c r="F7341" s="25"/>
      <c r="G7341" s="25"/>
      <c r="H7341" s="25"/>
      <c r="I7341" s="25"/>
      <c r="J7341" s="25"/>
    </row>
    <row r="7342" spans="1:10" ht="14.4">
      <c r="A7342" s="25"/>
      <c r="B7342" s="25"/>
      <c r="C7342" s="25"/>
      <c r="D7342" s="25"/>
      <c r="E7342" s="25"/>
      <c r="F7342" s="25"/>
      <c r="G7342" s="25"/>
      <c r="H7342" s="25"/>
      <c r="I7342" s="25"/>
      <c r="J7342" s="25"/>
    </row>
    <row r="7343" spans="1:10" ht="14.4">
      <c r="A7343" s="25"/>
      <c r="B7343" s="25"/>
      <c r="C7343" s="25"/>
      <c r="D7343" s="25"/>
      <c r="E7343" s="25"/>
      <c r="F7343" s="25"/>
      <c r="G7343" s="25"/>
      <c r="H7343" s="25"/>
      <c r="I7343" s="25"/>
      <c r="J7343" s="25"/>
    </row>
    <row r="7344" spans="1:10" ht="14.4">
      <c r="A7344" s="25"/>
      <c r="B7344" s="25"/>
      <c r="C7344" s="25"/>
      <c r="D7344" s="25"/>
      <c r="E7344" s="25"/>
      <c r="F7344" s="25"/>
      <c r="G7344" s="25"/>
      <c r="H7344" s="25"/>
      <c r="I7344" s="25"/>
      <c r="J7344" s="25"/>
    </row>
    <row r="7345" spans="1:10" ht="14.4">
      <c r="A7345" s="25"/>
      <c r="B7345" s="25"/>
      <c r="C7345" s="25"/>
      <c r="D7345" s="25"/>
      <c r="E7345" s="25"/>
      <c r="F7345" s="25"/>
      <c r="G7345" s="25"/>
      <c r="H7345" s="25"/>
      <c r="I7345" s="25"/>
      <c r="J7345" s="25"/>
    </row>
    <row r="7346" spans="1:10" ht="14.4">
      <c r="A7346" s="25"/>
      <c r="B7346" s="25"/>
      <c r="C7346" s="25"/>
      <c r="D7346" s="25"/>
      <c r="E7346" s="25"/>
      <c r="F7346" s="25"/>
      <c r="G7346" s="25"/>
      <c r="H7346" s="25"/>
      <c r="I7346" s="25"/>
      <c r="J7346" s="25"/>
    </row>
    <row r="7347" spans="1:10" ht="14.4">
      <c r="A7347" s="25"/>
      <c r="B7347" s="25"/>
      <c r="C7347" s="25"/>
      <c r="D7347" s="25"/>
      <c r="E7347" s="25"/>
      <c r="F7347" s="25"/>
      <c r="G7347" s="25"/>
      <c r="H7347" s="25"/>
      <c r="I7347" s="25"/>
      <c r="J7347" s="25"/>
    </row>
    <row r="7348" spans="1:10" ht="14.4">
      <c r="A7348" s="25"/>
      <c r="B7348" s="25"/>
      <c r="C7348" s="25"/>
      <c r="D7348" s="25"/>
      <c r="E7348" s="25"/>
      <c r="F7348" s="25"/>
      <c r="G7348" s="25"/>
      <c r="H7348" s="25"/>
      <c r="I7348" s="25"/>
      <c r="J7348" s="25"/>
    </row>
    <row r="7349" spans="1:10" ht="14.4">
      <c r="A7349" s="25"/>
      <c r="B7349" s="25"/>
      <c r="C7349" s="25"/>
      <c r="D7349" s="25"/>
      <c r="E7349" s="25"/>
      <c r="F7349" s="25"/>
      <c r="G7349" s="25"/>
      <c r="H7349" s="25"/>
      <c r="I7349" s="25"/>
      <c r="J7349" s="25"/>
    </row>
    <row r="7350" spans="1:10" ht="14.4">
      <c r="A7350" s="25"/>
      <c r="B7350" s="25"/>
      <c r="C7350" s="25"/>
      <c r="D7350" s="25"/>
      <c r="E7350" s="25"/>
      <c r="F7350" s="25"/>
      <c r="G7350" s="25"/>
      <c r="H7350" s="25"/>
      <c r="I7350" s="25"/>
      <c r="J7350" s="25"/>
    </row>
    <row r="7351" spans="1:10" ht="14.4">
      <c r="A7351" s="25"/>
      <c r="B7351" s="25"/>
      <c r="C7351" s="25"/>
      <c r="D7351" s="25"/>
      <c r="E7351" s="25"/>
      <c r="F7351" s="25"/>
      <c r="G7351" s="25"/>
      <c r="H7351" s="25"/>
      <c r="I7351" s="25"/>
      <c r="J7351" s="25"/>
    </row>
    <row r="7352" spans="1:10" ht="14.4">
      <c r="A7352" s="25"/>
      <c r="B7352" s="25"/>
      <c r="C7352" s="25"/>
      <c r="D7352" s="25"/>
      <c r="E7352" s="25"/>
      <c r="F7352" s="25"/>
      <c r="G7352" s="25"/>
      <c r="H7352" s="25"/>
      <c r="I7352" s="25"/>
      <c r="J7352" s="25"/>
    </row>
    <row r="7353" spans="1:10" ht="14.4">
      <c r="A7353" s="25"/>
      <c r="B7353" s="25"/>
      <c r="C7353" s="25"/>
      <c r="D7353" s="25"/>
      <c r="E7353" s="25"/>
      <c r="F7353" s="25"/>
      <c r="G7353" s="25"/>
      <c r="H7353" s="25"/>
      <c r="I7353" s="25"/>
      <c r="J7353" s="25"/>
    </row>
    <row r="7354" spans="1:10" ht="14.4">
      <c r="A7354" s="25"/>
      <c r="B7354" s="25"/>
      <c r="C7354" s="25"/>
      <c r="D7354" s="25"/>
      <c r="E7354" s="25"/>
      <c r="F7354" s="25"/>
      <c r="G7354" s="25"/>
      <c r="H7354" s="25"/>
      <c r="I7354" s="25"/>
      <c r="J7354" s="25"/>
    </row>
    <row r="7355" spans="1:10" ht="14.4">
      <c r="A7355" s="25"/>
      <c r="B7355" s="25"/>
      <c r="C7355" s="25"/>
      <c r="D7355" s="25"/>
      <c r="E7355" s="25"/>
      <c r="F7355" s="25"/>
      <c r="G7355" s="25"/>
      <c r="H7355" s="25"/>
      <c r="I7355" s="25"/>
      <c r="J7355" s="25"/>
    </row>
    <row r="7356" spans="1:10" ht="14.4">
      <c r="A7356" s="25"/>
      <c r="B7356" s="25"/>
      <c r="C7356" s="25"/>
      <c r="D7356" s="25"/>
      <c r="E7356" s="25"/>
      <c r="F7356" s="25"/>
      <c r="G7356" s="25"/>
      <c r="H7356" s="25"/>
      <c r="I7356" s="25"/>
      <c r="J7356" s="25"/>
    </row>
    <row r="7357" spans="1:10" ht="14.4">
      <c r="A7357" s="25"/>
      <c r="B7357" s="25"/>
      <c r="C7357" s="25"/>
      <c r="D7357" s="25"/>
      <c r="E7357" s="25"/>
      <c r="F7357" s="25"/>
      <c r="G7357" s="25"/>
      <c r="H7357" s="25"/>
      <c r="I7357" s="25"/>
      <c r="J7357" s="25"/>
    </row>
    <row r="7358" spans="1:10" ht="14.4">
      <c r="A7358" s="25"/>
      <c r="B7358" s="25"/>
      <c r="C7358" s="25"/>
      <c r="D7358" s="25"/>
      <c r="E7358" s="25"/>
      <c r="F7358" s="25"/>
      <c r="G7358" s="25"/>
      <c r="H7358" s="25"/>
      <c r="I7358" s="25"/>
      <c r="J7358" s="25"/>
    </row>
    <row r="7359" spans="1:10" ht="14.4">
      <c r="A7359" s="25"/>
      <c r="B7359" s="25"/>
      <c r="C7359" s="25"/>
      <c r="D7359" s="25"/>
      <c r="E7359" s="25"/>
      <c r="F7359" s="25"/>
      <c r="G7359" s="25"/>
      <c r="H7359" s="25"/>
      <c r="I7359" s="25"/>
      <c r="J7359" s="25"/>
    </row>
    <row r="7360" spans="1:10" ht="14.4">
      <c r="A7360" s="25"/>
      <c r="B7360" s="25"/>
      <c r="C7360" s="25"/>
      <c r="D7360" s="25"/>
      <c r="E7360" s="25"/>
      <c r="F7360" s="25"/>
      <c r="G7360" s="25"/>
      <c r="H7360" s="25"/>
      <c r="I7360" s="25"/>
      <c r="J7360" s="25"/>
    </row>
    <row r="7361" spans="1:10" ht="14.4">
      <c r="A7361" s="25"/>
      <c r="B7361" s="25"/>
      <c r="C7361" s="25"/>
      <c r="D7361" s="25"/>
      <c r="E7361" s="25"/>
      <c r="F7361" s="25"/>
      <c r="G7361" s="25"/>
      <c r="H7361" s="25"/>
      <c r="I7361" s="25"/>
      <c r="J7361" s="25"/>
    </row>
    <row r="7362" spans="1:10" ht="14.4">
      <c r="A7362" s="25"/>
      <c r="B7362" s="25"/>
      <c r="C7362" s="25"/>
      <c r="D7362" s="25"/>
      <c r="E7362" s="25"/>
      <c r="F7362" s="25"/>
      <c r="G7362" s="25"/>
      <c r="H7362" s="25"/>
      <c r="I7362" s="25"/>
      <c r="J7362" s="25"/>
    </row>
    <row r="7363" spans="1:10" ht="14.4">
      <c r="A7363" s="25"/>
      <c r="B7363" s="25"/>
      <c r="C7363" s="25"/>
      <c r="D7363" s="25"/>
      <c r="E7363" s="25"/>
      <c r="F7363" s="25"/>
      <c r="G7363" s="25"/>
      <c r="H7363" s="25"/>
      <c r="I7363" s="25"/>
      <c r="J7363" s="25"/>
    </row>
    <row r="7364" spans="1:10" ht="14.4">
      <c r="A7364" s="25"/>
      <c r="B7364" s="25"/>
      <c r="C7364" s="25"/>
      <c r="D7364" s="25"/>
      <c r="E7364" s="25"/>
      <c r="F7364" s="25"/>
      <c r="G7364" s="25"/>
      <c r="H7364" s="25"/>
      <c r="I7364" s="25"/>
      <c r="J7364" s="25"/>
    </row>
    <row r="7365" spans="1:10" ht="14.4">
      <c r="A7365" s="25"/>
      <c r="B7365" s="25"/>
      <c r="C7365" s="25"/>
      <c r="D7365" s="25"/>
      <c r="E7365" s="25"/>
      <c r="F7365" s="25"/>
      <c r="G7365" s="25"/>
      <c r="H7365" s="25"/>
      <c r="I7365" s="25"/>
      <c r="J7365" s="25"/>
    </row>
    <row r="7366" spans="1:10" ht="14.4">
      <c r="A7366" s="25"/>
      <c r="B7366" s="25"/>
      <c r="C7366" s="25"/>
      <c r="D7366" s="25"/>
      <c r="E7366" s="25"/>
      <c r="F7366" s="25"/>
      <c r="G7366" s="25"/>
      <c r="H7366" s="25"/>
      <c r="I7366" s="25"/>
      <c r="J7366" s="25"/>
    </row>
    <row r="7367" spans="1:10" ht="14.4">
      <c r="A7367" s="25"/>
      <c r="B7367" s="25"/>
      <c r="C7367" s="25"/>
      <c r="D7367" s="25"/>
      <c r="E7367" s="25"/>
      <c r="F7367" s="25"/>
      <c r="G7367" s="25"/>
      <c r="H7367" s="25"/>
      <c r="I7367" s="25"/>
      <c r="J7367" s="25"/>
    </row>
    <row r="7368" spans="1:10" ht="14.4">
      <c r="A7368" s="25"/>
      <c r="B7368" s="25"/>
      <c r="C7368" s="25"/>
      <c r="D7368" s="25"/>
      <c r="E7368" s="25"/>
      <c r="F7368" s="25"/>
      <c r="G7368" s="25"/>
      <c r="H7368" s="25"/>
      <c r="I7368" s="25"/>
      <c r="J7368" s="25"/>
    </row>
    <row r="7369" spans="1:10" ht="14.4">
      <c r="A7369" s="25"/>
      <c r="B7369" s="25"/>
      <c r="C7369" s="25"/>
      <c r="D7369" s="25"/>
      <c r="E7369" s="25"/>
      <c r="F7369" s="25"/>
      <c r="G7369" s="25"/>
      <c r="H7369" s="25"/>
      <c r="I7369" s="25"/>
      <c r="J7369" s="25"/>
    </row>
    <row r="7370" spans="1:10" ht="14.4">
      <c r="A7370" s="25"/>
      <c r="B7370" s="25"/>
      <c r="C7370" s="25"/>
      <c r="D7370" s="25"/>
      <c r="E7370" s="25"/>
      <c r="F7370" s="25"/>
      <c r="G7370" s="25"/>
      <c r="H7370" s="25"/>
      <c r="I7370" s="25"/>
      <c r="J7370" s="25"/>
    </row>
    <row r="7371" spans="1:10" ht="14.4">
      <c r="A7371" s="25"/>
      <c r="B7371" s="25"/>
      <c r="C7371" s="25"/>
      <c r="D7371" s="25"/>
      <c r="E7371" s="25"/>
      <c r="F7371" s="25"/>
      <c r="G7371" s="25"/>
      <c r="H7371" s="25"/>
      <c r="I7371" s="25"/>
      <c r="J7371" s="25"/>
    </row>
    <row r="7372" spans="1:10" ht="14.4">
      <c r="A7372" s="25"/>
      <c r="B7372" s="25"/>
      <c r="C7372" s="25"/>
      <c r="D7372" s="25"/>
      <c r="E7372" s="25"/>
      <c r="F7372" s="25"/>
      <c r="G7372" s="25"/>
      <c r="H7372" s="25"/>
      <c r="I7372" s="25"/>
      <c r="J7372" s="25"/>
    </row>
    <row r="7373" spans="1:10" ht="14.4">
      <c r="A7373" s="25"/>
      <c r="B7373" s="25"/>
      <c r="C7373" s="25"/>
      <c r="D7373" s="25"/>
      <c r="E7373" s="25"/>
      <c r="F7373" s="25"/>
      <c r="G7373" s="25"/>
      <c r="H7373" s="25"/>
      <c r="I7373" s="25"/>
      <c r="J7373" s="25"/>
    </row>
    <row r="7374" spans="1:10" ht="14.4">
      <c r="A7374" s="25"/>
      <c r="B7374" s="25"/>
      <c r="C7374" s="25"/>
      <c r="D7374" s="25"/>
      <c r="E7374" s="25"/>
      <c r="F7374" s="25"/>
      <c r="G7374" s="25"/>
      <c r="H7374" s="25"/>
      <c r="I7374" s="25"/>
      <c r="J7374" s="25"/>
    </row>
    <row r="7375" spans="1:10" ht="14.4">
      <c r="A7375" s="25"/>
      <c r="B7375" s="25"/>
      <c r="C7375" s="25"/>
      <c r="D7375" s="25"/>
      <c r="E7375" s="25"/>
      <c r="F7375" s="25"/>
      <c r="G7375" s="25"/>
      <c r="H7375" s="25"/>
      <c r="I7375" s="25"/>
      <c r="J7375" s="25"/>
    </row>
    <row r="7376" spans="1:10" ht="14.4">
      <c r="A7376" s="25"/>
      <c r="B7376" s="25"/>
      <c r="C7376" s="25"/>
      <c r="D7376" s="25"/>
      <c r="E7376" s="25"/>
      <c r="F7376" s="25"/>
      <c r="G7376" s="25"/>
      <c r="H7376" s="25"/>
      <c r="I7376" s="25"/>
      <c r="J7376" s="25"/>
    </row>
    <row r="7377" spans="1:10" ht="14.4">
      <c r="A7377" s="25"/>
      <c r="B7377" s="25"/>
      <c r="C7377" s="25"/>
      <c r="D7377" s="25"/>
      <c r="E7377" s="25"/>
      <c r="F7377" s="25"/>
      <c r="G7377" s="25"/>
      <c r="H7377" s="25"/>
      <c r="I7377" s="25"/>
      <c r="J7377" s="25"/>
    </row>
    <row r="7378" spans="1:10" ht="14.4">
      <c r="A7378" s="25"/>
      <c r="B7378" s="25"/>
      <c r="C7378" s="25"/>
      <c r="D7378" s="25"/>
      <c r="E7378" s="25"/>
      <c r="F7378" s="25"/>
      <c r="G7378" s="25"/>
      <c r="H7378" s="25"/>
      <c r="I7378" s="25"/>
      <c r="J7378" s="25"/>
    </row>
    <row r="7379" spans="1:10" ht="14.4">
      <c r="A7379" s="25"/>
      <c r="B7379" s="25"/>
      <c r="C7379" s="25"/>
      <c r="D7379" s="25"/>
      <c r="E7379" s="25"/>
      <c r="F7379" s="25"/>
      <c r="G7379" s="25"/>
      <c r="H7379" s="25"/>
      <c r="I7379" s="25"/>
      <c r="J7379" s="25"/>
    </row>
    <row r="7380" spans="1:10" ht="14.4">
      <c r="A7380" s="25"/>
      <c r="B7380" s="25"/>
      <c r="C7380" s="25"/>
      <c r="D7380" s="25"/>
      <c r="E7380" s="25"/>
      <c r="F7380" s="25"/>
      <c r="G7380" s="25"/>
      <c r="H7380" s="25"/>
      <c r="I7380" s="25"/>
      <c r="J7380" s="25"/>
    </row>
    <row r="7381" spans="1:10" ht="14.4">
      <c r="A7381" s="25"/>
      <c r="B7381" s="25"/>
      <c r="C7381" s="25"/>
      <c r="D7381" s="25"/>
      <c r="E7381" s="25"/>
      <c r="F7381" s="25"/>
      <c r="G7381" s="25"/>
      <c r="H7381" s="25"/>
      <c r="I7381" s="25"/>
      <c r="J7381" s="25"/>
    </row>
    <row r="7382" spans="1:10" ht="14.4">
      <c r="A7382" s="25"/>
      <c r="B7382" s="25"/>
      <c r="C7382" s="25"/>
      <c r="D7382" s="25"/>
      <c r="E7382" s="25"/>
      <c r="F7382" s="25"/>
      <c r="G7382" s="25"/>
      <c r="H7382" s="25"/>
      <c r="I7382" s="25"/>
      <c r="J7382" s="25"/>
    </row>
    <row r="7383" spans="1:10" ht="14.4">
      <c r="A7383" s="25"/>
      <c r="B7383" s="25"/>
      <c r="C7383" s="25"/>
      <c r="D7383" s="25"/>
      <c r="E7383" s="25"/>
      <c r="F7383" s="25"/>
      <c r="G7383" s="25"/>
      <c r="H7383" s="25"/>
      <c r="I7383" s="25"/>
      <c r="J7383" s="25"/>
    </row>
    <row r="7384" spans="1:10" ht="14.4">
      <c r="A7384" s="25"/>
      <c r="B7384" s="25"/>
      <c r="C7384" s="25"/>
      <c r="D7384" s="25"/>
      <c r="E7384" s="25"/>
      <c r="F7384" s="25"/>
      <c r="G7384" s="25"/>
      <c r="H7384" s="25"/>
      <c r="I7384" s="25"/>
      <c r="J7384" s="25"/>
    </row>
    <row r="7385" spans="1:10" ht="14.4">
      <c r="A7385" s="25"/>
      <c r="B7385" s="25"/>
      <c r="C7385" s="25"/>
      <c r="D7385" s="25"/>
      <c r="E7385" s="25"/>
      <c r="F7385" s="25"/>
      <c r="G7385" s="25"/>
      <c r="H7385" s="25"/>
      <c r="I7385" s="25"/>
      <c r="J7385" s="25"/>
    </row>
    <row r="7386" spans="1:10" ht="14.4">
      <c r="A7386" s="25"/>
      <c r="B7386" s="25"/>
      <c r="C7386" s="25"/>
      <c r="D7386" s="25"/>
      <c r="E7386" s="25"/>
      <c r="F7386" s="25"/>
      <c r="G7386" s="25"/>
      <c r="H7386" s="25"/>
      <c r="I7386" s="25"/>
      <c r="J7386" s="25"/>
    </row>
    <row r="7387" spans="1:10" ht="14.4">
      <c r="A7387" s="25"/>
      <c r="B7387" s="25"/>
      <c r="C7387" s="25"/>
      <c r="D7387" s="25"/>
      <c r="E7387" s="25"/>
      <c r="F7387" s="25"/>
      <c r="G7387" s="25"/>
      <c r="H7387" s="25"/>
      <c r="I7387" s="25"/>
      <c r="J7387" s="25"/>
    </row>
    <row r="7388" spans="1:10" ht="14.4">
      <c r="A7388" s="25"/>
      <c r="B7388" s="25"/>
      <c r="C7388" s="25"/>
      <c r="D7388" s="25"/>
      <c r="E7388" s="25"/>
      <c r="F7388" s="25"/>
      <c r="G7388" s="25"/>
      <c r="H7388" s="25"/>
      <c r="I7388" s="25"/>
      <c r="J7388" s="25"/>
    </row>
    <row r="7389" spans="1:10" ht="14.4">
      <c r="A7389" s="25"/>
      <c r="B7389" s="25"/>
      <c r="C7389" s="25"/>
      <c r="D7389" s="25"/>
      <c r="E7389" s="25"/>
      <c r="F7389" s="25"/>
      <c r="G7389" s="25"/>
      <c r="H7389" s="25"/>
      <c r="I7389" s="25"/>
      <c r="J7389" s="25"/>
    </row>
    <row r="7390" spans="1:10" ht="14.4">
      <c r="A7390" s="25"/>
      <c r="B7390" s="25"/>
      <c r="C7390" s="25"/>
      <c r="D7390" s="25"/>
      <c r="E7390" s="25"/>
      <c r="F7390" s="25"/>
      <c r="G7390" s="25"/>
      <c r="H7390" s="25"/>
      <c r="I7390" s="25"/>
      <c r="J7390" s="25"/>
    </row>
    <row r="7391" spans="1:10" ht="14.4">
      <c r="A7391" s="25"/>
      <c r="B7391" s="25"/>
      <c r="C7391" s="25"/>
      <c r="D7391" s="25"/>
      <c r="E7391" s="25"/>
      <c r="F7391" s="25"/>
      <c r="G7391" s="25"/>
      <c r="H7391" s="25"/>
      <c r="I7391" s="25"/>
      <c r="J7391" s="25"/>
    </row>
    <row r="7392" spans="1:10" ht="14.4">
      <c r="A7392" s="25"/>
      <c r="B7392" s="25"/>
      <c r="C7392" s="25"/>
      <c r="D7392" s="25"/>
      <c r="E7392" s="25"/>
      <c r="F7392" s="25"/>
      <c r="G7392" s="25"/>
      <c r="H7392" s="25"/>
      <c r="I7392" s="25"/>
      <c r="J7392" s="25"/>
    </row>
    <row r="7393" spans="1:10" ht="14.4">
      <c r="A7393" s="25"/>
      <c r="B7393" s="25"/>
      <c r="C7393" s="25"/>
      <c r="D7393" s="25"/>
      <c r="E7393" s="25"/>
      <c r="F7393" s="25"/>
      <c r="G7393" s="25"/>
      <c r="H7393" s="25"/>
      <c r="I7393" s="25"/>
      <c r="J7393" s="25"/>
    </row>
    <row r="7394" spans="1:10" ht="14.4">
      <c r="A7394" s="25"/>
      <c r="B7394" s="25"/>
      <c r="C7394" s="25"/>
      <c r="D7394" s="25"/>
      <c r="E7394" s="25"/>
      <c r="F7394" s="25"/>
      <c r="G7394" s="25"/>
      <c r="H7394" s="25"/>
      <c r="I7394" s="25"/>
      <c r="J7394" s="25"/>
    </row>
    <row r="7395" spans="1:10" ht="14.4">
      <c r="A7395" s="25"/>
      <c r="B7395" s="25"/>
      <c r="C7395" s="25"/>
      <c r="D7395" s="25"/>
      <c r="E7395" s="25"/>
      <c r="F7395" s="25"/>
      <c r="G7395" s="25"/>
      <c r="H7395" s="25"/>
      <c r="I7395" s="25"/>
      <c r="J7395" s="25"/>
    </row>
    <row r="7396" spans="1:10" ht="14.4">
      <c r="A7396" s="25"/>
      <c r="B7396" s="25"/>
      <c r="C7396" s="25"/>
      <c r="D7396" s="25"/>
      <c r="E7396" s="25"/>
      <c r="F7396" s="25"/>
      <c r="G7396" s="25"/>
      <c r="H7396" s="25"/>
      <c r="I7396" s="25"/>
      <c r="J7396" s="25"/>
    </row>
    <row r="7397" spans="1:10" ht="14.4">
      <c r="A7397" s="25"/>
      <c r="B7397" s="25"/>
      <c r="C7397" s="25"/>
      <c r="D7397" s="25"/>
      <c r="E7397" s="25"/>
      <c r="F7397" s="25"/>
      <c r="G7397" s="25"/>
      <c r="H7397" s="25"/>
      <c r="I7397" s="25"/>
      <c r="J7397" s="25"/>
    </row>
    <row r="7398" spans="1:10" ht="14.4">
      <c r="A7398" s="25"/>
      <c r="B7398" s="25"/>
      <c r="C7398" s="25"/>
      <c r="D7398" s="25"/>
      <c r="E7398" s="25"/>
      <c r="F7398" s="25"/>
      <c r="G7398" s="25"/>
      <c r="H7398" s="25"/>
      <c r="I7398" s="25"/>
      <c r="J7398" s="25"/>
    </row>
    <row r="7399" spans="1:10" ht="14.4">
      <c r="A7399" s="25"/>
      <c r="B7399" s="25"/>
      <c r="C7399" s="25"/>
      <c r="D7399" s="25"/>
      <c r="E7399" s="25"/>
      <c r="F7399" s="25"/>
      <c r="G7399" s="25"/>
      <c r="H7399" s="25"/>
      <c r="I7399" s="25"/>
      <c r="J7399" s="25"/>
    </row>
    <row r="7400" spans="1:10" ht="14.4">
      <c r="A7400" s="25"/>
      <c r="B7400" s="25"/>
      <c r="C7400" s="25"/>
      <c r="D7400" s="25"/>
      <c r="E7400" s="25"/>
      <c r="F7400" s="25"/>
      <c r="G7400" s="25"/>
      <c r="H7400" s="25"/>
      <c r="I7400" s="25"/>
      <c r="J7400" s="25"/>
    </row>
    <row r="7401" spans="1:10" ht="14.4">
      <c r="A7401" s="25"/>
      <c r="B7401" s="25"/>
      <c r="C7401" s="25"/>
      <c r="D7401" s="25"/>
      <c r="E7401" s="25"/>
      <c r="F7401" s="25"/>
      <c r="G7401" s="25"/>
      <c r="H7401" s="25"/>
      <c r="I7401" s="25"/>
      <c r="J7401" s="25"/>
    </row>
    <row r="7402" spans="1:10" ht="14.4">
      <c r="A7402" s="25"/>
      <c r="B7402" s="25"/>
      <c r="C7402" s="25"/>
      <c r="D7402" s="25"/>
      <c r="E7402" s="25"/>
      <c r="F7402" s="25"/>
      <c r="G7402" s="25"/>
      <c r="H7402" s="25"/>
      <c r="I7402" s="25"/>
      <c r="J7402" s="25"/>
    </row>
    <row r="7403" spans="1:10" ht="14.4">
      <c r="A7403" s="25"/>
      <c r="B7403" s="25"/>
      <c r="C7403" s="25"/>
      <c r="D7403" s="25"/>
      <c r="E7403" s="25"/>
      <c r="F7403" s="25"/>
      <c r="G7403" s="25"/>
      <c r="H7403" s="25"/>
      <c r="I7403" s="25"/>
      <c r="J7403" s="25"/>
    </row>
    <row r="7404" spans="1:10" ht="14.4">
      <c r="A7404" s="25"/>
      <c r="B7404" s="25"/>
      <c r="C7404" s="25"/>
      <c r="D7404" s="25"/>
      <c r="E7404" s="25"/>
      <c r="F7404" s="25"/>
      <c r="G7404" s="25"/>
      <c r="H7404" s="25"/>
      <c r="I7404" s="25"/>
      <c r="J7404" s="25"/>
    </row>
    <row r="7405" spans="1:10" ht="14.4">
      <c r="A7405" s="25"/>
      <c r="B7405" s="25"/>
      <c r="C7405" s="25"/>
      <c r="D7405" s="25"/>
      <c r="E7405" s="25"/>
      <c r="F7405" s="25"/>
      <c r="G7405" s="25"/>
      <c r="H7405" s="25"/>
      <c r="I7405" s="25"/>
      <c r="J7405" s="25"/>
    </row>
    <row r="7406" spans="1:10" ht="14.4">
      <c r="A7406" s="25"/>
      <c r="B7406" s="25"/>
      <c r="C7406" s="25"/>
      <c r="D7406" s="25"/>
      <c r="E7406" s="25"/>
      <c r="F7406" s="25"/>
      <c r="G7406" s="25"/>
      <c r="H7406" s="25"/>
      <c r="I7406" s="25"/>
      <c r="J7406" s="25"/>
    </row>
    <row r="7407" spans="1:10" ht="14.4">
      <c r="A7407" s="25"/>
      <c r="B7407" s="25"/>
      <c r="C7407" s="25"/>
      <c r="D7407" s="25"/>
      <c r="E7407" s="25"/>
      <c r="F7407" s="25"/>
      <c r="G7407" s="25"/>
      <c r="H7407" s="25"/>
      <c r="I7407" s="25"/>
      <c r="J7407" s="25"/>
    </row>
    <row r="7408" spans="1:10" ht="14.4">
      <c r="A7408" s="25"/>
      <c r="B7408" s="25"/>
      <c r="C7408" s="25"/>
      <c r="D7408" s="25"/>
      <c r="E7408" s="25"/>
      <c r="F7408" s="25"/>
      <c r="G7408" s="25"/>
      <c r="H7408" s="25"/>
      <c r="I7408" s="25"/>
      <c r="J7408" s="25"/>
    </row>
    <row r="7409" spans="1:10" ht="14.4">
      <c r="A7409" s="25"/>
      <c r="B7409" s="25"/>
      <c r="C7409" s="25"/>
      <c r="D7409" s="25"/>
      <c r="E7409" s="25"/>
      <c r="F7409" s="25"/>
      <c r="G7409" s="25"/>
      <c r="H7409" s="25"/>
      <c r="I7409" s="25"/>
      <c r="J7409" s="25"/>
    </row>
    <row r="7410" spans="1:10" ht="14.4">
      <c r="A7410" s="25"/>
      <c r="B7410" s="25"/>
      <c r="C7410" s="25"/>
      <c r="D7410" s="25"/>
      <c r="E7410" s="25"/>
      <c r="F7410" s="25"/>
      <c r="G7410" s="25"/>
      <c r="H7410" s="25"/>
      <c r="I7410" s="25"/>
      <c r="J7410" s="25"/>
    </row>
    <row r="7411" spans="1:10" ht="14.4">
      <c r="A7411" s="25"/>
      <c r="B7411" s="25"/>
      <c r="C7411" s="25"/>
      <c r="D7411" s="25"/>
      <c r="E7411" s="25"/>
      <c r="F7411" s="25"/>
      <c r="G7411" s="25"/>
      <c r="H7411" s="25"/>
      <c r="I7411" s="25"/>
      <c r="J7411" s="25"/>
    </row>
    <row r="7412" spans="1:10" ht="14.4">
      <c r="A7412" s="25"/>
      <c r="B7412" s="25"/>
      <c r="C7412" s="25"/>
      <c r="D7412" s="25"/>
      <c r="E7412" s="25"/>
      <c r="F7412" s="25"/>
      <c r="G7412" s="25"/>
      <c r="H7412" s="25"/>
      <c r="I7412" s="25"/>
      <c r="J7412" s="25"/>
    </row>
    <row r="7413" spans="1:10" ht="14.4">
      <c r="A7413" s="25"/>
      <c r="B7413" s="25"/>
      <c r="C7413" s="25"/>
      <c r="D7413" s="25"/>
      <c r="E7413" s="25"/>
      <c r="F7413" s="25"/>
      <c r="G7413" s="25"/>
      <c r="H7413" s="25"/>
      <c r="I7413" s="25"/>
      <c r="J7413" s="25"/>
    </row>
    <row r="7414" spans="1:10" ht="14.4">
      <c r="A7414" s="25"/>
      <c r="B7414" s="25"/>
      <c r="C7414" s="25"/>
      <c r="D7414" s="25"/>
      <c r="E7414" s="25"/>
      <c r="F7414" s="25"/>
      <c r="G7414" s="25"/>
      <c r="H7414" s="25"/>
      <c r="I7414" s="25"/>
      <c r="J7414" s="25"/>
    </row>
    <row r="7415" spans="1:10" ht="14.4">
      <c r="A7415" s="25"/>
      <c r="B7415" s="25"/>
      <c r="C7415" s="25"/>
      <c r="D7415" s="25"/>
      <c r="E7415" s="25"/>
      <c r="F7415" s="25"/>
      <c r="G7415" s="25"/>
      <c r="H7415" s="25"/>
      <c r="I7415" s="25"/>
      <c r="J7415" s="25"/>
    </row>
    <row r="7416" spans="1:10" ht="14.4">
      <c r="A7416" s="25"/>
      <c r="B7416" s="25"/>
      <c r="C7416" s="25"/>
      <c r="D7416" s="25"/>
      <c r="E7416" s="25"/>
      <c r="F7416" s="25"/>
      <c r="G7416" s="25"/>
      <c r="H7416" s="25"/>
      <c r="I7416" s="25"/>
      <c r="J7416" s="25"/>
    </row>
    <row r="7417" spans="1:10" ht="14.4">
      <c r="A7417" s="25"/>
      <c r="B7417" s="25"/>
      <c r="C7417" s="25"/>
      <c r="D7417" s="25"/>
      <c r="E7417" s="25"/>
      <c r="F7417" s="25"/>
      <c r="G7417" s="25"/>
      <c r="H7417" s="25"/>
      <c r="I7417" s="25"/>
      <c r="J7417" s="25"/>
    </row>
    <row r="7418" spans="1:10" ht="14.4">
      <c r="A7418" s="25"/>
      <c r="B7418" s="25"/>
      <c r="C7418" s="25"/>
      <c r="D7418" s="25"/>
      <c r="E7418" s="25"/>
      <c r="F7418" s="25"/>
      <c r="G7418" s="25"/>
      <c r="H7418" s="25"/>
      <c r="I7418" s="25"/>
      <c r="J7418" s="25"/>
    </row>
    <row r="7419" spans="1:10" ht="14.4">
      <c r="A7419" s="25"/>
      <c r="B7419" s="25"/>
      <c r="C7419" s="25"/>
      <c r="D7419" s="25"/>
      <c r="E7419" s="25"/>
      <c r="F7419" s="25"/>
      <c r="G7419" s="25"/>
      <c r="H7419" s="25"/>
      <c r="I7419" s="25"/>
      <c r="J7419" s="25"/>
    </row>
    <row r="7420" spans="1:10" ht="14.4">
      <c r="A7420" s="25"/>
      <c r="B7420" s="25"/>
      <c r="C7420" s="25"/>
      <c r="D7420" s="25"/>
      <c r="E7420" s="25"/>
      <c r="F7420" s="25"/>
      <c r="G7420" s="25"/>
      <c r="H7420" s="25"/>
      <c r="I7420" s="25"/>
      <c r="J7420" s="25"/>
    </row>
    <row r="7421" spans="1:10" ht="14.4">
      <c r="A7421" s="25"/>
      <c r="B7421" s="25"/>
      <c r="C7421" s="25"/>
      <c r="D7421" s="25"/>
      <c r="E7421" s="25"/>
      <c r="F7421" s="25"/>
      <c r="G7421" s="25"/>
      <c r="H7421" s="25"/>
      <c r="I7421" s="25"/>
      <c r="J7421" s="25"/>
    </row>
    <row r="7422" spans="1:10" ht="14.4">
      <c r="A7422" s="25"/>
      <c r="B7422" s="25"/>
      <c r="C7422" s="25"/>
      <c r="D7422" s="25"/>
      <c r="E7422" s="25"/>
      <c r="F7422" s="25"/>
      <c r="G7422" s="25"/>
      <c r="H7422" s="25"/>
      <c r="I7422" s="25"/>
      <c r="J7422" s="25"/>
    </row>
    <row r="7423" spans="1:10" ht="14.4">
      <c r="A7423" s="25"/>
      <c r="B7423" s="25"/>
      <c r="C7423" s="25"/>
      <c r="D7423" s="25"/>
      <c r="E7423" s="25"/>
      <c r="F7423" s="25"/>
      <c r="G7423" s="25"/>
      <c r="H7423" s="25"/>
      <c r="I7423" s="25"/>
      <c r="J7423" s="25"/>
    </row>
    <row r="7424" spans="1:10" ht="14.4">
      <c r="A7424" s="25"/>
      <c r="B7424" s="25"/>
      <c r="C7424" s="25"/>
      <c r="D7424" s="25"/>
      <c r="E7424" s="25"/>
      <c r="F7424" s="25"/>
      <c r="G7424" s="25"/>
      <c r="H7424" s="25"/>
      <c r="I7424" s="25"/>
      <c r="J7424" s="25"/>
    </row>
    <row r="7425" spans="1:10" ht="14.4">
      <c r="A7425" s="25"/>
      <c r="B7425" s="25"/>
      <c r="C7425" s="25"/>
      <c r="D7425" s="25"/>
      <c r="E7425" s="25"/>
      <c r="F7425" s="25"/>
      <c r="G7425" s="25"/>
      <c r="H7425" s="25"/>
      <c r="I7425" s="25"/>
      <c r="J7425" s="25"/>
    </row>
    <row r="7426" spans="1:10" ht="14.4">
      <c r="A7426" s="25"/>
      <c r="B7426" s="25"/>
      <c r="C7426" s="25"/>
      <c r="D7426" s="25"/>
      <c r="E7426" s="25"/>
      <c r="F7426" s="25"/>
      <c r="G7426" s="25"/>
      <c r="H7426" s="25"/>
      <c r="I7426" s="25"/>
      <c r="J7426" s="25"/>
    </row>
    <row r="7427" spans="1:10" ht="14.4">
      <c r="A7427" s="25"/>
      <c r="B7427" s="25"/>
      <c r="C7427" s="25"/>
      <c r="D7427" s="25"/>
      <c r="E7427" s="25"/>
      <c r="F7427" s="25"/>
      <c r="G7427" s="25"/>
      <c r="H7427" s="25"/>
      <c r="I7427" s="25"/>
      <c r="J7427" s="25"/>
    </row>
    <row r="7428" spans="1:10" ht="14.4">
      <c r="A7428" s="25"/>
      <c r="B7428" s="25"/>
      <c r="C7428" s="25"/>
      <c r="D7428" s="25"/>
      <c r="E7428" s="25"/>
      <c r="F7428" s="25"/>
      <c r="G7428" s="25"/>
      <c r="H7428" s="25"/>
      <c r="I7428" s="25"/>
      <c r="J7428" s="25"/>
    </row>
    <row r="7429" spans="1:10" ht="14.4">
      <c r="A7429" s="25"/>
      <c r="B7429" s="25"/>
      <c r="C7429" s="25"/>
      <c r="D7429" s="25"/>
      <c r="E7429" s="25"/>
      <c r="F7429" s="25"/>
      <c r="G7429" s="25"/>
      <c r="H7429" s="25"/>
      <c r="I7429" s="25"/>
      <c r="J7429" s="25"/>
    </row>
    <row r="7430" spans="1:10" ht="14.4">
      <c r="A7430" s="25"/>
      <c r="B7430" s="25"/>
      <c r="C7430" s="25"/>
      <c r="D7430" s="25"/>
      <c r="E7430" s="25"/>
      <c r="F7430" s="25"/>
      <c r="G7430" s="25"/>
      <c r="H7430" s="25"/>
      <c r="I7430" s="25"/>
      <c r="J7430" s="25"/>
    </row>
    <row r="7431" spans="1:10" ht="14.4">
      <c r="A7431" s="25"/>
      <c r="B7431" s="25"/>
      <c r="C7431" s="25"/>
      <c r="D7431" s="25"/>
      <c r="E7431" s="25"/>
      <c r="F7431" s="25"/>
      <c r="G7431" s="25"/>
      <c r="H7431" s="25"/>
      <c r="I7431" s="25"/>
      <c r="J7431" s="25"/>
    </row>
    <row r="7432" spans="1:10" ht="14.4">
      <c r="A7432" s="25"/>
      <c r="B7432" s="25"/>
      <c r="C7432" s="25"/>
      <c r="D7432" s="25"/>
      <c r="E7432" s="25"/>
      <c r="F7432" s="25"/>
      <c r="G7432" s="25"/>
      <c r="H7432" s="25"/>
      <c r="I7432" s="25"/>
      <c r="J7432" s="25"/>
    </row>
    <row r="7433" spans="1:10" ht="14.4">
      <c r="A7433" s="25"/>
      <c r="B7433" s="25"/>
      <c r="C7433" s="25"/>
      <c r="D7433" s="25"/>
      <c r="E7433" s="25"/>
      <c r="F7433" s="25"/>
      <c r="G7433" s="25"/>
      <c r="H7433" s="25"/>
      <c r="I7433" s="25"/>
      <c r="J7433" s="25"/>
    </row>
    <row r="7434" spans="1:10" ht="14.4">
      <c r="A7434" s="25"/>
      <c r="B7434" s="25"/>
      <c r="C7434" s="25"/>
      <c r="D7434" s="25"/>
      <c r="E7434" s="25"/>
      <c r="F7434" s="25"/>
      <c r="G7434" s="25"/>
      <c r="H7434" s="25"/>
      <c r="I7434" s="25"/>
      <c r="J7434" s="25"/>
    </row>
    <row r="7435" spans="1:10" ht="14.4">
      <c r="A7435" s="25"/>
      <c r="B7435" s="25"/>
      <c r="C7435" s="25"/>
      <c r="D7435" s="25"/>
      <c r="E7435" s="25"/>
      <c r="F7435" s="25"/>
      <c r="G7435" s="25"/>
      <c r="H7435" s="25"/>
      <c r="I7435" s="25"/>
      <c r="J7435" s="25"/>
    </row>
    <row r="7436" spans="1:10" ht="14.4">
      <c r="A7436" s="25"/>
      <c r="B7436" s="25"/>
      <c r="C7436" s="25"/>
      <c r="D7436" s="25"/>
      <c r="E7436" s="25"/>
      <c r="F7436" s="25"/>
      <c r="G7436" s="25"/>
      <c r="H7436" s="25"/>
      <c r="I7436" s="25"/>
      <c r="J7436" s="25"/>
    </row>
    <row r="7437" spans="1:10" ht="14.4">
      <c r="A7437" s="25"/>
      <c r="B7437" s="25"/>
      <c r="C7437" s="25"/>
      <c r="D7437" s="25"/>
      <c r="E7437" s="25"/>
      <c r="F7437" s="25"/>
      <c r="G7437" s="25"/>
      <c r="H7437" s="25"/>
      <c r="I7437" s="25"/>
      <c r="J7437" s="25"/>
    </row>
    <row r="7438" spans="1:10" ht="14.4">
      <c r="A7438" s="25"/>
      <c r="B7438" s="25"/>
      <c r="C7438" s="25"/>
      <c r="D7438" s="25"/>
      <c r="E7438" s="25"/>
      <c r="F7438" s="25"/>
      <c r="G7438" s="25"/>
      <c r="H7438" s="25"/>
      <c r="I7438" s="25"/>
      <c r="J7438" s="25"/>
    </row>
    <row r="7439" spans="1:10" ht="14.4">
      <c r="A7439" s="25"/>
      <c r="B7439" s="25"/>
      <c r="C7439" s="25"/>
      <c r="D7439" s="25"/>
      <c r="E7439" s="25"/>
      <c r="F7439" s="25"/>
      <c r="G7439" s="25"/>
      <c r="H7439" s="25"/>
      <c r="I7439" s="25"/>
      <c r="J7439" s="25"/>
    </row>
    <row r="7440" spans="1:10" ht="14.4">
      <c r="A7440" s="25"/>
      <c r="B7440" s="25"/>
      <c r="C7440" s="25"/>
      <c r="D7440" s="25"/>
      <c r="E7440" s="25"/>
      <c r="F7440" s="25"/>
      <c r="G7440" s="25"/>
      <c r="H7440" s="25"/>
      <c r="I7440" s="25"/>
      <c r="J7440" s="25"/>
    </row>
    <row r="7441" spans="1:10" ht="14.4">
      <c r="A7441" s="25"/>
      <c r="B7441" s="25"/>
      <c r="C7441" s="25"/>
      <c r="D7441" s="25"/>
      <c r="E7441" s="25"/>
      <c r="F7441" s="25"/>
      <c r="G7441" s="25"/>
      <c r="H7441" s="25"/>
      <c r="I7441" s="25"/>
      <c r="J7441" s="25"/>
    </row>
    <row r="7442" spans="1:10" ht="14.4">
      <c r="A7442" s="25"/>
      <c r="B7442" s="25"/>
      <c r="C7442" s="25"/>
      <c r="D7442" s="25"/>
      <c r="E7442" s="25"/>
      <c r="F7442" s="25"/>
      <c r="G7442" s="25"/>
      <c r="H7442" s="25"/>
      <c r="I7442" s="25"/>
      <c r="J7442" s="25"/>
    </row>
    <row r="7443" spans="1:10" ht="14.4">
      <c r="A7443" s="25"/>
      <c r="B7443" s="25"/>
      <c r="C7443" s="25"/>
      <c r="D7443" s="25"/>
      <c r="E7443" s="25"/>
      <c r="F7443" s="25"/>
      <c r="G7443" s="25"/>
      <c r="H7443" s="25"/>
      <c r="I7443" s="25"/>
      <c r="J7443" s="25"/>
    </row>
    <row r="7444" spans="1:10" ht="14.4">
      <c r="A7444" s="25"/>
      <c r="B7444" s="25"/>
      <c r="C7444" s="25"/>
      <c r="D7444" s="25"/>
      <c r="E7444" s="25"/>
      <c r="F7444" s="25"/>
      <c r="G7444" s="25"/>
      <c r="H7444" s="25"/>
      <c r="I7444" s="25"/>
      <c r="J7444" s="25"/>
    </row>
    <row r="7445" spans="1:10" ht="14.4">
      <c r="A7445" s="25"/>
      <c r="B7445" s="25"/>
      <c r="C7445" s="25"/>
      <c r="D7445" s="25"/>
      <c r="E7445" s="25"/>
      <c r="F7445" s="25"/>
      <c r="G7445" s="25"/>
      <c r="H7445" s="25"/>
      <c r="I7445" s="25"/>
      <c r="J7445" s="25"/>
    </row>
    <row r="7446" spans="1:10" ht="14.4">
      <c r="A7446" s="25"/>
      <c r="B7446" s="25"/>
      <c r="C7446" s="25"/>
      <c r="D7446" s="25"/>
      <c r="E7446" s="25"/>
      <c r="F7446" s="25"/>
      <c r="G7446" s="25"/>
      <c r="H7446" s="25"/>
      <c r="I7446" s="25"/>
      <c r="J7446" s="25"/>
    </row>
    <row r="7447" spans="1:10" ht="14.4">
      <c r="A7447" s="25"/>
      <c r="B7447" s="25"/>
      <c r="C7447" s="25"/>
      <c r="D7447" s="25"/>
      <c r="E7447" s="25"/>
      <c r="F7447" s="25"/>
      <c r="G7447" s="25"/>
      <c r="H7447" s="25"/>
      <c r="I7447" s="25"/>
      <c r="J7447" s="25"/>
    </row>
    <row r="7448" spans="1:10" ht="14.4">
      <c r="A7448" s="25"/>
      <c r="B7448" s="25"/>
      <c r="C7448" s="25"/>
      <c r="D7448" s="25"/>
      <c r="E7448" s="25"/>
      <c r="F7448" s="25"/>
      <c r="G7448" s="25"/>
      <c r="H7448" s="25"/>
      <c r="I7448" s="25"/>
      <c r="J7448" s="25"/>
    </row>
    <row r="7449" spans="1:10" ht="14.4">
      <c r="A7449" s="25"/>
      <c r="B7449" s="25"/>
      <c r="C7449" s="25"/>
      <c r="D7449" s="25"/>
      <c r="E7449" s="25"/>
      <c r="F7449" s="25"/>
      <c r="G7449" s="25"/>
      <c r="H7449" s="25"/>
      <c r="I7449" s="25"/>
      <c r="J7449" s="25"/>
    </row>
    <row r="7450" spans="1:10" ht="14.4">
      <c r="A7450" s="25"/>
      <c r="B7450" s="25"/>
      <c r="C7450" s="25"/>
      <c r="D7450" s="25"/>
      <c r="E7450" s="25"/>
      <c r="F7450" s="25"/>
      <c r="G7450" s="25"/>
      <c r="H7450" s="25"/>
      <c r="I7450" s="25"/>
      <c r="J7450" s="25"/>
    </row>
    <row r="7451" spans="1:10" ht="14.4">
      <c r="A7451" s="25"/>
      <c r="B7451" s="25"/>
      <c r="C7451" s="25"/>
      <c r="D7451" s="25"/>
      <c r="E7451" s="25"/>
      <c r="F7451" s="25"/>
      <c r="G7451" s="25"/>
      <c r="H7451" s="25"/>
      <c r="I7451" s="25"/>
      <c r="J7451" s="25"/>
    </row>
    <row r="7452" spans="1:10" ht="14.4">
      <c r="A7452" s="25"/>
      <c r="B7452" s="25"/>
      <c r="C7452" s="25"/>
      <c r="D7452" s="25"/>
      <c r="E7452" s="25"/>
      <c r="F7452" s="25"/>
      <c r="G7452" s="25"/>
      <c r="H7452" s="25"/>
      <c r="I7452" s="25"/>
      <c r="J7452" s="25"/>
    </row>
    <row r="7453" spans="1:10" ht="14.4">
      <c r="A7453" s="25"/>
      <c r="B7453" s="25"/>
      <c r="C7453" s="25"/>
      <c r="D7453" s="25"/>
      <c r="E7453" s="25"/>
      <c r="F7453" s="25"/>
      <c r="G7453" s="25"/>
      <c r="H7453" s="25"/>
      <c r="I7453" s="25"/>
      <c r="J7453" s="25"/>
    </row>
    <row r="7454" spans="1:10" ht="14.4">
      <c r="A7454" s="25"/>
      <c r="B7454" s="25"/>
      <c r="C7454" s="25"/>
      <c r="D7454" s="25"/>
      <c r="E7454" s="25"/>
      <c r="F7454" s="25"/>
      <c r="G7454" s="25"/>
      <c r="H7454" s="25"/>
      <c r="I7454" s="25"/>
      <c r="J7454" s="25"/>
    </row>
    <row r="7455" spans="1:10" ht="14.4">
      <c r="A7455" s="25"/>
      <c r="B7455" s="25"/>
      <c r="C7455" s="25"/>
      <c r="D7455" s="25"/>
      <c r="E7455" s="25"/>
      <c r="F7455" s="25"/>
      <c r="G7455" s="25"/>
      <c r="H7455" s="25"/>
      <c r="I7455" s="25"/>
      <c r="J7455" s="25"/>
    </row>
    <row r="7456" spans="1:10" ht="14.4">
      <c r="A7456" s="25"/>
      <c r="B7456" s="25"/>
      <c r="C7456" s="25"/>
      <c r="D7456" s="25"/>
      <c r="E7456" s="25"/>
      <c r="F7456" s="25"/>
      <c r="G7456" s="25"/>
      <c r="H7456" s="25"/>
      <c r="I7456" s="25"/>
      <c r="J7456" s="25"/>
    </row>
    <row r="7457" spans="1:10" ht="14.4">
      <c r="A7457" s="25"/>
      <c r="B7457" s="25"/>
      <c r="C7457" s="25"/>
      <c r="D7457" s="25"/>
      <c r="E7457" s="25"/>
      <c r="F7457" s="25"/>
      <c r="G7457" s="25"/>
      <c r="H7457" s="25"/>
      <c r="I7457" s="25"/>
      <c r="J7457" s="25"/>
    </row>
    <row r="7458" spans="1:10" ht="14.4">
      <c r="A7458" s="25"/>
      <c r="B7458" s="25"/>
      <c r="C7458" s="25"/>
      <c r="D7458" s="25"/>
      <c r="E7458" s="25"/>
      <c r="F7458" s="25"/>
      <c r="G7458" s="25"/>
      <c r="H7458" s="25"/>
      <c r="I7458" s="25"/>
      <c r="J7458" s="25"/>
    </row>
    <row r="7459" spans="1:10" ht="14.4">
      <c r="A7459" s="25"/>
      <c r="B7459" s="25"/>
      <c r="C7459" s="25"/>
      <c r="D7459" s="25"/>
      <c r="E7459" s="25"/>
      <c r="F7459" s="25"/>
      <c r="G7459" s="25"/>
      <c r="H7459" s="25"/>
      <c r="I7459" s="25"/>
      <c r="J7459" s="25"/>
    </row>
    <row r="7460" spans="1:10" ht="14.4">
      <c r="A7460" s="25"/>
      <c r="B7460" s="25"/>
      <c r="C7460" s="25"/>
      <c r="D7460" s="25"/>
      <c r="E7460" s="25"/>
      <c r="F7460" s="25"/>
      <c r="G7460" s="25"/>
      <c r="H7460" s="25"/>
      <c r="I7460" s="25"/>
      <c r="J7460" s="25"/>
    </row>
    <row r="7461" spans="1:10" ht="14.4">
      <c r="A7461" s="25"/>
      <c r="B7461" s="25"/>
      <c r="C7461" s="25"/>
      <c r="D7461" s="25"/>
      <c r="E7461" s="25"/>
      <c r="F7461" s="25"/>
      <c r="G7461" s="25"/>
      <c r="H7461" s="25"/>
      <c r="I7461" s="25"/>
      <c r="J7461" s="25"/>
    </row>
    <row r="7462" spans="1:10" ht="14.4">
      <c r="A7462" s="25"/>
      <c r="B7462" s="25"/>
      <c r="C7462" s="25"/>
      <c r="D7462" s="25"/>
      <c r="E7462" s="25"/>
      <c r="F7462" s="25"/>
      <c r="G7462" s="25"/>
      <c r="H7462" s="25"/>
      <c r="I7462" s="25"/>
      <c r="J7462" s="25"/>
    </row>
    <row r="7463" spans="1:10" ht="14.4">
      <c r="A7463" s="25"/>
      <c r="B7463" s="25"/>
      <c r="C7463" s="25"/>
      <c r="D7463" s="25"/>
      <c r="E7463" s="25"/>
      <c r="F7463" s="25"/>
      <c r="G7463" s="25"/>
      <c r="H7463" s="25"/>
      <c r="I7463" s="25"/>
      <c r="J7463" s="25"/>
    </row>
    <row r="7464" spans="1:10" ht="14.4">
      <c r="A7464" s="25"/>
      <c r="B7464" s="25"/>
      <c r="C7464" s="25"/>
      <c r="D7464" s="25"/>
      <c r="E7464" s="25"/>
      <c r="F7464" s="25"/>
      <c r="G7464" s="25"/>
      <c r="H7464" s="25"/>
      <c r="I7464" s="25"/>
      <c r="J7464" s="25"/>
    </row>
    <row r="7465" spans="1:10" ht="14.4">
      <c r="A7465" s="25"/>
      <c r="B7465" s="25"/>
      <c r="C7465" s="25"/>
      <c r="D7465" s="25"/>
      <c r="E7465" s="25"/>
      <c r="F7465" s="25"/>
      <c r="G7465" s="25"/>
      <c r="H7465" s="25"/>
      <c r="I7465" s="25"/>
      <c r="J7465" s="25"/>
    </row>
    <row r="7466" spans="1:10" ht="14.4">
      <c r="A7466" s="25"/>
      <c r="B7466" s="25"/>
      <c r="C7466" s="25"/>
      <c r="D7466" s="25"/>
      <c r="E7466" s="25"/>
      <c r="F7466" s="25"/>
      <c r="G7466" s="25"/>
      <c r="H7466" s="25"/>
      <c r="I7466" s="25"/>
      <c r="J7466" s="25"/>
    </row>
    <row r="7467" spans="1:10" ht="14.4">
      <c r="A7467" s="25"/>
      <c r="B7467" s="25"/>
      <c r="C7467" s="25"/>
      <c r="D7467" s="25"/>
      <c r="E7467" s="25"/>
      <c r="F7467" s="25"/>
      <c r="G7467" s="25"/>
      <c r="H7467" s="25"/>
      <c r="I7467" s="25"/>
      <c r="J7467" s="25"/>
    </row>
    <row r="7468" spans="1:10" ht="14.4">
      <c r="A7468" s="25"/>
      <c r="B7468" s="25"/>
      <c r="C7468" s="25"/>
      <c r="D7468" s="25"/>
      <c r="E7468" s="25"/>
      <c r="F7468" s="25"/>
      <c r="G7468" s="25"/>
      <c r="H7468" s="25"/>
      <c r="I7468" s="25"/>
      <c r="J7468" s="25"/>
    </row>
    <row r="7469" spans="1:10" ht="14.4">
      <c r="A7469" s="25"/>
      <c r="B7469" s="25"/>
      <c r="C7469" s="25"/>
      <c r="D7469" s="25"/>
      <c r="E7469" s="25"/>
      <c r="F7469" s="25"/>
      <c r="G7469" s="25"/>
      <c r="H7469" s="25"/>
      <c r="I7469" s="25"/>
      <c r="J7469" s="25"/>
    </row>
    <row r="7470" spans="1:10" ht="14.4">
      <c r="A7470" s="25"/>
      <c r="B7470" s="25"/>
      <c r="C7470" s="25"/>
      <c r="D7470" s="25"/>
      <c r="E7470" s="25"/>
      <c r="F7470" s="25"/>
      <c r="G7470" s="25"/>
      <c r="H7470" s="25"/>
      <c r="I7470" s="25"/>
      <c r="J7470" s="25"/>
    </row>
    <row r="7471" spans="1:10" ht="14.4">
      <c r="A7471" s="25"/>
      <c r="B7471" s="25"/>
      <c r="C7471" s="25"/>
      <c r="D7471" s="25"/>
      <c r="E7471" s="25"/>
      <c r="F7471" s="25"/>
      <c r="G7471" s="25"/>
      <c r="H7471" s="25"/>
      <c r="I7471" s="25"/>
      <c r="J7471" s="25"/>
    </row>
    <row r="7472" spans="1:10" ht="14.4">
      <c r="A7472" s="25"/>
      <c r="B7472" s="25"/>
      <c r="C7472" s="25"/>
      <c r="D7472" s="25"/>
      <c r="E7472" s="25"/>
      <c r="F7472" s="25"/>
      <c r="G7472" s="25"/>
      <c r="H7472" s="25"/>
      <c r="I7472" s="25"/>
      <c r="J7472" s="25"/>
    </row>
    <row r="7473" spans="1:10" ht="14.4">
      <c r="A7473" s="25"/>
      <c r="B7473" s="25"/>
      <c r="C7473" s="25"/>
      <c r="D7473" s="25"/>
      <c r="E7473" s="25"/>
      <c r="F7473" s="25"/>
      <c r="G7473" s="25"/>
      <c r="H7473" s="25"/>
      <c r="I7473" s="25"/>
      <c r="J7473" s="25"/>
    </row>
    <row r="7474" spans="1:10" ht="14.4">
      <c r="A7474" s="25"/>
      <c r="B7474" s="25"/>
      <c r="C7474" s="25"/>
      <c r="D7474" s="25"/>
      <c r="E7474" s="25"/>
      <c r="F7474" s="25"/>
      <c r="G7474" s="25"/>
      <c r="H7474" s="25"/>
      <c r="I7474" s="25"/>
      <c r="J7474" s="25"/>
    </row>
    <row r="7475" spans="1:10" ht="14.4">
      <c r="A7475" s="25"/>
      <c r="B7475" s="25"/>
      <c r="C7475" s="25"/>
      <c r="D7475" s="25"/>
      <c r="E7475" s="25"/>
      <c r="F7475" s="25"/>
      <c r="G7475" s="25"/>
      <c r="H7475" s="25"/>
      <c r="I7475" s="25"/>
      <c r="J7475" s="25"/>
    </row>
    <row r="7476" spans="1:10" ht="14.4">
      <c r="A7476" s="25"/>
      <c r="B7476" s="25"/>
      <c r="C7476" s="25"/>
      <c r="D7476" s="25"/>
      <c r="E7476" s="25"/>
      <c r="F7476" s="25"/>
      <c r="G7476" s="25"/>
      <c r="H7476" s="25"/>
      <c r="I7476" s="25"/>
      <c r="J7476" s="25"/>
    </row>
    <row r="7477" spans="1:10" ht="14.4">
      <c r="A7477" s="25"/>
      <c r="B7477" s="25"/>
      <c r="C7477" s="25"/>
      <c r="D7477" s="25"/>
      <c r="E7477" s="25"/>
      <c r="F7477" s="25"/>
      <c r="G7477" s="25"/>
      <c r="H7477" s="25"/>
      <c r="I7477" s="25"/>
      <c r="J7477" s="25"/>
    </row>
    <row r="7478" spans="1:10" ht="14.4">
      <c r="A7478" s="25"/>
      <c r="B7478" s="25"/>
      <c r="C7478" s="25"/>
      <c r="D7478" s="25"/>
      <c r="E7478" s="25"/>
      <c r="F7478" s="25"/>
      <c r="G7478" s="25"/>
      <c r="H7478" s="25"/>
      <c r="I7478" s="25"/>
      <c r="J7478" s="25"/>
    </row>
    <row r="7479" spans="1:10" ht="14.4">
      <c r="A7479" s="25"/>
      <c r="B7479" s="25"/>
      <c r="C7479" s="25"/>
      <c r="D7479" s="25"/>
      <c r="E7479" s="25"/>
      <c r="F7479" s="25"/>
      <c r="G7479" s="25"/>
      <c r="H7479" s="25"/>
      <c r="I7479" s="25"/>
      <c r="J7479" s="25"/>
    </row>
    <row r="7480" spans="1:10" ht="14.4">
      <c r="A7480" s="25"/>
      <c r="B7480" s="25"/>
      <c r="C7480" s="25"/>
      <c r="D7480" s="25"/>
      <c r="E7480" s="25"/>
      <c r="F7480" s="25"/>
      <c r="G7480" s="25"/>
      <c r="H7480" s="25"/>
      <c r="I7480" s="25"/>
      <c r="J7480" s="25"/>
    </row>
    <row r="7481" spans="1:10" ht="14.4">
      <c r="A7481" s="25"/>
      <c r="B7481" s="25"/>
      <c r="C7481" s="25"/>
      <c r="D7481" s="25"/>
      <c r="E7481" s="25"/>
      <c r="F7481" s="25"/>
      <c r="G7481" s="25"/>
      <c r="H7481" s="25"/>
      <c r="I7481" s="25"/>
      <c r="J7481" s="25"/>
    </row>
    <row r="7482" spans="1:10" ht="14.4">
      <c r="A7482" s="25"/>
      <c r="B7482" s="25"/>
      <c r="C7482" s="25"/>
      <c r="D7482" s="25"/>
      <c r="E7482" s="25"/>
      <c r="F7482" s="25"/>
      <c r="G7482" s="25"/>
      <c r="H7482" s="25"/>
      <c r="I7482" s="25"/>
      <c r="J7482" s="25"/>
    </row>
    <row r="7483" spans="1:10" ht="14.4">
      <c r="A7483" s="25"/>
      <c r="B7483" s="25"/>
      <c r="C7483" s="25"/>
      <c r="D7483" s="25"/>
      <c r="E7483" s="25"/>
      <c r="F7483" s="25"/>
      <c r="G7483" s="25"/>
      <c r="H7483" s="25"/>
      <c r="I7483" s="25"/>
      <c r="J7483" s="25"/>
    </row>
    <row r="7484" spans="1:10" ht="14.4">
      <c r="A7484" s="25"/>
      <c r="B7484" s="25"/>
      <c r="C7484" s="25"/>
      <c r="D7484" s="25"/>
      <c r="E7484" s="25"/>
      <c r="F7484" s="25"/>
      <c r="G7484" s="25"/>
      <c r="H7484" s="25"/>
      <c r="I7484" s="25"/>
      <c r="J7484" s="25"/>
    </row>
    <row r="7485" spans="1:10" ht="14.4">
      <c r="A7485" s="25"/>
      <c r="B7485" s="25"/>
      <c r="C7485" s="25"/>
      <c r="D7485" s="25"/>
      <c r="E7485" s="25"/>
      <c r="F7485" s="25"/>
      <c r="G7485" s="25"/>
      <c r="H7485" s="25"/>
      <c r="I7485" s="25"/>
      <c r="J7485" s="25"/>
    </row>
    <row r="7486" spans="1:10" ht="14.4">
      <c r="A7486" s="25"/>
      <c r="B7486" s="25"/>
      <c r="C7486" s="25"/>
      <c r="D7486" s="25"/>
      <c r="E7486" s="25"/>
      <c r="F7486" s="25"/>
      <c r="G7486" s="25"/>
      <c r="H7486" s="25"/>
      <c r="I7486" s="25"/>
      <c r="J7486" s="25"/>
    </row>
    <row r="7487" spans="1:10" ht="14.4">
      <c r="A7487" s="25"/>
      <c r="B7487" s="25"/>
      <c r="C7487" s="25"/>
      <c r="D7487" s="25"/>
      <c r="E7487" s="25"/>
      <c r="F7487" s="25"/>
      <c r="G7487" s="25"/>
      <c r="H7487" s="25"/>
      <c r="I7487" s="25"/>
      <c r="J7487" s="25"/>
    </row>
    <row r="7488" spans="1:10" ht="14.4">
      <c r="A7488" s="25"/>
      <c r="B7488" s="25"/>
      <c r="C7488" s="25"/>
      <c r="D7488" s="25"/>
      <c r="E7488" s="25"/>
      <c r="F7488" s="25"/>
      <c r="G7488" s="25"/>
      <c r="H7488" s="25"/>
      <c r="I7488" s="25"/>
      <c r="J7488" s="25"/>
    </row>
    <row r="7489" spans="1:10" ht="14.4">
      <c r="A7489" s="25"/>
      <c r="B7489" s="25"/>
      <c r="C7489" s="25"/>
      <c r="D7489" s="25"/>
      <c r="E7489" s="25"/>
      <c r="F7489" s="25"/>
      <c r="G7489" s="25"/>
      <c r="H7489" s="25"/>
      <c r="I7489" s="25"/>
      <c r="J7489" s="25"/>
    </row>
    <row r="7490" spans="1:10" ht="14.4">
      <c r="A7490" s="25"/>
      <c r="B7490" s="25"/>
      <c r="C7490" s="25"/>
      <c r="D7490" s="25"/>
      <c r="E7490" s="25"/>
      <c r="F7490" s="25"/>
      <c r="G7490" s="25"/>
      <c r="H7490" s="25"/>
      <c r="I7490" s="25"/>
      <c r="J7490" s="25"/>
    </row>
    <row r="7491" spans="1:10" ht="14.4">
      <c r="A7491" s="25"/>
      <c r="B7491" s="25"/>
      <c r="C7491" s="25"/>
      <c r="D7491" s="25"/>
      <c r="E7491" s="25"/>
      <c r="F7491" s="25"/>
      <c r="G7491" s="25"/>
      <c r="H7491" s="25"/>
      <c r="I7491" s="25"/>
      <c r="J7491" s="25"/>
    </row>
    <row r="7492" spans="1:10" ht="14.4">
      <c r="A7492" s="25"/>
      <c r="B7492" s="25"/>
      <c r="C7492" s="25"/>
      <c r="D7492" s="25"/>
      <c r="E7492" s="25"/>
      <c r="F7492" s="25"/>
      <c r="G7492" s="25"/>
      <c r="H7492" s="25"/>
      <c r="I7492" s="25"/>
      <c r="J7492" s="25"/>
    </row>
    <row r="7493" spans="1:10" ht="14.4">
      <c r="A7493" s="25"/>
      <c r="B7493" s="25"/>
      <c r="C7493" s="25"/>
      <c r="D7493" s="25"/>
      <c r="E7493" s="25"/>
      <c r="F7493" s="25"/>
      <c r="G7493" s="25"/>
      <c r="H7493" s="25"/>
      <c r="I7493" s="25"/>
      <c r="J7493" s="25"/>
    </row>
    <row r="7494" spans="1:10" ht="14.4">
      <c r="A7494" s="25"/>
      <c r="B7494" s="25"/>
      <c r="C7494" s="25"/>
      <c r="D7494" s="25"/>
      <c r="E7494" s="25"/>
      <c r="F7494" s="25"/>
      <c r="G7494" s="25"/>
      <c r="H7494" s="25"/>
      <c r="I7494" s="25"/>
      <c r="J7494" s="25"/>
    </row>
    <row r="7495" spans="1:10" ht="14.4">
      <c r="A7495" s="25"/>
      <c r="B7495" s="25"/>
      <c r="C7495" s="25"/>
      <c r="D7495" s="25"/>
      <c r="E7495" s="25"/>
      <c r="F7495" s="25"/>
      <c r="G7495" s="25"/>
      <c r="H7495" s="25"/>
      <c r="I7495" s="25"/>
      <c r="J7495" s="25"/>
    </row>
    <row r="7496" spans="1:10" ht="14.4">
      <c r="A7496" s="25"/>
      <c r="B7496" s="25"/>
      <c r="C7496" s="25"/>
      <c r="D7496" s="25"/>
      <c r="E7496" s="25"/>
      <c r="F7496" s="25"/>
      <c r="G7496" s="25"/>
      <c r="H7496" s="25"/>
      <c r="I7496" s="25"/>
      <c r="J7496" s="25"/>
    </row>
    <row r="7497" spans="1:10" ht="14.4">
      <c r="A7497" s="25"/>
      <c r="B7497" s="25"/>
      <c r="C7497" s="25"/>
      <c r="D7497" s="25"/>
      <c r="E7497" s="25"/>
      <c r="F7497" s="25"/>
      <c r="G7497" s="25"/>
      <c r="H7497" s="25"/>
      <c r="I7497" s="25"/>
      <c r="J7497" s="25"/>
    </row>
    <row r="7498" spans="1:10" ht="14.4">
      <c r="A7498" s="25"/>
      <c r="B7498" s="25"/>
      <c r="C7498" s="25"/>
      <c r="D7498" s="25"/>
      <c r="E7498" s="25"/>
      <c r="F7498" s="25"/>
      <c r="G7498" s="25"/>
      <c r="H7498" s="25"/>
      <c r="I7498" s="25"/>
      <c r="J7498" s="25"/>
    </row>
    <row r="7499" spans="1:10" ht="14.4">
      <c r="A7499" s="25"/>
      <c r="B7499" s="25"/>
      <c r="C7499" s="25"/>
      <c r="D7499" s="25"/>
      <c r="E7499" s="25"/>
      <c r="F7499" s="25"/>
      <c r="G7499" s="25"/>
      <c r="H7499" s="25"/>
      <c r="I7499" s="25"/>
      <c r="J7499" s="25"/>
    </row>
    <row r="7500" spans="1:10" ht="14.4">
      <c r="A7500" s="25"/>
      <c r="B7500" s="25"/>
      <c r="C7500" s="25"/>
      <c r="D7500" s="25"/>
      <c r="E7500" s="25"/>
      <c r="F7500" s="25"/>
      <c r="G7500" s="25"/>
      <c r="H7500" s="25"/>
      <c r="I7500" s="25"/>
      <c r="J7500" s="25"/>
    </row>
    <row r="7501" spans="1:10" ht="14.4">
      <c r="A7501" s="25"/>
      <c r="B7501" s="25"/>
      <c r="C7501" s="25"/>
      <c r="D7501" s="25"/>
      <c r="E7501" s="25"/>
      <c r="F7501" s="25"/>
      <c r="G7501" s="25"/>
      <c r="H7501" s="25"/>
      <c r="I7501" s="25"/>
      <c r="J7501" s="25"/>
    </row>
    <row r="7502" spans="1:10" ht="14.4">
      <c r="A7502" s="25"/>
      <c r="B7502" s="25"/>
      <c r="C7502" s="25"/>
      <c r="D7502" s="25"/>
      <c r="E7502" s="25"/>
      <c r="F7502" s="25"/>
      <c r="G7502" s="25"/>
      <c r="H7502" s="25"/>
      <c r="I7502" s="25"/>
      <c r="J7502" s="25"/>
    </row>
    <row r="7503" spans="1:10" ht="14.4">
      <c r="A7503" s="25"/>
      <c r="B7503" s="25"/>
      <c r="C7503" s="25"/>
      <c r="D7503" s="25"/>
      <c r="E7503" s="25"/>
      <c r="F7503" s="25"/>
      <c r="G7503" s="25"/>
      <c r="H7503" s="25"/>
      <c r="I7503" s="25"/>
      <c r="J7503" s="25"/>
    </row>
    <row r="7504" spans="1:10" ht="14.4">
      <c r="A7504" s="25"/>
      <c r="B7504" s="25"/>
      <c r="C7504" s="25"/>
      <c r="D7504" s="25"/>
      <c r="E7504" s="25"/>
      <c r="F7504" s="25"/>
      <c r="G7504" s="25"/>
      <c r="H7504" s="25"/>
      <c r="I7504" s="25"/>
      <c r="J7504" s="25"/>
    </row>
    <row r="7505" spans="1:10" ht="14.4">
      <c r="A7505" s="25"/>
      <c r="B7505" s="25"/>
      <c r="C7505" s="25"/>
      <c r="D7505" s="25"/>
      <c r="E7505" s="25"/>
      <c r="F7505" s="25"/>
      <c r="G7505" s="25"/>
      <c r="H7505" s="25"/>
      <c r="I7505" s="25"/>
      <c r="J7505" s="25"/>
    </row>
    <row r="7506" spans="1:10" ht="14.4">
      <c r="A7506" s="25"/>
      <c r="B7506" s="25"/>
      <c r="C7506" s="25"/>
      <c r="D7506" s="25"/>
      <c r="E7506" s="25"/>
      <c r="F7506" s="25"/>
      <c r="G7506" s="25"/>
      <c r="H7506" s="25"/>
      <c r="I7506" s="25"/>
      <c r="J7506" s="25"/>
    </row>
    <row r="7507" spans="1:10" ht="14.4">
      <c r="A7507" s="25"/>
      <c r="B7507" s="25"/>
      <c r="C7507" s="25"/>
      <c r="D7507" s="25"/>
      <c r="E7507" s="25"/>
      <c r="F7507" s="25"/>
      <c r="G7507" s="25"/>
      <c r="H7507" s="25"/>
      <c r="I7507" s="25"/>
      <c r="J7507" s="25"/>
    </row>
    <row r="7508" spans="1:10" ht="14.4">
      <c r="A7508" s="25"/>
      <c r="B7508" s="25"/>
      <c r="C7508" s="25"/>
      <c r="D7508" s="25"/>
      <c r="E7508" s="25"/>
      <c r="F7508" s="25"/>
      <c r="G7508" s="25"/>
      <c r="H7508" s="25"/>
      <c r="I7508" s="25"/>
      <c r="J7508" s="25"/>
    </row>
    <row r="7509" spans="1:10" ht="14.4">
      <c r="A7509" s="25"/>
      <c r="B7509" s="25"/>
      <c r="C7509" s="25"/>
      <c r="D7509" s="25"/>
      <c r="E7509" s="25"/>
      <c r="F7509" s="25"/>
      <c r="G7509" s="25"/>
      <c r="H7509" s="25"/>
      <c r="I7509" s="25"/>
      <c r="J7509" s="25"/>
    </row>
    <row r="7510" spans="1:10" ht="14.4">
      <c r="A7510" s="25"/>
      <c r="B7510" s="25"/>
      <c r="C7510" s="25"/>
      <c r="D7510" s="25"/>
      <c r="E7510" s="25"/>
      <c r="F7510" s="25"/>
      <c r="G7510" s="25"/>
      <c r="H7510" s="25"/>
      <c r="I7510" s="25"/>
      <c r="J7510" s="25"/>
    </row>
    <row r="7511" spans="1:10" ht="14.4">
      <c r="A7511" s="25"/>
      <c r="B7511" s="25"/>
      <c r="C7511" s="25"/>
      <c r="D7511" s="25"/>
      <c r="E7511" s="25"/>
      <c r="F7511" s="25"/>
      <c r="G7511" s="25"/>
      <c r="H7511" s="25"/>
      <c r="I7511" s="25"/>
      <c r="J7511" s="25"/>
    </row>
    <row r="7512" spans="1:10" ht="14.4">
      <c r="A7512" s="25"/>
      <c r="B7512" s="25"/>
      <c r="C7512" s="25"/>
      <c r="D7512" s="25"/>
      <c r="E7512" s="25"/>
      <c r="F7512" s="25"/>
      <c r="G7512" s="25"/>
      <c r="H7512" s="25"/>
      <c r="I7512" s="25"/>
      <c r="J7512" s="25"/>
    </row>
    <row r="7513" spans="1:10" ht="14.4">
      <c r="A7513" s="25"/>
      <c r="B7513" s="25"/>
      <c r="C7513" s="25"/>
      <c r="D7513" s="25"/>
      <c r="E7513" s="25"/>
      <c r="F7513" s="25"/>
      <c r="G7513" s="25"/>
      <c r="H7513" s="25"/>
      <c r="I7513" s="25"/>
      <c r="J7513" s="25"/>
    </row>
    <row r="7514" spans="1:10" ht="14.4">
      <c r="A7514" s="25"/>
      <c r="B7514" s="25"/>
      <c r="C7514" s="25"/>
      <c r="D7514" s="25"/>
      <c r="E7514" s="25"/>
      <c r="F7514" s="25"/>
      <c r="G7514" s="25"/>
      <c r="H7514" s="25"/>
      <c r="I7514" s="25"/>
      <c r="J7514" s="25"/>
    </row>
    <row r="7515" spans="1:10" ht="14.4">
      <c r="A7515" s="25"/>
      <c r="B7515" s="25"/>
      <c r="C7515" s="25"/>
      <c r="D7515" s="25"/>
      <c r="E7515" s="25"/>
      <c r="F7515" s="25"/>
      <c r="G7515" s="25"/>
      <c r="H7515" s="25"/>
      <c r="I7515" s="25"/>
      <c r="J7515" s="25"/>
    </row>
    <row r="7516" spans="1:10" ht="14.4">
      <c r="A7516" s="25"/>
      <c r="B7516" s="25"/>
      <c r="C7516" s="25"/>
      <c r="D7516" s="25"/>
      <c r="E7516" s="25"/>
      <c r="F7516" s="25"/>
      <c r="G7516" s="25"/>
      <c r="H7516" s="25"/>
      <c r="I7516" s="25"/>
      <c r="J7516" s="25"/>
    </row>
    <row r="7517" spans="1:10" ht="14.4">
      <c r="A7517" s="25"/>
      <c r="B7517" s="25"/>
      <c r="C7517" s="25"/>
      <c r="D7517" s="25"/>
      <c r="E7517" s="25"/>
      <c r="F7517" s="25"/>
      <c r="G7517" s="25"/>
      <c r="H7517" s="25"/>
      <c r="I7517" s="25"/>
      <c r="J7517" s="25"/>
    </row>
    <row r="7518" spans="1:10" ht="14.4">
      <c r="A7518" s="25"/>
      <c r="B7518" s="25"/>
      <c r="C7518" s="25"/>
      <c r="D7518" s="25"/>
      <c r="E7518" s="25"/>
      <c r="F7518" s="25"/>
      <c r="G7518" s="25"/>
      <c r="H7518" s="25"/>
      <c r="I7518" s="25"/>
      <c r="J7518" s="25"/>
    </row>
    <row r="7519" spans="1:10" ht="14.4">
      <c r="A7519" s="25"/>
      <c r="B7519" s="25"/>
      <c r="C7519" s="25"/>
      <c r="D7519" s="25"/>
      <c r="E7519" s="25"/>
      <c r="F7519" s="25"/>
      <c r="G7519" s="25"/>
      <c r="H7519" s="25"/>
      <c r="I7519" s="25"/>
      <c r="J7519" s="25"/>
    </row>
    <row r="7520" spans="1:10" ht="14.4">
      <c r="A7520" s="25"/>
      <c r="B7520" s="25"/>
      <c r="C7520" s="25"/>
      <c r="D7520" s="25"/>
      <c r="E7520" s="25"/>
      <c r="F7520" s="25"/>
      <c r="G7520" s="25"/>
      <c r="H7520" s="25"/>
      <c r="I7520" s="25"/>
      <c r="J7520" s="25"/>
    </row>
    <row r="7521" spans="1:10" ht="14.4">
      <c r="A7521" s="25"/>
      <c r="B7521" s="25"/>
      <c r="C7521" s="25"/>
      <c r="D7521" s="25"/>
      <c r="E7521" s="25"/>
      <c r="F7521" s="25"/>
      <c r="G7521" s="25"/>
      <c r="H7521" s="25"/>
      <c r="I7521" s="25"/>
      <c r="J7521" s="25"/>
    </row>
    <row r="7522" spans="1:10" ht="14.4">
      <c r="A7522" s="25"/>
      <c r="B7522" s="25"/>
      <c r="C7522" s="25"/>
      <c r="D7522" s="25"/>
      <c r="E7522" s="25"/>
      <c r="F7522" s="25"/>
      <c r="G7522" s="25"/>
      <c r="H7522" s="25"/>
      <c r="I7522" s="25"/>
      <c r="J7522" s="25"/>
    </row>
    <row r="7523" spans="1:10" ht="14.4">
      <c r="A7523" s="25"/>
      <c r="B7523" s="25"/>
      <c r="C7523" s="25"/>
      <c r="D7523" s="25"/>
      <c r="E7523" s="25"/>
      <c r="F7523" s="25"/>
      <c r="G7523" s="25"/>
      <c r="H7523" s="25"/>
      <c r="I7523" s="25"/>
      <c r="J7523" s="25"/>
    </row>
    <row r="7524" spans="1:10" ht="14.4">
      <c r="A7524" s="25"/>
      <c r="B7524" s="25"/>
      <c r="C7524" s="25"/>
      <c r="D7524" s="25"/>
      <c r="E7524" s="25"/>
      <c r="F7524" s="25"/>
      <c r="G7524" s="25"/>
      <c r="H7524" s="25"/>
      <c r="I7524" s="25"/>
      <c r="J7524" s="25"/>
    </row>
    <row r="7525" spans="1:10" ht="14.4">
      <c r="A7525" s="25"/>
      <c r="B7525" s="25"/>
      <c r="C7525" s="25"/>
      <c r="D7525" s="25"/>
      <c r="E7525" s="25"/>
      <c r="F7525" s="25"/>
      <c r="G7525" s="25"/>
      <c r="H7525" s="25"/>
      <c r="I7525" s="25"/>
      <c r="J7525" s="25"/>
    </row>
    <row r="7526" spans="1:10" ht="14.4">
      <c r="A7526" s="25"/>
      <c r="B7526" s="25"/>
      <c r="C7526" s="25"/>
      <c r="D7526" s="25"/>
      <c r="E7526" s="25"/>
      <c r="F7526" s="25"/>
      <c r="G7526" s="25"/>
      <c r="H7526" s="25"/>
      <c r="I7526" s="25"/>
      <c r="J7526" s="25"/>
    </row>
    <row r="7527" spans="1:10" ht="14.4">
      <c r="A7527" s="25"/>
      <c r="B7527" s="25"/>
      <c r="C7527" s="25"/>
      <c r="D7527" s="25"/>
      <c r="E7527" s="25"/>
      <c r="F7527" s="25"/>
      <c r="G7527" s="25"/>
      <c r="H7527" s="25"/>
      <c r="I7527" s="25"/>
      <c r="J7527" s="25"/>
    </row>
    <row r="7528" spans="1:10" ht="14.4">
      <c r="A7528" s="25"/>
      <c r="B7528" s="25"/>
      <c r="C7528" s="25"/>
      <c r="D7528" s="25"/>
      <c r="E7528" s="25"/>
      <c r="F7528" s="25"/>
      <c r="G7528" s="25"/>
      <c r="H7528" s="25"/>
      <c r="I7528" s="25"/>
      <c r="J7528" s="25"/>
    </row>
    <row r="7529" spans="1:10" ht="14.4">
      <c r="A7529" s="25"/>
      <c r="B7529" s="25"/>
      <c r="C7529" s="25"/>
      <c r="D7529" s="25"/>
      <c r="E7529" s="25"/>
      <c r="F7529" s="25"/>
      <c r="G7529" s="25"/>
      <c r="H7529" s="25"/>
      <c r="I7529" s="25"/>
      <c r="J7529" s="25"/>
    </row>
    <row r="7530" spans="1:10" ht="14.4">
      <c r="A7530" s="25"/>
      <c r="B7530" s="25"/>
      <c r="C7530" s="25"/>
      <c r="D7530" s="25"/>
      <c r="E7530" s="25"/>
      <c r="F7530" s="25"/>
      <c r="G7530" s="25"/>
      <c r="H7530" s="25"/>
      <c r="I7530" s="25"/>
      <c r="J7530" s="25"/>
    </row>
    <row r="7531" spans="1:10" ht="14.4">
      <c r="A7531" s="25"/>
      <c r="B7531" s="25"/>
      <c r="C7531" s="25"/>
      <c r="D7531" s="25"/>
      <c r="E7531" s="25"/>
      <c r="F7531" s="25"/>
      <c r="G7531" s="25"/>
      <c r="H7531" s="25"/>
      <c r="I7531" s="25"/>
      <c r="J7531" s="25"/>
    </row>
    <row r="7532" spans="1:10" ht="14.4">
      <c r="A7532" s="25"/>
      <c r="B7532" s="25"/>
      <c r="C7532" s="25"/>
      <c r="D7532" s="25"/>
      <c r="E7532" s="25"/>
      <c r="F7532" s="25"/>
      <c r="G7532" s="25"/>
      <c r="H7532" s="25"/>
      <c r="I7532" s="25"/>
      <c r="J7532" s="25"/>
    </row>
    <row r="7533" spans="1:10" ht="14.4">
      <c r="A7533" s="25"/>
      <c r="B7533" s="25"/>
      <c r="C7533" s="25"/>
      <c r="D7533" s="25"/>
      <c r="E7533" s="25"/>
      <c r="F7533" s="25"/>
      <c r="G7533" s="25"/>
      <c r="H7533" s="25"/>
      <c r="I7533" s="25"/>
      <c r="J7533" s="25"/>
    </row>
    <row r="7534" spans="1:10" ht="14.4">
      <c r="A7534" s="25"/>
      <c r="B7534" s="25"/>
      <c r="C7534" s="25"/>
      <c r="D7534" s="25"/>
      <c r="E7534" s="25"/>
      <c r="F7534" s="25"/>
      <c r="G7534" s="25"/>
      <c r="H7534" s="25"/>
      <c r="I7534" s="25"/>
      <c r="J7534" s="25"/>
    </row>
    <row r="7535" spans="1:10" ht="14.4">
      <c r="A7535" s="25"/>
      <c r="B7535" s="25"/>
      <c r="C7535" s="25"/>
      <c r="D7535" s="25"/>
      <c r="E7535" s="25"/>
      <c r="F7535" s="25"/>
      <c r="G7535" s="25"/>
      <c r="H7535" s="25"/>
      <c r="I7535" s="25"/>
      <c r="J7535" s="25"/>
    </row>
    <row r="7536" spans="1:10" ht="14.4">
      <c r="A7536" s="25"/>
      <c r="B7536" s="25"/>
      <c r="C7536" s="25"/>
      <c r="D7536" s="25"/>
      <c r="E7536" s="25"/>
      <c r="F7536" s="25"/>
      <c r="G7536" s="25"/>
      <c r="H7536" s="25"/>
      <c r="I7536" s="25"/>
      <c r="J7536" s="25"/>
    </row>
    <row r="7537" spans="1:10" ht="14.4">
      <c r="A7537" s="25"/>
      <c r="B7537" s="25"/>
      <c r="C7537" s="25"/>
      <c r="D7537" s="25"/>
      <c r="E7537" s="25"/>
      <c r="F7537" s="25"/>
      <c r="G7537" s="25"/>
      <c r="H7537" s="25"/>
      <c r="I7537" s="25"/>
      <c r="J7537" s="25"/>
    </row>
    <row r="7538" spans="1:10" ht="14.4">
      <c r="A7538" s="25"/>
      <c r="B7538" s="25"/>
      <c r="C7538" s="25"/>
      <c r="D7538" s="25"/>
      <c r="E7538" s="25"/>
      <c r="F7538" s="25"/>
      <c r="G7538" s="25"/>
      <c r="H7538" s="25"/>
      <c r="I7538" s="25"/>
      <c r="J7538" s="25"/>
    </row>
    <row r="7539" spans="1:10" ht="14.4">
      <c r="A7539" s="25"/>
      <c r="B7539" s="25"/>
      <c r="C7539" s="25"/>
      <c r="D7539" s="25"/>
      <c r="E7539" s="25"/>
      <c r="F7539" s="25"/>
      <c r="G7539" s="25"/>
      <c r="H7539" s="25"/>
      <c r="I7539" s="25"/>
      <c r="J7539" s="25"/>
    </row>
    <row r="7540" spans="1:10" ht="14.4">
      <c r="A7540" s="25"/>
      <c r="B7540" s="25"/>
      <c r="C7540" s="25"/>
      <c r="D7540" s="25"/>
      <c r="E7540" s="25"/>
      <c r="F7540" s="25"/>
      <c r="G7540" s="25"/>
      <c r="H7540" s="25"/>
      <c r="I7540" s="25"/>
      <c r="J7540" s="25"/>
    </row>
    <row r="7541" spans="1:10" ht="14.4">
      <c r="A7541" s="25"/>
      <c r="B7541" s="25"/>
      <c r="C7541" s="25"/>
      <c r="D7541" s="25"/>
      <c r="E7541" s="25"/>
      <c r="F7541" s="25"/>
      <c r="G7541" s="25"/>
      <c r="H7541" s="25"/>
      <c r="I7541" s="25"/>
      <c r="J7541" s="25"/>
    </row>
    <row r="7542" spans="1:10" ht="14.4">
      <c r="A7542" s="25"/>
      <c r="B7542" s="25"/>
      <c r="C7542" s="25"/>
      <c r="D7542" s="25"/>
      <c r="E7542" s="25"/>
      <c r="F7542" s="25"/>
      <c r="G7542" s="25"/>
      <c r="H7542" s="25"/>
      <c r="I7542" s="25"/>
      <c r="J7542" s="25"/>
    </row>
    <row r="7543" spans="1:10" ht="14.4">
      <c r="A7543" s="25"/>
      <c r="B7543" s="25"/>
      <c r="C7543" s="25"/>
      <c r="D7543" s="25"/>
      <c r="E7543" s="25"/>
      <c r="F7543" s="25"/>
      <c r="G7543" s="25"/>
      <c r="H7543" s="25"/>
      <c r="I7543" s="25"/>
      <c r="J7543" s="25"/>
    </row>
    <row r="7544" spans="1:10" ht="14.4">
      <c r="A7544" s="25"/>
      <c r="B7544" s="25"/>
      <c r="C7544" s="25"/>
      <c r="D7544" s="25"/>
      <c r="E7544" s="25"/>
      <c r="F7544" s="25"/>
      <c r="G7544" s="25"/>
      <c r="H7544" s="25"/>
      <c r="I7544" s="25"/>
      <c r="J7544" s="25"/>
    </row>
    <row r="7545" spans="1:10" ht="14.4">
      <c r="A7545" s="25"/>
      <c r="B7545" s="25"/>
      <c r="C7545" s="25"/>
      <c r="D7545" s="25"/>
      <c r="E7545" s="25"/>
      <c r="F7545" s="25"/>
      <c r="G7545" s="25"/>
      <c r="H7545" s="25"/>
      <c r="I7545" s="25"/>
      <c r="J7545" s="25"/>
    </row>
    <row r="7546" spans="1:10" ht="14.4">
      <c r="A7546" s="25"/>
      <c r="B7546" s="25"/>
      <c r="C7546" s="25"/>
      <c r="D7546" s="25"/>
      <c r="E7546" s="25"/>
      <c r="F7546" s="25"/>
      <c r="G7546" s="25"/>
      <c r="H7546" s="25"/>
      <c r="I7546" s="25"/>
      <c r="J7546" s="25"/>
    </row>
    <row r="7547" spans="1:10" ht="14.4">
      <c r="A7547" s="25"/>
      <c r="B7547" s="25"/>
      <c r="C7547" s="25"/>
      <c r="D7547" s="25"/>
      <c r="E7547" s="25"/>
      <c r="F7547" s="25"/>
      <c r="G7547" s="25"/>
      <c r="H7547" s="25"/>
      <c r="I7547" s="25"/>
      <c r="J7547" s="25"/>
    </row>
    <row r="7548" spans="1:10" ht="14.4">
      <c r="A7548" s="25"/>
      <c r="B7548" s="25"/>
      <c r="C7548" s="25"/>
      <c r="D7548" s="25"/>
      <c r="E7548" s="25"/>
      <c r="F7548" s="25"/>
      <c r="G7548" s="25"/>
      <c r="H7548" s="25"/>
      <c r="I7548" s="25"/>
      <c r="J7548" s="25"/>
    </row>
    <row r="7549" spans="1:10" ht="14.4">
      <c r="A7549" s="25"/>
      <c r="B7549" s="25"/>
      <c r="C7549" s="25"/>
      <c r="D7549" s="25"/>
      <c r="E7549" s="25"/>
      <c r="F7549" s="25"/>
      <c r="G7549" s="25"/>
      <c r="H7549" s="25"/>
      <c r="I7549" s="25"/>
      <c r="J7549" s="25"/>
    </row>
    <row r="7550" spans="1:10" ht="14.4">
      <c r="A7550" s="25"/>
      <c r="B7550" s="25"/>
      <c r="C7550" s="25"/>
      <c r="D7550" s="25"/>
      <c r="E7550" s="25"/>
      <c r="F7550" s="25"/>
      <c r="G7550" s="25"/>
      <c r="H7550" s="25"/>
      <c r="I7550" s="25"/>
      <c r="J7550" s="25"/>
    </row>
    <row r="7551" spans="1:10" ht="14.4">
      <c r="A7551" s="25"/>
      <c r="B7551" s="25"/>
      <c r="C7551" s="25"/>
      <c r="D7551" s="25"/>
      <c r="E7551" s="25"/>
      <c r="F7551" s="25"/>
      <c r="G7551" s="25"/>
      <c r="H7551" s="25"/>
      <c r="I7551" s="25"/>
      <c r="J7551" s="25"/>
    </row>
    <row r="7552" spans="1:10" ht="14.4">
      <c r="A7552" s="25"/>
      <c r="B7552" s="25"/>
      <c r="C7552" s="25"/>
      <c r="D7552" s="25"/>
      <c r="E7552" s="25"/>
      <c r="F7552" s="25"/>
      <c r="G7552" s="25"/>
      <c r="H7552" s="25"/>
      <c r="I7552" s="25"/>
      <c r="J7552" s="25"/>
    </row>
    <row r="7553" spans="1:10" ht="14.4">
      <c r="A7553" s="25"/>
      <c r="B7553" s="25"/>
      <c r="C7553" s="25"/>
      <c r="D7553" s="25"/>
      <c r="E7553" s="25"/>
      <c r="F7553" s="25"/>
      <c r="G7553" s="25"/>
      <c r="H7553" s="25"/>
      <c r="I7553" s="25"/>
      <c r="J7553" s="25"/>
    </row>
    <row r="7554" spans="1:10" ht="14.4">
      <c r="A7554" s="25"/>
      <c r="B7554" s="25"/>
      <c r="C7554" s="25"/>
      <c r="D7554" s="25"/>
      <c r="E7554" s="25"/>
      <c r="F7554" s="25"/>
      <c r="G7554" s="25"/>
      <c r="H7554" s="25"/>
      <c r="I7554" s="25"/>
      <c r="J7554" s="25"/>
    </row>
    <row r="7555" spans="1:10" ht="14.4">
      <c r="A7555" s="25"/>
      <c r="B7555" s="25"/>
      <c r="C7555" s="25"/>
      <c r="D7555" s="25"/>
      <c r="E7555" s="25"/>
      <c r="F7555" s="25"/>
      <c r="G7555" s="25"/>
      <c r="H7555" s="25"/>
      <c r="I7555" s="25"/>
      <c r="J7555" s="25"/>
    </row>
    <row r="7556" spans="1:10" ht="14.4">
      <c r="A7556" s="25"/>
      <c r="B7556" s="25"/>
      <c r="C7556" s="25"/>
      <c r="D7556" s="25"/>
      <c r="E7556" s="25"/>
      <c r="F7556" s="25"/>
      <c r="G7556" s="25"/>
      <c r="H7556" s="25"/>
      <c r="I7556" s="25"/>
      <c r="J7556" s="25"/>
    </row>
    <row r="7557" spans="1:10" ht="14.4">
      <c r="A7557" s="25"/>
      <c r="B7557" s="25"/>
      <c r="C7557" s="25"/>
      <c r="D7557" s="25"/>
      <c r="E7557" s="25"/>
      <c r="F7557" s="25"/>
      <c r="G7557" s="25"/>
      <c r="H7557" s="25"/>
      <c r="I7557" s="25"/>
      <c r="J7557" s="25"/>
    </row>
    <row r="7558" spans="1:10" ht="14.4">
      <c r="A7558" s="25"/>
      <c r="B7558" s="25"/>
      <c r="C7558" s="25"/>
      <c r="D7558" s="25"/>
      <c r="E7558" s="25"/>
      <c r="F7558" s="25"/>
      <c r="G7558" s="25"/>
      <c r="H7558" s="25"/>
      <c r="I7558" s="25"/>
      <c r="J7558" s="25"/>
    </row>
    <row r="7559" spans="1:10" ht="14.4">
      <c r="A7559" s="25"/>
      <c r="B7559" s="25"/>
      <c r="C7559" s="25"/>
      <c r="D7559" s="25"/>
      <c r="E7559" s="25"/>
      <c r="F7559" s="25"/>
      <c r="G7559" s="25"/>
      <c r="H7559" s="25"/>
      <c r="I7559" s="25"/>
      <c r="J7559" s="25"/>
    </row>
    <row r="7560" spans="1:10" ht="14.4">
      <c r="A7560" s="25"/>
      <c r="B7560" s="25"/>
      <c r="C7560" s="25"/>
      <c r="D7560" s="25"/>
      <c r="E7560" s="25"/>
      <c r="F7560" s="25"/>
      <c r="G7560" s="25"/>
      <c r="H7560" s="25"/>
      <c r="I7560" s="25"/>
      <c r="J7560" s="25"/>
    </row>
    <row r="7561" spans="1:10" ht="14.4">
      <c r="A7561" s="25"/>
      <c r="B7561" s="25"/>
      <c r="C7561" s="25"/>
      <c r="D7561" s="25"/>
      <c r="E7561" s="25"/>
      <c r="F7561" s="25"/>
      <c r="G7561" s="25"/>
      <c r="H7561" s="25"/>
      <c r="I7561" s="25"/>
      <c r="J7561" s="25"/>
    </row>
    <row r="7562" spans="1:10" ht="14.4">
      <c r="A7562" s="25"/>
      <c r="B7562" s="25"/>
      <c r="C7562" s="25"/>
      <c r="D7562" s="25"/>
      <c r="E7562" s="25"/>
      <c r="F7562" s="25"/>
      <c r="G7562" s="25"/>
      <c r="H7562" s="25"/>
      <c r="I7562" s="25"/>
      <c r="J7562" s="25"/>
    </row>
    <row r="7563" spans="1:10" ht="14.4">
      <c r="A7563" s="25"/>
      <c r="B7563" s="25"/>
      <c r="C7563" s="25"/>
      <c r="D7563" s="25"/>
      <c r="E7563" s="25"/>
      <c r="F7563" s="25"/>
      <c r="G7563" s="25"/>
      <c r="H7563" s="25"/>
      <c r="I7563" s="25"/>
      <c r="J7563" s="25"/>
    </row>
    <row r="7564" spans="1:10" ht="14.4">
      <c r="A7564" s="25"/>
      <c r="B7564" s="25"/>
      <c r="C7564" s="25"/>
      <c r="D7564" s="25"/>
      <c r="E7564" s="25"/>
      <c r="F7564" s="25"/>
      <c r="G7564" s="25"/>
      <c r="H7564" s="25"/>
      <c r="I7564" s="25"/>
      <c r="J7564" s="25"/>
    </row>
    <row r="7565" spans="1:10" ht="14.4">
      <c r="A7565" s="25"/>
      <c r="B7565" s="25"/>
      <c r="C7565" s="25"/>
      <c r="D7565" s="25"/>
      <c r="E7565" s="25"/>
      <c r="F7565" s="25"/>
      <c r="G7565" s="25"/>
      <c r="H7565" s="25"/>
      <c r="I7565" s="25"/>
      <c r="J7565" s="25"/>
    </row>
    <row r="7566" spans="1:10" ht="14.4">
      <c r="A7566" s="25"/>
      <c r="B7566" s="25"/>
      <c r="C7566" s="25"/>
      <c r="D7566" s="25"/>
      <c r="E7566" s="25"/>
      <c r="F7566" s="25"/>
      <c r="G7566" s="25"/>
      <c r="H7566" s="25"/>
      <c r="I7566" s="25"/>
      <c r="J7566" s="25"/>
    </row>
    <row r="7567" spans="1:10" ht="14.4">
      <c r="A7567" s="25"/>
      <c r="B7567" s="25"/>
      <c r="C7567" s="25"/>
      <c r="D7567" s="25"/>
      <c r="E7567" s="25"/>
      <c r="F7567" s="25"/>
      <c r="G7567" s="25"/>
      <c r="H7567" s="25"/>
      <c r="I7567" s="25"/>
      <c r="J7567" s="25"/>
    </row>
    <row r="7568" spans="1:10" ht="14.4">
      <c r="A7568" s="25"/>
      <c r="B7568" s="25"/>
      <c r="C7568" s="25"/>
      <c r="D7568" s="25"/>
      <c r="E7568" s="25"/>
      <c r="F7568" s="25"/>
      <c r="G7568" s="25"/>
      <c r="H7568" s="25"/>
      <c r="I7568" s="25"/>
      <c r="J7568" s="25"/>
    </row>
    <row r="7569" spans="1:10" ht="14.4">
      <c r="A7569" s="25"/>
      <c r="B7569" s="25"/>
      <c r="C7569" s="25"/>
      <c r="D7569" s="25"/>
      <c r="E7569" s="25"/>
      <c r="F7569" s="25"/>
      <c r="G7569" s="25"/>
      <c r="H7569" s="25"/>
      <c r="I7569" s="25"/>
      <c r="J7569" s="25"/>
    </row>
    <row r="7570" spans="1:10" ht="14.4">
      <c r="A7570" s="25"/>
      <c r="B7570" s="25"/>
      <c r="C7570" s="25"/>
      <c r="D7570" s="25"/>
      <c r="E7570" s="25"/>
      <c r="F7570" s="25"/>
      <c r="G7570" s="25"/>
      <c r="H7570" s="25"/>
      <c r="I7570" s="25"/>
      <c r="J7570" s="25"/>
    </row>
    <row r="7571" spans="1:10" ht="14.4">
      <c r="A7571" s="25"/>
      <c r="B7571" s="25"/>
      <c r="C7571" s="25"/>
      <c r="D7571" s="25"/>
      <c r="E7571" s="25"/>
      <c r="F7571" s="25"/>
      <c r="G7571" s="25"/>
      <c r="H7571" s="25"/>
      <c r="I7571" s="25"/>
      <c r="J7571" s="25"/>
    </row>
    <row r="7572" spans="1:10" ht="14.4">
      <c r="A7572" s="25"/>
      <c r="B7572" s="25"/>
      <c r="C7572" s="25"/>
      <c r="D7572" s="25"/>
      <c r="E7572" s="25"/>
      <c r="F7572" s="25"/>
      <c r="G7572" s="25"/>
      <c r="H7572" s="25"/>
      <c r="I7572" s="25"/>
      <c r="J7572" s="25"/>
    </row>
    <row r="7573" spans="1:10" ht="14.4">
      <c r="A7573" s="25"/>
      <c r="B7573" s="25"/>
      <c r="C7573" s="25"/>
      <c r="D7573" s="25"/>
      <c r="E7573" s="25"/>
      <c r="F7573" s="25"/>
      <c r="G7573" s="25"/>
      <c r="H7573" s="25"/>
      <c r="I7573" s="25"/>
      <c r="J7573" s="25"/>
    </row>
    <row r="7574" spans="1:10" ht="14.4">
      <c r="A7574" s="25"/>
      <c r="B7574" s="25"/>
      <c r="C7574" s="25"/>
      <c r="D7574" s="25"/>
      <c r="E7574" s="25"/>
      <c r="F7574" s="25"/>
      <c r="G7574" s="25"/>
      <c r="H7574" s="25"/>
      <c r="I7574" s="25"/>
      <c r="J7574" s="25"/>
    </row>
    <row r="7575" spans="1:10" ht="14.4">
      <c r="A7575" s="25"/>
      <c r="B7575" s="25"/>
      <c r="C7575" s="25"/>
      <c r="D7575" s="25"/>
      <c r="E7575" s="25"/>
      <c r="F7575" s="25"/>
      <c r="G7575" s="25"/>
      <c r="H7575" s="25"/>
      <c r="I7575" s="25"/>
      <c r="J7575" s="25"/>
    </row>
    <row r="7576" spans="1:10" ht="14.4">
      <c r="A7576" s="25"/>
      <c r="B7576" s="25"/>
      <c r="C7576" s="25"/>
      <c r="D7576" s="25"/>
      <c r="E7576" s="25"/>
      <c r="F7576" s="25"/>
      <c r="G7576" s="25"/>
      <c r="H7576" s="25"/>
      <c r="I7576" s="25"/>
      <c r="J7576" s="25"/>
    </row>
    <row r="7577" spans="1:10" ht="14.4">
      <c r="A7577" s="25"/>
      <c r="B7577" s="25"/>
      <c r="C7577" s="25"/>
      <c r="D7577" s="25"/>
      <c r="E7577" s="25"/>
      <c r="F7577" s="25"/>
      <c r="G7577" s="25"/>
      <c r="H7577" s="25"/>
      <c r="I7577" s="25"/>
      <c r="J7577" s="25"/>
    </row>
    <row r="7578" spans="1:10" ht="14.4">
      <c r="A7578" s="25"/>
      <c r="B7578" s="25"/>
      <c r="C7578" s="25"/>
      <c r="D7578" s="25"/>
      <c r="E7578" s="25"/>
      <c r="F7578" s="25"/>
      <c r="G7578" s="25"/>
      <c r="H7578" s="25"/>
      <c r="I7578" s="25"/>
      <c r="J7578" s="25"/>
    </row>
    <row r="7579" spans="1:10" ht="14.4">
      <c r="A7579" s="25"/>
      <c r="B7579" s="25"/>
      <c r="C7579" s="25"/>
      <c r="D7579" s="25"/>
      <c r="E7579" s="25"/>
      <c r="F7579" s="25"/>
      <c r="G7579" s="25"/>
      <c r="H7579" s="25"/>
      <c r="I7579" s="25"/>
      <c r="J7579" s="25"/>
    </row>
    <row r="7580" spans="1:10" ht="14.4">
      <c r="A7580" s="25"/>
      <c r="B7580" s="25"/>
      <c r="C7580" s="25"/>
      <c r="D7580" s="25"/>
      <c r="E7580" s="25"/>
      <c r="F7580" s="25"/>
      <c r="G7580" s="25"/>
      <c r="H7580" s="25"/>
      <c r="I7580" s="25"/>
      <c r="J7580" s="25"/>
    </row>
    <row r="7581" spans="1:10" ht="14.4">
      <c r="A7581" s="25"/>
      <c r="B7581" s="25"/>
      <c r="C7581" s="25"/>
      <c r="D7581" s="25"/>
      <c r="E7581" s="25"/>
      <c r="F7581" s="25"/>
      <c r="G7581" s="25"/>
      <c r="H7581" s="25"/>
      <c r="I7581" s="25"/>
      <c r="J7581" s="25"/>
    </row>
    <row r="7582" spans="1:10" ht="14.4">
      <c r="A7582" s="25"/>
      <c r="B7582" s="25"/>
      <c r="C7582" s="25"/>
      <c r="D7582" s="25"/>
      <c r="E7582" s="25"/>
      <c r="F7582" s="25"/>
      <c r="G7582" s="25"/>
      <c r="H7582" s="25"/>
      <c r="I7582" s="25"/>
      <c r="J7582" s="25"/>
    </row>
    <row r="7583" spans="1:10" ht="14.4">
      <c r="A7583" s="25"/>
      <c r="B7583" s="25"/>
      <c r="C7583" s="25"/>
      <c r="D7583" s="25"/>
      <c r="E7583" s="25"/>
      <c r="F7583" s="25"/>
      <c r="G7583" s="25"/>
      <c r="H7583" s="25"/>
      <c r="I7583" s="25"/>
      <c r="J7583" s="25"/>
    </row>
    <row r="7584" spans="1:10" ht="14.4">
      <c r="A7584" s="25"/>
      <c r="B7584" s="25"/>
      <c r="C7584" s="25"/>
      <c r="D7584" s="25"/>
      <c r="E7584" s="25"/>
      <c r="F7584" s="25"/>
      <c r="G7584" s="25"/>
      <c r="H7584" s="25"/>
      <c r="I7584" s="25"/>
      <c r="J7584" s="25"/>
    </row>
    <row r="7585" spans="1:10" ht="14.4">
      <c r="A7585" s="25"/>
      <c r="B7585" s="25"/>
      <c r="C7585" s="25"/>
      <c r="D7585" s="25"/>
      <c r="E7585" s="25"/>
      <c r="F7585" s="25"/>
      <c r="G7585" s="25"/>
      <c r="H7585" s="25"/>
      <c r="I7585" s="25"/>
      <c r="J7585" s="25"/>
    </row>
    <row r="7586" spans="1:10" ht="14.4">
      <c r="A7586" s="25"/>
      <c r="B7586" s="25"/>
      <c r="C7586" s="25"/>
      <c r="D7586" s="25"/>
      <c r="E7586" s="25"/>
      <c r="F7586" s="25"/>
      <c r="G7586" s="25"/>
      <c r="H7586" s="25"/>
      <c r="I7586" s="25"/>
      <c r="J7586" s="25"/>
    </row>
    <row r="7587" spans="1:10" ht="14.4">
      <c r="A7587" s="25"/>
      <c r="B7587" s="25"/>
      <c r="C7587" s="25"/>
      <c r="D7587" s="25"/>
      <c r="E7587" s="25"/>
      <c r="F7587" s="25"/>
      <c r="G7587" s="25"/>
      <c r="H7587" s="25"/>
      <c r="I7587" s="25"/>
      <c r="J7587" s="25"/>
    </row>
    <row r="7588" spans="1:10" ht="14.4">
      <c r="A7588" s="25"/>
      <c r="B7588" s="25"/>
      <c r="C7588" s="25"/>
      <c r="D7588" s="25"/>
      <c r="E7588" s="25"/>
      <c r="F7588" s="25"/>
      <c r="G7588" s="25"/>
      <c r="H7588" s="25"/>
      <c r="I7588" s="25"/>
      <c r="J7588" s="25"/>
    </row>
    <row r="7589" spans="1:10" ht="14.4">
      <c r="A7589" s="25"/>
      <c r="B7589" s="25"/>
      <c r="C7589" s="25"/>
      <c r="D7589" s="25"/>
      <c r="E7589" s="25"/>
      <c r="F7589" s="25"/>
      <c r="G7589" s="25"/>
      <c r="H7589" s="25"/>
      <c r="I7589" s="25"/>
      <c r="J7589" s="25"/>
    </row>
    <row r="7590" spans="1:10" ht="14.4">
      <c r="A7590" s="25"/>
      <c r="B7590" s="25"/>
      <c r="C7590" s="25"/>
      <c r="D7590" s="25"/>
      <c r="E7590" s="25"/>
      <c r="F7590" s="25"/>
      <c r="G7590" s="25"/>
      <c r="H7590" s="25"/>
      <c r="I7590" s="25"/>
      <c r="J7590" s="25"/>
    </row>
    <row r="7591" spans="1:10" ht="14.4">
      <c r="A7591" s="25"/>
      <c r="B7591" s="25"/>
      <c r="C7591" s="25"/>
      <c r="D7591" s="25"/>
      <c r="E7591" s="25"/>
      <c r="F7591" s="25"/>
      <c r="G7591" s="25"/>
      <c r="H7591" s="25"/>
      <c r="I7591" s="25"/>
      <c r="J7591" s="25"/>
    </row>
    <row r="7592" spans="1:10" ht="14.4">
      <c r="A7592" s="25"/>
      <c r="B7592" s="25"/>
      <c r="C7592" s="25"/>
      <c r="D7592" s="25"/>
      <c r="E7592" s="25"/>
      <c r="F7592" s="25"/>
      <c r="G7592" s="25"/>
      <c r="H7592" s="25"/>
      <c r="I7592" s="25"/>
      <c r="J7592" s="25"/>
    </row>
    <row r="7593" spans="1:10" ht="14.4">
      <c r="A7593" s="25"/>
      <c r="B7593" s="25"/>
      <c r="C7593" s="25"/>
      <c r="D7593" s="25"/>
      <c r="E7593" s="25"/>
      <c r="F7593" s="25"/>
      <c r="G7593" s="25"/>
      <c r="H7593" s="25"/>
      <c r="I7593" s="25"/>
      <c r="J7593" s="25"/>
    </row>
    <row r="7594" spans="1:10" ht="14.4">
      <c r="A7594" s="25"/>
      <c r="B7594" s="25"/>
      <c r="C7594" s="25"/>
      <c r="D7594" s="25"/>
      <c r="E7594" s="25"/>
      <c r="F7594" s="25"/>
      <c r="G7594" s="25"/>
      <c r="H7594" s="25"/>
      <c r="I7594" s="25"/>
      <c r="J7594" s="25"/>
    </row>
    <row r="7595" spans="1:10" ht="14.4">
      <c r="A7595" s="25"/>
      <c r="B7595" s="25"/>
      <c r="C7595" s="25"/>
      <c r="D7595" s="25"/>
      <c r="E7595" s="25"/>
      <c r="F7595" s="25"/>
      <c r="G7595" s="25"/>
      <c r="H7595" s="25"/>
      <c r="I7595" s="25"/>
      <c r="J7595" s="25"/>
    </row>
    <row r="7596" spans="1:10" ht="14.4">
      <c r="A7596" s="25"/>
      <c r="B7596" s="25"/>
      <c r="C7596" s="25"/>
      <c r="D7596" s="25"/>
      <c r="E7596" s="25"/>
      <c r="F7596" s="25"/>
      <c r="G7596" s="25"/>
      <c r="H7596" s="25"/>
      <c r="I7596" s="25"/>
      <c r="J7596" s="25"/>
    </row>
    <row r="7597" spans="1:10" ht="14.4">
      <c r="A7597" s="25"/>
      <c r="B7597" s="25"/>
      <c r="C7597" s="25"/>
      <c r="D7597" s="25"/>
      <c r="E7597" s="25"/>
      <c r="F7597" s="25"/>
      <c r="G7597" s="25"/>
      <c r="H7597" s="25"/>
      <c r="I7597" s="25"/>
      <c r="J7597" s="25"/>
    </row>
    <row r="7598" spans="1:10" ht="14.4">
      <c r="A7598" s="25"/>
      <c r="B7598" s="25"/>
      <c r="C7598" s="25"/>
      <c r="D7598" s="25"/>
      <c r="E7598" s="25"/>
      <c r="F7598" s="25"/>
      <c r="G7598" s="25"/>
      <c r="H7598" s="25"/>
      <c r="I7598" s="25"/>
      <c r="J7598" s="25"/>
    </row>
    <row r="7599" spans="1:10" ht="14.4">
      <c r="A7599" s="25"/>
      <c r="B7599" s="25"/>
      <c r="C7599" s="25"/>
      <c r="D7599" s="25"/>
      <c r="E7599" s="25"/>
      <c r="F7599" s="25"/>
      <c r="G7599" s="25"/>
      <c r="H7599" s="25"/>
      <c r="I7599" s="25"/>
      <c r="J7599" s="25"/>
    </row>
    <row r="7600" spans="1:10" ht="14.4">
      <c r="A7600" s="25"/>
      <c r="B7600" s="25"/>
      <c r="C7600" s="25"/>
      <c r="D7600" s="25"/>
      <c r="E7600" s="25"/>
      <c r="F7600" s="25"/>
      <c r="G7600" s="25"/>
      <c r="H7600" s="25"/>
      <c r="I7600" s="25"/>
      <c r="J7600" s="25"/>
    </row>
    <row r="7601" spans="1:10" ht="14.4">
      <c r="A7601" s="25"/>
      <c r="B7601" s="25"/>
      <c r="C7601" s="25"/>
      <c r="D7601" s="25"/>
      <c r="E7601" s="25"/>
      <c r="F7601" s="25"/>
      <c r="G7601" s="25"/>
      <c r="H7601" s="25"/>
      <c r="I7601" s="25"/>
      <c r="J7601" s="25"/>
    </row>
    <row r="7602" spans="1:10" ht="14.4">
      <c r="A7602" s="25"/>
      <c r="B7602" s="25"/>
      <c r="C7602" s="25"/>
      <c r="D7602" s="25"/>
      <c r="E7602" s="25"/>
      <c r="F7602" s="25"/>
      <c r="G7602" s="25"/>
      <c r="H7602" s="25"/>
      <c r="I7602" s="25"/>
      <c r="J7602" s="25"/>
    </row>
    <row r="7603" spans="1:10" ht="14.4">
      <c r="A7603" s="25"/>
      <c r="B7603" s="25"/>
      <c r="C7603" s="25"/>
      <c r="D7603" s="25"/>
      <c r="E7603" s="25"/>
      <c r="F7603" s="25"/>
      <c r="G7603" s="25"/>
      <c r="H7603" s="25"/>
      <c r="I7603" s="25"/>
      <c r="J7603" s="25"/>
    </row>
    <row r="7604" spans="1:10" ht="14.4">
      <c r="A7604" s="25"/>
      <c r="B7604" s="25"/>
      <c r="C7604" s="25"/>
      <c r="D7604" s="25"/>
      <c r="E7604" s="25"/>
      <c r="F7604" s="25"/>
      <c r="G7604" s="25"/>
      <c r="H7604" s="25"/>
      <c r="I7604" s="25"/>
      <c r="J7604" s="25"/>
    </row>
    <row r="7605" spans="1:10" ht="14.4">
      <c r="A7605" s="25"/>
      <c r="B7605" s="25"/>
      <c r="C7605" s="25"/>
      <c r="D7605" s="25"/>
      <c r="E7605" s="25"/>
      <c r="F7605" s="25"/>
      <c r="G7605" s="25"/>
      <c r="H7605" s="25"/>
      <c r="I7605" s="25"/>
      <c r="J7605" s="25"/>
    </row>
    <row r="7606" spans="1:10" ht="14.4">
      <c r="A7606" s="25"/>
      <c r="B7606" s="25"/>
      <c r="C7606" s="25"/>
      <c r="D7606" s="25"/>
      <c r="E7606" s="25"/>
      <c r="F7606" s="25"/>
      <c r="G7606" s="25"/>
      <c r="H7606" s="25"/>
      <c r="I7606" s="25"/>
      <c r="J7606" s="25"/>
    </row>
    <row r="7607" spans="1:10" ht="14.4">
      <c r="A7607" s="25"/>
      <c r="B7607" s="25"/>
      <c r="C7607" s="25"/>
      <c r="D7607" s="25"/>
      <c r="E7607" s="25"/>
      <c r="F7607" s="25"/>
      <c r="G7607" s="25"/>
      <c r="H7607" s="25"/>
      <c r="I7607" s="25"/>
      <c r="J7607" s="25"/>
    </row>
    <row r="7608" spans="1:10" ht="14.4">
      <c r="A7608" s="25"/>
      <c r="B7608" s="25"/>
      <c r="C7608" s="25"/>
      <c r="D7608" s="25"/>
      <c r="E7608" s="25"/>
      <c r="F7608" s="25"/>
      <c r="G7608" s="25"/>
      <c r="H7608" s="25"/>
      <c r="I7608" s="25"/>
      <c r="J7608" s="25"/>
    </row>
    <row r="7609" spans="1:10" ht="14.4">
      <c r="A7609" s="25"/>
      <c r="B7609" s="25"/>
      <c r="C7609" s="25"/>
      <c r="D7609" s="25"/>
      <c r="E7609" s="25"/>
      <c r="F7609" s="25"/>
      <c r="G7609" s="25"/>
      <c r="H7609" s="25"/>
      <c r="I7609" s="25"/>
      <c r="J7609" s="25"/>
    </row>
    <row r="7610" spans="1:10" ht="14.4">
      <c r="A7610" s="25"/>
      <c r="B7610" s="25"/>
      <c r="C7610" s="25"/>
      <c r="D7610" s="25"/>
      <c r="E7610" s="25"/>
      <c r="F7610" s="25"/>
      <c r="G7610" s="25"/>
      <c r="H7610" s="25"/>
      <c r="I7610" s="25"/>
      <c r="J7610" s="25"/>
    </row>
    <row r="7611" spans="1:10" ht="14.4">
      <c r="A7611" s="25"/>
      <c r="B7611" s="25"/>
      <c r="C7611" s="25"/>
      <c r="D7611" s="25"/>
      <c r="E7611" s="25"/>
      <c r="F7611" s="25"/>
      <c r="G7611" s="25"/>
      <c r="H7611" s="25"/>
      <c r="I7611" s="25"/>
      <c r="J7611" s="25"/>
    </row>
    <row r="7612" spans="1:10" ht="14.4">
      <c r="A7612" s="25"/>
      <c r="B7612" s="25"/>
      <c r="C7612" s="25"/>
      <c r="D7612" s="25"/>
      <c r="E7612" s="25"/>
      <c r="F7612" s="25"/>
      <c r="G7612" s="25"/>
      <c r="H7612" s="25"/>
      <c r="I7612" s="25"/>
      <c r="J7612" s="25"/>
    </row>
    <row r="7613" spans="1:10" ht="14.4">
      <c r="A7613" s="25"/>
      <c r="B7613" s="25"/>
      <c r="C7613" s="25"/>
      <c r="D7613" s="25"/>
      <c r="E7613" s="25"/>
      <c r="F7613" s="25"/>
      <c r="G7613" s="25"/>
      <c r="H7613" s="25"/>
      <c r="I7613" s="25"/>
      <c r="J7613" s="25"/>
    </row>
    <row r="7614" spans="1:10" ht="14.4">
      <c r="A7614" s="25"/>
      <c r="B7614" s="25"/>
      <c r="C7614" s="25"/>
      <c r="D7614" s="25"/>
      <c r="E7614" s="25"/>
      <c r="F7614" s="25"/>
      <c r="G7614" s="25"/>
      <c r="H7614" s="25"/>
      <c r="I7614" s="25"/>
      <c r="J7614" s="25"/>
    </row>
    <row r="7615" spans="1:10" ht="14.4">
      <c r="A7615" s="25"/>
      <c r="B7615" s="25"/>
      <c r="C7615" s="25"/>
      <c r="D7615" s="25"/>
      <c r="E7615" s="25"/>
      <c r="F7615" s="25"/>
      <c r="G7615" s="25"/>
      <c r="H7615" s="25"/>
      <c r="I7615" s="25"/>
      <c r="J7615" s="25"/>
    </row>
    <row r="7616" spans="1:10" ht="14.4">
      <c r="A7616" s="25"/>
      <c r="B7616" s="25"/>
      <c r="C7616" s="25"/>
      <c r="D7616" s="25"/>
      <c r="E7616" s="25"/>
      <c r="F7616" s="25"/>
      <c r="G7616" s="25"/>
      <c r="H7616" s="25"/>
      <c r="I7616" s="25"/>
      <c r="J7616" s="25"/>
    </row>
    <row r="7617" spans="1:10" ht="14.4">
      <c r="A7617" s="25"/>
      <c r="B7617" s="25"/>
      <c r="C7617" s="25"/>
      <c r="D7617" s="25"/>
      <c r="E7617" s="25"/>
      <c r="F7617" s="25"/>
      <c r="G7617" s="25"/>
      <c r="H7617" s="25"/>
      <c r="I7617" s="25"/>
      <c r="J7617" s="25"/>
    </row>
    <row r="7618" spans="1:10" ht="14.4">
      <c r="A7618" s="25"/>
      <c r="B7618" s="25"/>
      <c r="C7618" s="25"/>
      <c r="D7618" s="25"/>
      <c r="E7618" s="25"/>
      <c r="F7618" s="25"/>
      <c r="G7618" s="25"/>
      <c r="H7618" s="25"/>
      <c r="I7618" s="25"/>
      <c r="J7618" s="25"/>
    </row>
    <row r="7619" spans="1:10" ht="14.4">
      <c r="A7619" s="25"/>
      <c r="B7619" s="25"/>
      <c r="C7619" s="25"/>
      <c r="D7619" s="25"/>
      <c r="E7619" s="25"/>
      <c r="F7619" s="25"/>
      <c r="G7619" s="25"/>
      <c r="H7619" s="25"/>
      <c r="I7619" s="25"/>
      <c r="J7619" s="25"/>
    </row>
    <row r="7620" spans="1:10" ht="14.4">
      <c r="A7620" s="25"/>
      <c r="B7620" s="25"/>
      <c r="C7620" s="25"/>
      <c r="D7620" s="25"/>
      <c r="E7620" s="25"/>
      <c r="F7620" s="25"/>
      <c r="G7620" s="25"/>
      <c r="H7620" s="25"/>
      <c r="I7620" s="25"/>
      <c r="J7620" s="25"/>
    </row>
    <row r="7621" spans="1:10" ht="14.4">
      <c r="A7621" s="25"/>
      <c r="B7621" s="25"/>
      <c r="C7621" s="25"/>
      <c r="D7621" s="25"/>
      <c r="E7621" s="25"/>
      <c r="F7621" s="25"/>
      <c r="G7621" s="25"/>
      <c r="H7621" s="25"/>
      <c r="I7621" s="25"/>
      <c r="J7621" s="25"/>
    </row>
    <row r="7622" spans="1:10" ht="14.4">
      <c r="A7622" s="25"/>
      <c r="B7622" s="25"/>
      <c r="C7622" s="25"/>
      <c r="D7622" s="25"/>
      <c r="E7622" s="25"/>
      <c r="F7622" s="25"/>
      <c r="G7622" s="25"/>
      <c r="H7622" s="25"/>
      <c r="I7622" s="25"/>
      <c r="J7622" s="25"/>
    </row>
    <row r="7623" spans="1:10" ht="14.4">
      <c r="A7623" s="25"/>
      <c r="B7623" s="25"/>
      <c r="C7623" s="25"/>
      <c r="D7623" s="25"/>
      <c r="E7623" s="25"/>
      <c r="F7623" s="25"/>
      <c r="G7623" s="25"/>
      <c r="H7623" s="25"/>
      <c r="I7623" s="25"/>
      <c r="J7623" s="25"/>
    </row>
    <row r="7624" spans="1:10" ht="14.4">
      <c r="A7624" s="25"/>
      <c r="B7624" s="25"/>
      <c r="C7624" s="25"/>
      <c r="D7624" s="25"/>
      <c r="E7624" s="25"/>
      <c r="F7624" s="25"/>
      <c r="G7624" s="25"/>
      <c r="H7624" s="25"/>
      <c r="I7624" s="25"/>
      <c r="J7624" s="25"/>
    </row>
    <row r="7625" spans="1:10" ht="14.4">
      <c r="A7625" s="25"/>
      <c r="B7625" s="25"/>
      <c r="C7625" s="25"/>
      <c r="D7625" s="25"/>
      <c r="E7625" s="25"/>
      <c r="F7625" s="25"/>
      <c r="G7625" s="25"/>
      <c r="H7625" s="25"/>
      <c r="I7625" s="25"/>
      <c r="J7625" s="25"/>
    </row>
    <row r="7626" spans="1:10" ht="14.4">
      <c r="A7626" s="25"/>
      <c r="B7626" s="25"/>
      <c r="C7626" s="25"/>
      <c r="D7626" s="25"/>
      <c r="E7626" s="25"/>
      <c r="F7626" s="25"/>
      <c r="G7626" s="25"/>
      <c r="H7626" s="25"/>
      <c r="I7626" s="25"/>
      <c r="J7626" s="25"/>
    </row>
    <row r="7627" spans="1:10" ht="14.4">
      <c r="A7627" s="25"/>
      <c r="B7627" s="25"/>
      <c r="C7627" s="25"/>
      <c r="D7627" s="25"/>
      <c r="E7627" s="25"/>
      <c r="F7627" s="25"/>
      <c r="G7627" s="25"/>
      <c r="H7627" s="25"/>
      <c r="I7627" s="25"/>
      <c r="J7627" s="25"/>
    </row>
    <row r="7628" spans="1:10" ht="14.4">
      <c r="A7628" s="25"/>
      <c r="B7628" s="25"/>
      <c r="C7628" s="25"/>
      <c r="D7628" s="25"/>
      <c r="E7628" s="25"/>
      <c r="F7628" s="25"/>
      <c r="G7628" s="25"/>
      <c r="H7628" s="25"/>
      <c r="I7628" s="25"/>
      <c r="J7628" s="25"/>
    </row>
    <row r="7629" spans="1:10" ht="14.4">
      <c r="A7629" s="25"/>
      <c r="B7629" s="25"/>
      <c r="C7629" s="25"/>
      <c r="D7629" s="25"/>
      <c r="E7629" s="25"/>
      <c r="F7629" s="25"/>
      <c r="G7629" s="25"/>
      <c r="H7629" s="25"/>
      <c r="I7629" s="25"/>
      <c r="J7629" s="25"/>
    </row>
    <row r="7630" spans="1:10" ht="14.4">
      <c r="A7630" s="25"/>
      <c r="B7630" s="25"/>
      <c r="C7630" s="25"/>
      <c r="D7630" s="25"/>
      <c r="E7630" s="25"/>
      <c r="F7630" s="25"/>
      <c r="G7630" s="25"/>
      <c r="H7630" s="25"/>
      <c r="I7630" s="25"/>
      <c r="J7630" s="25"/>
    </row>
    <row r="7631" spans="1:10" ht="14.4">
      <c r="A7631" s="25"/>
      <c r="B7631" s="25"/>
      <c r="C7631" s="25"/>
      <c r="D7631" s="25"/>
      <c r="E7631" s="25"/>
      <c r="F7631" s="25"/>
      <c r="G7631" s="25"/>
      <c r="H7631" s="25"/>
      <c r="I7631" s="25"/>
      <c r="J7631" s="25"/>
    </row>
    <row r="7632" spans="1:10" ht="14.4">
      <c r="A7632" s="25"/>
      <c r="B7632" s="25"/>
      <c r="C7632" s="25"/>
      <c r="D7632" s="25"/>
      <c r="E7632" s="25"/>
      <c r="F7632" s="25"/>
      <c r="G7632" s="25"/>
      <c r="H7632" s="25"/>
      <c r="I7632" s="25"/>
      <c r="J7632" s="25"/>
    </row>
    <row r="7633" spans="1:10" ht="14.4">
      <c r="A7633" s="25"/>
      <c r="B7633" s="25"/>
      <c r="C7633" s="25"/>
      <c r="D7633" s="25"/>
      <c r="E7633" s="25"/>
      <c r="F7633" s="25"/>
      <c r="G7633" s="25"/>
      <c r="H7633" s="25"/>
      <c r="I7633" s="25"/>
      <c r="J7633" s="25"/>
    </row>
    <row r="7634" spans="1:10" ht="14.4">
      <c r="A7634" s="25"/>
      <c r="B7634" s="25"/>
      <c r="C7634" s="25"/>
      <c r="D7634" s="25"/>
      <c r="E7634" s="25"/>
      <c r="F7634" s="25"/>
      <c r="G7634" s="25"/>
      <c r="H7634" s="25"/>
      <c r="I7634" s="25"/>
      <c r="J7634" s="25"/>
    </row>
    <row r="7635" spans="1:10" ht="14.4">
      <c r="A7635" s="25"/>
      <c r="B7635" s="25"/>
      <c r="C7635" s="25"/>
      <c r="D7635" s="25"/>
      <c r="E7635" s="25"/>
      <c r="F7635" s="25"/>
      <c r="G7635" s="25"/>
      <c r="H7635" s="25"/>
      <c r="I7635" s="25"/>
      <c r="J7635" s="25"/>
    </row>
    <row r="7636" spans="1:10" ht="14.4">
      <c r="A7636" s="25"/>
      <c r="B7636" s="25"/>
      <c r="C7636" s="25"/>
      <c r="D7636" s="25"/>
      <c r="E7636" s="25"/>
      <c r="F7636" s="25"/>
      <c r="G7636" s="25"/>
      <c r="H7636" s="25"/>
      <c r="I7636" s="25"/>
      <c r="J7636" s="25"/>
    </row>
    <row r="7637" spans="1:10" ht="14.4">
      <c r="A7637" s="25"/>
      <c r="B7637" s="25"/>
      <c r="C7637" s="25"/>
      <c r="D7637" s="25"/>
      <c r="E7637" s="25"/>
      <c r="F7637" s="25"/>
      <c r="G7637" s="25"/>
      <c r="H7637" s="25"/>
      <c r="I7637" s="25"/>
      <c r="J7637" s="25"/>
    </row>
    <row r="7638" spans="1:10" ht="14.4">
      <c r="A7638" s="25"/>
      <c r="B7638" s="25"/>
      <c r="C7638" s="25"/>
      <c r="D7638" s="25"/>
      <c r="E7638" s="25"/>
      <c r="F7638" s="25"/>
      <c r="G7638" s="25"/>
      <c r="H7638" s="25"/>
      <c r="I7638" s="25"/>
      <c r="J7638" s="25"/>
    </row>
    <row r="7639" spans="1:10" ht="14.4">
      <c r="A7639" s="25"/>
      <c r="B7639" s="25"/>
      <c r="C7639" s="25"/>
      <c r="D7639" s="25"/>
      <c r="E7639" s="25"/>
      <c r="F7639" s="25"/>
      <c r="G7639" s="25"/>
      <c r="H7639" s="25"/>
      <c r="I7639" s="25"/>
      <c r="J7639" s="25"/>
    </row>
    <row r="7640" spans="1:10" ht="14.4">
      <c r="A7640" s="25"/>
      <c r="B7640" s="25"/>
      <c r="C7640" s="25"/>
      <c r="D7640" s="25"/>
      <c r="E7640" s="25"/>
      <c r="F7640" s="25"/>
      <c r="G7640" s="25"/>
      <c r="H7640" s="25"/>
      <c r="I7640" s="25"/>
      <c r="J7640" s="25"/>
    </row>
    <row r="7641" spans="1:10" ht="14.4">
      <c r="A7641" s="25"/>
      <c r="B7641" s="25"/>
      <c r="C7641" s="25"/>
      <c r="D7641" s="25"/>
      <c r="E7641" s="25"/>
      <c r="F7641" s="25"/>
      <c r="G7641" s="25"/>
      <c r="H7641" s="25"/>
      <c r="I7641" s="25"/>
      <c r="J7641" s="25"/>
    </row>
    <row r="7642" spans="1:10" ht="14.4">
      <c r="A7642" s="25"/>
      <c r="B7642" s="25"/>
      <c r="C7642" s="25"/>
      <c r="D7642" s="25"/>
      <c r="E7642" s="25"/>
      <c r="F7642" s="25"/>
      <c r="G7642" s="25"/>
      <c r="H7642" s="25"/>
      <c r="I7642" s="25"/>
      <c r="J7642" s="25"/>
    </row>
    <row r="7643" spans="1:10" ht="14.4">
      <c r="A7643" s="25"/>
      <c r="B7643" s="25"/>
      <c r="C7643" s="25"/>
      <c r="D7643" s="25"/>
      <c r="E7643" s="25"/>
      <c r="F7643" s="25"/>
      <c r="G7643" s="25"/>
      <c r="H7643" s="25"/>
      <c r="I7643" s="25"/>
      <c r="J7643" s="25"/>
    </row>
    <row r="7644" spans="1:10" ht="14.4">
      <c r="A7644" s="25"/>
      <c r="B7644" s="25"/>
      <c r="C7644" s="25"/>
      <c r="D7644" s="25"/>
      <c r="E7644" s="25"/>
      <c r="F7644" s="25"/>
      <c r="G7644" s="25"/>
      <c r="H7644" s="25"/>
      <c r="I7644" s="25"/>
      <c r="J7644" s="25"/>
    </row>
    <row r="7645" spans="1:10" ht="14.4">
      <c r="A7645" s="25"/>
      <c r="B7645" s="25"/>
      <c r="C7645" s="25"/>
      <c r="D7645" s="25"/>
      <c r="E7645" s="25"/>
      <c r="F7645" s="25"/>
      <c r="G7645" s="25"/>
      <c r="H7645" s="25"/>
      <c r="I7645" s="25"/>
      <c r="J7645" s="25"/>
    </row>
    <row r="7646" spans="1:10" ht="14.4">
      <c r="A7646" s="25"/>
      <c r="B7646" s="25"/>
      <c r="C7646" s="25"/>
      <c r="D7646" s="25"/>
      <c r="E7646" s="25"/>
      <c r="F7646" s="25"/>
      <c r="G7646" s="25"/>
      <c r="H7646" s="25"/>
      <c r="I7646" s="25"/>
      <c r="J7646" s="25"/>
    </row>
    <row r="7647" spans="1:10" ht="14.4">
      <c r="A7647" s="25"/>
      <c r="B7647" s="25"/>
      <c r="C7647" s="25"/>
      <c r="D7647" s="25"/>
      <c r="E7647" s="25"/>
      <c r="F7647" s="25"/>
      <c r="G7647" s="25"/>
      <c r="H7647" s="25"/>
      <c r="I7647" s="25"/>
      <c r="J7647" s="25"/>
    </row>
    <row r="7648" spans="1:10" ht="14.4">
      <c r="A7648" s="25"/>
      <c r="B7648" s="25"/>
      <c r="C7648" s="25"/>
      <c r="D7648" s="25"/>
      <c r="E7648" s="25"/>
      <c r="F7648" s="25"/>
      <c r="G7648" s="25"/>
      <c r="H7648" s="25"/>
      <c r="I7648" s="25"/>
      <c r="J7648" s="25"/>
    </row>
    <row r="7649" spans="1:10" ht="14.4">
      <c r="A7649" s="25"/>
      <c r="B7649" s="25"/>
      <c r="C7649" s="25"/>
      <c r="D7649" s="25"/>
      <c r="E7649" s="25"/>
      <c r="F7649" s="25"/>
      <c r="G7649" s="25"/>
      <c r="H7649" s="25"/>
      <c r="I7649" s="25"/>
      <c r="J7649" s="25"/>
    </row>
    <row r="7650" spans="1:10" ht="14.4">
      <c r="A7650" s="25"/>
      <c r="B7650" s="25"/>
      <c r="C7650" s="25"/>
      <c r="D7650" s="25"/>
      <c r="E7650" s="25"/>
      <c r="F7650" s="25"/>
      <c r="G7650" s="25"/>
      <c r="H7650" s="25"/>
      <c r="I7650" s="25"/>
      <c r="J7650" s="25"/>
    </row>
    <row r="7651" spans="1:10" ht="14.4">
      <c r="A7651" s="25"/>
      <c r="B7651" s="25"/>
      <c r="C7651" s="25"/>
      <c r="D7651" s="25"/>
      <c r="E7651" s="25"/>
      <c r="F7651" s="25"/>
      <c r="G7651" s="25"/>
      <c r="H7651" s="25"/>
      <c r="I7651" s="25"/>
      <c r="J7651" s="25"/>
    </row>
    <row r="7652" spans="1:10" ht="14.4">
      <c r="A7652" s="25"/>
      <c r="B7652" s="25"/>
      <c r="C7652" s="25"/>
      <c r="D7652" s="25"/>
      <c r="E7652" s="25"/>
      <c r="F7652" s="25"/>
      <c r="G7652" s="25"/>
      <c r="H7652" s="25"/>
      <c r="I7652" s="25"/>
      <c r="J7652" s="25"/>
    </row>
    <row r="7653" spans="1:10" ht="14.4">
      <c r="A7653" s="25"/>
      <c r="B7653" s="25"/>
      <c r="C7653" s="25"/>
      <c r="D7653" s="25"/>
      <c r="E7653" s="25"/>
      <c r="F7653" s="25"/>
      <c r="G7653" s="25"/>
      <c r="H7653" s="25"/>
      <c r="I7653" s="25"/>
      <c r="J7653" s="25"/>
    </row>
    <row r="7654" spans="1:10" ht="14.4">
      <c r="A7654" s="25"/>
      <c r="B7654" s="25"/>
      <c r="C7654" s="25"/>
      <c r="D7654" s="25"/>
      <c r="E7654" s="25"/>
      <c r="F7654" s="25"/>
      <c r="G7654" s="25"/>
      <c r="H7654" s="25"/>
      <c r="I7654" s="25"/>
      <c r="J7654" s="25"/>
    </row>
    <row r="7655" spans="1:10" ht="14.4">
      <c r="A7655" s="25"/>
      <c r="B7655" s="25"/>
      <c r="C7655" s="25"/>
      <c r="D7655" s="25"/>
      <c r="E7655" s="25"/>
      <c r="F7655" s="25"/>
      <c r="G7655" s="25"/>
      <c r="H7655" s="25"/>
      <c r="I7655" s="25"/>
      <c r="J7655" s="25"/>
    </row>
    <row r="7656" spans="1:10" ht="14.4">
      <c r="A7656" s="25"/>
      <c r="B7656" s="25"/>
      <c r="C7656" s="25"/>
      <c r="D7656" s="25"/>
      <c r="E7656" s="25"/>
      <c r="F7656" s="25"/>
      <c r="G7656" s="25"/>
      <c r="H7656" s="25"/>
      <c r="I7656" s="25"/>
      <c r="J7656" s="25"/>
    </row>
    <row r="7657" spans="1:10" ht="14.4">
      <c r="A7657" s="25"/>
      <c r="B7657" s="25"/>
      <c r="C7657" s="25"/>
      <c r="D7657" s="25"/>
      <c r="E7657" s="25"/>
      <c r="F7657" s="25"/>
      <c r="G7657" s="25"/>
      <c r="H7657" s="25"/>
      <c r="I7657" s="25"/>
      <c r="J7657" s="25"/>
    </row>
    <row r="7658" spans="1:10" ht="14.4">
      <c r="A7658" s="25"/>
      <c r="B7658" s="25"/>
      <c r="C7658" s="25"/>
      <c r="D7658" s="25"/>
      <c r="E7658" s="25"/>
      <c r="F7658" s="25"/>
      <c r="G7658" s="25"/>
      <c r="H7658" s="25"/>
      <c r="I7658" s="25"/>
      <c r="J7658" s="25"/>
    </row>
    <row r="7659" spans="1:10" ht="14.4">
      <c r="A7659" s="25"/>
      <c r="B7659" s="25"/>
      <c r="C7659" s="25"/>
      <c r="D7659" s="25"/>
      <c r="E7659" s="25"/>
      <c r="F7659" s="25"/>
      <c r="G7659" s="25"/>
      <c r="H7659" s="25"/>
      <c r="I7659" s="25"/>
      <c r="J7659" s="25"/>
    </row>
    <row r="7660" spans="1:10" ht="14.4">
      <c r="A7660" s="25"/>
      <c r="B7660" s="25"/>
      <c r="C7660" s="25"/>
      <c r="D7660" s="25"/>
      <c r="E7660" s="25"/>
      <c r="F7660" s="25"/>
      <c r="G7660" s="25"/>
      <c r="H7660" s="25"/>
      <c r="I7660" s="25"/>
      <c r="J7660" s="25"/>
    </row>
    <row r="7661" spans="1:10" ht="14.4">
      <c r="A7661" s="25"/>
      <c r="B7661" s="25"/>
      <c r="C7661" s="25"/>
      <c r="D7661" s="25"/>
      <c r="E7661" s="25"/>
      <c r="F7661" s="25"/>
      <c r="G7661" s="25"/>
      <c r="H7661" s="25"/>
      <c r="I7661" s="25"/>
      <c r="J7661" s="25"/>
    </row>
    <row r="7662" spans="1:10" ht="14.4">
      <c r="A7662" s="25"/>
      <c r="B7662" s="25"/>
      <c r="C7662" s="25"/>
      <c r="D7662" s="25"/>
      <c r="E7662" s="25"/>
      <c r="F7662" s="25"/>
      <c r="G7662" s="25"/>
      <c r="H7662" s="25"/>
      <c r="I7662" s="25"/>
      <c r="J7662" s="25"/>
    </row>
    <row r="7663" spans="1:10" ht="14.4">
      <c r="A7663" s="25"/>
      <c r="B7663" s="25"/>
      <c r="C7663" s="25"/>
      <c r="D7663" s="25"/>
      <c r="E7663" s="25"/>
      <c r="F7663" s="25"/>
      <c r="G7663" s="25"/>
      <c r="H7663" s="25"/>
      <c r="I7663" s="25"/>
      <c r="J7663" s="25"/>
    </row>
    <row r="7664" spans="1:10" ht="14.4">
      <c r="A7664" s="25"/>
      <c r="B7664" s="25"/>
      <c r="C7664" s="25"/>
      <c r="D7664" s="25"/>
      <c r="E7664" s="25"/>
      <c r="F7664" s="25"/>
      <c r="G7664" s="25"/>
      <c r="H7664" s="25"/>
      <c r="I7664" s="25"/>
      <c r="J7664" s="25"/>
    </row>
    <row r="7665" spans="1:10" ht="14.4">
      <c r="A7665" s="25"/>
      <c r="B7665" s="25"/>
      <c r="C7665" s="25"/>
      <c r="D7665" s="25"/>
      <c r="E7665" s="25"/>
      <c r="F7665" s="25"/>
      <c r="G7665" s="25"/>
      <c r="H7665" s="25"/>
      <c r="I7665" s="25"/>
      <c r="J7665" s="25"/>
    </row>
    <row r="7666" spans="1:10" ht="14.4">
      <c r="A7666" s="25"/>
      <c r="B7666" s="25"/>
      <c r="C7666" s="25"/>
      <c r="D7666" s="25"/>
      <c r="E7666" s="25"/>
      <c r="F7666" s="25"/>
      <c r="G7666" s="25"/>
      <c r="H7666" s="25"/>
      <c r="I7666" s="25"/>
      <c r="J7666" s="25"/>
    </row>
    <row r="7667" spans="1:10" ht="14.4">
      <c r="A7667" s="25"/>
      <c r="B7667" s="25"/>
      <c r="C7667" s="25"/>
      <c r="D7667" s="25"/>
      <c r="E7667" s="25"/>
      <c r="F7667" s="25"/>
      <c r="G7667" s="25"/>
      <c r="H7667" s="25"/>
      <c r="I7667" s="25"/>
      <c r="J7667" s="25"/>
    </row>
    <row r="7668" spans="1:10" ht="14.4">
      <c r="A7668" s="25"/>
      <c r="B7668" s="25"/>
      <c r="C7668" s="25"/>
      <c r="D7668" s="25"/>
      <c r="E7668" s="25"/>
      <c r="F7668" s="25"/>
      <c r="G7668" s="25"/>
      <c r="H7668" s="25"/>
      <c r="I7668" s="25"/>
      <c r="J7668" s="25"/>
    </row>
    <row r="7669" spans="1:10" ht="14.4">
      <c r="A7669" s="25"/>
      <c r="B7669" s="25"/>
      <c r="C7669" s="25"/>
      <c r="D7669" s="25"/>
      <c r="E7669" s="25"/>
      <c r="F7669" s="25"/>
      <c r="G7669" s="25"/>
      <c r="H7669" s="25"/>
      <c r="I7669" s="25"/>
      <c r="J7669" s="25"/>
    </row>
    <row r="7670" spans="1:10" ht="14.4">
      <c r="A7670" s="25"/>
      <c r="B7670" s="25"/>
      <c r="C7670" s="25"/>
      <c r="D7670" s="25"/>
      <c r="E7670" s="25"/>
      <c r="F7670" s="25"/>
      <c r="G7670" s="25"/>
      <c r="H7670" s="25"/>
      <c r="I7670" s="25"/>
      <c r="J7670" s="25"/>
    </row>
    <row r="7671" spans="1:10" ht="14.4">
      <c r="A7671" s="25"/>
      <c r="B7671" s="25"/>
      <c r="C7671" s="25"/>
      <c r="D7671" s="25"/>
      <c r="E7671" s="25"/>
      <c r="F7671" s="25"/>
      <c r="G7671" s="25"/>
      <c r="H7671" s="25"/>
      <c r="I7671" s="25"/>
      <c r="J7671" s="25"/>
    </row>
    <row r="7672" spans="1:10" ht="14.4">
      <c r="A7672" s="25"/>
      <c r="B7672" s="25"/>
      <c r="C7672" s="25"/>
      <c r="D7672" s="25"/>
      <c r="E7672" s="25"/>
      <c r="F7672" s="25"/>
      <c r="G7672" s="25"/>
      <c r="H7672" s="25"/>
      <c r="I7672" s="25"/>
      <c r="J7672" s="25"/>
    </row>
    <row r="7673" spans="1:10" ht="14.4">
      <c r="A7673" s="25"/>
      <c r="B7673" s="25"/>
      <c r="C7673" s="25"/>
      <c r="D7673" s="25"/>
      <c r="E7673" s="25"/>
      <c r="F7673" s="25"/>
      <c r="G7673" s="25"/>
      <c r="H7673" s="25"/>
      <c r="I7673" s="25"/>
      <c r="J7673" s="25"/>
    </row>
    <row r="7674" spans="1:10" ht="14.4">
      <c r="A7674" s="25"/>
      <c r="B7674" s="25"/>
      <c r="C7674" s="25"/>
      <c r="D7674" s="25"/>
      <c r="E7674" s="25"/>
      <c r="F7674" s="25"/>
      <c r="G7674" s="25"/>
      <c r="H7674" s="25"/>
      <c r="I7674" s="25"/>
      <c r="J7674" s="25"/>
    </row>
    <row r="7675" spans="1:10" ht="14.4">
      <c r="A7675" s="25"/>
      <c r="B7675" s="25"/>
      <c r="C7675" s="25"/>
      <c r="D7675" s="25"/>
      <c r="E7675" s="25"/>
      <c r="F7675" s="25"/>
      <c r="G7675" s="25"/>
      <c r="H7675" s="25"/>
      <c r="I7675" s="25"/>
      <c r="J7675" s="25"/>
    </row>
    <row r="7676" spans="1:10" ht="14.4">
      <c r="A7676" s="25"/>
      <c r="B7676" s="25"/>
      <c r="C7676" s="25"/>
      <c r="D7676" s="25"/>
      <c r="E7676" s="25"/>
      <c r="F7676" s="25"/>
      <c r="G7676" s="25"/>
      <c r="H7676" s="25"/>
      <c r="I7676" s="25"/>
      <c r="J7676" s="25"/>
    </row>
    <row r="7677" spans="1:10" ht="14.4">
      <c r="A7677" s="25"/>
      <c r="B7677" s="25"/>
      <c r="C7677" s="25"/>
      <c r="D7677" s="25"/>
      <c r="E7677" s="25"/>
      <c r="F7677" s="25"/>
      <c r="G7677" s="25"/>
      <c r="H7677" s="25"/>
      <c r="I7677" s="25"/>
      <c r="J7677" s="25"/>
    </row>
    <row r="7678" spans="1:10" ht="14.4">
      <c r="A7678" s="25"/>
      <c r="B7678" s="25"/>
      <c r="C7678" s="25"/>
      <c r="D7678" s="25"/>
      <c r="E7678" s="25"/>
      <c r="F7678" s="25"/>
      <c r="G7678" s="25"/>
      <c r="H7678" s="25"/>
      <c r="I7678" s="25"/>
      <c r="J7678" s="25"/>
    </row>
    <row r="7679" spans="1:10" ht="14.4">
      <c r="A7679" s="25"/>
      <c r="B7679" s="25"/>
      <c r="C7679" s="25"/>
      <c r="D7679" s="25"/>
      <c r="E7679" s="25"/>
      <c r="F7679" s="25"/>
      <c r="G7679" s="25"/>
      <c r="H7679" s="25"/>
      <c r="I7679" s="25"/>
      <c r="J7679" s="25"/>
    </row>
    <row r="7680" spans="1:10" ht="14.4">
      <c r="A7680" s="25"/>
      <c r="B7680" s="25"/>
      <c r="C7680" s="25"/>
      <c r="D7680" s="25"/>
      <c r="E7680" s="25"/>
      <c r="F7680" s="25"/>
      <c r="G7680" s="25"/>
      <c r="H7680" s="25"/>
      <c r="I7680" s="25"/>
      <c r="J7680" s="25"/>
    </row>
    <row r="7681" spans="1:10" ht="14.4">
      <c r="A7681" s="25"/>
      <c r="B7681" s="25"/>
      <c r="C7681" s="25"/>
      <c r="D7681" s="25"/>
      <c r="E7681" s="25"/>
      <c r="F7681" s="25"/>
      <c r="G7681" s="25"/>
      <c r="H7681" s="25"/>
      <c r="I7681" s="25"/>
      <c r="J7681" s="25"/>
    </row>
    <row r="7682" spans="1:10" ht="14.4">
      <c r="A7682" s="25"/>
      <c r="B7682" s="25"/>
      <c r="C7682" s="25"/>
      <c r="D7682" s="25"/>
      <c r="E7682" s="25"/>
      <c r="F7682" s="25"/>
      <c r="G7682" s="25"/>
      <c r="H7682" s="25"/>
      <c r="I7682" s="25"/>
      <c r="J7682" s="25"/>
    </row>
    <row r="7683" spans="1:10" ht="14.4">
      <c r="A7683" s="25"/>
      <c r="B7683" s="25"/>
      <c r="C7683" s="25"/>
      <c r="D7683" s="25"/>
      <c r="E7683" s="25"/>
      <c r="F7683" s="25"/>
      <c r="G7683" s="25"/>
      <c r="H7683" s="25"/>
      <c r="I7683" s="25"/>
      <c r="J7683" s="25"/>
    </row>
    <row r="7684" spans="1:10" ht="14.4">
      <c r="A7684" s="25"/>
      <c r="B7684" s="25"/>
      <c r="C7684" s="25"/>
      <c r="D7684" s="25"/>
      <c r="E7684" s="25"/>
      <c r="F7684" s="25"/>
      <c r="G7684" s="25"/>
      <c r="H7684" s="25"/>
      <c r="I7684" s="25"/>
      <c r="J7684" s="25"/>
    </row>
    <row r="7685" spans="1:10" ht="14.4">
      <c r="A7685" s="25"/>
      <c r="B7685" s="25"/>
      <c r="C7685" s="25"/>
      <c r="D7685" s="25"/>
      <c r="E7685" s="25"/>
      <c r="F7685" s="25"/>
      <c r="G7685" s="25"/>
      <c r="H7685" s="25"/>
      <c r="I7685" s="25"/>
      <c r="J7685" s="25"/>
    </row>
    <row r="7686" spans="1:10" ht="14.4">
      <c r="A7686" s="25"/>
      <c r="B7686" s="25"/>
      <c r="C7686" s="25"/>
      <c r="D7686" s="25"/>
      <c r="E7686" s="25"/>
      <c r="F7686" s="25"/>
      <c r="G7686" s="25"/>
      <c r="H7686" s="25"/>
      <c r="I7686" s="25"/>
      <c r="J7686" s="25"/>
    </row>
    <row r="7687" spans="1:10" ht="14.4">
      <c r="A7687" s="25"/>
      <c r="B7687" s="25"/>
      <c r="C7687" s="25"/>
      <c r="D7687" s="25"/>
      <c r="E7687" s="25"/>
      <c r="F7687" s="25"/>
      <c r="G7687" s="25"/>
      <c r="H7687" s="25"/>
      <c r="I7687" s="25"/>
      <c r="J7687" s="25"/>
    </row>
    <row r="7688" spans="1:10" ht="14.4">
      <c r="A7688" s="25"/>
      <c r="B7688" s="25"/>
      <c r="C7688" s="25"/>
      <c r="D7688" s="25"/>
      <c r="E7688" s="25"/>
      <c r="F7688" s="25"/>
      <c r="G7688" s="25"/>
      <c r="H7688" s="25"/>
      <c r="I7688" s="25"/>
      <c r="J7688" s="25"/>
    </row>
    <row r="7689" spans="1:10" ht="14.4">
      <c r="A7689" s="25"/>
      <c r="B7689" s="25"/>
      <c r="C7689" s="25"/>
      <c r="D7689" s="25"/>
      <c r="E7689" s="25"/>
      <c r="F7689" s="25"/>
      <c r="G7689" s="25"/>
      <c r="H7689" s="25"/>
      <c r="I7689" s="25"/>
      <c r="J7689" s="25"/>
    </row>
    <row r="7690" spans="1:10" ht="14.4">
      <c r="A7690" s="25"/>
      <c r="B7690" s="25"/>
      <c r="C7690" s="25"/>
      <c r="D7690" s="25"/>
      <c r="E7690" s="25"/>
      <c r="F7690" s="25"/>
      <c r="G7690" s="25"/>
      <c r="H7690" s="25"/>
      <c r="I7690" s="25"/>
      <c r="J7690" s="25"/>
    </row>
    <row r="7691" spans="1:10" ht="14.4">
      <c r="A7691" s="25"/>
      <c r="B7691" s="25"/>
      <c r="C7691" s="25"/>
      <c r="D7691" s="25"/>
      <c r="E7691" s="25"/>
      <c r="F7691" s="25"/>
      <c r="G7691" s="25"/>
      <c r="H7691" s="25"/>
      <c r="I7691" s="25"/>
      <c r="J7691" s="25"/>
    </row>
    <row r="7692" spans="1:10" ht="14.4">
      <c r="A7692" s="25"/>
      <c r="B7692" s="25"/>
      <c r="C7692" s="25"/>
      <c r="D7692" s="25"/>
      <c r="E7692" s="25"/>
      <c r="F7692" s="25"/>
      <c r="G7692" s="25"/>
      <c r="H7692" s="25"/>
      <c r="I7692" s="25"/>
      <c r="J7692" s="25"/>
    </row>
    <row r="7693" spans="1:10" ht="14.4">
      <c r="A7693" s="25"/>
      <c r="B7693" s="25"/>
      <c r="C7693" s="25"/>
      <c r="D7693" s="25"/>
      <c r="E7693" s="25"/>
      <c r="F7693" s="25"/>
      <c r="G7693" s="25"/>
      <c r="H7693" s="25"/>
      <c r="I7693" s="25"/>
      <c r="J7693" s="25"/>
    </row>
    <row r="7694" spans="1:10" ht="14.4">
      <c r="A7694" s="25"/>
      <c r="B7694" s="25"/>
      <c r="C7694" s="25"/>
      <c r="D7694" s="25"/>
      <c r="E7694" s="25"/>
      <c r="F7694" s="25"/>
      <c r="G7694" s="25"/>
      <c r="H7694" s="25"/>
      <c r="I7694" s="25"/>
      <c r="J7694" s="25"/>
    </row>
    <row r="7695" spans="1:10" ht="14.4">
      <c r="A7695" s="25"/>
      <c r="B7695" s="25"/>
      <c r="C7695" s="25"/>
      <c r="D7695" s="25"/>
      <c r="E7695" s="25"/>
      <c r="F7695" s="25"/>
      <c r="G7695" s="25"/>
      <c r="H7695" s="25"/>
      <c r="I7695" s="25"/>
      <c r="J7695" s="25"/>
    </row>
    <row r="7696" spans="1:10" ht="14.4">
      <c r="A7696" s="25"/>
      <c r="B7696" s="25"/>
      <c r="C7696" s="25"/>
      <c r="D7696" s="25"/>
      <c r="E7696" s="25"/>
      <c r="F7696" s="25"/>
      <c r="G7696" s="25"/>
      <c r="H7696" s="25"/>
      <c r="I7696" s="25"/>
      <c r="J7696" s="25"/>
    </row>
    <row r="7697" spans="1:10" ht="14.4">
      <c r="A7697" s="25"/>
      <c r="B7697" s="25"/>
      <c r="C7697" s="25"/>
      <c r="D7697" s="25"/>
      <c r="E7697" s="25"/>
      <c r="F7697" s="25"/>
      <c r="G7697" s="25"/>
      <c r="H7697" s="25"/>
      <c r="I7697" s="25"/>
      <c r="J7697" s="25"/>
    </row>
    <row r="7698" spans="1:10" ht="14.4">
      <c r="A7698" s="25"/>
      <c r="B7698" s="25"/>
      <c r="C7698" s="25"/>
      <c r="D7698" s="25"/>
      <c r="E7698" s="25"/>
      <c r="F7698" s="25"/>
      <c r="G7698" s="25"/>
      <c r="H7698" s="25"/>
      <c r="I7698" s="25"/>
      <c r="J7698" s="25"/>
    </row>
    <row r="7699" spans="1:10" ht="14.4">
      <c r="A7699" s="25"/>
      <c r="B7699" s="25"/>
      <c r="C7699" s="25"/>
      <c r="D7699" s="25"/>
      <c r="E7699" s="25"/>
      <c r="F7699" s="25"/>
      <c r="G7699" s="25"/>
      <c r="H7699" s="25"/>
      <c r="I7699" s="25"/>
      <c r="J7699" s="25"/>
    </row>
    <row r="7700" spans="1:10" ht="14.4">
      <c r="A7700" s="25"/>
      <c r="B7700" s="25"/>
      <c r="C7700" s="25"/>
      <c r="D7700" s="25"/>
      <c r="E7700" s="25"/>
      <c r="F7700" s="25"/>
      <c r="G7700" s="25"/>
      <c r="H7700" s="25"/>
      <c r="I7700" s="25"/>
      <c r="J7700" s="25"/>
    </row>
    <row r="7701" spans="1:10" ht="14.4">
      <c r="A7701" s="25"/>
      <c r="B7701" s="25"/>
      <c r="C7701" s="25"/>
      <c r="D7701" s="25"/>
      <c r="E7701" s="25"/>
      <c r="F7701" s="25"/>
      <c r="G7701" s="25"/>
      <c r="H7701" s="25"/>
      <c r="I7701" s="25"/>
      <c r="J7701" s="25"/>
    </row>
    <row r="7702" spans="1:10" ht="14.4">
      <c r="A7702" s="25"/>
      <c r="B7702" s="25"/>
      <c r="C7702" s="25"/>
      <c r="D7702" s="25"/>
      <c r="E7702" s="25"/>
      <c r="F7702" s="25"/>
      <c r="G7702" s="25"/>
      <c r="H7702" s="25"/>
      <c r="I7702" s="25"/>
      <c r="J7702" s="25"/>
    </row>
    <row r="7703" spans="1:10" ht="14.4">
      <c r="A7703" s="25"/>
      <c r="B7703" s="25"/>
      <c r="C7703" s="25"/>
      <c r="D7703" s="25"/>
      <c r="E7703" s="25"/>
      <c r="F7703" s="25"/>
      <c r="G7703" s="25"/>
      <c r="H7703" s="25"/>
      <c r="I7703" s="25"/>
      <c r="J7703" s="25"/>
    </row>
    <row r="7704" spans="1:10" ht="14.4">
      <c r="A7704" s="25"/>
      <c r="B7704" s="25"/>
      <c r="C7704" s="25"/>
      <c r="D7704" s="25"/>
      <c r="E7704" s="25"/>
      <c r="F7704" s="25"/>
      <c r="G7704" s="25"/>
      <c r="H7704" s="25"/>
      <c r="I7704" s="25"/>
      <c r="J7704" s="25"/>
    </row>
    <row r="7705" spans="1:10" ht="14.4">
      <c r="A7705" s="25"/>
      <c r="B7705" s="25"/>
      <c r="C7705" s="25"/>
      <c r="D7705" s="25"/>
      <c r="E7705" s="25"/>
      <c r="F7705" s="25"/>
      <c r="G7705" s="25"/>
      <c r="H7705" s="25"/>
      <c r="I7705" s="25"/>
      <c r="J7705" s="25"/>
    </row>
    <row r="7706" spans="1:10" ht="14.4">
      <c r="A7706" s="25"/>
      <c r="B7706" s="25"/>
      <c r="C7706" s="25"/>
      <c r="D7706" s="25"/>
      <c r="E7706" s="25"/>
      <c r="F7706" s="25"/>
      <c r="G7706" s="25"/>
      <c r="H7706" s="25"/>
      <c r="I7706" s="25"/>
      <c r="J7706" s="25"/>
    </row>
    <row r="7707" spans="1:10" ht="14.4">
      <c r="A7707" s="25"/>
      <c r="B7707" s="25"/>
      <c r="C7707" s="25"/>
      <c r="D7707" s="25"/>
      <c r="E7707" s="25"/>
      <c r="F7707" s="25"/>
      <c r="G7707" s="25"/>
      <c r="H7707" s="25"/>
      <c r="I7707" s="25"/>
      <c r="J7707" s="25"/>
    </row>
    <row r="7708" spans="1:10" ht="14.4">
      <c r="A7708" s="25"/>
      <c r="B7708" s="25"/>
      <c r="C7708" s="25"/>
      <c r="D7708" s="25"/>
      <c r="E7708" s="25"/>
      <c r="F7708" s="25"/>
      <c r="G7708" s="25"/>
      <c r="H7708" s="25"/>
      <c r="I7708" s="25"/>
      <c r="J7708" s="25"/>
    </row>
    <row r="7709" spans="1:10" ht="14.4">
      <c r="A7709" s="25"/>
      <c r="B7709" s="25"/>
      <c r="C7709" s="25"/>
      <c r="D7709" s="25"/>
      <c r="E7709" s="25"/>
      <c r="F7709" s="25"/>
      <c r="G7709" s="25"/>
      <c r="H7709" s="25"/>
      <c r="I7709" s="25"/>
      <c r="J7709" s="25"/>
    </row>
    <row r="7710" spans="1:10" ht="14.4">
      <c r="A7710" s="25"/>
      <c r="B7710" s="25"/>
      <c r="C7710" s="25"/>
      <c r="D7710" s="25"/>
      <c r="E7710" s="25"/>
      <c r="F7710" s="25"/>
      <c r="G7710" s="25"/>
      <c r="H7710" s="25"/>
      <c r="I7710" s="25"/>
      <c r="J7710" s="25"/>
    </row>
    <row r="7711" spans="1:10" ht="14.4">
      <c r="A7711" s="25"/>
      <c r="B7711" s="25"/>
      <c r="C7711" s="25"/>
      <c r="D7711" s="25"/>
      <c r="E7711" s="25"/>
      <c r="F7711" s="25"/>
      <c r="G7711" s="25"/>
      <c r="H7711" s="25"/>
      <c r="I7711" s="25"/>
      <c r="J7711" s="25"/>
    </row>
    <row r="7712" spans="1:10" ht="14.4">
      <c r="A7712" s="25"/>
      <c r="B7712" s="25"/>
      <c r="C7712" s="25"/>
      <c r="D7712" s="25"/>
      <c r="E7712" s="25"/>
      <c r="F7712" s="25"/>
      <c r="G7712" s="25"/>
      <c r="H7712" s="25"/>
      <c r="I7712" s="25"/>
      <c r="J7712" s="25"/>
    </row>
    <row r="7713" spans="1:10" ht="14.4">
      <c r="A7713" s="25"/>
      <c r="B7713" s="25"/>
      <c r="C7713" s="25"/>
      <c r="D7713" s="25"/>
      <c r="E7713" s="25"/>
      <c r="F7713" s="25"/>
      <c r="G7713" s="25"/>
      <c r="H7713" s="25"/>
      <c r="I7713" s="25"/>
      <c r="J7713" s="25"/>
    </row>
    <row r="7714" spans="1:10" ht="14.4">
      <c r="A7714" s="25"/>
      <c r="B7714" s="25"/>
      <c r="C7714" s="25"/>
      <c r="D7714" s="25"/>
      <c r="E7714" s="25"/>
      <c r="F7714" s="25"/>
      <c r="G7714" s="25"/>
      <c r="H7714" s="25"/>
      <c r="I7714" s="25"/>
      <c r="J7714" s="25"/>
    </row>
    <row r="7715" spans="1:10" ht="14.4">
      <c r="A7715" s="25"/>
      <c r="B7715" s="25"/>
      <c r="C7715" s="25"/>
      <c r="D7715" s="25"/>
      <c r="E7715" s="25"/>
      <c r="F7715" s="25"/>
      <c r="G7715" s="25"/>
      <c r="H7715" s="25"/>
      <c r="I7715" s="25"/>
      <c r="J7715" s="25"/>
    </row>
    <row r="7716" spans="1:10" ht="14.4">
      <c r="A7716" s="25"/>
      <c r="B7716" s="25"/>
      <c r="C7716" s="25"/>
      <c r="D7716" s="25"/>
      <c r="E7716" s="25"/>
      <c r="F7716" s="25"/>
      <c r="G7716" s="25"/>
      <c r="H7716" s="25"/>
      <c r="I7716" s="25"/>
      <c r="J7716" s="25"/>
    </row>
    <row r="7717" spans="1:10" ht="14.4">
      <c r="A7717" s="25"/>
      <c r="B7717" s="25"/>
      <c r="C7717" s="25"/>
      <c r="D7717" s="25"/>
      <c r="E7717" s="25"/>
      <c r="F7717" s="25"/>
      <c r="G7717" s="25"/>
      <c r="H7717" s="25"/>
      <c r="I7717" s="25"/>
      <c r="J7717" s="25"/>
    </row>
    <row r="7718" spans="1:10" ht="14.4">
      <c r="A7718" s="25"/>
      <c r="B7718" s="25"/>
      <c r="C7718" s="25"/>
      <c r="D7718" s="25"/>
      <c r="E7718" s="25"/>
      <c r="F7718" s="25"/>
      <c r="G7718" s="25"/>
      <c r="H7718" s="25"/>
      <c r="I7718" s="25"/>
      <c r="J7718" s="25"/>
    </row>
    <row r="7719" spans="1:10" ht="14.4">
      <c r="A7719" s="25"/>
      <c r="B7719" s="25"/>
      <c r="C7719" s="25"/>
      <c r="D7719" s="25"/>
      <c r="E7719" s="25"/>
      <c r="F7719" s="25"/>
      <c r="G7719" s="25"/>
      <c r="H7719" s="25"/>
      <c r="I7719" s="25"/>
      <c r="J7719" s="25"/>
    </row>
    <row r="7720" spans="1:10" ht="14.4">
      <c r="A7720" s="25"/>
      <c r="B7720" s="25"/>
      <c r="C7720" s="25"/>
      <c r="D7720" s="25"/>
      <c r="E7720" s="25"/>
      <c r="F7720" s="25"/>
      <c r="G7720" s="25"/>
      <c r="H7720" s="25"/>
      <c r="I7720" s="25"/>
      <c r="J7720" s="25"/>
    </row>
    <row r="7721" spans="1:10" ht="14.4">
      <c r="A7721" s="25"/>
      <c r="B7721" s="25"/>
      <c r="C7721" s="25"/>
      <c r="D7721" s="25"/>
      <c r="E7721" s="25"/>
      <c r="F7721" s="25"/>
      <c r="G7721" s="25"/>
      <c r="H7721" s="25"/>
      <c r="I7721" s="25"/>
      <c r="J7721" s="25"/>
    </row>
    <row r="7722" spans="1:10" ht="14.4">
      <c r="A7722" s="25"/>
      <c r="B7722" s="25"/>
      <c r="C7722" s="25"/>
      <c r="D7722" s="25"/>
      <c r="E7722" s="25"/>
      <c r="F7722" s="25"/>
      <c r="G7722" s="25"/>
      <c r="H7722" s="25"/>
      <c r="I7722" s="25"/>
      <c r="J7722" s="25"/>
    </row>
    <row r="7723" spans="1:10" ht="14.4">
      <c r="A7723" s="25"/>
      <c r="B7723" s="25"/>
      <c r="C7723" s="25"/>
      <c r="D7723" s="25"/>
      <c r="E7723" s="25"/>
      <c r="F7723" s="25"/>
      <c r="G7723" s="25"/>
      <c r="H7723" s="25"/>
      <c r="I7723" s="25"/>
      <c r="J7723" s="25"/>
    </row>
    <row r="7724" spans="1:10" ht="14.4">
      <c r="A7724" s="25"/>
      <c r="B7724" s="25"/>
      <c r="C7724" s="25"/>
      <c r="D7724" s="25"/>
      <c r="E7724" s="25"/>
      <c r="F7724" s="25"/>
      <c r="G7724" s="25"/>
      <c r="H7724" s="25"/>
      <c r="I7724" s="25"/>
      <c r="J7724" s="25"/>
    </row>
    <row r="7725" spans="1:10" ht="14.4">
      <c r="A7725" s="25"/>
      <c r="B7725" s="25"/>
      <c r="C7725" s="25"/>
      <c r="D7725" s="25"/>
      <c r="E7725" s="25"/>
      <c r="F7725" s="25"/>
      <c r="G7725" s="25"/>
      <c r="H7725" s="25"/>
      <c r="I7725" s="25"/>
      <c r="J7725" s="25"/>
    </row>
    <row r="7726" spans="1:10" ht="14.4">
      <c r="A7726" s="25"/>
      <c r="B7726" s="25"/>
      <c r="C7726" s="25"/>
      <c r="D7726" s="25"/>
      <c r="E7726" s="25"/>
      <c r="F7726" s="25"/>
      <c r="G7726" s="25"/>
      <c r="H7726" s="25"/>
      <c r="I7726" s="25"/>
      <c r="J7726" s="25"/>
    </row>
    <row r="7727" spans="1:10" ht="14.4">
      <c r="A7727" s="25"/>
      <c r="B7727" s="25"/>
      <c r="C7727" s="25"/>
      <c r="D7727" s="25"/>
      <c r="E7727" s="25"/>
      <c r="F7727" s="25"/>
      <c r="G7727" s="25"/>
      <c r="H7727" s="25"/>
      <c r="I7727" s="25"/>
      <c r="J7727" s="25"/>
    </row>
    <row r="7728" spans="1:10" ht="14.4">
      <c r="A7728" s="25"/>
      <c r="B7728" s="25"/>
      <c r="C7728" s="25"/>
      <c r="D7728" s="25"/>
      <c r="E7728" s="25"/>
      <c r="F7728" s="25"/>
      <c r="G7728" s="25"/>
      <c r="H7728" s="25"/>
      <c r="I7728" s="25"/>
      <c r="J7728" s="25"/>
    </row>
    <row r="7729" spans="1:10" ht="14.4">
      <c r="A7729" s="25"/>
      <c r="B7729" s="25"/>
      <c r="C7729" s="25"/>
      <c r="D7729" s="25"/>
      <c r="E7729" s="25"/>
      <c r="F7729" s="25"/>
      <c r="G7729" s="25"/>
      <c r="H7729" s="25"/>
      <c r="I7729" s="25"/>
      <c r="J7729" s="25"/>
    </row>
    <row r="7730" spans="1:10" ht="14.4">
      <c r="A7730" s="25"/>
      <c r="B7730" s="25"/>
      <c r="C7730" s="25"/>
      <c r="D7730" s="25"/>
      <c r="E7730" s="25"/>
      <c r="F7730" s="25"/>
      <c r="G7730" s="25"/>
      <c r="H7730" s="25"/>
      <c r="I7730" s="25"/>
      <c r="J7730" s="25"/>
    </row>
    <row r="7731" spans="1:10" ht="14.4">
      <c r="A7731" s="25"/>
      <c r="B7731" s="25"/>
      <c r="C7731" s="25"/>
      <c r="D7731" s="25"/>
      <c r="E7731" s="25"/>
      <c r="F7731" s="25"/>
      <c r="G7731" s="25"/>
      <c r="H7731" s="25"/>
      <c r="I7731" s="25"/>
      <c r="J7731" s="25"/>
    </row>
    <row r="7732" spans="1:10" ht="14.4">
      <c r="A7732" s="25"/>
      <c r="B7732" s="25"/>
      <c r="C7732" s="25"/>
      <c r="D7732" s="25"/>
      <c r="E7732" s="25"/>
      <c r="F7732" s="25"/>
      <c r="G7732" s="25"/>
      <c r="H7732" s="25"/>
      <c r="I7732" s="25"/>
      <c r="J7732" s="25"/>
    </row>
    <row r="7733" spans="1:10" ht="14.4">
      <c r="A7733" s="25"/>
      <c r="B7733" s="25"/>
      <c r="C7733" s="25"/>
      <c r="D7733" s="25"/>
      <c r="E7733" s="25"/>
      <c r="F7733" s="25"/>
      <c r="G7733" s="25"/>
      <c r="H7733" s="25"/>
      <c r="I7733" s="25"/>
      <c r="J7733" s="25"/>
    </row>
    <row r="7734" spans="1:10" ht="14.4">
      <c r="A7734" s="25"/>
      <c r="B7734" s="25"/>
      <c r="C7734" s="25"/>
      <c r="D7734" s="25"/>
      <c r="E7734" s="25"/>
      <c r="F7734" s="25"/>
      <c r="G7734" s="25"/>
      <c r="H7734" s="25"/>
      <c r="I7734" s="25"/>
      <c r="J7734" s="25"/>
    </row>
    <row r="7735" spans="1:10" ht="14.4">
      <c r="A7735" s="25"/>
      <c r="B7735" s="25"/>
      <c r="C7735" s="25"/>
      <c r="D7735" s="25"/>
      <c r="E7735" s="25"/>
      <c r="F7735" s="25"/>
      <c r="G7735" s="25"/>
      <c r="H7735" s="25"/>
      <c r="I7735" s="25"/>
      <c r="J7735" s="25"/>
    </row>
    <row r="7736" spans="1:10" ht="14.4">
      <c r="A7736" s="25"/>
      <c r="B7736" s="25"/>
      <c r="C7736" s="25"/>
      <c r="D7736" s="25"/>
      <c r="E7736" s="25"/>
      <c r="F7736" s="25"/>
      <c r="G7736" s="25"/>
      <c r="H7736" s="25"/>
      <c r="I7736" s="25"/>
      <c r="J7736" s="25"/>
    </row>
    <row r="7737" spans="1:10" ht="14.4">
      <c r="A7737" s="25"/>
      <c r="B7737" s="25"/>
      <c r="C7737" s="25"/>
      <c r="D7737" s="25"/>
      <c r="E7737" s="25"/>
      <c r="F7737" s="25"/>
      <c r="G7737" s="25"/>
      <c r="H7737" s="25"/>
      <c r="I7737" s="25"/>
      <c r="J7737" s="25"/>
    </row>
    <row r="7738" spans="1:10" ht="14.4">
      <c r="A7738" s="25"/>
      <c r="B7738" s="25"/>
      <c r="C7738" s="25"/>
      <c r="D7738" s="25"/>
      <c r="E7738" s="25"/>
      <c r="F7738" s="25"/>
      <c r="G7738" s="25"/>
      <c r="H7738" s="25"/>
      <c r="I7738" s="25"/>
      <c r="J7738" s="25"/>
    </row>
    <row r="7739" spans="1:10" ht="14.4">
      <c r="A7739" s="25"/>
      <c r="B7739" s="25"/>
      <c r="C7739" s="25"/>
      <c r="D7739" s="25"/>
      <c r="E7739" s="25"/>
      <c r="F7739" s="25"/>
      <c r="G7739" s="25"/>
      <c r="H7739" s="25"/>
      <c r="I7739" s="25"/>
      <c r="J7739" s="25"/>
    </row>
    <row r="7740" spans="1:10" ht="14.4">
      <c r="A7740" s="25"/>
      <c r="B7740" s="25"/>
      <c r="C7740" s="25"/>
      <c r="D7740" s="25"/>
      <c r="E7740" s="25"/>
      <c r="F7740" s="25"/>
      <c r="G7740" s="25"/>
      <c r="H7740" s="25"/>
      <c r="I7740" s="25"/>
      <c r="J7740" s="25"/>
    </row>
    <row r="7741" spans="1:10" ht="14.4">
      <c r="A7741" s="25"/>
      <c r="B7741" s="25"/>
      <c r="C7741" s="25"/>
      <c r="D7741" s="25"/>
      <c r="E7741" s="25"/>
      <c r="F7741" s="25"/>
      <c r="G7741" s="25"/>
      <c r="H7741" s="25"/>
      <c r="I7741" s="25"/>
      <c r="J7741" s="25"/>
    </row>
    <row r="7742" spans="1:10" ht="14.4">
      <c r="A7742" s="25"/>
      <c r="B7742" s="25"/>
      <c r="C7742" s="25"/>
      <c r="D7742" s="25"/>
      <c r="E7742" s="25"/>
      <c r="F7742" s="25"/>
      <c r="G7742" s="25"/>
      <c r="H7742" s="25"/>
      <c r="I7742" s="25"/>
      <c r="J7742" s="25"/>
    </row>
    <row r="7743" spans="1:10" ht="14.4">
      <c r="A7743" s="25"/>
      <c r="B7743" s="25"/>
      <c r="C7743" s="25"/>
      <c r="D7743" s="25"/>
      <c r="E7743" s="25"/>
      <c r="F7743" s="25"/>
      <c r="G7743" s="25"/>
      <c r="H7743" s="25"/>
      <c r="I7743" s="25"/>
      <c r="J7743" s="25"/>
    </row>
    <row r="7744" spans="1:10" ht="14.4">
      <c r="A7744" s="25"/>
      <c r="B7744" s="25"/>
      <c r="C7744" s="25"/>
      <c r="D7744" s="25"/>
      <c r="E7744" s="25"/>
      <c r="F7744" s="25"/>
      <c r="G7744" s="25"/>
      <c r="H7744" s="25"/>
      <c r="I7744" s="25"/>
      <c r="J7744" s="25"/>
    </row>
    <row r="7745" spans="1:10" ht="14.4">
      <c r="A7745" s="25"/>
      <c r="B7745" s="25"/>
      <c r="C7745" s="25"/>
      <c r="D7745" s="25"/>
      <c r="E7745" s="25"/>
      <c r="F7745" s="25"/>
      <c r="G7745" s="25"/>
      <c r="H7745" s="25"/>
      <c r="I7745" s="25"/>
      <c r="J7745" s="25"/>
    </row>
    <row r="7746" spans="1:10" ht="14.4">
      <c r="A7746" s="25"/>
      <c r="B7746" s="25"/>
      <c r="C7746" s="25"/>
      <c r="D7746" s="25"/>
      <c r="E7746" s="25"/>
      <c r="F7746" s="25"/>
      <c r="G7746" s="25"/>
      <c r="H7746" s="25"/>
      <c r="I7746" s="25"/>
      <c r="J7746" s="25"/>
    </row>
    <row r="7747" spans="1:10" ht="14.4">
      <c r="A7747" s="25"/>
      <c r="B7747" s="25"/>
      <c r="C7747" s="25"/>
      <c r="D7747" s="25"/>
      <c r="E7747" s="25"/>
      <c r="F7747" s="25"/>
      <c r="G7747" s="25"/>
      <c r="H7747" s="25"/>
      <c r="I7747" s="25"/>
      <c r="J7747" s="25"/>
    </row>
    <row r="7748" spans="1:10" ht="14.4">
      <c r="A7748" s="25"/>
      <c r="B7748" s="25"/>
      <c r="C7748" s="25"/>
      <c r="D7748" s="25"/>
      <c r="E7748" s="25"/>
      <c r="F7748" s="25"/>
      <c r="G7748" s="25"/>
      <c r="H7748" s="25"/>
      <c r="I7748" s="25"/>
      <c r="J7748" s="25"/>
    </row>
    <row r="7749" spans="1:10" ht="14.4">
      <c r="A7749" s="25"/>
      <c r="B7749" s="25"/>
      <c r="C7749" s="25"/>
      <c r="D7749" s="25"/>
      <c r="E7749" s="25"/>
      <c r="F7749" s="25"/>
      <c r="G7749" s="25"/>
      <c r="H7749" s="25"/>
      <c r="I7749" s="25"/>
      <c r="J7749" s="25"/>
    </row>
    <row r="7750" spans="1:10" ht="14.4">
      <c r="A7750" s="25"/>
      <c r="B7750" s="25"/>
      <c r="C7750" s="25"/>
      <c r="D7750" s="25"/>
      <c r="E7750" s="25"/>
      <c r="F7750" s="25"/>
      <c r="G7750" s="25"/>
      <c r="H7750" s="25"/>
      <c r="I7750" s="25"/>
      <c r="J7750" s="25"/>
    </row>
    <row r="7751" spans="1:10" ht="14.4">
      <c r="A7751" s="25"/>
      <c r="B7751" s="25"/>
      <c r="C7751" s="25"/>
      <c r="D7751" s="25"/>
      <c r="E7751" s="25"/>
      <c r="F7751" s="25"/>
      <c r="G7751" s="25"/>
      <c r="H7751" s="25"/>
      <c r="I7751" s="25"/>
      <c r="J7751" s="25"/>
    </row>
    <row r="7752" spans="1:10" ht="14.4">
      <c r="A7752" s="25"/>
      <c r="B7752" s="25"/>
      <c r="C7752" s="25"/>
      <c r="D7752" s="25"/>
      <c r="E7752" s="25"/>
      <c r="F7752" s="25"/>
      <c r="G7752" s="25"/>
      <c r="H7752" s="25"/>
      <c r="I7752" s="25"/>
      <c r="J7752" s="25"/>
    </row>
    <row r="7753" spans="1:10" ht="14.4">
      <c r="A7753" s="25"/>
      <c r="B7753" s="25"/>
      <c r="C7753" s="25"/>
      <c r="D7753" s="25"/>
      <c r="E7753" s="25"/>
      <c r="F7753" s="25"/>
      <c r="G7753" s="25"/>
      <c r="H7753" s="25"/>
      <c r="I7753" s="25"/>
      <c r="J7753" s="25"/>
    </row>
    <row r="7754" spans="1:10" ht="14.4">
      <c r="A7754" s="25"/>
      <c r="B7754" s="25"/>
      <c r="C7754" s="25"/>
      <c r="D7754" s="25"/>
      <c r="E7754" s="25"/>
      <c r="F7754" s="25"/>
      <c r="G7754" s="25"/>
      <c r="H7754" s="25"/>
      <c r="I7754" s="25"/>
      <c r="J7754" s="25"/>
    </row>
    <row r="7755" spans="1:10" ht="14.4">
      <c r="A7755" s="25"/>
      <c r="B7755" s="25"/>
      <c r="C7755" s="25"/>
      <c r="D7755" s="25"/>
      <c r="E7755" s="25"/>
      <c r="F7755" s="25"/>
      <c r="G7755" s="25"/>
      <c r="H7755" s="25"/>
      <c r="I7755" s="25"/>
      <c r="J7755" s="25"/>
    </row>
    <row r="7756" spans="1:10" ht="14.4">
      <c r="A7756" s="25"/>
      <c r="B7756" s="25"/>
      <c r="C7756" s="25"/>
      <c r="D7756" s="25"/>
      <c r="E7756" s="25"/>
      <c r="F7756" s="25"/>
      <c r="G7756" s="25"/>
      <c r="H7756" s="25"/>
      <c r="I7756" s="25"/>
      <c r="J7756" s="25"/>
    </row>
    <row r="7757" spans="1:10" ht="14.4">
      <c r="A7757" s="25"/>
      <c r="B7757" s="25"/>
      <c r="C7757" s="25"/>
      <c r="D7757" s="25"/>
      <c r="E7757" s="25"/>
      <c r="F7757" s="25"/>
      <c r="G7757" s="25"/>
      <c r="H7757" s="25"/>
      <c r="I7757" s="25"/>
      <c r="J7757" s="25"/>
    </row>
    <row r="7758" spans="1:10" ht="14.4">
      <c r="A7758" s="25"/>
      <c r="B7758" s="25"/>
      <c r="C7758" s="25"/>
      <c r="D7758" s="25"/>
      <c r="E7758" s="25"/>
      <c r="F7758" s="25"/>
      <c r="G7758" s="25"/>
      <c r="H7758" s="25"/>
      <c r="I7758" s="25"/>
      <c r="J7758" s="25"/>
    </row>
    <row r="7759" spans="1:10" ht="14.4">
      <c r="A7759" s="25"/>
      <c r="B7759" s="25"/>
      <c r="C7759" s="25"/>
      <c r="D7759" s="25"/>
      <c r="E7759" s="25"/>
      <c r="F7759" s="25"/>
      <c r="G7759" s="25"/>
      <c r="H7759" s="25"/>
      <c r="I7759" s="25"/>
      <c r="J7759" s="25"/>
    </row>
    <row r="7760" spans="1:10" ht="14.4">
      <c r="A7760" s="25"/>
      <c r="B7760" s="25"/>
      <c r="C7760" s="25"/>
      <c r="D7760" s="25"/>
      <c r="E7760" s="25"/>
      <c r="F7760" s="25"/>
      <c r="G7760" s="25"/>
      <c r="H7760" s="25"/>
      <c r="I7760" s="25"/>
      <c r="J7760" s="25"/>
    </row>
    <row r="7761" spans="1:10" ht="14.4">
      <c r="A7761" s="25"/>
      <c r="B7761" s="25"/>
      <c r="C7761" s="25"/>
      <c r="D7761" s="25"/>
      <c r="E7761" s="25"/>
      <c r="F7761" s="25"/>
      <c r="G7761" s="25"/>
      <c r="H7761" s="25"/>
      <c r="I7761" s="25"/>
      <c r="J7761" s="25"/>
    </row>
    <row r="7762" spans="1:10" ht="14.4">
      <c r="A7762" s="25"/>
      <c r="B7762" s="25"/>
      <c r="C7762" s="25"/>
      <c r="D7762" s="25"/>
      <c r="E7762" s="25"/>
      <c r="F7762" s="25"/>
      <c r="G7762" s="25"/>
      <c r="H7762" s="25"/>
      <c r="I7762" s="25"/>
      <c r="J7762" s="25"/>
    </row>
    <row r="7763" spans="1:10" ht="14.4">
      <c r="A7763" s="25"/>
      <c r="B7763" s="25"/>
      <c r="C7763" s="25"/>
      <c r="D7763" s="25"/>
      <c r="E7763" s="25"/>
      <c r="F7763" s="25"/>
      <c r="G7763" s="25"/>
      <c r="H7763" s="25"/>
      <c r="I7763" s="25"/>
      <c r="J7763" s="25"/>
    </row>
    <row r="7764" spans="1:10" ht="14.4">
      <c r="A7764" s="25"/>
      <c r="B7764" s="25"/>
      <c r="C7764" s="25"/>
      <c r="D7764" s="25"/>
      <c r="E7764" s="25"/>
      <c r="F7764" s="25"/>
      <c r="G7764" s="25"/>
      <c r="H7764" s="25"/>
      <c r="I7764" s="25"/>
      <c r="J7764" s="25"/>
    </row>
    <row r="7765" spans="1:10" ht="14.4">
      <c r="A7765" s="25"/>
      <c r="B7765" s="25"/>
      <c r="C7765" s="25"/>
      <c r="D7765" s="25"/>
      <c r="E7765" s="25"/>
      <c r="F7765" s="25"/>
      <c r="G7765" s="25"/>
      <c r="H7765" s="25"/>
      <c r="I7765" s="25"/>
      <c r="J7765" s="25"/>
    </row>
    <row r="7766" spans="1:10" ht="14.4">
      <c r="A7766" s="25"/>
      <c r="B7766" s="25"/>
      <c r="C7766" s="25"/>
      <c r="D7766" s="25"/>
      <c r="E7766" s="25"/>
      <c r="F7766" s="25"/>
      <c r="G7766" s="25"/>
      <c r="H7766" s="25"/>
      <c r="I7766" s="25"/>
      <c r="J7766" s="25"/>
    </row>
    <row r="7767" spans="1:10" ht="14.4">
      <c r="A7767" s="25"/>
      <c r="B7767" s="25"/>
      <c r="C7767" s="25"/>
      <c r="D7767" s="25"/>
      <c r="E7767" s="25"/>
      <c r="F7767" s="25"/>
      <c r="G7767" s="25"/>
      <c r="H7767" s="25"/>
      <c r="I7767" s="25"/>
      <c r="J7767" s="25"/>
    </row>
    <row r="7768" spans="1:10" ht="14.4">
      <c r="A7768" s="25"/>
      <c r="B7768" s="25"/>
      <c r="C7768" s="25"/>
      <c r="D7768" s="25"/>
      <c r="E7768" s="25"/>
      <c r="F7768" s="25"/>
      <c r="G7768" s="25"/>
      <c r="H7768" s="25"/>
      <c r="I7768" s="25"/>
      <c r="J7768" s="25"/>
    </row>
    <row r="7769" spans="1:10" ht="14.4">
      <c r="A7769" s="25"/>
      <c r="B7769" s="25"/>
      <c r="C7769" s="25"/>
      <c r="D7769" s="25"/>
      <c r="E7769" s="25"/>
      <c r="F7769" s="25"/>
      <c r="G7769" s="25"/>
      <c r="H7769" s="25"/>
      <c r="I7769" s="25"/>
      <c r="J7769" s="25"/>
    </row>
    <row r="7770" spans="1:10" ht="14.4">
      <c r="A7770" s="25"/>
      <c r="B7770" s="25"/>
      <c r="C7770" s="25"/>
      <c r="D7770" s="25"/>
      <c r="E7770" s="25"/>
      <c r="F7770" s="25"/>
      <c r="G7770" s="25"/>
      <c r="H7770" s="25"/>
      <c r="I7770" s="25"/>
      <c r="J7770" s="25"/>
    </row>
    <row r="7771" spans="1:10" ht="14.4">
      <c r="A7771" s="25"/>
      <c r="B7771" s="25"/>
      <c r="C7771" s="25"/>
      <c r="D7771" s="25"/>
      <c r="E7771" s="25"/>
      <c r="F7771" s="25"/>
      <c r="G7771" s="25"/>
      <c r="H7771" s="25"/>
      <c r="I7771" s="25"/>
      <c r="J7771" s="25"/>
    </row>
    <row r="7772" spans="1:10" ht="14.4">
      <c r="A7772" s="25"/>
      <c r="B7772" s="25"/>
      <c r="C7772" s="25"/>
      <c r="D7772" s="25"/>
      <c r="E7772" s="25"/>
      <c r="F7772" s="25"/>
      <c r="G7772" s="25"/>
      <c r="H7772" s="25"/>
      <c r="I7772" s="25"/>
      <c r="J7772" s="25"/>
    </row>
    <row r="7773" spans="1:10" ht="14.4">
      <c r="A7773" s="25"/>
      <c r="B7773" s="25"/>
      <c r="C7773" s="25"/>
      <c r="D7773" s="25"/>
      <c r="E7773" s="25"/>
      <c r="F7773" s="25"/>
      <c r="G7773" s="25"/>
      <c r="H7773" s="25"/>
      <c r="I7773" s="25"/>
      <c r="J7773" s="25"/>
    </row>
    <row r="7774" spans="1:10" ht="14.4">
      <c r="A7774" s="25"/>
      <c r="B7774" s="25"/>
      <c r="C7774" s="25"/>
      <c r="D7774" s="25"/>
      <c r="E7774" s="25"/>
      <c r="F7774" s="25"/>
      <c r="G7774" s="25"/>
      <c r="H7774" s="25"/>
      <c r="I7774" s="25"/>
      <c r="J7774" s="25"/>
    </row>
    <row r="7775" spans="1:10" ht="14.4">
      <c r="A7775" s="25"/>
      <c r="B7775" s="25"/>
      <c r="C7775" s="25"/>
      <c r="D7775" s="25"/>
      <c r="E7775" s="25"/>
      <c r="F7775" s="25"/>
      <c r="G7775" s="25"/>
      <c r="H7775" s="25"/>
      <c r="I7775" s="25"/>
      <c r="J7775" s="25"/>
    </row>
    <row r="7776" spans="1:10" ht="14.4">
      <c r="A7776" s="25"/>
      <c r="B7776" s="25"/>
      <c r="C7776" s="25"/>
      <c r="D7776" s="25"/>
      <c r="E7776" s="25"/>
      <c r="F7776" s="25"/>
      <c r="G7776" s="25"/>
      <c r="H7776" s="25"/>
      <c r="I7776" s="25"/>
      <c r="J7776" s="25"/>
    </row>
    <row r="7777" spans="1:10" ht="14.4">
      <c r="A7777" s="25"/>
      <c r="B7777" s="25"/>
      <c r="C7777" s="25"/>
      <c r="D7777" s="25"/>
      <c r="E7777" s="25"/>
      <c r="F7777" s="25"/>
      <c r="G7777" s="25"/>
      <c r="H7777" s="25"/>
      <c r="I7777" s="25"/>
      <c r="J7777" s="25"/>
    </row>
    <row r="7778" spans="1:10" ht="14.4">
      <c r="A7778" s="25"/>
      <c r="B7778" s="25"/>
      <c r="C7778" s="25"/>
      <c r="D7778" s="25"/>
      <c r="E7778" s="25"/>
      <c r="F7778" s="25"/>
      <c r="G7778" s="25"/>
      <c r="H7778" s="25"/>
      <c r="I7778" s="25"/>
      <c r="J7778" s="25"/>
    </row>
    <row r="7779" spans="1:10" ht="14.4">
      <c r="A7779" s="25"/>
      <c r="B7779" s="25"/>
      <c r="C7779" s="25"/>
      <c r="D7779" s="25"/>
      <c r="E7779" s="25"/>
      <c r="F7779" s="25"/>
      <c r="G7779" s="25"/>
      <c r="H7779" s="25"/>
      <c r="I7779" s="25"/>
      <c r="J7779" s="25"/>
    </row>
    <row r="7780" spans="1:10" ht="14.4">
      <c r="A7780" s="25"/>
      <c r="B7780" s="25"/>
      <c r="C7780" s="25"/>
      <c r="D7780" s="25"/>
      <c r="E7780" s="25"/>
      <c r="F7780" s="25"/>
      <c r="G7780" s="25"/>
      <c r="H7780" s="25"/>
      <c r="I7780" s="25"/>
      <c r="J7780" s="25"/>
    </row>
    <row r="7781" spans="1:10" ht="14.4">
      <c r="A7781" s="25"/>
      <c r="B7781" s="25"/>
      <c r="C7781" s="25"/>
      <c r="D7781" s="25"/>
      <c r="E7781" s="25"/>
      <c r="F7781" s="25"/>
      <c r="G7781" s="25"/>
      <c r="H7781" s="25"/>
      <c r="I7781" s="25"/>
      <c r="J7781" s="25"/>
    </row>
    <row r="7782" spans="1:10" ht="14.4">
      <c r="A7782" s="25"/>
      <c r="B7782" s="25"/>
      <c r="C7782" s="25"/>
      <c r="D7782" s="25"/>
      <c r="E7782" s="25"/>
      <c r="F7782" s="25"/>
      <c r="G7782" s="25"/>
      <c r="H7782" s="25"/>
      <c r="I7782" s="25"/>
      <c r="J7782" s="25"/>
    </row>
    <row r="7783" spans="1:10" ht="14.4">
      <c r="A7783" s="25"/>
      <c r="B7783" s="25"/>
      <c r="C7783" s="25"/>
      <c r="D7783" s="25"/>
      <c r="E7783" s="25"/>
      <c r="F7783" s="25"/>
      <c r="G7783" s="25"/>
      <c r="H7783" s="25"/>
      <c r="I7783" s="25"/>
      <c r="J7783" s="25"/>
    </row>
    <row r="7784" spans="1:10" ht="14.4">
      <c r="A7784" s="25"/>
      <c r="B7784" s="25"/>
      <c r="C7784" s="25"/>
      <c r="D7784" s="25"/>
      <c r="E7784" s="25"/>
      <c r="F7784" s="25"/>
      <c r="G7784" s="25"/>
      <c r="H7784" s="25"/>
      <c r="I7784" s="25"/>
      <c r="J7784" s="25"/>
    </row>
    <row r="7785" spans="1:10" ht="14.4">
      <c r="A7785" s="25"/>
      <c r="B7785" s="25"/>
      <c r="C7785" s="25"/>
      <c r="D7785" s="25"/>
      <c r="E7785" s="25"/>
      <c r="F7785" s="25"/>
      <c r="G7785" s="25"/>
      <c r="H7785" s="25"/>
      <c r="I7785" s="25"/>
      <c r="J7785" s="25"/>
    </row>
    <row r="7786" spans="1:10" ht="14.4">
      <c r="A7786" s="25"/>
      <c r="B7786" s="25"/>
      <c r="C7786" s="25"/>
      <c r="D7786" s="25"/>
      <c r="E7786" s="25"/>
      <c r="F7786" s="25"/>
      <c r="G7786" s="25"/>
      <c r="H7786" s="25"/>
      <c r="I7786" s="25"/>
      <c r="J7786" s="25"/>
    </row>
    <row r="7787" spans="1:10" ht="14.4">
      <c r="A7787" s="25"/>
      <c r="B7787" s="25"/>
      <c r="C7787" s="25"/>
      <c r="D7787" s="25"/>
      <c r="E7787" s="25"/>
      <c r="F7787" s="25"/>
      <c r="G7787" s="25"/>
      <c r="H7787" s="25"/>
      <c r="I7787" s="25"/>
      <c r="J7787" s="25"/>
    </row>
    <row r="7788" spans="1:10" ht="14.4">
      <c r="A7788" s="25"/>
      <c r="B7788" s="25"/>
      <c r="C7788" s="25"/>
      <c r="D7788" s="25"/>
      <c r="E7788" s="25"/>
      <c r="F7788" s="25"/>
      <c r="G7788" s="25"/>
      <c r="H7788" s="25"/>
      <c r="I7788" s="25"/>
      <c r="J7788" s="25"/>
    </row>
    <row r="7789" spans="1:10" ht="14.4">
      <c r="A7789" s="25"/>
      <c r="B7789" s="25"/>
      <c r="C7789" s="25"/>
      <c r="D7789" s="25"/>
      <c r="E7789" s="25"/>
      <c r="F7789" s="25"/>
      <c r="G7789" s="25"/>
      <c r="H7789" s="25"/>
      <c r="I7789" s="25"/>
      <c r="J7789" s="25"/>
    </row>
    <row r="7790" spans="1:10" ht="14.4">
      <c r="A7790" s="25"/>
      <c r="B7790" s="25"/>
      <c r="C7790" s="25"/>
      <c r="D7790" s="25"/>
      <c r="E7790" s="25"/>
      <c r="F7790" s="25"/>
      <c r="G7790" s="25"/>
      <c r="H7790" s="25"/>
      <c r="I7790" s="25"/>
      <c r="J7790" s="25"/>
    </row>
    <row r="7791" spans="1:10" ht="14.4">
      <c r="A7791" s="25"/>
      <c r="B7791" s="25"/>
      <c r="C7791" s="25"/>
      <c r="D7791" s="25"/>
      <c r="E7791" s="25"/>
      <c r="F7791" s="25"/>
      <c r="G7791" s="25"/>
      <c r="H7791" s="25"/>
      <c r="I7791" s="25"/>
      <c r="J7791" s="25"/>
    </row>
    <row r="7792" spans="1:10" ht="14.4">
      <c r="A7792" s="25"/>
      <c r="B7792" s="25"/>
      <c r="C7792" s="25"/>
      <c r="D7792" s="25"/>
      <c r="E7792" s="25"/>
      <c r="F7792" s="25"/>
      <c r="G7792" s="25"/>
      <c r="H7792" s="25"/>
      <c r="I7792" s="25"/>
      <c r="J7792" s="25"/>
    </row>
    <row r="7793" spans="1:10" ht="14.4">
      <c r="A7793" s="25"/>
      <c r="B7793" s="25"/>
      <c r="C7793" s="25"/>
      <c r="D7793" s="25"/>
      <c r="E7793" s="25"/>
      <c r="F7793" s="25"/>
      <c r="G7793" s="25"/>
      <c r="H7793" s="25"/>
      <c r="I7793" s="25"/>
      <c r="J7793" s="25"/>
    </row>
    <row r="7794" spans="1:10" ht="14.4">
      <c r="A7794" s="25"/>
      <c r="B7794" s="25"/>
      <c r="C7794" s="25"/>
      <c r="D7794" s="25"/>
      <c r="E7794" s="25"/>
      <c r="F7794" s="25"/>
      <c r="G7794" s="25"/>
      <c r="H7794" s="25"/>
      <c r="I7794" s="25"/>
      <c r="J7794" s="25"/>
    </row>
    <row r="7795" spans="1:10" ht="14.4">
      <c r="A7795" s="25"/>
      <c r="B7795" s="25"/>
      <c r="C7795" s="25"/>
      <c r="D7795" s="25"/>
      <c r="E7795" s="25"/>
      <c r="F7795" s="25"/>
      <c r="G7795" s="25"/>
      <c r="H7795" s="25"/>
      <c r="I7795" s="25"/>
      <c r="J7795" s="25"/>
    </row>
    <row r="7796" spans="1:10" ht="14.4">
      <c r="A7796" s="25"/>
      <c r="B7796" s="25"/>
      <c r="C7796" s="25"/>
      <c r="D7796" s="25"/>
      <c r="E7796" s="25"/>
      <c r="F7796" s="25"/>
      <c r="G7796" s="25"/>
      <c r="H7796" s="25"/>
      <c r="I7796" s="25"/>
      <c r="J7796" s="25"/>
    </row>
    <row r="7797" spans="1:10" ht="14.4">
      <c r="A7797" s="25"/>
      <c r="B7797" s="25"/>
      <c r="C7797" s="25"/>
      <c r="D7797" s="25"/>
      <c r="E7797" s="25"/>
      <c r="F7797" s="25"/>
      <c r="G7797" s="25"/>
      <c r="H7797" s="25"/>
      <c r="I7797" s="25"/>
      <c r="J7797" s="25"/>
    </row>
    <row r="7798" spans="1:10" ht="14.4">
      <c r="A7798" s="25"/>
      <c r="B7798" s="25"/>
      <c r="C7798" s="25"/>
      <c r="D7798" s="25"/>
      <c r="E7798" s="25"/>
      <c r="F7798" s="25"/>
      <c r="G7798" s="25"/>
      <c r="H7798" s="25"/>
      <c r="I7798" s="25"/>
      <c r="J7798" s="25"/>
    </row>
    <row r="7799" spans="1:10" ht="14.4">
      <c r="A7799" s="25"/>
      <c r="B7799" s="25"/>
      <c r="C7799" s="25"/>
      <c r="D7799" s="25"/>
      <c r="E7799" s="25"/>
      <c r="F7799" s="25"/>
      <c r="G7799" s="25"/>
      <c r="H7799" s="25"/>
      <c r="I7799" s="25"/>
      <c r="J7799" s="25"/>
    </row>
    <row r="7800" spans="1:10" ht="14.4">
      <c r="A7800" s="25"/>
      <c r="B7800" s="25"/>
      <c r="C7800" s="25"/>
      <c r="D7800" s="25"/>
      <c r="E7800" s="25"/>
      <c r="F7800" s="25"/>
      <c r="G7800" s="25"/>
      <c r="H7800" s="25"/>
      <c r="I7800" s="25"/>
      <c r="J7800" s="25"/>
    </row>
    <row r="7801" spans="1:10" ht="14.4">
      <c r="A7801" s="25"/>
      <c r="B7801" s="25"/>
      <c r="C7801" s="25"/>
      <c r="D7801" s="25"/>
      <c r="E7801" s="25"/>
      <c r="F7801" s="25"/>
      <c r="G7801" s="25"/>
      <c r="H7801" s="25"/>
      <c r="I7801" s="25"/>
      <c r="J7801" s="25"/>
    </row>
    <row r="7802" spans="1:10" ht="14.4">
      <c r="A7802" s="25"/>
      <c r="B7802" s="25"/>
      <c r="C7802" s="25"/>
      <c r="D7802" s="25"/>
      <c r="E7802" s="25"/>
      <c r="F7802" s="25"/>
      <c r="G7802" s="25"/>
      <c r="H7802" s="25"/>
      <c r="I7802" s="25"/>
      <c r="J7802" s="25"/>
    </row>
    <row r="7803" spans="1:10" ht="14.4">
      <c r="A7803" s="25"/>
      <c r="B7803" s="25"/>
      <c r="C7803" s="25"/>
      <c r="D7803" s="25"/>
      <c r="E7803" s="25"/>
      <c r="F7803" s="25"/>
      <c r="G7803" s="25"/>
      <c r="H7803" s="25"/>
      <c r="I7803" s="25"/>
      <c r="J7803" s="25"/>
    </row>
    <row r="7804" spans="1:10" ht="14.4">
      <c r="A7804" s="25"/>
      <c r="B7804" s="25"/>
      <c r="C7804" s="25"/>
      <c r="D7804" s="25"/>
      <c r="E7804" s="25"/>
      <c r="F7804" s="25"/>
      <c r="G7804" s="25"/>
      <c r="H7804" s="25"/>
      <c r="I7804" s="25"/>
      <c r="J7804" s="25"/>
    </row>
    <row r="7805" spans="1:10" ht="14.4">
      <c r="A7805" s="25"/>
      <c r="B7805" s="25"/>
      <c r="C7805" s="25"/>
      <c r="D7805" s="25"/>
      <c r="E7805" s="25"/>
      <c r="F7805" s="25"/>
      <c r="G7805" s="25"/>
      <c r="H7805" s="25"/>
      <c r="I7805" s="25"/>
      <c r="J7805" s="25"/>
    </row>
    <row r="7806" spans="1:10" ht="14.4">
      <c r="A7806" s="25"/>
      <c r="B7806" s="25"/>
      <c r="C7806" s="25"/>
      <c r="D7806" s="25"/>
      <c r="E7806" s="25"/>
      <c r="F7806" s="25"/>
      <c r="G7806" s="25"/>
      <c r="H7806" s="25"/>
      <c r="I7806" s="25"/>
      <c r="J7806" s="25"/>
    </row>
    <row r="7807" spans="1:10" ht="14.4">
      <c r="A7807" s="25"/>
      <c r="B7807" s="25"/>
      <c r="C7807" s="25"/>
      <c r="D7807" s="25"/>
      <c r="E7807" s="25"/>
      <c r="F7807" s="25"/>
      <c r="G7807" s="25"/>
      <c r="H7807" s="25"/>
      <c r="I7807" s="25"/>
      <c r="J7807" s="25"/>
    </row>
    <row r="7808" spans="1:10" ht="14.4">
      <c r="A7808" s="25"/>
      <c r="B7808" s="25"/>
      <c r="C7808" s="25"/>
      <c r="D7808" s="25"/>
      <c r="E7808" s="25"/>
      <c r="F7808" s="25"/>
      <c r="G7808" s="25"/>
      <c r="H7808" s="25"/>
      <c r="I7808" s="25"/>
      <c r="J7808" s="25"/>
    </row>
    <row r="7809" spans="1:10" ht="14.4">
      <c r="A7809" s="25"/>
      <c r="B7809" s="25"/>
      <c r="C7809" s="25"/>
      <c r="D7809" s="25"/>
      <c r="E7809" s="25"/>
      <c r="F7809" s="25"/>
      <c r="G7809" s="25"/>
      <c r="H7809" s="25"/>
      <c r="I7809" s="25"/>
      <c r="J7809" s="25"/>
    </row>
    <row r="7810" spans="1:10" ht="14.4">
      <c r="A7810" s="25"/>
      <c r="B7810" s="25"/>
      <c r="C7810" s="25"/>
      <c r="D7810" s="25"/>
      <c r="E7810" s="25"/>
      <c r="F7810" s="25"/>
      <c r="G7810" s="25"/>
      <c r="H7810" s="25"/>
      <c r="I7810" s="25"/>
      <c r="J7810" s="25"/>
    </row>
    <row r="7811" spans="1:10" ht="14.4">
      <c r="A7811" s="25"/>
      <c r="B7811" s="25"/>
      <c r="C7811" s="25"/>
      <c r="D7811" s="25"/>
      <c r="E7811" s="25"/>
      <c r="F7811" s="25"/>
      <c r="G7811" s="25"/>
      <c r="H7811" s="25"/>
      <c r="I7811" s="25"/>
      <c r="J7811" s="25"/>
    </row>
    <row r="7812" spans="1:10" ht="14.4">
      <c r="A7812" s="25"/>
      <c r="B7812" s="25"/>
      <c r="C7812" s="25"/>
      <c r="D7812" s="25"/>
      <c r="E7812" s="25"/>
      <c r="F7812" s="25"/>
      <c r="G7812" s="25"/>
      <c r="H7812" s="25"/>
      <c r="I7812" s="25"/>
      <c r="J7812" s="25"/>
    </row>
    <row r="7813" spans="1:10" ht="14.4">
      <c r="A7813" s="25"/>
      <c r="B7813" s="25"/>
      <c r="C7813" s="25"/>
      <c r="D7813" s="25"/>
      <c r="E7813" s="25"/>
      <c r="F7813" s="25"/>
      <c r="G7813" s="25"/>
      <c r="H7813" s="25"/>
      <c r="I7813" s="25"/>
      <c r="J7813" s="25"/>
    </row>
    <row r="7814" spans="1:10" ht="14.4">
      <c r="A7814" s="25"/>
      <c r="B7814" s="25"/>
      <c r="C7814" s="25"/>
      <c r="D7814" s="25"/>
      <c r="E7814" s="25"/>
      <c r="F7814" s="25"/>
      <c r="G7814" s="25"/>
      <c r="H7814" s="25"/>
      <c r="I7814" s="25"/>
      <c r="J7814" s="25"/>
    </row>
    <row r="7815" spans="1:10" ht="14.4">
      <c r="A7815" s="25"/>
      <c r="B7815" s="25"/>
      <c r="C7815" s="25"/>
      <c r="D7815" s="25"/>
      <c r="E7815" s="25"/>
      <c r="F7815" s="25"/>
      <c r="G7815" s="25"/>
      <c r="H7815" s="25"/>
      <c r="I7815" s="25"/>
      <c r="J7815" s="25"/>
    </row>
    <row r="7816" spans="1:10" ht="14.4">
      <c r="A7816" s="25"/>
      <c r="B7816" s="25"/>
      <c r="C7816" s="25"/>
      <c r="D7816" s="25"/>
      <c r="E7816" s="25"/>
      <c r="F7816" s="25"/>
      <c r="G7816" s="25"/>
      <c r="H7816" s="25"/>
      <c r="I7816" s="25"/>
      <c r="J7816" s="25"/>
    </row>
    <row r="7817" spans="1:10" ht="14.4">
      <c r="A7817" s="25"/>
      <c r="B7817" s="25"/>
      <c r="C7817" s="25"/>
      <c r="D7817" s="25"/>
      <c r="E7817" s="25"/>
      <c r="F7817" s="25"/>
      <c r="G7817" s="25"/>
      <c r="H7817" s="25"/>
      <c r="I7817" s="25"/>
      <c r="J7817" s="25"/>
    </row>
    <row r="7818" spans="1:10" ht="14.4">
      <c r="A7818" s="25"/>
      <c r="B7818" s="25"/>
      <c r="C7818" s="25"/>
      <c r="D7818" s="25"/>
      <c r="E7818" s="25"/>
      <c r="F7818" s="25"/>
      <c r="G7818" s="25"/>
      <c r="H7818" s="25"/>
      <c r="I7818" s="25"/>
      <c r="J7818" s="25"/>
    </row>
    <row r="7819" spans="1:10" ht="14.4">
      <c r="A7819" s="25"/>
      <c r="B7819" s="25"/>
      <c r="C7819" s="25"/>
      <c r="D7819" s="25"/>
      <c r="E7819" s="25"/>
      <c r="F7819" s="25"/>
      <c r="G7819" s="25"/>
      <c r="H7819" s="25"/>
      <c r="I7819" s="25"/>
      <c r="J7819" s="25"/>
    </row>
    <row r="7820" spans="1:10" ht="14.4">
      <c r="A7820" s="25"/>
      <c r="B7820" s="25"/>
      <c r="C7820" s="25"/>
      <c r="D7820" s="25"/>
      <c r="E7820" s="25"/>
      <c r="F7820" s="25"/>
      <c r="G7820" s="25"/>
      <c r="H7820" s="25"/>
      <c r="I7820" s="25"/>
      <c r="J7820" s="25"/>
    </row>
    <row r="7821" spans="1:10" ht="14.4">
      <c r="A7821" s="25"/>
      <c r="B7821" s="25"/>
      <c r="C7821" s="25"/>
      <c r="D7821" s="25"/>
      <c r="E7821" s="25"/>
      <c r="F7821" s="25"/>
      <c r="G7821" s="25"/>
      <c r="H7821" s="25"/>
      <c r="I7821" s="25"/>
      <c r="J7821" s="25"/>
    </row>
    <row r="7822" spans="1:10" ht="14.4">
      <c r="A7822" s="25"/>
      <c r="B7822" s="25"/>
      <c r="C7822" s="25"/>
      <c r="D7822" s="25"/>
      <c r="E7822" s="25"/>
      <c r="F7822" s="25"/>
      <c r="G7822" s="25"/>
      <c r="H7822" s="25"/>
      <c r="I7822" s="25"/>
      <c r="J7822" s="25"/>
    </row>
    <row r="7823" spans="1:10" ht="14.4">
      <c r="A7823" s="25"/>
      <c r="B7823" s="25"/>
      <c r="C7823" s="25"/>
      <c r="D7823" s="25"/>
      <c r="E7823" s="25"/>
      <c r="F7823" s="25"/>
      <c r="G7823" s="25"/>
      <c r="H7823" s="25"/>
      <c r="I7823" s="25"/>
      <c r="J7823" s="25"/>
    </row>
    <row r="7824" spans="1:10" ht="14.4">
      <c r="A7824" s="25"/>
      <c r="B7824" s="25"/>
      <c r="C7824" s="25"/>
      <c r="D7824" s="25"/>
      <c r="E7824" s="25"/>
      <c r="F7824" s="25"/>
      <c r="G7824" s="25"/>
      <c r="H7824" s="25"/>
      <c r="I7824" s="25"/>
      <c r="J7824" s="25"/>
    </row>
    <row r="7825" spans="1:10" ht="14.4">
      <c r="A7825" s="25"/>
      <c r="B7825" s="25"/>
      <c r="C7825" s="25"/>
      <c r="D7825" s="25"/>
      <c r="E7825" s="25"/>
      <c r="F7825" s="25"/>
      <c r="G7825" s="25"/>
      <c r="H7825" s="25"/>
      <c r="I7825" s="25"/>
      <c r="J7825" s="25"/>
    </row>
    <row r="7826" spans="1:10" ht="14.4">
      <c r="A7826" s="25"/>
      <c r="B7826" s="25"/>
      <c r="C7826" s="25"/>
      <c r="D7826" s="25"/>
      <c r="E7826" s="25"/>
      <c r="F7826" s="25"/>
      <c r="G7826" s="25"/>
      <c r="H7826" s="25"/>
      <c r="I7826" s="25"/>
      <c r="J7826" s="25"/>
    </row>
    <row r="7827" spans="1:10" ht="14.4">
      <c r="A7827" s="25"/>
      <c r="B7827" s="25"/>
      <c r="C7827" s="25"/>
      <c r="D7827" s="25"/>
      <c r="E7827" s="25"/>
      <c r="F7827" s="25"/>
      <c r="G7827" s="25"/>
      <c r="H7827" s="25"/>
      <c r="I7827" s="25"/>
      <c r="J7827" s="25"/>
    </row>
    <row r="7828" spans="1:10" ht="14.4">
      <c r="A7828" s="25"/>
      <c r="B7828" s="25"/>
      <c r="C7828" s="25"/>
      <c r="D7828" s="25"/>
      <c r="E7828" s="25"/>
      <c r="F7828" s="25"/>
      <c r="G7828" s="25"/>
      <c r="H7828" s="25"/>
      <c r="I7828" s="25"/>
      <c r="J7828" s="25"/>
    </row>
    <row r="7829" spans="1:10" ht="14.4">
      <c r="A7829" s="25"/>
      <c r="B7829" s="25"/>
      <c r="C7829" s="25"/>
      <c r="D7829" s="25"/>
      <c r="E7829" s="25"/>
      <c r="F7829" s="25"/>
      <c r="G7829" s="25"/>
      <c r="H7829" s="25"/>
      <c r="I7829" s="25"/>
      <c r="J7829" s="25"/>
    </row>
    <row r="7830" spans="1:10" ht="14.4">
      <c r="A7830" s="25"/>
      <c r="B7830" s="25"/>
      <c r="C7830" s="25"/>
      <c r="D7830" s="25"/>
      <c r="E7830" s="25"/>
      <c r="F7830" s="25"/>
      <c r="G7830" s="25"/>
      <c r="H7830" s="25"/>
      <c r="I7830" s="25"/>
      <c r="J7830" s="25"/>
    </row>
    <row r="7831" spans="1:10" ht="14.4">
      <c r="A7831" s="25"/>
      <c r="B7831" s="25"/>
      <c r="C7831" s="25"/>
      <c r="D7831" s="25"/>
      <c r="E7831" s="25"/>
      <c r="F7831" s="25"/>
      <c r="G7831" s="25"/>
      <c r="H7831" s="25"/>
      <c r="I7831" s="25"/>
      <c r="J7831" s="25"/>
    </row>
    <row r="7832" spans="1:10" ht="14.4">
      <c r="A7832" s="25"/>
      <c r="B7832" s="25"/>
      <c r="C7832" s="25"/>
      <c r="D7832" s="25"/>
      <c r="E7832" s="25"/>
      <c r="F7832" s="25"/>
      <c r="G7832" s="25"/>
      <c r="H7832" s="25"/>
      <c r="I7832" s="25"/>
      <c r="J7832" s="25"/>
    </row>
    <row r="7833" spans="1:10" ht="14.4">
      <c r="A7833" s="25"/>
      <c r="B7833" s="25"/>
      <c r="C7833" s="25"/>
      <c r="D7833" s="25"/>
      <c r="E7833" s="25"/>
      <c r="F7833" s="25"/>
      <c r="G7833" s="25"/>
      <c r="H7833" s="25"/>
      <c r="I7833" s="25"/>
      <c r="J7833" s="25"/>
    </row>
    <row r="7834" spans="1:10" ht="14.4">
      <c r="A7834" s="25"/>
      <c r="B7834" s="25"/>
      <c r="C7834" s="25"/>
      <c r="D7834" s="25"/>
      <c r="E7834" s="25"/>
      <c r="F7834" s="25"/>
      <c r="G7834" s="25"/>
      <c r="H7834" s="25"/>
      <c r="I7834" s="25"/>
      <c r="J7834" s="25"/>
    </row>
    <row r="7835" spans="1:10" ht="14.4">
      <c r="A7835" s="25"/>
      <c r="B7835" s="25"/>
      <c r="C7835" s="25"/>
      <c r="D7835" s="25"/>
      <c r="E7835" s="25"/>
      <c r="F7835" s="25"/>
      <c r="G7835" s="25"/>
      <c r="H7835" s="25"/>
      <c r="I7835" s="25"/>
      <c r="J7835" s="25"/>
    </row>
    <row r="7836" spans="1:10" ht="14.4">
      <c r="A7836" s="25"/>
      <c r="B7836" s="25"/>
      <c r="C7836" s="25"/>
      <c r="D7836" s="25"/>
      <c r="E7836" s="25"/>
      <c r="F7836" s="25"/>
      <c r="G7836" s="25"/>
      <c r="H7836" s="25"/>
      <c r="I7836" s="25"/>
      <c r="J7836" s="25"/>
    </row>
    <row r="7837" spans="1:10" ht="14.4">
      <c r="A7837" s="25"/>
      <c r="B7837" s="25"/>
      <c r="C7837" s="25"/>
      <c r="D7837" s="25"/>
      <c r="E7837" s="25"/>
      <c r="F7837" s="25"/>
      <c r="G7837" s="25"/>
      <c r="H7837" s="25"/>
      <c r="I7837" s="25"/>
      <c r="J7837" s="25"/>
    </row>
    <row r="7838" spans="1:10" ht="14.4">
      <c r="A7838" s="25"/>
      <c r="B7838" s="25"/>
      <c r="C7838" s="25"/>
      <c r="D7838" s="25"/>
      <c r="E7838" s="25"/>
      <c r="F7838" s="25"/>
      <c r="G7838" s="25"/>
      <c r="H7838" s="25"/>
      <c r="I7838" s="25"/>
      <c r="J7838" s="25"/>
    </row>
    <row r="7839" spans="1:10" ht="14.4">
      <c r="A7839" s="25"/>
      <c r="B7839" s="25"/>
      <c r="C7839" s="25"/>
      <c r="D7839" s="25"/>
      <c r="E7839" s="25"/>
      <c r="F7839" s="25"/>
      <c r="G7839" s="25"/>
      <c r="H7839" s="25"/>
      <c r="I7839" s="25"/>
      <c r="J7839" s="25"/>
    </row>
    <row r="7840" spans="1:10" ht="14.4">
      <c r="A7840" s="25"/>
      <c r="B7840" s="25"/>
      <c r="C7840" s="25"/>
      <c r="D7840" s="25"/>
      <c r="E7840" s="25"/>
      <c r="F7840" s="25"/>
      <c r="G7840" s="25"/>
      <c r="H7840" s="25"/>
      <c r="I7840" s="25"/>
      <c r="J7840" s="25"/>
    </row>
    <row r="7841" spans="1:10" ht="14.4">
      <c r="A7841" s="25"/>
      <c r="B7841" s="25"/>
      <c r="C7841" s="25"/>
      <c r="D7841" s="25"/>
      <c r="E7841" s="25"/>
      <c r="F7841" s="25"/>
      <c r="G7841" s="25"/>
      <c r="H7841" s="25"/>
      <c r="I7841" s="25"/>
      <c r="J7841" s="25"/>
    </row>
    <row r="7842" spans="1:10" ht="14.4">
      <c r="A7842" s="25"/>
      <c r="B7842" s="25"/>
      <c r="C7842" s="25"/>
      <c r="D7842" s="25"/>
      <c r="E7842" s="25"/>
      <c r="F7842" s="25"/>
      <c r="G7842" s="25"/>
      <c r="H7842" s="25"/>
      <c r="I7842" s="25"/>
      <c r="J7842" s="25"/>
    </row>
    <row r="7843" spans="1:10" ht="14.4">
      <c r="A7843" s="25"/>
      <c r="B7843" s="25"/>
      <c r="C7843" s="25"/>
      <c r="D7843" s="25"/>
      <c r="E7843" s="25"/>
      <c r="F7843" s="25"/>
      <c r="G7843" s="25"/>
      <c r="H7843" s="25"/>
      <c r="I7843" s="25"/>
      <c r="J7843" s="25"/>
    </row>
    <row r="7844" spans="1:10" ht="14.4">
      <c r="A7844" s="25"/>
      <c r="B7844" s="25"/>
      <c r="C7844" s="25"/>
      <c r="D7844" s="25"/>
      <c r="E7844" s="25"/>
      <c r="F7844" s="25"/>
      <c r="G7844" s="25"/>
      <c r="H7844" s="25"/>
      <c r="I7844" s="25"/>
      <c r="J7844" s="25"/>
    </row>
    <row r="7845" spans="1:10" ht="14.4">
      <c r="A7845" s="25"/>
      <c r="B7845" s="25"/>
      <c r="C7845" s="25"/>
      <c r="D7845" s="25"/>
      <c r="E7845" s="25"/>
      <c r="F7845" s="25"/>
      <c r="G7845" s="25"/>
      <c r="H7845" s="25"/>
      <c r="I7845" s="25"/>
      <c r="J7845" s="25"/>
    </row>
    <row r="7846" spans="1:10" ht="14.4">
      <c r="A7846" s="25"/>
      <c r="B7846" s="25"/>
      <c r="C7846" s="25"/>
      <c r="D7846" s="25"/>
      <c r="E7846" s="25"/>
      <c r="F7846" s="25"/>
      <c r="G7846" s="25"/>
      <c r="H7846" s="25"/>
      <c r="I7846" s="25"/>
      <c r="J7846" s="25"/>
    </row>
    <row r="7847" spans="1:10" ht="14.4">
      <c r="A7847" s="25"/>
      <c r="B7847" s="25"/>
      <c r="C7847" s="25"/>
      <c r="D7847" s="25"/>
      <c r="E7847" s="25"/>
      <c r="F7847" s="25"/>
      <c r="G7847" s="25"/>
      <c r="H7847" s="25"/>
      <c r="I7847" s="25"/>
      <c r="J7847" s="25"/>
    </row>
    <row r="7848" spans="1:10" ht="14.4">
      <c r="A7848" s="25"/>
      <c r="B7848" s="25"/>
      <c r="C7848" s="25"/>
      <c r="D7848" s="25"/>
      <c r="E7848" s="25"/>
      <c r="F7848" s="25"/>
      <c r="G7848" s="25"/>
      <c r="H7848" s="25"/>
      <c r="I7848" s="25"/>
      <c r="J7848" s="25"/>
    </row>
    <row r="7849" spans="1:10" ht="14.4">
      <c r="A7849" s="25"/>
      <c r="B7849" s="25"/>
      <c r="C7849" s="25"/>
      <c r="D7849" s="25"/>
      <c r="E7849" s="25"/>
      <c r="F7849" s="25"/>
      <c r="G7849" s="25"/>
      <c r="H7849" s="25"/>
      <c r="I7849" s="25"/>
      <c r="J7849" s="25"/>
    </row>
    <row r="7850" spans="1:10" ht="14.4">
      <c r="A7850" s="25"/>
      <c r="B7850" s="25"/>
      <c r="C7850" s="25"/>
      <c r="D7850" s="25"/>
      <c r="E7850" s="25"/>
      <c r="F7850" s="25"/>
      <c r="G7850" s="25"/>
      <c r="H7850" s="25"/>
      <c r="I7850" s="25"/>
      <c r="J7850" s="25"/>
    </row>
    <row r="7851" spans="1:10" ht="14.4">
      <c r="A7851" s="25"/>
      <c r="B7851" s="25"/>
      <c r="C7851" s="25"/>
      <c r="D7851" s="25"/>
      <c r="E7851" s="25"/>
      <c r="F7851" s="25"/>
      <c r="G7851" s="25"/>
      <c r="H7851" s="25"/>
      <c r="I7851" s="25"/>
      <c r="J7851" s="25"/>
    </row>
    <row r="7852" spans="1:10" ht="14.4">
      <c r="A7852" s="25"/>
      <c r="B7852" s="25"/>
      <c r="C7852" s="25"/>
      <c r="D7852" s="25"/>
      <c r="E7852" s="25"/>
      <c r="F7852" s="25"/>
      <c r="G7852" s="25"/>
      <c r="H7852" s="25"/>
      <c r="I7852" s="25"/>
      <c r="J7852" s="25"/>
    </row>
    <row r="7853" spans="1:10" ht="14.4">
      <c r="A7853" s="25"/>
      <c r="B7853" s="25"/>
      <c r="C7853" s="25"/>
      <c r="D7853" s="25"/>
      <c r="E7853" s="25"/>
      <c r="F7853" s="25"/>
      <c r="G7853" s="25"/>
      <c r="H7853" s="25"/>
      <c r="I7853" s="25"/>
      <c r="J7853" s="25"/>
    </row>
    <row r="7854" spans="1:10" ht="14.4">
      <c r="A7854" s="25"/>
      <c r="B7854" s="25"/>
      <c r="C7854" s="25"/>
      <c r="D7854" s="25"/>
      <c r="E7854" s="25"/>
      <c r="F7854" s="25"/>
      <c r="G7854" s="25"/>
      <c r="H7854" s="25"/>
      <c r="I7854" s="25"/>
      <c r="J7854" s="25"/>
    </row>
    <row r="7855" spans="1:10" ht="14.4">
      <c r="A7855" s="25"/>
      <c r="B7855" s="25"/>
      <c r="C7855" s="25"/>
      <c r="D7855" s="25"/>
      <c r="E7855" s="25"/>
      <c r="F7855" s="25"/>
      <c r="G7855" s="25"/>
      <c r="H7855" s="25"/>
      <c r="I7855" s="25"/>
      <c r="J7855" s="25"/>
    </row>
    <row r="7856" spans="1:10" ht="14.4">
      <c r="A7856" s="25"/>
      <c r="B7856" s="25"/>
      <c r="C7856" s="25"/>
      <c r="D7856" s="25"/>
      <c r="E7856" s="25"/>
      <c r="F7856" s="25"/>
      <c r="G7856" s="25"/>
      <c r="H7856" s="25"/>
      <c r="I7856" s="25"/>
      <c r="J7856" s="25"/>
    </row>
    <row r="7857" spans="1:10" ht="14.4">
      <c r="A7857" s="25"/>
      <c r="B7857" s="25"/>
      <c r="C7857" s="25"/>
      <c r="D7857" s="25"/>
      <c r="E7857" s="25"/>
      <c r="F7857" s="25"/>
      <c r="G7857" s="25"/>
      <c r="H7857" s="25"/>
      <c r="I7857" s="25"/>
      <c r="J7857" s="25"/>
    </row>
    <row r="7858" spans="1:10" ht="14.4">
      <c r="A7858" s="25"/>
      <c r="B7858" s="25"/>
      <c r="C7858" s="25"/>
      <c r="D7858" s="25"/>
      <c r="E7858" s="25"/>
      <c r="F7858" s="25"/>
      <c r="G7858" s="25"/>
      <c r="H7858" s="25"/>
      <c r="I7858" s="25"/>
      <c r="J7858" s="25"/>
    </row>
    <row r="7859" spans="1:10" ht="14.4">
      <c r="A7859" s="25"/>
      <c r="B7859" s="25"/>
      <c r="C7859" s="25"/>
      <c r="D7859" s="25"/>
      <c r="E7859" s="25"/>
      <c r="F7859" s="25"/>
      <c r="G7859" s="25"/>
      <c r="H7859" s="25"/>
      <c r="I7859" s="25"/>
      <c r="J7859" s="25"/>
    </row>
    <row r="7860" spans="1:10" ht="14.4">
      <c r="A7860" s="25"/>
      <c r="B7860" s="25"/>
      <c r="C7860" s="25"/>
      <c r="D7860" s="25"/>
      <c r="E7860" s="25"/>
      <c r="F7860" s="25"/>
      <c r="G7860" s="25"/>
      <c r="H7860" s="25"/>
      <c r="I7860" s="25"/>
      <c r="J7860" s="25"/>
    </row>
    <row r="7861" spans="1:10" ht="14.4">
      <c r="A7861" s="25"/>
      <c r="B7861" s="25"/>
      <c r="C7861" s="25"/>
      <c r="D7861" s="25"/>
      <c r="E7861" s="25"/>
      <c r="F7861" s="25"/>
      <c r="G7861" s="25"/>
      <c r="H7861" s="25"/>
      <c r="I7861" s="25"/>
      <c r="J7861" s="25"/>
    </row>
    <row r="7862" spans="1:10" ht="14.4">
      <c r="A7862" s="25"/>
      <c r="B7862" s="25"/>
      <c r="C7862" s="25"/>
      <c r="D7862" s="25"/>
      <c r="E7862" s="25"/>
      <c r="F7862" s="25"/>
      <c r="G7862" s="25"/>
      <c r="H7862" s="25"/>
      <c r="I7862" s="25"/>
      <c r="J7862" s="25"/>
    </row>
    <row r="7863" spans="1:10" ht="14.4">
      <c r="A7863" s="25"/>
      <c r="B7863" s="25"/>
      <c r="C7863" s="25"/>
      <c r="D7863" s="25"/>
      <c r="E7863" s="25"/>
      <c r="F7863" s="25"/>
      <c r="G7863" s="25"/>
      <c r="H7863" s="25"/>
      <c r="I7863" s="25"/>
      <c r="J7863" s="25"/>
    </row>
    <row r="7864" spans="1:10" ht="14.4">
      <c r="A7864" s="25"/>
      <c r="B7864" s="25"/>
      <c r="C7864" s="25"/>
      <c r="D7864" s="25"/>
      <c r="E7864" s="25"/>
      <c r="F7864" s="25"/>
      <c r="G7864" s="25"/>
      <c r="H7864" s="25"/>
      <c r="I7864" s="25"/>
      <c r="J7864" s="25"/>
    </row>
    <row r="7865" spans="1:10" ht="14.4">
      <c r="A7865" s="25"/>
      <c r="B7865" s="25"/>
      <c r="C7865" s="25"/>
      <c r="D7865" s="25"/>
      <c r="E7865" s="25"/>
      <c r="F7865" s="25"/>
      <c r="G7865" s="25"/>
      <c r="H7865" s="25"/>
      <c r="I7865" s="25"/>
      <c r="J7865" s="25"/>
    </row>
    <row r="7866" spans="1:10" ht="14.4">
      <c r="A7866" s="25"/>
      <c r="B7866" s="25"/>
      <c r="C7866" s="25"/>
      <c r="D7866" s="25"/>
      <c r="E7866" s="25"/>
      <c r="F7866" s="25"/>
      <c r="G7866" s="25"/>
      <c r="H7866" s="25"/>
      <c r="I7866" s="25"/>
      <c r="J7866" s="25"/>
    </row>
    <row r="7867" spans="1:10" ht="14.4">
      <c r="A7867" s="25"/>
      <c r="B7867" s="25"/>
      <c r="C7867" s="25"/>
      <c r="D7867" s="25"/>
      <c r="E7867" s="25"/>
      <c r="F7867" s="25"/>
      <c r="G7867" s="25"/>
      <c r="H7867" s="25"/>
      <c r="I7867" s="25"/>
      <c r="J7867" s="25"/>
    </row>
    <row r="7868" spans="1:10" ht="14.4">
      <c r="A7868" s="25"/>
      <c r="B7868" s="25"/>
      <c r="C7868" s="25"/>
      <c r="D7868" s="25"/>
      <c r="E7868" s="25"/>
      <c r="F7868" s="25"/>
      <c r="G7868" s="25"/>
      <c r="H7868" s="25"/>
      <c r="I7868" s="25"/>
      <c r="J7868" s="25"/>
    </row>
    <row r="7869" spans="1:10" ht="14.4">
      <c r="A7869" s="25"/>
      <c r="B7869" s="25"/>
      <c r="C7869" s="25"/>
      <c r="D7869" s="25"/>
      <c r="E7869" s="25"/>
      <c r="F7869" s="25"/>
      <c r="G7869" s="25"/>
      <c r="H7869" s="25"/>
      <c r="I7869" s="25"/>
      <c r="J7869" s="25"/>
    </row>
    <row r="7870" spans="1:10" ht="14.4">
      <c r="A7870" s="25"/>
      <c r="B7870" s="25"/>
      <c r="C7870" s="25"/>
      <c r="D7870" s="25"/>
      <c r="E7870" s="25"/>
      <c r="F7870" s="25"/>
      <c r="G7870" s="25"/>
      <c r="H7870" s="25"/>
      <c r="I7870" s="25"/>
      <c r="J7870" s="25"/>
    </row>
    <row r="7871" spans="1:10" ht="14.4">
      <c r="A7871" s="25"/>
      <c r="B7871" s="25"/>
      <c r="C7871" s="25"/>
      <c r="D7871" s="25"/>
      <c r="E7871" s="25"/>
      <c r="F7871" s="25"/>
      <c r="G7871" s="25"/>
      <c r="H7871" s="25"/>
      <c r="I7871" s="25"/>
      <c r="J7871" s="25"/>
    </row>
    <row r="7872" spans="1:10" ht="14.4">
      <c r="A7872" s="25"/>
      <c r="B7872" s="25"/>
      <c r="C7872" s="25"/>
      <c r="D7872" s="25"/>
      <c r="E7872" s="25"/>
      <c r="F7872" s="25"/>
      <c r="G7872" s="25"/>
      <c r="H7872" s="25"/>
      <c r="I7872" s="25"/>
      <c r="J7872" s="25"/>
    </row>
    <row r="7873" spans="1:10" ht="14.4">
      <c r="A7873" s="25"/>
      <c r="B7873" s="25"/>
      <c r="C7873" s="25"/>
      <c r="D7873" s="25"/>
      <c r="E7873" s="25"/>
      <c r="F7873" s="25"/>
      <c r="G7873" s="25"/>
      <c r="H7873" s="25"/>
      <c r="I7873" s="25"/>
      <c r="J7873" s="25"/>
    </row>
    <row r="7874" spans="1:10" ht="14.4">
      <c r="A7874" s="25"/>
      <c r="B7874" s="25"/>
      <c r="C7874" s="25"/>
      <c r="D7874" s="25"/>
      <c r="E7874" s="25"/>
      <c r="F7874" s="25"/>
      <c r="G7874" s="25"/>
      <c r="H7874" s="25"/>
      <c r="I7874" s="25"/>
      <c r="J7874" s="25"/>
    </row>
    <row r="7875" spans="1:10" ht="14.4">
      <c r="A7875" s="25"/>
      <c r="B7875" s="25"/>
      <c r="C7875" s="25"/>
      <c r="D7875" s="25"/>
      <c r="E7875" s="25"/>
      <c r="F7875" s="25"/>
      <c r="G7875" s="25"/>
      <c r="H7875" s="25"/>
      <c r="I7875" s="25"/>
      <c r="J7875" s="25"/>
    </row>
    <row r="7876" spans="1:10" ht="14.4">
      <c r="A7876" s="25"/>
      <c r="B7876" s="25"/>
      <c r="C7876" s="25"/>
      <c r="D7876" s="25"/>
      <c r="E7876" s="25"/>
      <c r="F7876" s="25"/>
      <c r="G7876" s="25"/>
      <c r="H7876" s="25"/>
      <c r="I7876" s="25"/>
      <c r="J7876" s="25"/>
    </row>
    <row r="7877" spans="1:10" ht="14.4">
      <c r="A7877" s="25"/>
      <c r="B7877" s="25"/>
      <c r="C7877" s="25"/>
      <c r="D7877" s="25"/>
      <c r="E7877" s="25"/>
      <c r="F7877" s="25"/>
      <c r="G7877" s="25"/>
      <c r="H7877" s="25"/>
      <c r="I7877" s="25"/>
      <c r="J7877" s="25"/>
    </row>
    <row r="7878" spans="1:10" ht="14.4">
      <c r="A7878" s="25"/>
      <c r="B7878" s="25"/>
      <c r="C7878" s="25"/>
      <c r="D7878" s="25"/>
      <c r="E7878" s="25"/>
      <c r="F7878" s="25"/>
      <c r="G7878" s="25"/>
      <c r="H7878" s="25"/>
      <c r="I7878" s="25"/>
      <c r="J7878" s="25"/>
    </row>
    <row r="7879" spans="1:10" ht="14.4">
      <c r="A7879" s="25"/>
      <c r="B7879" s="25"/>
      <c r="C7879" s="25"/>
      <c r="D7879" s="25"/>
      <c r="E7879" s="25"/>
      <c r="F7879" s="25"/>
      <c r="G7879" s="25"/>
      <c r="H7879" s="25"/>
      <c r="I7879" s="25"/>
      <c r="J7879" s="25"/>
    </row>
    <row r="7880" spans="1:10" ht="14.4">
      <c r="A7880" s="25"/>
      <c r="B7880" s="25"/>
      <c r="C7880" s="25"/>
      <c r="D7880" s="25"/>
      <c r="E7880" s="25"/>
      <c r="F7880" s="25"/>
      <c r="G7880" s="25"/>
      <c r="H7880" s="25"/>
      <c r="I7880" s="25"/>
      <c r="J7880" s="25"/>
    </row>
    <row r="7881" spans="1:10" ht="14.4">
      <c r="A7881" s="25"/>
      <c r="B7881" s="25"/>
      <c r="C7881" s="25"/>
      <c r="D7881" s="25"/>
      <c r="E7881" s="25"/>
      <c r="F7881" s="25"/>
      <c r="G7881" s="25"/>
      <c r="H7881" s="25"/>
      <c r="I7881" s="25"/>
      <c r="J7881" s="25"/>
    </row>
    <row r="7882" spans="1:10" ht="14.4">
      <c r="A7882" s="25"/>
      <c r="B7882" s="25"/>
      <c r="C7882" s="25"/>
      <c r="D7882" s="25"/>
      <c r="E7882" s="25"/>
      <c r="F7882" s="25"/>
      <c r="G7882" s="25"/>
      <c r="H7882" s="25"/>
      <c r="I7882" s="25"/>
      <c r="J7882" s="25"/>
    </row>
    <row r="7883" spans="1:10" ht="14.4">
      <c r="A7883" s="25"/>
      <c r="B7883" s="25"/>
      <c r="C7883" s="25"/>
      <c r="D7883" s="25"/>
      <c r="E7883" s="25"/>
      <c r="F7883" s="25"/>
      <c r="G7883" s="25"/>
      <c r="H7883" s="25"/>
      <c r="I7883" s="25"/>
      <c r="J7883" s="25"/>
    </row>
    <row r="7884" spans="1:10" ht="14.4">
      <c r="A7884" s="25"/>
      <c r="B7884" s="25"/>
      <c r="C7884" s="25"/>
      <c r="D7884" s="25"/>
      <c r="E7884" s="25"/>
      <c r="F7884" s="25"/>
      <c r="G7884" s="25"/>
      <c r="H7884" s="25"/>
      <c r="I7884" s="25"/>
      <c r="J7884" s="25"/>
    </row>
    <row r="7885" spans="1:10" ht="14.4">
      <c r="A7885" s="25"/>
      <c r="B7885" s="25"/>
      <c r="C7885" s="25"/>
      <c r="D7885" s="25"/>
      <c r="E7885" s="25"/>
      <c r="F7885" s="25"/>
      <c r="G7885" s="25"/>
      <c r="H7885" s="25"/>
      <c r="I7885" s="25"/>
      <c r="J7885" s="25"/>
    </row>
    <row r="7886" spans="1:10" ht="14.4">
      <c r="A7886" s="25"/>
      <c r="B7886" s="25"/>
      <c r="C7886" s="25"/>
      <c r="D7886" s="25"/>
      <c r="E7886" s="25"/>
      <c r="F7886" s="25"/>
      <c r="G7886" s="25"/>
      <c r="H7886" s="25"/>
      <c r="I7886" s="25"/>
      <c r="J7886" s="25"/>
    </row>
    <row r="7887" spans="1:10" ht="14.4">
      <c r="A7887" s="25"/>
      <c r="B7887" s="25"/>
      <c r="C7887" s="25"/>
      <c r="D7887" s="25"/>
      <c r="E7887" s="25"/>
      <c r="F7887" s="25"/>
      <c r="G7887" s="25"/>
      <c r="H7887" s="25"/>
      <c r="I7887" s="25"/>
      <c r="J7887" s="25"/>
    </row>
    <row r="7888" spans="1:10" ht="14.4">
      <c r="A7888" s="25"/>
      <c r="B7888" s="25"/>
      <c r="C7888" s="25"/>
      <c r="D7888" s="25"/>
      <c r="E7888" s="25"/>
      <c r="F7888" s="25"/>
      <c r="G7888" s="25"/>
      <c r="H7888" s="25"/>
      <c r="I7888" s="25"/>
      <c r="J7888" s="25"/>
    </row>
    <row r="7889" spans="1:10" ht="14.4">
      <c r="A7889" s="25"/>
      <c r="B7889" s="25"/>
      <c r="C7889" s="25"/>
      <c r="D7889" s="25"/>
      <c r="E7889" s="25"/>
      <c r="F7889" s="25"/>
      <c r="G7889" s="25"/>
      <c r="H7889" s="25"/>
      <c r="I7889" s="25"/>
      <c r="J7889" s="25"/>
    </row>
    <row r="7890" spans="1:10" ht="14.4">
      <c r="A7890" s="25"/>
      <c r="B7890" s="25"/>
      <c r="C7890" s="25"/>
      <c r="D7890" s="25"/>
      <c r="E7890" s="25"/>
      <c r="F7890" s="25"/>
      <c r="G7890" s="25"/>
      <c r="H7890" s="25"/>
      <c r="I7890" s="25"/>
      <c r="J7890" s="25"/>
    </row>
    <row r="7891" spans="1:10" ht="14.4">
      <c r="A7891" s="25"/>
      <c r="B7891" s="25"/>
      <c r="C7891" s="25"/>
      <c r="D7891" s="25"/>
      <c r="E7891" s="25"/>
      <c r="F7891" s="25"/>
      <c r="G7891" s="25"/>
      <c r="H7891" s="25"/>
      <c r="I7891" s="25"/>
      <c r="J7891" s="25"/>
    </row>
    <row r="7892" spans="1:10" ht="14.4">
      <c r="A7892" s="25"/>
      <c r="B7892" s="25"/>
      <c r="C7892" s="25"/>
      <c r="D7892" s="25"/>
      <c r="E7892" s="25"/>
      <c r="F7892" s="25"/>
      <c r="G7892" s="25"/>
      <c r="H7892" s="25"/>
      <c r="I7892" s="25"/>
      <c r="J7892" s="25"/>
    </row>
    <row r="7893" spans="1:10" ht="14.4">
      <c r="A7893" s="25"/>
      <c r="B7893" s="25"/>
      <c r="C7893" s="25"/>
      <c r="D7893" s="25"/>
      <c r="E7893" s="25"/>
      <c r="F7893" s="25"/>
      <c r="G7893" s="25"/>
      <c r="H7893" s="25"/>
      <c r="I7893" s="25"/>
      <c r="J7893" s="25"/>
    </row>
    <row r="7894" spans="1:10" ht="14.4">
      <c r="A7894" s="25"/>
      <c r="B7894" s="25"/>
      <c r="C7894" s="25"/>
      <c r="D7894" s="25"/>
      <c r="E7894" s="25"/>
      <c r="F7894" s="25"/>
      <c r="G7894" s="25"/>
      <c r="H7894" s="25"/>
      <c r="I7894" s="25"/>
      <c r="J7894" s="25"/>
    </row>
    <row r="7895" spans="1:10" ht="14.4">
      <c r="A7895" s="25"/>
      <c r="B7895" s="25"/>
      <c r="C7895" s="25"/>
      <c r="D7895" s="25"/>
      <c r="E7895" s="25"/>
      <c r="F7895" s="25"/>
      <c r="G7895" s="25"/>
      <c r="H7895" s="25"/>
      <c r="I7895" s="25"/>
      <c r="J7895" s="25"/>
    </row>
    <row r="7896" spans="1:10" ht="14.4">
      <c r="A7896" s="25"/>
      <c r="B7896" s="25"/>
      <c r="C7896" s="25"/>
      <c r="D7896" s="25"/>
      <c r="E7896" s="25"/>
      <c r="F7896" s="25"/>
      <c r="G7896" s="25"/>
      <c r="H7896" s="25"/>
      <c r="I7896" s="25"/>
      <c r="J7896" s="25"/>
    </row>
    <row r="7897" spans="1:10" ht="14.4">
      <c r="A7897" s="25"/>
      <c r="B7897" s="25"/>
      <c r="C7897" s="25"/>
      <c r="D7897" s="25"/>
      <c r="E7897" s="25"/>
      <c r="F7897" s="25"/>
      <c r="G7897" s="25"/>
      <c r="H7897" s="25"/>
      <c r="I7897" s="25"/>
      <c r="J7897" s="25"/>
    </row>
    <row r="7898" spans="1:10" ht="14.4">
      <c r="A7898" s="25"/>
      <c r="B7898" s="25"/>
      <c r="C7898" s="25"/>
      <c r="D7898" s="25"/>
      <c r="E7898" s="25"/>
      <c r="F7898" s="25"/>
      <c r="G7898" s="25"/>
      <c r="H7898" s="25"/>
      <c r="I7898" s="25"/>
      <c r="J7898" s="25"/>
    </row>
    <row r="7899" spans="1:10" ht="14.4">
      <c r="A7899" s="25"/>
      <c r="B7899" s="25"/>
      <c r="C7899" s="25"/>
      <c r="D7899" s="25"/>
      <c r="E7899" s="25"/>
      <c r="F7899" s="25"/>
      <c r="G7899" s="25"/>
      <c r="H7899" s="25"/>
      <c r="I7899" s="25"/>
      <c r="J7899" s="25"/>
    </row>
    <row r="7900" spans="1:10" ht="14.4">
      <c r="A7900" s="25"/>
      <c r="B7900" s="25"/>
      <c r="C7900" s="25"/>
      <c r="D7900" s="25"/>
      <c r="E7900" s="25"/>
      <c r="F7900" s="25"/>
      <c r="G7900" s="25"/>
      <c r="H7900" s="25"/>
      <c r="I7900" s="25"/>
      <c r="J7900" s="25"/>
    </row>
    <row r="7901" spans="1:10" ht="14.4">
      <c r="A7901" s="25"/>
      <c r="B7901" s="25"/>
      <c r="C7901" s="25"/>
      <c r="D7901" s="25"/>
      <c r="E7901" s="25"/>
      <c r="F7901" s="25"/>
      <c r="G7901" s="25"/>
      <c r="H7901" s="25"/>
      <c r="I7901" s="25"/>
      <c r="J7901" s="25"/>
    </row>
    <row r="7902" spans="1:10" ht="14.4">
      <c r="A7902" s="25"/>
      <c r="B7902" s="25"/>
      <c r="C7902" s="25"/>
      <c r="D7902" s="25"/>
      <c r="E7902" s="25"/>
      <c r="F7902" s="25"/>
      <c r="G7902" s="25"/>
      <c r="H7902" s="25"/>
      <c r="I7902" s="25"/>
      <c r="J7902" s="25"/>
    </row>
    <row r="7903" spans="1:10" ht="14.4">
      <c r="A7903" s="25"/>
      <c r="B7903" s="25"/>
      <c r="C7903" s="25"/>
      <c r="D7903" s="25"/>
      <c r="E7903" s="25"/>
      <c r="F7903" s="25"/>
      <c r="G7903" s="25"/>
      <c r="H7903" s="25"/>
      <c r="I7903" s="25"/>
      <c r="J7903" s="25"/>
    </row>
    <row r="7904" spans="1:10" ht="14.4">
      <c r="A7904" s="25"/>
      <c r="B7904" s="25"/>
      <c r="C7904" s="25"/>
      <c r="D7904" s="25"/>
      <c r="E7904" s="25"/>
      <c r="F7904" s="25"/>
      <c r="G7904" s="25"/>
      <c r="H7904" s="25"/>
      <c r="I7904" s="25"/>
      <c r="J7904" s="25"/>
    </row>
    <row r="7905" spans="1:10" ht="14.4">
      <c r="A7905" s="25"/>
      <c r="B7905" s="25"/>
      <c r="C7905" s="25"/>
      <c r="D7905" s="25"/>
      <c r="E7905" s="25"/>
      <c r="F7905" s="25"/>
      <c r="G7905" s="25"/>
      <c r="H7905" s="25"/>
      <c r="I7905" s="25"/>
      <c r="J7905" s="25"/>
    </row>
    <row r="7906" spans="1:10" ht="14.4">
      <c r="A7906" s="25"/>
      <c r="B7906" s="25"/>
      <c r="C7906" s="25"/>
      <c r="D7906" s="25"/>
      <c r="E7906" s="25"/>
      <c r="F7906" s="25"/>
      <c r="G7906" s="25"/>
      <c r="H7906" s="25"/>
      <c r="I7906" s="25"/>
      <c r="J7906" s="25"/>
    </row>
    <row r="7907" spans="1:10" ht="14.4">
      <c r="A7907" s="25"/>
      <c r="B7907" s="25"/>
      <c r="C7907" s="25"/>
      <c r="D7907" s="25"/>
      <c r="E7907" s="25"/>
      <c r="F7907" s="25"/>
      <c r="G7907" s="25"/>
      <c r="H7907" s="25"/>
      <c r="I7907" s="25"/>
      <c r="J7907" s="25"/>
    </row>
    <row r="7908" spans="1:10" ht="14.4">
      <c r="A7908" s="25"/>
      <c r="B7908" s="25"/>
      <c r="C7908" s="25"/>
      <c r="D7908" s="25"/>
      <c r="E7908" s="25"/>
      <c r="F7908" s="25"/>
      <c r="G7908" s="25"/>
      <c r="H7908" s="25"/>
      <c r="I7908" s="25"/>
      <c r="J7908" s="25"/>
    </row>
    <row r="7909" spans="1:10" ht="14.4">
      <c r="A7909" s="25"/>
      <c r="B7909" s="25"/>
      <c r="C7909" s="25"/>
      <c r="D7909" s="25"/>
      <c r="E7909" s="25"/>
      <c r="F7909" s="25"/>
      <c r="G7909" s="25"/>
      <c r="H7909" s="25"/>
      <c r="I7909" s="25"/>
      <c r="J7909" s="25"/>
    </row>
    <row r="7910" spans="1:10" ht="14.4">
      <c r="A7910" s="25"/>
      <c r="B7910" s="25"/>
      <c r="C7910" s="25"/>
      <c r="D7910" s="25"/>
      <c r="E7910" s="25"/>
      <c r="F7910" s="25"/>
      <c r="G7910" s="25"/>
      <c r="H7910" s="25"/>
      <c r="I7910" s="25"/>
      <c r="J7910" s="25"/>
    </row>
    <row r="7911" spans="1:10" ht="14.4">
      <c r="A7911" s="25"/>
      <c r="B7911" s="25"/>
      <c r="C7911" s="25"/>
      <c r="D7911" s="25"/>
      <c r="E7911" s="25"/>
      <c r="F7911" s="25"/>
      <c r="G7911" s="25"/>
      <c r="H7911" s="25"/>
      <c r="I7911" s="25"/>
      <c r="J7911" s="25"/>
    </row>
    <row r="7912" spans="1:10" ht="14.4">
      <c r="A7912" s="25"/>
      <c r="B7912" s="25"/>
      <c r="C7912" s="25"/>
      <c r="D7912" s="25"/>
      <c r="E7912" s="25"/>
      <c r="F7912" s="25"/>
      <c r="G7912" s="25"/>
      <c r="H7912" s="25"/>
      <c r="I7912" s="25"/>
      <c r="J7912" s="25"/>
    </row>
    <row r="7913" spans="1:10" ht="14.4">
      <c r="A7913" s="25"/>
      <c r="B7913" s="25"/>
      <c r="C7913" s="25"/>
      <c r="D7913" s="25"/>
      <c r="E7913" s="25"/>
      <c r="F7913" s="25"/>
      <c r="G7913" s="25"/>
      <c r="H7913" s="25"/>
      <c r="I7913" s="25"/>
      <c r="J7913" s="25"/>
    </row>
    <row r="7914" spans="1:10" ht="14.4">
      <c r="A7914" s="25"/>
      <c r="B7914" s="25"/>
      <c r="C7914" s="25"/>
      <c r="D7914" s="25"/>
      <c r="E7914" s="25"/>
      <c r="F7914" s="25"/>
      <c r="G7914" s="25"/>
      <c r="H7914" s="25"/>
      <c r="I7914" s="25"/>
      <c r="J7914" s="25"/>
    </row>
    <row r="7915" spans="1:10" ht="14.4">
      <c r="A7915" s="25"/>
      <c r="B7915" s="25"/>
      <c r="C7915" s="25"/>
      <c r="D7915" s="25"/>
      <c r="E7915" s="25"/>
      <c r="F7915" s="25"/>
      <c r="G7915" s="25"/>
      <c r="H7915" s="25"/>
      <c r="I7915" s="25"/>
      <c r="J7915" s="25"/>
    </row>
    <row r="7916" spans="1:10" ht="14.4">
      <c r="A7916" s="25"/>
      <c r="B7916" s="25"/>
      <c r="C7916" s="25"/>
      <c r="D7916" s="25"/>
      <c r="E7916" s="25"/>
      <c r="F7916" s="25"/>
      <c r="G7916" s="25"/>
      <c r="H7916" s="25"/>
      <c r="I7916" s="25"/>
      <c r="J7916" s="25"/>
    </row>
    <row r="7917" spans="1:10" ht="14.4">
      <c r="A7917" s="25"/>
      <c r="B7917" s="25"/>
      <c r="C7917" s="25"/>
      <c r="D7917" s="25"/>
      <c r="E7917" s="25"/>
      <c r="F7917" s="25"/>
      <c r="G7917" s="25"/>
      <c r="H7917" s="25"/>
      <c r="I7917" s="25"/>
      <c r="J7917" s="25"/>
    </row>
    <row r="7918" spans="1:10" ht="14.4">
      <c r="A7918" s="25"/>
      <c r="B7918" s="25"/>
      <c r="C7918" s="25"/>
      <c r="D7918" s="25"/>
      <c r="E7918" s="25"/>
      <c r="F7918" s="25"/>
      <c r="G7918" s="25"/>
      <c r="H7918" s="25"/>
      <c r="I7918" s="25"/>
      <c r="J7918" s="25"/>
    </row>
    <row r="7919" spans="1:10" ht="14.4">
      <c r="A7919" s="25"/>
      <c r="B7919" s="25"/>
      <c r="C7919" s="25"/>
      <c r="D7919" s="25"/>
      <c r="E7919" s="25"/>
      <c r="F7919" s="25"/>
      <c r="G7919" s="25"/>
      <c r="H7919" s="25"/>
      <c r="I7919" s="25"/>
      <c r="J7919" s="25"/>
    </row>
    <row r="7920" spans="1:10" ht="14.4">
      <c r="A7920" s="25"/>
      <c r="B7920" s="25"/>
      <c r="C7920" s="25"/>
      <c r="D7920" s="25"/>
      <c r="E7920" s="25"/>
      <c r="F7920" s="25"/>
      <c r="G7920" s="25"/>
      <c r="H7920" s="25"/>
      <c r="I7920" s="25"/>
      <c r="J7920" s="25"/>
    </row>
    <row r="7921" spans="1:10" ht="14.4">
      <c r="A7921" s="25"/>
      <c r="B7921" s="25"/>
      <c r="C7921" s="25"/>
      <c r="D7921" s="25"/>
      <c r="E7921" s="25"/>
      <c r="F7921" s="25"/>
      <c r="G7921" s="25"/>
      <c r="H7921" s="25"/>
      <c r="I7921" s="25"/>
      <c r="J7921" s="25"/>
    </row>
    <row r="7922" spans="1:10" ht="14.4">
      <c r="A7922" s="25"/>
      <c r="B7922" s="25"/>
      <c r="C7922" s="25"/>
      <c r="D7922" s="25"/>
      <c r="E7922" s="25"/>
      <c r="F7922" s="25"/>
      <c r="G7922" s="25"/>
      <c r="H7922" s="25"/>
      <c r="I7922" s="25"/>
      <c r="J7922" s="25"/>
    </row>
    <row r="7923" spans="1:10" ht="14.4">
      <c r="A7923" s="25"/>
      <c r="B7923" s="25"/>
      <c r="C7923" s="25"/>
      <c r="D7923" s="25"/>
      <c r="E7923" s="25"/>
      <c r="F7923" s="25"/>
      <c r="G7923" s="25"/>
      <c r="H7923" s="25"/>
      <c r="I7923" s="25"/>
      <c r="J7923" s="25"/>
    </row>
    <row r="7924" spans="1:10" ht="14.4">
      <c r="A7924" s="25"/>
      <c r="B7924" s="25"/>
      <c r="C7924" s="25"/>
      <c r="D7924" s="25"/>
      <c r="E7924" s="25"/>
      <c r="F7924" s="25"/>
      <c r="G7924" s="25"/>
      <c r="H7924" s="25"/>
      <c r="I7924" s="25"/>
      <c r="J7924" s="25"/>
    </row>
    <row r="7925" spans="1:10" ht="14.4">
      <c r="A7925" s="25"/>
      <c r="B7925" s="25"/>
      <c r="C7925" s="25"/>
      <c r="D7925" s="25"/>
      <c r="E7925" s="25"/>
      <c r="F7925" s="25"/>
      <c r="G7925" s="25"/>
      <c r="H7925" s="25"/>
      <c r="I7925" s="25"/>
      <c r="J7925" s="25"/>
    </row>
    <row r="7926" spans="1:10" ht="14.4">
      <c r="A7926" s="25"/>
      <c r="B7926" s="25"/>
      <c r="C7926" s="25"/>
      <c r="D7926" s="25"/>
      <c r="E7926" s="25"/>
      <c r="F7926" s="25"/>
      <c r="G7926" s="25"/>
      <c r="H7926" s="25"/>
      <c r="I7926" s="25"/>
      <c r="J7926" s="25"/>
    </row>
    <row r="7927" spans="1:10" ht="14.4">
      <c r="A7927" s="25"/>
      <c r="B7927" s="25"/>
      <c r="C7927" s="25"/>
      <c r="D7927" s="25"/>
      <c r="E7927" s="25"/>
      <c r="F7927" s="25"/>
      <c r="G7927" s="25"/>
      <c r="H7927" s="25"/>
      <c r="I7927" s="25"/>
      <c r="J7927" s="25"/>
    </row>
    <row r="7928" spans="1:10" ht="14.4">
      <c r="A7928" s="25"/>
      <c r="B7928" s="25"/>
      <c r="C7928" s="25"/>
      <c r="D7928" s="25"/>
      <c r="E7928" s="25"/>
      <c r="F7928" s="25"/>
      <c r="G7928" s="25"/>
      <c r="H7928" s="25"/>
      <c r="I7928" s="25"/>
      <c r="J7928" s="25"/>
    </row>
    <row r="7929" spans="1:10" ht="14.4">
      <c r="A7929" s="25"/>
      <c r="B7929" s="25"/>
      <c r="C7929" s="25"/>
      <c r="D7929" s="25"/>
      <c r="E7929" s="25"/>
      <c r="F7929" s="25"/>
      <c r="G7929" s="25"/>
      <c r="H7929" s="25"/>
      <c r="I7929" s="25"/>
      <c r="J7929" s="25"/>
    </row>
    <row r="7930" spans="1:10" ht="14.4">
      <c r="A7930" s="25"/>
      <c r="B7930" s="25"/>
      <c r="C7930" s="25"/>
      <c r="D7930" s="25"/>
      <c r="E7930" s="25"/>
      <c r="F7930" s="25"/>
      <c r="G7930" s="25"/>
      <c r="H7930" s="25"/>
      <c r="I7930" s="25"/>
      <c r="J7930" s="25"/>
    </row>
    <row r="7931" spans="1:10" ht="14.4">
      <c r="A7931" s="25"/>
      <c r="B7931" s="25"/>
      <c r="C7931" s="25"/>
      <c r="D7931" s="25"/>
      <c r="E7931" s="25"/>
      <c r="F7931" s="25"/>
      <c r="G7931" s="25"/>
      <c r="H7931" s="25"/>
      <c r="I7931" s="25"/>
      <c r="J7931" s="25"/>
    </row>
    <row r="7932" spans="1:10" ht="14.4">
      <c r="A7932" s="25"/>
      <c r="B7932" s="25"/>
      <c r="C7932" s="25"/>
      <c r="D7932" s="25"/>
      <c r="E7932" s="25"/>
      <c r="F7932" s="25"/>
      <c r="G7932" s="25"/>
      <c r="H7932" s="25"/>
      <c r="I7932" s="25"/>
      <c r="J7932" s="25"/>
    </row>
    <row r="7933" spans="1:10" ht="14.4">
      <c r="A7933" s="25"/>
      <c r="B7933" s="25"/>
      <c r="C7933" s="25"/>
      <c r="D7933" s="25"/>
      <c r="E7933" s="25"/>
      <c r="F7933" s="25"/>
      <c r="G7933" s="25"/>
      <c r="H7933" s="25"/>
      <c r="I7933" s="25"/>
      <c r="J7933" s="25"/>
    </row>
    <row r="7934" spans="1:10" ht="14.4">
      <c r="A7934" s="25"/>
      <c r="B7934" s="25"/>
      <c r="C7934" s="25"/>
      <c r="D7934" s="25"/>
      <c r="E7934" s="25"/>
      <c r="F7934" s="25"/>
      <c r="G7934" s="25"/>
      <c r="H7934" s="25"/>
      <c r="I7934" s="25"/>
      <c r="J7934" s="25"/>
    </row>
    <row r="7935" spans="1:10" ht="14.4">
      <c r="A7935" s="25"/>
      <c r="B7935" s="25"/>
      <c r="C7935" s="25"/>
      <c r="D7935" s="25"/>
      <c r="E7935" s="25"/>
      <c r="F7935" s="25"/>
      <c r="G7935" s="25"/>
      <c r="H7935" s="25"/>
      <c r="I7935" s="25"/>
      <c r="J7935" s="25"/>
    </row>
    <row r="7936" spans="1:10" ht="14.4">
      <c r="A7936" s="25"/>
      <c r="B7936" s="25"/>
      <c r="C7936" s="25"/>
      <c r="D7936" s="25"/>
      <c r="E7936" s="25"/>
      <c r="F7936" s="25"/>
      <c r="G7936" s="25"/>
      <c r="H7936" s="25"/>
      <c r="I7936" s="25"/>
      <c r="J7936" s="25"/>
    </row>
    <row r="7937" spans="1:10" ht="14.4">
      <c r="A7937" s="25"/>
      <c r="B7937" s="25"/>
      <c r="C7937" s="25"/>
      <c r="D7937" s="25"/>
      <c r="E7937" s="25"/>
      <c r="F7937" s="25"/>
      <c r="G7937" s="25"/>
      <c r="H7937" s="25"/>
      <c r="I7937" s="25"/>
      <c r="J7937" s="25"/>
    </row>
    <row r="7938" spans="1:10" ht="14.4">
      <c r="A7938" s="25"/>
      <c r="B7938" s="25"/>
      <c r="C7938" s="25"/>
      <c r="D7938" s="25"/>
      <c r="E7938" s="25"/>
      <c r="F7938" s="25"/>
      <c r="G7938" s="25"/>
      <c r="H7938" s="25"/>
      <c r="I7938" s="25"/>
      <c r="J7938" s="25"/>
    </row>
    <row r="7939" spans="1:10" ht="14.4">
      <c r="A7939" s="25"/>
      <c r="B7939" s="25"/>
      <c r="C7939" s="25"/>
      <c r="D7939" s="25"/>
      <c r="E7939" s="25"/>
      <c r="F7939" s="25"/>
      <c r="G7939" s="25"/>
      <c r="H7939" s="25"/>
      <c r="I7939" s="25"/>
      <c r="J7939" s="25"/>
    </row>
    <row r="7940" spans="1:10" ht="14.4">
      <c r="A7940" s="25"/>
      <c r="B7940" s="25"/>
      <c r="C7940" s="25"/>
      <c r="D7940" s="25"/>
      <c r="E7940" s="25"/>
      <c r="F7940" s="25"/>
      <c r="G7940" s="25"/>
      <c r="H7940" s="25"/>
      <c r="I7940" s="25"/>
      <c r="J7940" s="25"/>
    </row>
    <row r="7941" spans="1:10" ht="14.4">
      <c r="A7941" s="25"/>
      <c r="B7941" s="25"/>
      <c r="C7941" s="25"/>
      <c r="D7941" s="25"/>
      <c r="E7941" s="25"/>
      <c r="F7941" s="25"/>
      <c r="G7941" s="25"/>
      <c r="H7941" s="25"/>
      <c r="I7941" s="25"/>
      <c r="J7941" s="25"/>
    </row>
    <row r="7942" spans="1:10" ht="14.4">
      <c r="A7942" s="25"/>
      <c r="B7942" s="25"/>
      <c r="C7942" s="25"/>
      <c r="D7942" s="25"/>
      <c r="E7942" s="25"/>
      <c r="F7942" s="25"/>
      <c r="G7942" s="25"/>
      <c r="H7942" s="25"/>
      <c r="I7942" s="25"/>
      <c r="J7942" s="25"/>
    </row>
    <row r="7943" spans="1:10" ht="14.4">
      <c r="A7943" s="25"/>
      <c r="B7943" s="25"/>
      <c r="C7943" s="25"/>
      <c r="D7943" s="25"/>
      <c r="E7943" s="25"/>
      <c r="F7943" s="25"/>
      <c r="G7943" s="25"/>
      <c r="H7943" s="25"/>
      <c r="I7943" s="25"/>
      <c r="J7943" s="25"/>
    </row>
    <row r="7944" spans="1:10" ht="14.4">
      <c r="A7944" s="25"/>
      <c r="B7944" s="25"/>
      <c r="C7944" s="25"/>
      <c r="D7944" s="25"/>
      <c r="E7944" s="25"/>
      <c r="F7944" s="25"/>
      <c r="G7944" s="25"/>
      <c r="H7944" s="25"/>
      <c r="I7944" s="25"/>
      <c r="J7944" s="25"/>
    </row>
    <row r="7945" spans="1:10" ht="14.4">
      <c r="A7945" s="25"/>
      <c r="B7945" s="25"/>
      <c r="C7945" s="25"/>
      <c r="D7945" s="25"/>
      <c r="E7945" s="25"/>
      <c r="F7945" s="25"/>
      <c r="G7945" s="25"/>
      <c r="H7945" s="25"/>
      <c r="I7945" s="25"/>
      <c r="J7945" s="25"/>
    </row>
    <row r="7946" spans="1:10" ht="14.4">
      <c r="A7946" s="25"/>
      <c r="B7946" s="25"/>
      <c r="C7946" s="25"/>
      <c r="D7946" s="25"/>
      <c r="E7946" s="25"/>
      <c r="F7946" s="25"/>
      <c r="G7946" s="25"/>
      <c r="H7946" s="25"/>
      <c r="I7946" s="25"/>
      <c r="J7946" s="25"/>
    </row>
    <row r="7947" spans="1:10" ht="14.4">
      <c r="A7947" s="25"/>
      <c r="B7947" s="25"/>
      <c r="C7947" s="25"/>
      <c r="D7947" s="25"/>
      <c r="E7947" s="25"/>
      <c r="F7947" s="25"/>
      <c r="G7947" s="25"/>
      <c r="H7947" s="25"/>
      <c r="I7947" s="25"/>
      <c r="J7947" s="25"/>
    </row>
    <row r="7948" spans="1:10" ht="14.4">
      <c r="A7948" s="25"/>
      <c r="B7948" s="25"/>
      <c r="C7948" s="25"/>
      <c r="D7948" s="25"/>
      <c r="E7948" s="25"/>
      <c r="F7948" s="25"/>
      <c r="G7948" s="25"/>
      <c r="H7948" s="25"/>
      <c r="I7948" s="25"/>
      <c r="J7948" s="25"/>
    </row>
    <row r="7949" spans="1:10" ht="14.4">
      <c r="A7949" s="25"/>
      <c r="B7949" s="25"/>
      <c r="C7949" s="25"/>
      <c r="D7949" s="25"/>
      <c r="E7949" s="25"/>
      <c r="F7949" s="25"/>
      <c r="G7949" s="25"/>
      <c r="H7949" s="25"/>
      <c r="I7949" s="25"/>
      <c r="J7949" s="25"/>
    </row>
    <row r="7950" spans="1:10" ht="14.4">
      <c r="A7950" s="25"/>
      <c r="B7950" s="25"/>
      <c r="C7950" s="25"/>
      <c r="D7950" s="25"/>
      <c r="E7950" s="25"/>
      <c r="F7950" s="25"/>
      <c r="G7950" s="25"/>
      <c r="H7950" s="25"/>
      <c r="I7950" s="25"/>
      <c r="J7950" s="25"/>
    </row>
    <row r="7951" spans="1:10" ht="14.4">
      <c r="A7951" s="25"/>
      <c r="B7951" s="25"/>
      <c r="C7951" s="25"/>
      <c r="D7951" s="25"/>
      <c r="E7951" s="25"/>
      <c r="F7951" s="25"/>
      <c r="G7951" s="25"/>
      <c r="H7951" s="25"/>
      <c r="I7951" s="25"/>
      <c r="J7951" s="25"/>
    </row>
    <row r="7952" spans="1:10" ht="14.4">
      <c r="A7952" s="25"/>
      <c r="B7952" s="25"/>
      <c r="C7952" s="25"/>
      <c r="D7952" s="25"/>
      <c r="E7952" s="25"/>
      <c r="F7952" s="25"/>
      <c r="G7952" s="25"/>
      <c r="H7952" s="25"/>
      <c r="I7952" s="25"/>
      <c r="J7952" s="25"/>
    </row>
    <row r="7953" spans="1:10" ht="14.4">
      <c r="A7953" s="25"/>
      <c r="B7953" s="25"/>
      <c r="C7953" s="25"/>
      <c r="D7953" s="25"/>
      <c r="E7953" s="25"/>
      <c r="F7953" s="25"/>
      <c r="G7953" s="25"/>
      <c r="H7953" s="25"/>
      <c r="I7953" s="25"/>
      <c r="J7953" s="25"/>
    </row>
    <row r="7954" spans="1:10" ht="14.4">
      <c r="A7954" s="25"/>
      <c r="B7954" s="25"/>
      <c r="C7954" s="25"/>
      <c r="D7954" s="25"/>
      <c r="E7954" s="25"/>
      <c r="F7954" s="25"/>
      <c r="G7954" s="25"/>
      <c r="H7954" s="25"/>
      <c r="I7954" s="25"/>
      <c r="J7954" s="25"/>
    </row>
    <row r="7955" spans="1:10" ht="14.4">
      <c r="A7955" s="25"/>
      <c r="B7955" s="25"/>
      <c r="C7955" s="25"/>
      <c r="D7955" s="25"/>
      <c r="E7955" s="25"/>
      <c r="F7955" s="25"/>
      <c r="G7955" s="25"/>
      <c r="H7955" s="25"/>
      <c r="I7955" s="25"/>
      <c r="J7955" s="25"/>
    </row>
    <row r="7956" spans="1:10" ht="14.4">
      <c r="A7956" s="25"/>
      <c r="B7956" s="25"/>
      <c r="C7956" s="25"/>
      <c r="D7956" s="25"/>
      <c r="E7956" s="25"/>
      <c r="F7956" s="25"/>
      <c r="G7956" s="25"/>
      <c r="H7956" s="25"/>
      <c r="I7956" s="25"/>
      <c r="J7956" s="25"/>
    </row>
    <row r="7957" spans="1:10" ht="14.4">
      <c r="A7957" s="25"/>
      <c r="B7957" s="25"/>
      <c r="C7957" s="25"/>
      <c r="D7957" s="25"/>
      <c r="E7957" s="25"/>
      <c r="F7957" s="25"/>
      <c r="G7957" s="25"/>
      <c r="H7957" s="25"/>
      <c r="I7957" s="25"/>
      <c r="J7957" s="25"/>
    </row>
    <row r="7958" spans="1:10" ht="14.4">
      <c r="A7958" s="25"/>
      <c r="B7958" s="25"/>
      <c r="C7958" s="25"/>
      <c r="D7958" s="25"/>
      <c r="E7958" s="25"/>
      <c r="F7958" s="25"/>
      <c r="G7958" s="25"/>
      <c r="H7958" s="25"/>
      <c r="I7958" s="25"/>
      <c r="J7958" s="25"/>
    </row>
    <row r="7959" spans="1:10" ht="14.4">
      <c r="A7959" s="25"/>
      <c r="B7959" s="25"/>
      <c r="C7959" s="25"/>
      <c r="D7959" s="25"/>
      <c r="E7959" s="25"/>
      <c r="F7959" s="25"/>
      <c r="G7959" s="25"/>
      <c r="H7959" s="25"/>
      <c r="I7959" s="25"/>
      <c r="J7959" s="25"/>
    </row>
    <row r="7960" spans="1:10" ht="14.4">
      <c r="A7960" s="25"/>
      <c r="B7960" s="25"/>
      <c r="C7960" s="25"/>
      <c r="D7960" s="25"/>
      <c r="E7960" s="25"/>
      <c r="F7960" s="25"/>
      <c r="G7960" s="25"/>
      <c r="H7960" s="25"/>
      <c r="I7960" s="25"/>
      <c r="J7960" s="25"/>
    </row>
    <row r="7961" spans="1:10" ht="14.4">
      <c r="A7961" s="25"/>
      <c r="B7961" s="25"/>
      <c r="C7961" s="25"/>
      <c r="D7961" s="25"/>
      <c r="E7961" s="25"/>
      <c r="F7961" s="25"/>
      <c r="G7961" s="25"/>
      <c r="H7961" s="25"/>
      <c r="I7961" s="25"/>
      <c r="J7961" s="25"/>
    </row>
    <row r="7962" spans="1:10" ht="14.4">
      <c r="A7962" s="25"/>
      <c r="B7962" s="25"/>
      <c r="C7962" s="25"/>
      <c r="D7962" s="25"/>
      <c r="E7962" s="25"/>
      <c r="F7962" s="25"/>
      <c r="G7962" s="25"/>
      <c r="H7962" s="25"/>
      <c r="I7962" s="25"/>
      <c r="J7962" s="25"/>
    </row>
    <row r="7963" spans="1:10" ht="14.4">
      <c r="A7963" s="25"/>
      <c r="B7963" s="25"/>
      <c r="C7963" s="25"/>
      <c r="D7963" s="25"/>
      <c r="E7963" s="25"/>
      <c r="F7963" s="25"/>
      <c r="G7963" s="25"/>
      <c r="H7963" s="25"/>
      <c r="I7963" s="25"/>
      <c r="J7963" s="25"/>
    </row>
    <row r="7964" spans="1:10" ht="14.4">
      <c r="A7964" s="25"/>
      <c r="B7964" s="25"/>
      <c r="C7964" s="25"/>
      <c r="D7964" s="25"/>
      <c r="E7964" s="25"/>
      <c r="F7964" s="25"/>
      <c r="G7964" s="25"/>
      <c r="H7964" s="25"/>
      <c r="I7964" s="25"/>
      <c r="J7964" s="25"/>
    </row>
    <row r="7965" spans="1:10" ht="14.4">
      <c r="A7965" s="25"/>
      <c r="B7965" s="25"/>
      <c r="C7965" s="25"/>
      <c r="D7965" s="25"/>
      <c r="E7965" s="25"/>
      <c r="F7965" s="25"/>
      <c r="G7965" s="25"/>
      <c r="H7965" s="25"/>
      <c r="I7965" s="25"/>
      <c r="J7965" s="25"/>
    </row>
    <row r="7966" spans="1:10" ht="14.4">
      <c r="A7966" s="25"/>
      <c r="B7966" s="25"/>
      <c r="C7966" s="25"/>
      <c r="D7966" s="25"/>
      <c r="E7966" s="25"/>
      <c r="F7966" s="25"/>
      <c r="G7966" s="25"/>
      <c r="H7966" s="25"/>
      <c r="I7966" s="25"/>
      <c r="J7966" s="25"/>
    </row>
    <row r="7967" spans="1:10" ht="14.4">
      <c r="A7967" s="25"/>
      <c r="B7967" s="25"/>
      <c r="C7967" s="25"/>
      <c r="D7967" s="25"/>
      <c r="E7967" s="25"/>
      <c r="F7967" s="25"/>
      <c r="G7967" s="25"/>
      <c r="H7967" s="25"/>
      <c r="I7967" s="25"/>
      <c r="J7967" s="25"/>
    </row>
    <row r="7968" spans="1:10" ht="14.4">
      <c r="A7968" s="25"/>
      <c r="B7968" s="25"/>
      <c r="C7968" s="25"/>
      <c r="D7968" s="25"/>
      <c r="E7968" s="25"/>
      <c r="F7968" s="25"/>
      <c r="G7968" s="25"/>
      <c r="H7968" s="25"/>
      <c r="I7968" s="25"/>
      <c r="J7968" s="25"/>
    </row>
    <row r="7969" spans="1:10" ht="14.4">
      <c r="A7969" s="25"/>
      <c r="B7969" s="25"/>
      <c r="C7969" s="25"/>
      <c r="D7969" s="25"/>
      <c r="E7969" s="25"/>
      <c r="F7969" s="25"/>
      <c r="G7969" s="25"/>
      <c r="H7969" s="25"/>
      <c r="I7969" s="25"/>
      <c r="J7969" s="25"/>
    </row>
    <row r="7970" spans="1:10" ht="14.4">
      <c r="A7970" s="25"/>
      <c r="B7970" s="25"/>
      <c r="C7970" s="25"/>
      <c r="D7970" s="25"/>
      <c r="E7970" s="25"/>
      <c r="F7970" s="25"/>
      <c r="G7970" s="25"/>
      <c r="H7970" s="25"/>
      <c r="I7970" s="25"/>
      <c r="J7970" s="25"/>
    </row>
    <row r="7971" spans="1:10" ht="14.4">
      <c r="A7971" s="25"/>
      <c r="B7971" s="25"/>
      <c r="C7971" s="25"/>
      <c r="D7971" s="25"/>
      <c r="E7971" s="25"/>
      <c r="F7971" s="25"/>
      <c r="G7971" s="25"/>
      <c r="H7971" s="25"/>
      <c r="I7971" s="25"/>
      <c r="J7971" s="25"/>
    </row>
    <row r="7972" spans="1:10" ht="14.4">
      <c r="A7972" s="25"/>
      <c r="B7972" s="25"/>
      <c r="C7972" s="25"/>
      <c r="D7972" s="25"/>
      <c r="E7972" s="25"/>
      <c r="F7972" s="25"/>
      <c r="G7972" s="25"/>
      <c r="H7972" s="25"/>
      <c r="I7972" s="25"/>
      <c r="J7972" s="25"/>
    </row>
    <row r="7973" spans="1:10" ht="14.4">
      <c r="A7973" s="25"/>
      <c r="B7973" s="25"/>
      <c r="C7973" s="25"/>
      <c r="D7973" s="25"/>
      <c r="E7973" s="25"/>
      <c r="F7973" s="25"/>
      <c r="G7973" s="25"/>
      <c r="H7973" s="25"/>
      <c r="I7973" s="25"/>
      <c r="J7973" s="25"/>
    </row>
    <row r="7974" spans="1:10" ht="14.4">
      <c r="A7974" s="25"/>
      <c r="B7974" s="25"/>
      <c r="C7974" s="25"/>
      <c r="D7974" s="25"/>
      <c r="E7974" s="25"/>
      <c r="F7974" s="25"/>
      <c r="G7974" s="25"/>
      <c r="H7974" s="25"/>
      <c r="I7974" s="25"/>
      <c r="J7974" s="25"/>
    </row>
    <row r="7975" spans="1:10" ht="14.4">
      <c r="A7975" s="25"/>
      <c r="B7975" s="25"/>
      <c r="C7975" s="25"/>
      <c r="D7975" s="25"/>
      <c r="E7975" s="25"/>
      <c r="F7975" s="25"/>
      <c r="G7975" s="25"/>
      <c r="H7975" s="25"/>
      <c r="I7975" s="25"/>
      <c r="J7975" s="25"/>
    </row>
    <row r="7976" spans="1:10" ht="14.4">
      <c r="A7976" s="25"/>
      <c r="B7976" s="25"/>
      <c r="C7976" s="25"/>
      <c r="D7976" s="25"/>
      <c r="E7976" s="25"/>
      <c r="F7976" s="25"/>
      <c r="G7976" s="25"/>
      <c r="H7976" s="25"/>
      <c r="I7976" s="25"/>
      <c r="J7976" s="25"/>
    </row>
    <row r="7977" spans="1:10" ht="14.4">
      <c r="A7977" s="25"/>
      <c r="B7977" s="25"/>
      <c r="C7977" s="25"/>
      <c r="D7977" s="25"/>
      <c r="E7977" s="25"/>
      <c r="F7977" s="25"/>
      <c r="G7977" s="25"/>
      <c r="H7977" s="25"/>
      <c r="I7977" s="25"/>
      <c r="J7977" s="25"/>
    </row>
    <row r="7978" spans="1:10" ht="14.4">
      <c r="A7978" s="25"/>
      <c r="B7978" s="25"/>
      <c r="C7978" s="25"/>
      <c r="D7978" s="25"/>
      <c r="E7978" s="25"/>
      <c r="F7978" s="25"/>
      <c r="G7978" s="25"/>
      <c r="H7978" s="25"/>
      <c r="I7978" s="25"/>
      <c r="J7978" s="25"/>
    </row>
    <row r="7979" spans="1:10" ht="14.4">
      <c r="A7979" s="25"/>
      <c r="B7979" s="25"/>
      <c r="C7979" s="25"/>
      <c r="D7979" s="25"/>
      <c r="E7979" s="25"/>
      <c r="F7979" s="25"/>
      <c r="G7979" s="25"/>
      <c r="H7979" s="25"/>
      <c r="I7979" s="25"/>
      <c r="J7979" s="25"/>
    </row>
    <row r="7980" spans="1:10" ht="14.4">
      <c r="A7980" s="25"/>
      <c r="B7980" s="25"/>
      <c r="C7980" s="25"/>
      <c r="D7980" s="25"/>
      <c r="E7980" s="25"/>
      <c r="F7980" s="25"/>
      <c r="G7980" s="25"/>
      <c r="H7980" s="25"/>
      <c r="I7980" s="25"/>
      <c r="J7980" s="25"/>
    </row>
    <row r="7981" spans="1:10" ht="14.4">
      <c r="A7981" s="25"/>
      <c r="B7981" s="25"/>
      <c r="C7981" s="25"/>
      <c r="D7981" s="25"/>
      <c r="E7981" s="25"/>
      <c r="F7981" s="25"/>
      <c r="G7981" s="25"/>
      <c r="H7981" s="25"/>
      <c r="I7981" s="25"/>
      <c r="J7981" s="25"/>
    </row>
    <row r="7982" spans="1:10" ht="14.4">
      <c r="A7982" s="25"/>
      <c r="B7982" s="25"/>
      <c r="C7982" s="25"/>
      <c r="D7982" s="25"/>
      <c r="E7982" s="25"/>
      <c r="F7982" s="25"/>
      <c r="G7982" s="25"/>
      <c r="H7982" s="25"/>
      <c r="I7982" s="25"/>
      <c r="J7982" s="25"/>
    </row>
    <row r="7983" spans="1:10" ht="14.4">
      <c r="A7983" s="25"/>
      <c r="B7983" s="25"/>
      <c r="C7983" s="25"/>
      <c r="D7983" s="25"/>
      <c r="E7983" s="25"/>
      <c r="F7983" s="25"/>
      <c r="G7983" s="25"/>
      <c r="H7983" s="25"/>
      <c r="I7983" s="25"/>
      <c r="J7983" s="25"/>
    </row>
    <row r="7984" spans="1:10" ht="14.4">
      <c r="A7984" s="25"/>
      <c r="B7984" s="25"/>
      <c r="C7984" s="25"/>
      <c r="D7984" s="25"/>
      <c r="E7984" s="25"/>
      <c r="F7984" s="25"/>
      <c r="G7984" s="25"/>
      <c r="H7984" s="25"/>
      <c r="I7984" s="25"/>
      <c r="J7984" s="25"/>
    </row>
    <row r="7985" spans="1:10" ht="14.4">
      <c r="A7985" s="25"/>
      <c r="B7985" s="25"/>
      <c r="C7985" s="25"/>
      <c r="D7985" s="25"/>
      <c r="E7985" s="25"/>
      <c r="F7985" s="25"/>
      <c r="G7985" s="25"/>
      <c r="H7985" s="25"/>
      <c r="I7985" s="25"/>
      <c r="J7985" s="25"/>
    </row>
    <row r="7986" spans="1:10" ht="14.4">
      <c r="A7986" s="25"/>
      <c r="B7986" s="25"/>
      <c r="C7986" s="25"/>
      <c r="D7986" s="25"/>
      <c r="E7986" s="25"/>
      <c r="F7986" s="25"/>
      <c r="G7986" s="25"/>
      <c r="H7986" s="25"/>
      <c r="I7986" s="25"/>
      <c r="J7986" s="25"/>
    </row>
    <row r="7987" spans="1:10" ht="14.4">
      <c r="A7987" s="25"/>
      <c r="B7987" s="25"/>
      <c r="C7987" s="25"/>
      <c r="D7987" s="25"/>
      <c r="E7987" s="25"/>
      <c r="F7987" s="25"/>
      <c r="G7987" s="25"/>
      <c r="H7987" s="25"/>
      <c r="I7987" s="25"/>
      <c r="J7987" s="25"/>
    </row>
    <row r="7988" spans="1:10" ht="14.4">
      <c r="A7988" s="25"/>
      <c r="B7988" s="25"/>
      <c r="C7988" s="25"/>
      <c r="D7988" s="25"/>
      <c r="E7988" s="25"/>
      <c r="F7988" s="25"/>
      <c r="G7988" s="25"/>
      <c r="H7988" s="25"/>
      <c r="I7988" s="25"/>
      <c r="J7988" s="25"/>
    </row>
    <row r="7989" spans="1:10" ht="14.4">
      <c r="A7989" s="25"/>
      <c r="B7989" s="25"/>
      <c r="C7989" s="25"/>
      <c r="D7989" s="25"/>
      <c r="E7989" s="25"/>
      <c r="F7989" s="25"/>
      <c r="G7989" s="25"/>
      <c r="H7989" s="25"/>
      <c r="I7989" s="25"/>
      <c r="J7989" s="25"/>
    </row>
    <row r="7990" spans="1:10" ht="14.4">
      <c r="A7990" s="25"/>
      <c r="B7990" s="25"/>
      <c r="C7990" s="25"/>
      <c r="D7990" s="25"/>
      <c r="E7990" s="25"/>
      <c r="F7990" s="25"/>
      <c r="G7990" s="25"/>
      <c r="H7990" s="25"/>
      <c r="I7990" s="25"/>
      <c r="J7990" s="25"/>
    </row>
    <row r="7991" spans="1:10" ht="14.4">
      <c r="A7991" s="25"/>
      <c r="B7991" s="25"/>
      <c r="C7991" s="25"/>
      <c r="D7991" s="25"/>
      <c r="E7991" s="25"/>
      <c r="F7991" s="25"/>
      <c r="G7991" s="25"/>
      <c r="H7991" s="25"/>
      <c r="I7991" s="25"/>
      <c r="J7991" s="25"/>
    </row>
    <row r="7992" spans="1:10" ht="14.4">
      <c r="A7992" s="25"/>
      <c r="B7992" s="25"/>
      <c r="C7992" s="25"/>
      <c r="D7992" s="25"/>
      <c r="E7992" s="25"/>
      <c r="F7992" s="25"/>
      <c r="G7992" s="25"/>
      <c r="H7992" s="25"/>
      <c r="I7992" s="25"/>
      <c r="J7992" s="25"/>
    </row>
    <row r="7993" spans="1:10" ht="14.4">
      <c r="A7993" s="25"/>
      <c r="B7993" s="25"/>
      <c r="C7993" s="25"/>
      <c r="D7993" s="25"/>
      <c r="E7993" s="25"/>
      <c r="F7993" s="25"/>
      <c r="G7993" s="25"/>
      <c r="H7993" s="25"/>
      <c r="I7993" s="25"/>
      <c r="J7993" s="25"/>
    </row>
    <row r="7994" spans="1:10" ht="14.4">
      <c r="A7994" s="25"/>
      <c r="B7994" s="25"/>
      <c r="C7994" s="25"/>
      <c r="D7994" s="25"/>
      <c r="E7994" s="25"/>
      <c r="F7994" s="25"/>
      <c r="G7994" s="25"/>
      <c r="H7994" s="25"/>
      <c r="I7994" s="25"/>
      <c r="J7994" s="25"/>
    </row>
    <row r="7995" spans="1:10" ht="14.4">
      <c r="A7995" s="25"/>
      <c r="B7995" s="25"/>
      <c r="C7995" s="25"/>
      <c r="D7995" s="25"/>
      <c r="E7995" s="25"/>
      <c r="F7995" s="25"/>
      <c r="G7995" s="25"/>
      <c r="H7995" s="25"/>
      <c r="I7995" s="25"/>
      <c r="J7995" s="25"/>
    </row>
    <row r="7996" spans="1:10" ht="14.4">
      <c r="A7996" s="25"/>
      <c r="B7996" s="25"/>
      <c r="C7996" s="25"/>
      <c r="D7996" s="25"/>
      <c r="E7996" s="25"/>
      <c r="F7996" s="25"/>
      <c r="G7996" s="25"/>
      <c r="H7996" s="25"/>
      <c r="I7996" s="25"/>
      <c r="J7996" s="25"/>
    </row>
    <row r="7997" spans="1:10" ht="14.4">
      <c r="A7997" s="25"/>
      <c r="B7997" s="25"/>
      <c r="C7997" s="25"/>
      <c r="D7997" s="25"/>
      <c r="E7997" s="25"/>
      <c r="F7997" s="25"/>
      <c r="G7997" s="25"/>
      <c r="H7997" s="25"/>
      <c r="I7997" s="25"/>
      <c r="J7997" s="25"/>
    </row>
    <row r="7998" spans="1:10" ht="14.4">
      <c r="A7998" s="25"/>
      <c r="B7998" s="25"/>
      <c r="C7998" s="25"/>
      <c r="D7998" s="25"/>
      <c r="E7998" s="25"/>
      <c r="F7998" s="25"/>
      <c r="G7998" s="25"/>
      <c r="H7998" s="25"/>
      <c r="I7998" s="25"/>
      <c r="J7998" s="25"/>
    </row>
    <row r="7999" spans="1:10" ht="14.4">
      <c r="A7999" s="25"/>
      <c r="B7999" s="25"/>
      <c r="C7999" s="25"/>
      <c r="D7999" s="25"/>
      <c r="E7999" s="25"/>
      <c r="F7999" s="25"/>
      <c r="G7999" s="25"/>
      <c r="H7999" s="25"/>
      <c r="I7999" s="25"/>
      <c r="J7999" s="25"/>
    </row>
    <row r="8000" spans="1:10" ht="14.4">
      <c r="A8000" s="25"/>
      <c r="B8000" s="25"/>
      <c r="C8000" s="25"/>
      <c r="D8000" s="25"/>
      <c r="E8000" s="25"/>
      <c r="F8000" s="25"/>
      <c r="G8000" s="25"/>
      <c r="H8000" s="25"/>
      <c r="I8000" s="25"/>
      <c r="J8000" s="25"/>
    </row>
    <row r="8001" spans="1:10" ht="14.4">
      <c r="A8001" s="25"/>
      <c r="B8001" s="25"/>
      <c r="C8001" s="25"/>
      <c r="D8001" s="25"/>
      <c r="E8001" s="25"/>
      <c r="F8001" s="25"/>
      <c r="G8001" s="25"/>
      <c r="H8001" s="25"/>
      <c r="I8001" s="25"/>
      <c r="J8001" s="25"/>
    </row>
    <row r="8002" spans="1:10" ht="14.4">
      <c r="A8002" s="25"/>
      <c r="B8002" s="25"/>
      <c r="C8002" s="25"/>
      <c r="D8002" s="25"/>
      <c r="E8002" s="25"/>
      <c r="F8002" s="25"/>
      <c r="G8002" s="25"/>
      <c r="H8002" s="25"/>
      <c r="I8002" s="25"/>
      <c r="J8002" s="25"/>
    </row>
    <row r="8003" spans="1:10" ht="14.4">
      <c r="A8003" s="25"/>
      <c r="B8003" s="25"/>
      <c r="C8003" s="25"/>
      <c r="D8003" s="25"/>
      <c r="E8003" s="25"/>
      <c r="F8003" s="25"/>
      <c r="G8003" s="25"/>
      <c r="H8003" s="25"/>
      <c r="I8003" s="25"/>
      <c r="J8003" s="25"/>
    </row>
    <row r="8004" spans="1:10" ht="14.4">
      <c r="A8004" s="25"/>
      <c r="B8004" s="25"/>
      <c r="C8004" s="25"/>
      <c r="D8004" s="25"/>
      <c r="E8004" s="25"/>
      <c r="F8004" s="25"/>
      <c r="G8004" s="25"/>
      <c r="H8004" s="25"/>
      <c r="I8004" s="25"/>
      <c r="J8004" s="25"/>
    </row>
    <row r="8005" spans="1:10" ht="14.4">
      <c r="A8005" s="25"/>
      <c r="B8005" s="25"/>
      <c r="C8005" s="25"/>
      <c r="D8005" s="25"/>
      <c r="E8005" s="25"/>
      <c r="F8005" s="25"/>
      <c r="G8005" s="25"/>
      <c r="H8005" s="25"/>
      <c r="I8005" s="25"/>
      <c r="J8005" s="25"/>
    </row>
    <row r="8006" spans="1:10" ht="14.4">
      <c r="A8006" s="25"/>
      <c r="B8006" s="25"/>
      <c r="C8006" s="25"/>
      <c r="D8006" s="25"/>
      <c r="E8006" s="25"/>
      <c r="F8006" s="25"/>
      <c r="G8006" s="25"/>
      <c r="H8006" s="25"/>
      <c r="I8006" s="25"/>
      <c r="J8006" s="25"/>
    </row>
    <row r="8007" spans="1:10" ht="14.4">
      <c r="A8007" s="25"/>
      <c r="B8007" s="25"/>
      <c r="C8007" s="25"/>
      <c r="D8007" s="25"/>
      <c r="E8007" s="25"/>
      <c r="F8007" s="25"/>
      <c r="G8007" s="25"/>
      <c r="H8007" s="25"/>
      <c r="I8007" s="25"/>
      <c r="J8007" s="25"/>
    </row>
    <row r="8008" spans="1:10" ht="14.4">
      <c r="A8008" s="25"/>
      <c r="B8008" s="25"/>
      <c r="C8008" s="25"/>
      <c r="D8008" s="25"/>
      <c r="E8008" s="25"/>
      <c r="F8008" s="25"/>
      <c r="G8008" s="25"/>
      <c r="H8008" s="25"/>
      <c r="I8008" s="25"/>
      <c r="J8008" s="25"/>
    </row>
    <row r="8009" spans="1:10" ht="14.4">
      <c r="A8009" s="25"/>
      <c r="B8009" s="25"/>
      <c r="C8009" s="25"/>
      <c r="D8009" s="25"/>
      <c r="E8009" s="25"/>
      <c r="F8009" s="25"/>
      <c r="G8009" s="25"/>
      <c r="H8009" s="25"/>
      <c r="I8009" s="25"/>
      <c r="J8009" s="25"/>
    </row>
    <row r="8010" spans="1:10" ht="14.4">
      <c r="A8010" s="25"/>
      <c r="B8010" s="25"/>
      <c r="C8010" s="25"/>
      <c r="D8010" s="25"/>
      <c r="E8010" s="25"/>
      <c r="F8010" s="25"/>
      <c r="G8010" s="25"/>
      <c r="H8010" s="25"/>
      <c r="I8010" s="25"/>
      <c r="J8010" s="25"/>
    </row>
    <row r="8011" spans="1:10" ht="14.4">
      <c r="A8011" s="25"/>
      <c r="B8011" s="25"/>
      <c r="C8011" s="25"/>
      <c r="D8011" s="25"/>
      <c r="E8011" s="25"/>
      <c r="F8011" s="25"/>
      <c r="G8011" s="25"/>
      <c r="H8011" s="25"/>
      <c r="I8011" s="25"/>
      <c r="J8011" s="25"/>
    </row>
    <row r="8012" spans="1:10" ht="14.4">
      <c r="A8012" s="25"/>
      <c r="B8012" s="25"/>
      <c r="C8012" s="25"/>
      <c r="D8012" s="25"/>
      <c r="E8012" s="25"/>
      <c r="F8012" s="25"/>
      <c r="G8012" s="25"/>
      <c r="H8012" s="25"/>
      <c r="I8012" s="25"/>
      <c r="J8012" s="25"/>
    </row>
    <row r="8013" spans="1:10" ht="14.4">
      <c r="A8013" s="25"/>
      <c r="B8013" s="25"/>
      <c r="C8013" s="25"/>
      <c r="D8013" s="25"/>
      <c r="E8013" s="25"/>
      <c r="F8013" s="25"/>
      <c r="G8013" s="25"/>
      <c r="H8013" s="25"/>
      <c r="I8013" s="25"/>
      <c r="J8013" s="25"/>
    </row>
    <row r="8014" spans="1:10" ht="14.4">
      <c r="A8014" s="25"/>
      <c r="B8014" s="25"/>
      <c r="C8014" s="25"/>
      <c r="D8014" s="25"/>
      <c r="E8014" s="25"/>
      <c r="F8014" s="25"/>
      <c r="G8014" s="25"/>
      <c r="H8014" s="25"/>
      <c r="I8014" s="25"/>
      <c r="J8014" s="25"/>
    </row>
    <row r="8015" spans="1:10" ht="14.4">
      <c r="A8015" s="25"/>
      <c r="B8015" s="25"/>
      <c r="C8015" s="25"/>
      <c r="D8015" s="25"/>
      <c r="E8015" s="25"/>
      <c r="F8015" s="25"/>
      <c r="G8015" s="25"/>
      <c r="H8015" s="25"/>
      <c r="I8015" s="25"/>
      <c r="J8015" s="25"/>
    </row>
    <row r="8016" spans="1:10" ht="14.4">
      <c r="A8016" s="25"/>
      <c r="B8016" s="25"/>
      <c r="C8016" s="25"/>
      <c r="D8016" s="25"/>
      <c r="E8016" s="25"/>
      <c r="F8016" s="25"/>
      <c r="G8016" s="25"/>
      <c r="H8016" s="25"/>
      <c r="I8016" s="25"/>
      <c r="J8016" s="25"/>
    </row>
    <row r="8017" spans="1:10" ht="14.4">
      <c r="A8017" s="25"/>
      <c r="B8017" s="25"/>
      <c r="C8017" s="25"/>
      <c r="D8017" s="25"/>
      <c r="E8017" s="25"/>
      <c r="F8017" s="25"/>
      <c r="G8017" s="25"/>
      <c r="H8017" s="25"/>
      <c r="I8017" s="25"/>
      <c r="J8017" s="25"/>
    </row>
    <row r="8018" spans="1:10" ht="14.4">
      <c r="A8018" s="25"/>
      <c r="B8018" s="25"/>
      <c r="C8018" s="25"/>
      <c r="D8018" s="25"/>
      <c r="E8018" s="25"/>
      <c r="F8018" s="25"/>
      <c r="G8018" s="25"/>
      <c r="H8018" s="25"/>
      <c r="I8018" s="25"/>
      <c r="J8018" s="25"/>
    </row>
    <row r="8019" spans="1:10" ht="14.4">
      <c r="A8019" s="25"/>
      <c r="B8019" s="25"/>
      <c r="C8019" s="25"/>
      <c r="D8019" s="25"/>
      <c r="E8019" s="25"/>
      <c r="F8019" s="25"/>
      <c r="G8019" s="25"/>
      <c r="H8019" s="25"/>
      <c r="I8019" s="25"/>
      <c r="J8019" s="25"/>
    </row>
    <row r="8020" spans="1:10" ht="14.4">
      <c r="A8020" s="25"/>
      <c r="B8020" s="25"/>
      <c r="C8020" s="25"/>
      <c r="D8020" s="25"/>
      <c r="E8020" s="25"/>
      <c r="F8020" s="25"/>
      <c r="G8020" s="25"/>
      <c r="H8020" s="25"/>
      <c r="I8020" s="25"/>
      <c r="J8020" s="25"/>
    </row>
    <row r="8021" spans="1:10" ht="14.4">
      <c r="A8021" s="25"/>
      <c r="B8021" s="25"/>
      <c r="C8021" s="25"/>
      <c r="D8021" s="25"/>
      <c r="E8021" s="25"/>
      <c r="F8021" s="25"/>
      <c r="G8021" s="25"/>
      <c r="H8021" s="25"/>
      <c r="I8021" s="25"/>
      <c r="J8021" s="25"/>
    </row>
    <row r="8022" spans="1:10" ht="14.4">
      <c r="A8022" s="25"/>
      <c r="B8022" s="25"/>
      <c r="C8022" s="25"/>
      <c r="D8022" s="25"/>
      <c r="E8022" s="25"/>
      <c r="F8022" s="25"/>
      <c r="G8022" s="25"/>
      <c r="H8022" s="25"/>
      <c r="I8022" s="25"/>
      <c r="J8022" s="25"/>
    </row>
    <row r="8023" spans="1:10" ht="14.4">
      <c r="A8023" s="25"/>
      <c r="B8023" s="25"/>
      <c r="C8023" s="25"/>
      <c r="D8023" s="25"/>
      <c r="E8023" s="25"/>
      <c r="F8023" s="25"/>
      <c r="G8023" s="25"/>
      <c r="H8023" s="25"/>
      <c r="I8023" s="25"/>
      <c r="J8023" s="25"/>
    </row>
    <row r="8024" spans="1:10" ht="14.4">
      <c r="A8024" s="25"/>
      <c r="B8024" s="25"/>
      <c r="C8024" s="25"/>
      <c r="D8024" s="25"/>
      <c r="E8024" s="25"/>
      <c r="F8024" s="25"/>
      <c r="G8024" s="25"/>
      <c r="H8024" s="25"/>
      <c r="I8024" s="25"/>
      <c r="J8024" s="25"/>
    </row>
    <row r="8025" spans="1:10" ht="14.4">
      <c r="A8025" s="25"/>
      <c r="B8025" s="25"/>
      <c r="C8025" s="25"/>
      <c r="D8025" s="25"/>
      <c r="E8025" s="25"/>
      <c r="F8025" s="25"/>
      <c r="G8025" s="25"/>
      <c r="H8025" s="25"/>
      <c r="I8025" s="25"/>
      <c r="J8025" s="25"/>
    </row>
    <row r="8026" spans="1:10" ht="14.4">
      <c r="A8026" s="25"/>
      <c r="B8026" s="25"/>
      <c r="C8026" s="25"/>
      <c r="D8026" s="25"/>
      <c r="E8026" s="25"/>
      <c r="F8026" s="25"/>
      <c r="G8026" s="25"/>
      <c r="H8026" s="25"/>
      <c r="I8026" s="25"/>
      <c r="J8026" s="25"/>
    </row>
    <row r="8027" spans="1:10" ht="14.4">
      <c r="A8027" s="25"/>
      <c r="B8027" s="25"/>
      <c r="C8027" s="25"/>
      <c r="D8027" s="25"/>
      <c r="E8027" s="25"/>
      <c r="F8027" s="25"/>
      <c r="G8027" s="25"/>
      <c r="H8027" s="25"/>
      <c r="I8027" s="25"/>
      <c r="J8027" s="25"/>
    </row>
    <row r="8028" spans="1:10" ht="14.4">
      <c r="A8028" s="25"/>
      <c r="B8028" s="25"/>
      <c r="C8028" s="25"/>
      <c r="D8028" s="25"/>
      <c r="E8028" s="25"/>
      <c r="F8028" s="25"/>
      <c r="G8028" s="25"/>
      <c r="H8028" s="25"/>
      <c r="I8028" s="25"/>
      <c r="J8028" s="25"/>
    </row>
    <row r="8029" spans="1:10" ht="14.4">
      <c r="A8029" s="25"/>
      <c r="B8029" s="25"/>
      <c r="C8029" s="25"/>
      <c r="D8029" s="25"/>
      <c r="E8029" s="25"/>
      <c r="F8029" s="25"/>
      <c r="G8029" s="25"/>
      <c r="H8029" s="25"/>
      <c r="I8029" s="25"/>
      <c r="J8029" s="25"/>
    </row>
    <row r="8030" spans="1:10" ht="14.4">
      <c r="A8030" s="25"/>
      <c r="B8030" s="25"/>
      <c r="C8030" s="25"/>
      <c r="D8030" s="25"/>
      <c r="E8030" s="25"/>
      <c r="F8030" s="25"/>
      <c r="G8030" s="25"/>
      <c r="H8030" s="25"/>
      <c r="I8030" s="25"/>
      <c r="J8030" s="25"/>
    </row>
    <row r="8031" spans="1:10" ht="14.4">
      <c r="A8031" s="25"/>
      <c r="B8031" s="25"/>
      <c r="C8031" s="25"/>
      <c r="D8031" s="25"/>
      <c r="E8031" s="25"/>
      <c r="F8031" s="25"/>
      <c r="G8031" s="25"/>
      <c r="H8031" s="25"/>
      <c r="I8031" s="25"/>
      <c r="J8031" s="25"/>
    </row>
    <row r="8032" spans="1:10" ht="14.4">
      <c r="A8032" s="25"/>
      <c r="B8032" s="25"/>
      <c r="C8032" s="25"/>
      <c r="D8032" s="25"/>
      <c r="E8032" s="25"/>
      <c r="F8032" s="25"/>
      <c r="G8032" s="25"/>
      <c r="H8032" s="25"/>
      <c r="I8032" s="25"/>
      <c r="J8032" s="25"/>
    </row>
    <row r="8033" spans="1:10" ht="14.4">
      <c r="A8033" s="25"/>
      <c r="B8033" s="25"/>
      <c r="C8033" s="25"/>
      <c r="D8033" s="25"/>
      <c r="E8033" s="25"/>
      <c r="F8033" s="25"/>
      <c r="G8033" s="25"/>
      <c r="H8033" s="25"/>
      <c r="I8033" s="25"/>
      <c r="J8033" s="25"/>
    </row>
    <row r="8034" spans="1:10" ht="14.4">
      <c r="A8034" s="25"/>
      <c r="B8034" s="25"/>
      <c r="C8034" s="25"/>
      <c r="D8034" s="25"/>
      <c r="E8034" s="25"/>
      <c r="F8034" s="25"/>
      <c r="G8034" s="25"/>
      <c r="H8034" s="25"/>
      <c r="I8034" s="25"/>
      <c r="J8034" s="25"/>
    </row>
    <row r="8035" spans="1:10" ht="14.4">
      <c r="A8035" s="25"/>
      <c r="B8035" s="25"/>
      <c r="C8035" s="25"/>
      <c r="D8035" s="25"/>
      <c r="E8035" s="25"/>
      <c r="F8035" s="25"/>
      <c r="G8035" s="25"/>
      <c r="H8035" s="25"/>
      <c r="I8035" s="25"/>
      <c r="J8035" s="25"/>
    </row>
    <row r="8036" spans="1:10" ht="14.4">
      <c r="A8036" s="25"/>
      <c r="B8036" s="25"/>
      <c r="C8036" s="25"/>
      <c r="D8036" s="25"/>
      <c r="E8036" s="25"/>
      <c r="F8036" s="25"/>
      <c r="G8036" s="25"/>
      <c r="H8036" s="25"/>
      <c r="I8036" s="25"/>
      <c r="J8036" s="25"/>
    </row>
    <row r="8037" spans="1:10" ht="14.4">
      <c r="A8037" s="25"/>
      <c r="B8037" s="25"/>
      <c r="C8037" s="25"/>
      <c r="D8037" s="25"/>
      <c r="E8037" s="25"/>
      <c r="F8037" s="25"/>
      <c r="G8037" s="25"/>
      <c r="H8037" s="25"/>
      <c r="I8037" s="25"/>
      <c r="J8037" s="25"/>
    </row>
    <row r="8038" spans="1:10" ht="14.4">
      <c r="A8038" s="25"/>
      <c r="B8038" s="25"/>
      <c r="C8038" s="25"/>
      <c r="D8038" s="25"/>
      <c r="E8038" s="25"/>
      <c r="F8038" s="25"/>
      <c r="G8038" s="25"/>
      <c r="H8038" s="25"/>
      <c r="I8038" s="25"/>
      <c r="J8038" s="25"/>
    </row>
    <row r="8039" spans="1:10" ht="14.4">
      <c r="A8039" s="25"/>
      <c r="B8039" s="25"/>
      <c r="C8039" s="25"/>
      <c r="D8039" s="25"/>
      <c r="E8039" s="25"/>
      <c r="F8039" s="25"/>
      <c r="G8039" s="25"/>
      <c r="H8039" s="25"/>
      <c r="I8039" s="25"/>
      <c r="J8039" s="25"/>
    </row>
    <row r="8040" spans="1:10" ht="14.4">
      <c r="A8040" s="25"/>
      <c r="B8040" s="25"/>
      <c r="C8040" s="25"/>
      <c r="D8040" s="25"/>
      <c r="E8040" s="25"/>
      <c r="F8040" s="25"/>
      <c r="G8040" s="25"/>
      <c r="H8040" s="25"/>
      <c r="I8040" s="25"/>
      <c r="J8040" s="25"/>
    </row>
    <row r="8041" spans="1:10" ht="14.4">
      <c r="A8041" s="25"/>
      <c r="B8041" s="25"/>
      <c r="C8041" s="25"/>
      <c r="D8041" s="25"/>
      <c r="E8041" s="25"/>
      <c r="F8041" s="25"/>
      <c r="G8041" s="25"/>
      <c r="H8041" s="25"/>
      <c r="I8041" s="25"/>
      <c r="J8041" s="25"/>
    </row>
    <row r="8042" spans="1:10" ht="14.4">
      <c r="A8042" s="25"/>
      <c r="B8042" s="25"/>
      <c r="C8042" s="25"/>
      <c r="D8042" s="25"/>
      <c r="E8042" s="25"/>
      <c r="F8042" s="25"/>
      <c r="G8042" s="25"/>
      <c r="H8042" s="25"/>
      <c r="I8042" s="25"/>
      <c r="J8042" s="25"/>
    </row>
    <row r="8043" spans="1:10" ht="14.4">
      <c r="A8043" s="25"/>
      <c r="B8043" s="25"/>
      <c r="C8043" s="25"/>
      <c r="D8043" s="25"/>
      <c r="E8043" s="25"/>
      <c r="F8043" s="25"/>
      <c r="G8043" s="25"/>
      <c r="H8043" s="25"/>
      <c r="I8043" s="25"/>
      <c r="J8043" s="25"/>
    </row>
    <row r="8044" spans="1:10" ht="14.4">
      <c r="A8044" s="25"/>
      <c r="B8044" s="25"/>
      <c r="C8044" s="25"/>
      <c r="D8044" s="25"/>
      <c r="E8044" s="25"/>
      <c r="F8044" s="25"/>
      <c r="G8044" s="25"/>
      <c r="H8044" s="25"/>
      <c r="I8044" s="25"/>
      <c r="J8044" s="25"/>
    </row>
    <row r="8045" spans="1:10" ht="14.4">
      <c r="A8045" s="25"/>
      <c r="B8045" s="25"/>
      <c r="C8045" s="25"/>
      <c r="D8045" s="25"/>
      <c r="E8045" s="25"/>
      <c r="F8045" s="25"/>
      <c r="G8045" s="25"/>
      <c r="H8045" s="25"/>
      <c r="I8045" s="25"/>
      <c r="J8045" s="25"/>
    </row>
    <row r="8046" spans="1:10" ht="14.4">
      <c r="A8046" s="25"/>
      <c r="B8046" s="25"/>
      <c r="C8046" s="25"/>
      <c r="D8046" s="25"/>
      <c r="E8046" s="25"/>
      <c r="F8046" s="25"/>
      <c r="G8046" s="25"/>
      <c r="H8046" s="25"/>
      <c r="I8046" s="25"/>
      <c r="J8046" s="25"/>
    </row>
    <row r="8047" spans="1:10" ht="14.4">
      <c r="A8047" s="25"/>
      <c r="B8047" s="25"/>
      <c r="C8047" s="25"/>
      <c r="D8047" s="25"/>
      <c r="E8047" s="25"/>
      <c r="F8047" s="25"/>
      <c r="G8047" s="25"/>
      <c r="H8047" s="25"/>
      <c r="I8047" s="25"/>
      <c r="J8047" s="25"/>
    </row>
    <row r="8048" spans="1:10" ht="14.4">
      <c r="A8048" s="25"/>
      <c r="B8048" s="25"/>
      <c r="C8048" s="25"/>
      <c r="D8048" s="25"/>
      <c r="E8048" s="25"/>
      <c r="F8048" s="25"/>
      <c r="G8048" s="25"/>
      <c r="H8048" s="25"/>
      <c r="I8048" s="25"/>
      <c r="J8048" s="25"/>
    </row>
    <row r="8049" spans="1:10" ht="14.4">
      <c r="A8049" s="25"/>
      <c r="B8049" s="25"/>
      <c r="C8049" s="25"/>
      <c r="D8049" s="25"/>
      <c r="E8049" s="25"/>
      <c r="F8049" s="25"/>
      <c r="G8049" s="25"/>
      <c r="H8049" s="25"/>
      <c r="I8049" s="25"/>
      <c r="J8049" s="25"/>
    </row>
    <row r="8050" spans="1:10" ht="14.4">
      <c r="A8050" s="25"/>
      <c r="B8050" s="25"/>
      <c r="C8050" s="25"/>
      <c r="D8050" s="25"/>
      <c r="E8050" s="25"/>
      <c r="F8050" s="25"/>
      <c r="G8050" s="25"/>
      <c r="H8050" s="25"/>
      <c r="I8050" s="25"/>
      <c r="J8050" s="25"/>
    </row>
    <row r="8051" spans="1:10" ht="14.4">
      <c r="A8051" s="25"/>
      <c r="B8051" s="25"/>
      <c r="C8051" s="25"/>
      <c r="D8051" s="25"/>
      <c r="E8051" s="25"/>
      <c r="F8051" s="25"/>
      <c r="G8051" s="25"/>
      <c r="H8051" s="25"/>
      <c r="I8051" s="25"/>
      <c r="J8051" s="25"/>
    </row>
    <row r="8052" spans="1:10" ht="14.4">
      <c r="A8052" s="25"/>
      <c r="B8052" s="25"/>
      <c r="C8052" s="25"/>
      <c r="D8052" s="25"/>
      <c r="E8052" s="25"/>
      <c r="F8052" s="25"/>
      <c r="G8052" s="25"/>
      <c r="H8052" s="25"/>
      <c r="I8052" s="25"/>
      <c r="J8052" s="25"/>
    </row>
    <row r="8053" spans="1:10" ht="14.4">
      <c r="A8053" s="25"/>
      <c r="B8053" s="25"/>
      <c r="C8053" s="25"/>
      <c r="D8053" s="25"/>
      <c r="E8053" s="25"/>
      <c r="F8053" s="25"/>
      <c r="G8053" s="25"/>
      <c r="H8053" s="25"/>
      <c r="I8053" s="25"/>
      <c r="J8053" s="25"/>
    </row>
    <row r="8054" spans="1:10" ht="14.4">
      <c r="A8054" s="25"/>
      <c r="B8054" s="25"/>
      <c r="C8054" s="25"/>
      <c r="D8054" s="25"/>
      <c r="E8054" s="25"/>
      <c r="F8054" s="25"/>
      <c r="G8054" s="25"/>
      <c r="H8054" s="25"/>
      <c r="I8054" s="25"/>
      <c r="J8054" s="25"/>
    </row>
    <row r="8055" spans="1:10" ht="14.4">
      <c r="A8055" s="25"/>
      <c r="B8055" s="25"/>
      <c r="C8055" s="25"/>
      <c r="D8055" s="25"/>
      <c r="E8055" s="25"/>
      <c r="F8055" s="25"/>
      <c r="G8055" s="25"/>
      <c r="H8055" s="25"/>
      <c r="I8055" s="25"/>
      <c r="J8055" s="25"/>
    </row>
    <row r="8056" spans="1:10" ht="14.4">
      <c r="A8056" s="25"/>
      <c r="B8056" s="25"/>
      <c r="C8056" s="25"/>
      <c r="D8056" s="25"/>
      <c r="E8056" s="25"/>
      <c r="F8056" s="25"/>
      <c r="G8056" s="25"/>
      <c r="H8056" s="25"/>
      <c r="I8056" s="25"/>
      <c r="J8056" s="25"/>
    </row>
    <row r="8057" spans="1:10" ht="14.4">
      <c r="A8057" s="25"/>
      <c r="B8057" s="25"/>
      <c r="C8057" s="25"/>
      <c r="D8057" s="25"/>
      <c r="E8057" s="25"/>
      <c r="F8057" s="25"/>
      <c r="G8057" s="25"/>
      <c r="H8057" s="25"/>
      <c r="I8057" s="25"/>
      <c r="J8057" s="25"/>
    </row>
    <row r="8058" spans="1:10" ht="14.4">
      <c r="A8058" s="25"/>
      <c r="B8058" s="25"/>
      <c r="C8058" s="25"/>
      <c r="D8058" s="25"/>
      <c r="E8058" s="25"/>
      <c r="F8058" s="25"/>
      <c r="G8058" s="25"/>
      <c r="H8058" s="25"/>
      <c r="I8058" s="25"/>
      <c r="J8058" s="25"/>
    </row>
    <row r="8059" spans="1:10" ht="14.4">
      <c r="A8059" s="25"/>
      <c r="B8059" s="25"/>
      <c r="C8059" s="25"/>
      <c r="D8059" s="25"/>
      <c r="E8059" s="25"/>
      <c r="F8059" s="25"/>
      <c r="G8059" s="25"/>
      <c r="H8059" s="25"/>
      <c r="I8059" s="25"/>
      <c r="J8059" s="25"/>
    </row>
    <row r="8060" spans="1:10" ht="14.4">
      <c r="A8060" s="25"/>
      <c r="B8060" s="25"/>
      <c r="C8060" s="25"/>
      <c r="D8060" s="25"/>
      <c r="E8060" s="25"/>
      <c r="F8060" s="25"/>
      <c r="G8060" s="25"/>
      <c r="H8060" s="25"/>
      <c r="I8060" s="25"/>
      <c r="J8060" s="25"/>
    </row>
    <row r="8061" spans="1:10" ht="14.4">
      <c r="A8061" s="25"/>
      <c r="B8061" s="25"/>
      <c r="C8061" s="25"/>
      <c r="D8061" s="25"/>
      <c r="E8061" s="25"/>
      <c r="F8061" s="25"/>
      <c r="G8061" s="25"/>
      <c r="H8061" s="25"/>
      <c r="I8061" s="25"/>
      <c r="J8061" s="25"/>
    </row>
    <row r="8062" spans="1:10" ht="14.4">
      <c r="A8062" s="25"/>
      <c r="B8062" s="25"/>
      <c r="C8062" s="25"/>
      <c r="D8062" s="25"/>
      <c r="E8062" s="25"/>
      <c r="F8062" s="25"/>
      <c r="G8062" s="25"/>
      <c r="H8062" s="25"/>
      <c r="I8062" s="25"/>
      <c r="J8062" s="25"/>
    </row>
    <row r="8063" spans="1:10" ht="14.4">
      <c r="A8063" s="25"/>
      <c r="B8063" s="25"/>
      <c r="C8063" s="25"/>
      <c r="D8063" s="25"/>
      <c r="E8063" s="25"/>
      <c r="F8063" s="25"/>
      <c r="G8063" s="25"/>
      <c r="H8063" s="25"/>
      <c r="I8063" s="25"/>
      <c r="J8063" s="25"/>
    </row>
    <row r="8064" spans="1:10" ht="14.4">
      <c r="A8064" s="25"/>
      <c r="B8064" s="25"/>
      <c r="C8064" s="25"/>
      <c r="D8064" s="25"/>
      <c r="E8064" s="25"/>
      <c r="F8064" s="25"/>
      <c r="G8064" s="25"/>
      <c r="H8064" s="25"/>
      <c r="I8064" s="25"/>
      <c r="J8064" s="25"/>
    </row>
    <row r="8065" spans="1:10" ht="14.4">
      <c r="A8065" s="25"/>
      <c r="B8065" s="25"/>
      <c r="C8065" s="25"/>
      <c r="D8065" s="25"/>
      <c r="E8065" s="25"/>
      <c r="F8065" s="25"/>
      <c r="G8065" s="25"/>
      <c r="H8065" s="25"/>
      <c r="I8065" s="25"/>
      <c r="J8065" s="25"/>
    </row>
    <row r="8066" spans="1:10" ht="14.4">
      <c r="A8066" s="25"/>
      <c r="B8066" s="25"/>
      <c r="C8066" s="25"/>
      <c r="D8066" s="25"/>
      <c r="E8066" s="25"/>
      <c r="F8066" s="25"/>
      <c r="G8066" s="25"/>
      <c r="H8066" s="25"/>
      <c r="I8066" s="25"/>
      <c r="J8066" s="25"/>
    </row>
    <row r="8067" spans="1:10" ht="14.4">
      <c r="A8067" s="25"/>
      <c r="B8067" s="25"/>
      <c r="C8067" s="25"/>
      <c r="D8067" s="25"/>
      <c r="E8067" s="25"/>
      <c r="F8067" s="25"/>
      <c r="G8067" s="25"/>
      <c r="H8067" s="25"/>
      <c r="I8067" s="25"/>
      <c r="J8067" s="25"/>
    </row>
    <row r="8068" spans="1:10" ht="14.4">
      <c r="A8068" s="25"/>
      <c r="B8068" s="25"/>
      <c r="C8068" s="25"/>
      <c r="D8068" s="25"/>
      <c r="E8068" s="25"/>
      <c r="F8068" s="25"/>
      <c r="G8068" s="25"/>
      <c r="H8068" s="25"/>
      <c r="I8068" s="25"/>
      <c r="J8068" s="25"/>
    </row>
    <row r="8069" spans="1:10" ht="14.4">
      <c r="A8069" s="25"/>
      <c r="B8069" s="25"/>
      <c r="C8069" s="25"/>
      <c r="D8069" s="25"/>
      <c r="E8069" s="25"/>
      <c r="F8069" s="25"/>
      <c r="G8069" s="25"/>
      <c r="H8069" s="25"/>
      <c r="I8069" s="25"/>
      <c r="J8069" s="25"/>
    </row>
    <row r="8070" spans="1:10" ht="14.4">
      <c r="A8070" s="25"/>
      <c r="B8070" s="25"/>
      <c r="C8070" s="25"/>
      <c r="D8070" s="25"/>
      <c r="E8070" s="25"/>
      <c r="F8070" s="25"/>
      <c r="G8070" s="25"/>
      <c r="H8070" s="25"/>
      <c r="I8070" s="25"/>
      <c r="J8070" s="25"/>
    </row>
    <row r="8071" spans="1:10" ht="14.4">
      <c r="A8071" s="25"/>
      <c r="B8071" s="25"/>
      <c r="C8071" s="25"/>
      <c r="D8071" s="25"/>
      <c r="E8071" s="25"/>
      <c r="F8071" s="25"/>
      <c r="G8071" s="25"/>
      <c r="H8071" s="25"/>
      <c r="I8071" s="25"/>
      <c r="J8071" s="25"/>
    </row>
    <row r="8072" spans="1:10" ht="14.4">
      <c r="A8072" s="25"/>
      <c r="B8072" s="25"/>
      <c r="C8072" s="25"/>
      <c r="D8072" s="25"/>
      <c r="E8072" s="25"/>
      <c r="F8072" s="25"/>
      <c r="G8072" s="25"/>
      <c r="H8072" s="25"/>
      <c r="I8072" s="25"/>
      <c r="J8072" s="25"/>
    </row>
    <row r="8073" spans="1:10" ht="14.4">
      <c r="A8073" s="25"/>
      <c r="B8073" s="25"/>
      <c r="C8073" s="25"/>
      <c r="D8073" s="25"/>
      <c r="E8073" s="25"/>
      <c r="F8073" s="25"/>
      <c r="G8073" s="25"/>
      <c r="H8073" s="25"/>
      <c r="I8073" s="25"/>
      <c r="J8073" s="25"/>
    </row>
    <row r="8074" spans="1:10" ht="14.4">
      <c r="A8074" s="25"/>
      <c r="B8074" s="25"/>
      <c r="C8074" s="25"/>
      <c r="D8074" s="25"/>
      <c r="E8074" s="25"/>
      <c r="F8074" s="25"/>
      <c r="G8074" s="25"/>
      <c r="H8074" s="25"/>
      <c r="I8074" s="25"/>
      <c r="J8074" s="25"/>
    </row>
    <row r="8075" spans="1:10" ht="14.4">
      <c r="A8075" s="25"/>
      <c r="B8075" s="25"/>
      <c r="C8075" s="25"/>
      <c r="D8075" s="25"/>
      <c r="E8075" s="25"/>
      <c r="F8075" s="25"/>
      <c r="G8075" s="25"/>
      <c r="H8075" s="25"/>
      <c r="I8075" s="25"/>
      <c r="J8075" s="25"/>
    </row>
    <row r="8076" spans="1:10" ht="14.4">
      <c r="A8076" s="25"/>
      <c r="B8076" s="25"/>
      <c r="C8076" s="25"/>
      <c r="D8076" s="25"/>
      <c r="E8076" s="25"/>
      <c r="F8076" s="25"/>
      <c r="G8076" s="25"/>
      <c r="H8076" s="25"/>
      <c r="I8076" s="25"/>
      <c r="J8076" s="25"/>
    </row>
    <row r="8077" spans="1:10" ht="14.4">
      <c r="A8077" s="25"/>
      <c r="B8077" s="25"/>
      <c r="C8077" s="25"/>
      <c r="D8077" s="25"/>
      <c r="E8077" s="25"/>
      <c r="F8077" s="25"/>
      <c r="G8077" s="25"/>
      <c r="H8077" s="25"/>
      <c r="I8077" s="25"/>
      <c r="J8077" s="25"/>
    </row>
    <row r="8078" spans="1:10" ht="14.4">
      <c r="A8078" s="25"/>
      <c r="B8078" s="25"/>
      <c r="C8078" s="25"/>
      <c r="D8078" s="25"/>
      <c r="E8078" s="25"/>
      <c r="F8078" s="25"/>
      <c r="G8078" s="25"/>
      <c r="H8078" s="25"/>
      <c r="I8078" s="25"/>
      <c r="J8078" s="25"/>
    </row>
    <row r="8079" spans="1:10" ht="14.4">
      <c r="A8079" s="25"/>
      <c r="B8079" s="25"/>
      <c r="C8079" s="25"/>
      <c r="D8079" s="25"/>
      <c r="E8079" s="25"/>
      <c r="F8079" s="25"/>
      <c r="G8079" s="25"/>
      <c r="H8079" s="25"/>
      <c r="I8079" s="25"/>
      <c r="J8079" s="25"/>
    </row>
    <row r="8080" spans="1:10" ht="14.4">
      <c r="A8080" s="25"/>
      <c r="B8080" s="25"/>
      <c r="C8080" s="25"/>
      <c r="D8080" s="25"/>
      <c r="E8080" s="25"/>
      <c r="F8080" s="25"/>
      <c r="G8080" s="25"/>
      <c r="H8080" s="25"/>
      <c r="I8080" s="25"/>
      <c r="J8080" s="25"/>
    </row>
    <row r="8081" spans="1:10" ht="14.4">
      <c r="A8081" s="25"/>
      <c r="B8081" s="25"/>
      <c r="C8081" s="25"/>
      <c r="D8081" s="25"/>
      <c r="E8081" s="25"/>
      <c r="F8081" s="25"/>
      <c r="G8081" s="25"/>
      <c r="H8081" s="25"/>
      <c r="I8081" s="25"/>
      <c r="J8081" s="25"/>
    </row>
    <row r="8082" spans="1:10" ht="14.4">
      <c r="A8082" s="25"/>
      <c r="B8082" s="25"/>
      <c r="C8082" s="25"/>
      <c r="D8082" s="25"/>
      <c r="E8082" s="25"/>
      <c r="F8082" s="25"/>
      <c r="G8082" s="25"/>
      <c r="H8082" s="25"/>
      <c r="I8082" s="25"/>
      <c r="J8082" s="25"/>
    </row>
    <row r="8083" spans="1:10" ht="14.4">
      <c r="A8083" s="25"/>
      <c r="B8083" s="25"/>
      <c r="C8083" s="25"/>
      <c r="D8083" s="25"/>
      <c r="E8083" s="25"/>
      <c r="F8083" s="25"/>
      <c r="G8083" s="25"/>
      <c r="H8083" s="25"/>
      <c r="I8083" s="25"/>
      <c r="J8083" s="25"/>
    </row>
    <row r="8084" spans="1:10" ht="14.4">
      <c r="A8084" s="25"/>
      <c r="B8084" s="25"/>
      <c r="C8084" s="25"/>
      <c r="D8084" s="25"/>
      <c r="E8084" s="25"/>
      <c r="F8084" s="25"/>
      <c r="G8084" s="25"/>
      <c r="H8084" s="25"/>
      <c r="I8084" s="25"/>
      <c r="J8084" s="25"/>
    </row>
    <row r="8085" spans="1:10" ht="14.4">
      <c r="A8085" s="25"/>
      <c r="B8085" s="25"/>
      <c r="C8085" s="25"/>
      <c r="D8085" s="25"/>
      <c r="E8085" s="25"/>
      <c r="F8085" s="25"/>
      <c r="G8085" s="25"/>
      <c r="H8085" s="25"/>
      <c r="I8085" s="25"/>
      <c r="J8085" s="25"/>
    </row>
    <row r="8086" spans="1:10" ht="14.4">
      <c r="A8086" s="25"/>
      <c r="B8086" s="25"/>
      <c r="C8086" s="25"/>
      <c r="D8086" s="25"/>
      <c r="E8086" s="25"/>
      <c r="F8086" s="25"/>
      <c r="G8086" s="25"/>
      <c r="H8086" s="25"/>
      <c r="I8086" s="25"/>
      <c r="J8086" s="25"/>
    </row>
    <row r="8087" spans="1:10" ht="14.4">
      <c r="A8087" s="25"/>
      <c r="B8087" s="25"/>
      <c r="C8087" s="25"/>
      <c r="D8087" s="25"/>
      <c r="E8087" s="25"/>
      <c r="F8087" s="25"/>
      <c r="G8087" s="25"/>
      <c r="H8087" s="25"/>
      <c r="I8087" s="25"/>
      <c r="J8087" s="25"/>
    </row>
    <row r="8088" spans="1:10" ht="14.4">
      <c r="A8088" s="25"/>
      <c r="B8088" s="25"/>
      <c r="C8088" s="25"/>
      <c r="D8088" s="25"/>
      <c r="E8088" s="25"/>
      <c r="F8088" s="25"/>
      <c r="G8088" s="25"/>
      <c r="H8088" s="25"/>
      <c r="I8088" s="25"/>
      <c r="J8088" s="25"/>
    </row>
    <row r="8089" spans="1:10" ht="14.4">
      <c r="A8089" s="25"/>
      <c r="B8089" s="25"/>
      <c r="C8089" s="25"/>
      <c r="D8089" s="25"/>
      <c r="E8089" s="25"/>
      <c r="F8089" s="25"/>
      <c r="G8089" s="25"/>
      <c r="H8089" s="25"/>
      <c r="I8089" s="25"/>
      <c r="J8089" s="25"/>
    </row>
    <row r="8090" spans="1:10" ht="14.4">
      <c r="A8090" s="25"/>
      <c r="B8090" s="25"/>
      <c r="C8090" s="25"/>
      <c r="D8090" s="25"/>
      <c r="E8090" s="25"/>
      <c r="F8090" s="25"/>
      <c r="G8090" s="25"/>
      <c r="H8090" s="25"/>
      <c r="I8090" s="25"/>
      <c r="J8090" s="25"/>
    </row>
    <row r="8091" spans="1:10" ht="14.4">
      <c r="A8091" s="25"/>
      <c r="B8091" s="25"/>
      <c r="C8091" s="25"/>
      <c r="D8091" s="25"/>
      <c r="E8091" s="25"/>
      <c r="F8091" s="25"/>
      <c r="G8091" s="25"/>
      <c r="H8091" s="25"/>
      <c r="I8091" s="25"/>
      <c r="J8091" s="25"/>
    </row>
    <row r="8092" spans="1:10" ht="14.4">
      <c r="A8092" s="25"/>
      <c r="B8092" s="25"/>
      <c r="C8092" s="25"/>
      <c r="D8092" s="25"/>
      <c r="E8092" s="25"/>
      <c r="F8092" s="25"/>
      <c r="G8092" s="25"/>
      <c r="H8092" s="25"/>
      <c r="I8092" s="25"/>
      <c r="J8092" s="25"/>
    </row>
    <row r="8093" spans="1:10" ht="14.4">
      <c r="A8093" s="25"/>
      <c r="B8093" s="25"/>
      <c r="C8093" s="25"/>
      <c r="D8093" s="25"/>
      <c r="E8093" s="25"/>
      <c r="F8093" s="25"/>
      <c r="G8093" s="25"/>
      <c r="H8093" s="25"/>
      <c r="I8093" s="25"/>
      <c r="J8093" s="25"/>
    </row>
    <row r="8094" spans="1:10" ht="14.4">
      <c r="A8094" s="25"/>
      <c r="B8094" s="25"/>
      <c r="C8094" s="25"/>
      <c r="D8094" s="25"/>
      <c r="E8094" s="25"/>
      <c r="F8094" s="25"/>
      <c r="G8094" s="25"/>
      <c r="H8094" s="25"/>
      <c r="I8094" s="25"/>
      <c r="J8094" s="25"/>
    </row>
    <row r="8095" spans="1:10" ht="14.4">
      <c r="A8095" s="25"/>
      <c r="B8095" s="25"/>
      <c r="C8095" s="25"/>
      <c r="D8095" s="25"/>
      <c r="E8095" s="25"/>
      <c r="F8095" s="25"/>
      <c r="G8095" s="25"/>
      <c r="H8095" s="25"/>
      <c r="I8095" s="25"/>
      <c r="J8095" s="25"/>
    </row>
    <row r="8096" spans="1:10" ht="14.4">
      <c r="A8096" s="25"/>
      <c r="B8096" s="25"/>
      <c r="C8096" s="25"/>
      <c r="D8096" s="25"/>
      <c r="E8096" s="25"/>
      <c r="F8096" s="25"/>
      <c r="G8096" s="25"/>
      <c r="H8096" s="25"/>
      <c r="I8096" s="25"/>
      <c r="J8096" s="25"/>
    </row>
    <row r="8097" spans="1:10" ht="14.4">
      <c r="A8097" s="25"/>
      <c r="B8097" s="25"/>
      <c r="C8097" s="25"/>
      <c r="D8097" s="25"/>
      <c r="E8097" s="25"/>
      <c r="F8097" s="25"/>
      <c r="G8097" s="25"/>
      <c r="H8097" s="25"/>
      <c r="I8097" s="25"/>
      <c r="J8097" s="25"/>
    </row>
    <row r="8098" spans="1:10" ht="14.4">
      <c r="A8098" s="25"/>
      <c r="B8098" s="25"/>
      <c r="C8098" s="25"/>
      <c r="D8098" s="25"/>
      <c r="E8098" s="25"/>
      <c r="F8098" s="25"/>
      <c r="G8098" s="25"/>
      <c r="H8098" s="25"/>
      <c r="I8098" s="25"/>
      <c r="J8098" s="25"/>
    </row>
    <row r="8099" spans="1:10" ht="14.4">
      <c r="A8099" s="25"/>
      <c r="B8099" s="25"/>
      <c r="C8099" s="25"/>
      <c r="D8099" s="25"/>
      <c r="E8099" s="25"/>
      <c r="F8099" s="25"/>
      <c r="G8099" s="25"/>
      <c r="H8099" s="25"/>
      <c r="I8099" s="25"/>
      <c r="J8099" s="25"/>
    </row>
    <row r="8100" spans="1:10" ht="14.4">
      <c r="A8100" s="25"/>
      <c r="B8100" s="25"/>
      <c r="C8100" s="25"/>
      <c r="D8100" s="25"/>
      <c r="E8100" s="25"/>
      <c r="F8100" s="25"/>
      <c r="G8100" s="25"/>
      <c r="H8100" s="25"/>
      <c r="I8100" s="25"/>
      <c r="J8100" s="25"/>
    </row>
    <row r="8101" spans="1:10" ht="14.4">
      <c r="A8101" s="25"/>
      <c r="B8101" s="25"/>
      <c r="C8101" s="25"/>
      <c r="D8101" s="25"/>
      <c r="E8101" s="25"/>
      <c r="F8101" s="25"/>
      <c r="G8101" s="25"/>
      <c r="H8101" s="25"/>
      <c r="I8101" s="25"/>
      <c r="J8101" s="25"/>
    </row>
    <row r="8102" spans="1:10" ht="14.4">
      <c r="A8102" s="25"/>
      <c r="B8102" s="25"/>
      <c r="C8102" s="25"/>
      <c r="D8102" s="25"/>
      <c r="E8102" s="25"/>
      <c r="F8102" s="25"/>
      <c r="G8102" s="25"/>
      <c r="H8102" s="25"/>
      <c r="I8102" s="25"/>
      <c r="J8102" s="25"/>
    </row>
    <row r="8103" spans="1:10" ht="14.4">
      <c r="A8103" s="25"/>
      <c r="B8103" s="25"/>
      <c r="C8103" s="25"/>
      <c r="D8103" s="25"/>
      <c r="E8103" s="25"/>
      <c r="F8103" s="25"/>
      <c r="G8103" s="25"/>
      <c r="H8103" s="25"/>
      <c r="I8103" s="25"/>
      <c r="J8103" s="25"/>
    </row>
    <row r="8104" spans="1:10" ht="14.4">
      <c r="A8104" s="25"/>
      <c r="B8104" s="25"/>
      <c r="C8104" s="25"/>
      <c r="D8104" s="25"/>
      <c r="E8104" s="25"/>
      <c r="F8104" s="25"/>
      <c r="G8104" s="25"/>
      <c r="H8104" s="25"/>
      <c r="I8104" s="25"/>
      <c r="J8104" s="25"/>
    </row>
    <row r="8105" spans="1:10" ht="14.4">
      <c r="A8105" s="25"/>
      <c r="B8105" s="25"/>
      <c r="C8105" s="25"/>
      <c r="D8105" s="25"/>
      <c r="E8105" s="25"/>
      <c r="F8105" s="25"/>
      <c r="G8105" s="25"/>
      <c r="H8105" s="25"/>
      <c r="I8105" s="25"/>
      <c r="J8105" s="25"/>
    </row>
    <row r="8106" spans="1:10" ht="14.4">
      <c r="A8106" s="25"/>
      <c r="B8106" s="25"/>
      <c r="C8106" s="25"/>
      <c r="D8106" s="25"/>
      <c r="E8106" s="25"/>
      <c r="F8106" s="25"/>
      <c r="G8106" s="25"/>
      <c r="H8106" s="25"/>
      <c r="I8106" s="25"/>
      <c r="J8106" s="25"/>
    </row>
    <row r="8107" spans="1:10" ht="14.4">
      <c r="A8107" s="25"/>
      <c r="B8107" s="25"/>
      <c r="C8107" s="25"/>
      <c r="D8107" s="25"/>
      <c r="E8107" s="25"/>
      <c r="F8107" s="25"/>
      <c r="G8107" s="25"/>
      <c r="H8107" s="25"/>
      <c r="I8107" s="25"/>
      <c r="J8107" s="25"/>
    </row>
    <row r="8108" spans="1:10" ht="14.4">
      <c r="A8108" s="25"/>
      <c r="B8108" s="25"/>
      <c r="C8108" s="25"/>
      <c r="D8108" s="25"/>
      <c r="E8108" s="25"/>
      <c r="F8108" s="25"/>
      <c r="G8108" s="25"/>
      <c r="H8108" s="25"/>
      <c r="I8108" s="25"/>
      <c r="J8108" s="25"/>
    </row>
    <row r="8109" spans="1:10" ht="14.4">
      <c r="A8109" s="25"/>
      <c r="B8109" s="25"/>
      <c r="C8109" s="25"/>
      <c r="D8109" s="25"/>
      <c r="E8109" s="25"/>
      <c r="F8109" s="25"/>
      <c r="G8109" s="25"/>
      <c r="H8109" s="25"/>
      <c r="I8109" s="25"/>
      <c r="J8109" s="25"/>
    </row>
    <row r="8110" spans="1:10" ht="14.4">
      <c r="A8110" s="25"/>
      <c r="B8110" s="25"/>
      <c r="C8110" s="25"/>
      <c r="D8110" s="25"/>
      <c r="E8110" s="25"/>
      <c r="F8110" s="25"/>
      <c r="G8110" s="25"/>
      <c r="H8110" s="25"/>
      <c r="I8110" s="25"/>
      <c r="J8110" s="25"/>
    </row>
    <row r="8111" spans="1:10" ht="14.4">
      <c r="A8111" s="25"/>
      <c r="B8111" s="25"/>
      <c r="C8111" s="25"/>
      <c r="D8111" s="25"/>
      <c r="E8111" s="25"/>
      <c r="F8111" s="25"/>
      <c r="G8111" s="25"/>
      <c r="H8111" s="25"/>
      <c r="I8111" s="25"/>
      <c r="J8111" s="25"/>
    </row>
    <row r="8112" spans="1:10" ht="14.4">
      <c r="A8112" s="25"/>
      <c r="B8112" s="25"/>
      <c r="C8112" s="25"/>
      <c r="D8112" s="25"/>
      <c r="E8112" s="25"/>
      <c r="F8112" s="25"/>
      <c r="G8112" s="25"/>
      <c r="H8112" s="25"/>
      <c r="I8112" s="25"/>
      <c r="J8112" s="25"/>
    </row>
    <row r="8113" spans="1:10" ht="14.4">
      <c r="A8113" s="25"/>
      <c r="B8113" s="25"/>
      <c r="C8113" s="25"/>
      <c r="D8113" s="25"/>
      <c r="E8113" s="25"/>
      <c r="F8113" s="25"/>
      <c r="G8113" s="25"/>
      <c r="H8113" s="25"/>
      <c r="I8113" s="25"/>
      <c r="J8113" s="25"/>
    </row>
    <row r="8114" spans="1:10" ht="14.4">
      <c r="A8114" s="25"/>
      <c r="B8114" s="25"/>
      <c r="C8114" s="25"/>
      <c r="D8114" s="25"/>
      <c r="E8114" s="25"/>
      <c r="F8114" s="25"/>
      <c r="G8114" s="25"/>
      <c r="H8114" s="25"/>
      <c r="I8114" s="25"/>
      <c r="J8114" s="25"/>
    </row>
    <row r="8115" spans="1:10" ht="14.4">
      <c r="A8115" s="25"/>
      <c r="B8115" s="25"/>
      <c r="C8115" s="25"/>
      <c r="D8115" s="25"/>
      <c r="E8115" s="25"/>
      <c r="F8115" s="25"/>
      <c r="G8115" s="25"/>
      <c r="H8115" s="25"/>
      <c r="I8115" s="25"/>
      <c r="J8115" s="25"/>
    </row>
    <row r="8116" spans="1:10" ht="14.4">
      <c r="A8116" s="25"/>
      <c r="B8116" s="25"/>
      <c r="C8116" s="25"/>
      <c r="D8116" s="25"/>
      <c r="E8116" s="25"/>
      <c r="F8116" s="25"/>
      <c r="G8116" s="25"/>
      <c r="H8116" s="25"/>
      <c r="I8116" s="25"/>
      <c r="J8116" s="25"/>
    </row>
    <row r="8117" spans="1:10" ht="14.4">
      <c r="A8117" s="25"/>
      <c r="B8117" s="25"/>
      <c r="C8117" s="25"/>
      <c r="D8117" s="25"/>
      <c r="E8117" s="25"/>
      <c r="F8117" s="25"/>
      <c r="G8117" s="25"/>
      <c r="H8117" s="25"/>
      <c r="I8117" s="25"/>
      <c r="J8117" s="25"/>
    </row>
    <row r="8118" spans="1:10" ht="14.4">
      <c r="A8118" s="25"/>
      <c r="B8118" s="25"/>
      <c r="C8118" s="25"/>
      <c r="D8118" s="25"/>
      <c r="E8118" s="25"/>
      <c r="F8118" s="25"/>
      <c r="G8118" s="25"/>
      <c r="H8118" s="25"/>
      <c r="I8118" s="25"/>
      <c r="J8118" s="25"/>
    </row>
    <row r="8119" spans="1:10" ht="14.4">
      <c r="A8119" s="25"/>
      <c r="B8119" s="25"/>
      <c r="C8119" s="25"/>
      <c r="D8119" s="25"/>
      <c r="E8119" s="25"/>
      <c r="F8119" s="25"/>
      <c r="G8119" s="25"/>
      <c r="H8119" s="25"/>
      <c r="I8119" s="25"/>
      <c r="J8119" s="25"/>
    </row>
    <row r="8120" spans="1:10" ht="14.4">
      <c r="A8120" s="25"/>
      <c r="B8120" s="25"/>
      <c r="C8120" s="25"/>
      <c r="D8120" s="25"/>
      <c r="E8120" s="25"/>
      <c r="F8120" s="25"/>
      <c r="G8120" s="25"/>
      <c r="H8120" s="25"/>
      <c r="I8120" s="25"/>
      <c r="J8120" s="25"/>
    </row>
    <row r="8121" spans="1:10" ht="14.4">
      <c r="A8121" s="25"/>
      <c r="B8121" s="25"/>
      <c r="C8121" s="25"/>
      <c r="D8121" s="25"/>
      <c r="E8121" s="25"/>
      <c r="F8121" s="25"/>
      <c r="G8121" s="25"/>
      <c r="H8121" s="25"/>
      <c r="I8121" s="25"/>
      <c r="J8121" s="25"/>
    </row>
    <row r="8122" spans="1:10" ht="14.4">
      <c r="A8122" s="25"/>
      <c r="B8122" s="25"/>
      <c r="C8122" s="25"/>
      <c r="D8122" s="25"/>
      <c r="E8122" s="25"/>
      <c r="F8122" s="25"/>
      <c r="G8122" s="25"/>
      <c r="H8122" s="25"/>
      <c r="I8122" s="25"/>
      <c r="J8122" s="25"/>
    </row>
    <row r="8123" spans="1:10" ht="14.4">
      <c r="A8123" s="25"/>
      <c r="B8123" s="25"/>
      <c r="C8123" s="25"/>
      <c r="D8123" s="25"/>
      <c r="E8123" s="25"/>
      <c r="F8123" s="25"/>
      <c r="G8123" s="25"/>
      <c r="H8123" s="25"/>
      <c r="I8123" s="25"/>
      <c r="J8123" s="25"/>
    </row>
    <row r="8124" spans="1:10" ht="14.4">
      <c r="A8124" s="25"/>
      <c r="B8124" s="25"/>
      <c r="C8124" s="25"/>
      <c r="D8124" s="25"/>
      <c r="E8124" s="25"/>
      <c r="F8124" s="25"/>
      <c r="G8124" s="25"/>
      <c r="H8124" s="25"/>
      <c r="I8124" s="25"/>
      <c r="J8124" s="25"/>
    </row>
    <row r="8125" spans="1:10" ht="14.4">
      <c r="A8125" s="25"/>
      <c r="B8125" s="25"/>
      <c r="C8125" s="25"/>
      <c r="D8125" s="25"/>
      <c r="E8125" s="25"/>
      <c r="F8125" s="25"/>
      <c r="G8125" s="25"/>
      <c r="H8125" s="25"/>
      <c r="I8125" s="25"/>
      <c r="J8125" s="25"/>
    </row>
    <row r="8126" spans="1:10" ht="14.4">
      <c r="A8126" s="25"/>
      <c r="B8126" s="25"/>
      <c r="C8126" s="25"/>
      <c r="D8126" s="25"/>
      <c r="E8126" s="25"/>
      <c r="F8126" s="25"/>
      <c r="G8126" s="25"/>
      <c r="H8126" s="25"/>
      <c r="I8126" s="25"/>
      <c r="J8126" s="25"/>
    </row>
    <row r="8127" spans="1:10" ht="14.4">
      <c r="A8127" s="25"/>
      <c r="B8127" s="25"/>
      <c r="C8127" s="25"/>
      <c r="D8127" s="25"/>
      <c r="E8127" s="25"/>
      <c r="F8127" s="25"/>
      <c r="G8127" s="25"/>
      <c r="H8127" s="25"/>
      <c r="I8127" s="25"/>
      <c r="J8127" s="25"/>
    </row>
    <row r="8128" spans="1:10" ht="14.4">
      <c r="A8128" s="25"/>
      <c r="B8128" s="25"/>
      <c r="C8128" s="25"/>
      <c r="D8128" s="25"/>
      <c r="E8128" s="25"/>
      <c r="F8128" s="25"/>
      <c r="G8128" s="25"/>
      <c r="H8128" s="25"/>
      <c r="I8128" s="25"/>
      <c r="J8128" s="25"/>
    </row>
    <row r="8129" spans="1:10" ht="14.4">
      <c r="A8129" s="25"/>
      <c r="B8129" s="25"/>
      <c r="C8129" s="25"/>
      <c r="D8129" s="25"/>
      <c r="E8129" s="25"/>
      <c r="F8129" s="25"/>
      <c r="G8129" s="25"/>
      <c r="H8129" s="25"/>
      <c r="I8129" s="25"/>
      <c r="J8129" s="25"/>
    </row>
    <row r="8130" spans="1:10" ht="14.4">
      <c r="A8130" s="25"/>
      <c r="B8130" s="25"/>
      <c r="C8130" s="25"/>
      <c r="D8130" s="25"/>
      <c r="E8130" s="25"/>
      <c r="F8130" s="25"/>
      <c r="G8130" s="25"/>
      <c r="H8130" s="25"/>
      <c r="I8130" s="25"/>
      <c r="J8130" s="25"/>
    </row>
    <row r="8131" spans="1:10" ht="14.4">
      <c r="A8131" s="25"/>
      <c r="B8131" s="25"/>
      <c r="C8131" s="25"/>
      <c r="D8131" s="25"/>
      <c r="E8131" s="25"/>
      <c r="F8131" s="25"/>
      <c r="G8131" s="25"/>
      <c r="H8131" s="25"/>
      <c r="I8131" s="25"/>
      <c r="J8131" s="25"/>
    </row>
    <row r="8132" spans="1:10" ht="14.4">
      <c r="A8132" s="25"/>
      <c r="B8132" s="25"/>
      <c r="C8132" s="25"/>
      <c r="D8132" s="25"/>
      <c r="E8132" s="25"/>
      <c r="F8132" s="25"/>
      <c r="G8132" s="25"/>
      <c r="H8132" s="25"/>
      <c r="I8132" s="25"/>
      <c r="J8132" s="25"/>
    </row>
    <row r="8133" spans="1:10" ht="14.4">
      <c r="A8133" s="25"/>
      <c r="B8133" s="25"/>
      <c r="C8133" s="25"/>
      <c r="D8133" s="25"/>
      <c r="E8133" s="25"/>
      <c r="F8133" s="25"/>
      <c r="G8133" s="25"/>
      <c r="H8133" s="25"/>
      <c r="I8133" s="25"/>
      <c r="J8133" s="25"/>
    </row>
    <row r="8134" spans="1:10" ht="14.4">
      <c r="A8134" s="25"/>
      <c r="B8134" s="25"/>
      <c r="C8134" s="25"/>
      <c r="D8134" s="25"/>
      <c r="E8134" s="25"/>
      <c r="F8134" s="25"/>
      <c r="G8134" s="25"/>
      <c r="H8134" s="25"/>
      <c r="I8134" s="25"/>
      <c r="J8134" s="25"/>
    </row>
    <row r="8135" spans="1:10" ht="14.4">
      <c r="A8135" s="25"/>
      <c r="B8135" s="25"/>
      <c r="C8135" s="25"/>
      <c r="D8135" s="25"/>
      <c r="E8135" s="25"/>
      <c r="F8135" s="25"/>
      <c r="G8135" s="25"/>
      <c r="H8135" s="25"/>
      <c r="I8135" s="25"/>
      <c r="J8135" s="25"/>
    </row>
    <row r="8136" spans="1:10" ht="14.4">
      <c r="A8136" s="25"/>
      <c r="B8136" s="25"/>
      <c r="C8136" s="25"/>
      <c r="D8136" s="25"/>
      <c r="E8136" s="25"/>
      <c r="F8136" s="25"/>
      <c r="G8136" s="25"/>
      <c r="H8136" s="25"/>
      <c r="I8136" s="25"/>
      <c r="J8136" s="25"/>
    </row>
    <row r="8137" spans="1:10" ht="14.4">
      <c r="A8137" s="25"/>
      <c r="B8137" s="25"/>
      <c r="C8137" s="25"/>
      <c r="D8137" s="25"/>
      <c r="E8137" s="25"/>
      <c r="F8137" s="25"/>
      <c r="G8137" s="25"/>
      <c r="H8137" s="25"/>
      <c r="I8137" s="25"/>
      <c r="J8137" s="25"/>
    </row>
    <row r="8138" spans="1:10" ht="14.4">
      <c r="A8138" s="25"/>
      <c r="B8138" s="25"/>
      <c r="C8138" s="25"/>
      <c r="D8138" s="25"/>
      <c r="E8138" s="25"/>
      <c r="F8138" s="25"/>
      <c r="G8138" s="25"/>
      <c r="H8138" s="25"/>
      <c r="I8138" s="25"/>
      <c r="J8138" s="25"/>
    </row>
    <row r="8139" spans="1:10" ht="14.4">
      <c r="A8139" s="25"/>
      <c r="B8139" s="25"/>
      <c r="C8139" s="25"/>
      <c r="D8139" s="25"/>
      <c r="E8139" s="25"/>
      <c r="F8139" s="25"/>
      <c r="G8139" s="25"/>
      <c r="H8139" s="25"/>
      <c r="I8139" s="25"/>
      <c r="J8139" s="25"/>
    </row>
    <row r="8140" spans="1:10" ht="14.4">
      <c r="A8140" s="25"/>
      <c r="B8140" s="25"/>
      <c r="C8140" s="25"/>
      <c r="D8140" s="25"/>
      <c r="E8140" s="25"/>
      <c r="F8140" s="25"/>
      <c r="G8140" s="25"/>
      <c r="H8140" s="25"/>
      <c r="I8140" s="25"/>
      <c r="J8140" s="25"/>
    </row>
    <row r="8141" spans="1:10" ht="14.4">
      <c r="A8141" s="25"/>
      <c r="B8141" s="25"/>
      <c r="C8141" s="25"/>
      <c r="D8141" s="25"/>
      <c r="E8141" s="25"/>
      <c r="F8141" s="25"/>
      <c r="G8141" s="25"/>
      <c r="H8141" s="25"/>
      <c r="I8141" s="25"/>
      <c r="J8141" s="25"/>
    </row>
    <row r="8142" spans="1:10" ht="14.4">
      <c r="A8142" s="25"/>
      <c r="B8142" s="25"/>
      <c r="C8142" s="25"/>
      <c r="D8142" s="25"/>
      <c r="E8142" s="25"/>
      <c r="F8142" s="25"/>
      <c r="G8142" s="25"/>
      <c r="H8142" s="25"/>
      <c r="I8142" s="25"/>
      <c r="J8142" s="25"/>
    </row>
    <row r="8143" spans="1:10" ht="14.4">
      <c r="A8143" s="25"/>
      <c r="B8143" s="25"/>
      <c r="C8143" s="25"/>
      <c r="D8143" s="25"/>
      <c r="E8143" s="25"/>
      <c r="F8143" s="25"/>
      <c r="G8143" s="25"/>
      <c r="H8143" s="25"/>
      <c r="I8143" s="25"/>
      <c r="J8143" s="25"/>
    </row>
    <row r="8144" spans="1:10" ht="14.4">
      <c r="A8144" s="25"/>
      <c r="B8144" s="25"/>
      <c r="C8144" s="25"/>
      <c r="D8144" s="25"/>
      <c r="E8144" s="25"/>
      <c r="F8144" s="25"/>
      <c r="G8144" s="25"/>
      <c r="H8144" s="25"/>
      <c r="I8144" s="25"/>
      <c r="J8144" s="25"/>
    </row>
    <row r="8145" spans="1:10" ht="14.4">
      <c r="A8145" s="25"/>
      <c r="B8145" s="25"/>
      <c r="C8145" s="25"/>
      <c r="D8145" s="25"/>
      <c r="E8145" s="25"/>
      <c r="F8145" s="25"/>
      <c r="G8145" s="25"/>
      <c r="H8145" s="25"/>
      <c r="I8145" s="25"/>
      <c r="J8145" s="25"/>
    </row>
    <row r="8146" spans="1:10" ht="14.4">
      <c r="A8146" s="25"/>
      <c r="B8146" s="25"/>
      <c r="C8146" s="25"/>
      <c r="D8146" s="25"/>
      <c r="E8146" s="25"/>
      <c r="F8146" s="25"/>
      <c r="G8146" s="25"/>
      <c r="H8146" s="25"/>
      <c r="I8146" s="25"/>
      <c r="J8146" s="25"/>
    </row>
    <row r="8147" spans="1:10" ht="14.4">
      <c r="A8147" s="25"/>
      <c r="B8147" s="25"/>
      <c r="C8147" s="25"/>
      <c r="D8147" s="25"/>
      <c r="E8147" s="25"/>
      <c r="F8147" s="25"/>
      <c r="G8147" s="25"/>
      <c r="H8147" s="25"/>
      <c r="I8147" s="25"/>
      <c r="J8147" s="25"/>
    </row>
    <row r="8148" spans="1:10" ht="14.4">
      <c r="A8148" s="25"/>
      <c r="B8148" s="25"/>
      <c r="C8148" s="25"/>
      <c r="D8148" s="25"/>
      <c r="E8148" s="25"/>
      <c r="F8148" s="25"/>
      <c r="G8148" s="25"/>
      <c r="H8148" s="25"/>
      <c r="I8148" s="25"/>
      <c r="J8148" s="25"/>
    </row>
    <row r="8149" spans="1:10" ht="14.4">
      <c r="A8149" s="25"/>
      <c r="B8149" s="25"/>
      <c r="C8149" s="25"/>
      <c r="D8149" s="25"/>
      <c r="E8149" s="25"/>
      <c r="F8149" s="25"/>
      <c r="G8149" s="25"/>
      <c r="H8149" s="25"/>
      <c r="I8149" s="25"/>
      <c r="J8149" s="25"/>
    </row>
    <row r="8150" spans="1:10" ht="14.4">
      <c r="A8150" s="25"/>
      <c r="B8150" s="25"/>
      <c r="C8150" s="25"/>
      <c r="D8150" s="25"/>
      <c r="E8150" s="25"/>
      <c r="F8150" s="25"/>
      <c r="G8150" s="25"/>
      <c r="H8150" s="25"/>
      <c r="I8150" s="25"/>
      <c r="J8150" s="25"/>
    </row>
    <row r="8151" spans="1:10" ht="14.4">
      <c r="A8151" s="25"/>
      <c r="B8151" s="25"/>
      <c r="C8151" s="25"/>
      <c r="D8151" s="25"/>
      <c r="E8151" s="25"/>
      <c r="F8151" s="25"/>
      <c r="G8151" s="25"/>
      <c r="H8151" s="25"/>
      <c r="I8151" s="25"/>
      <c r="J8151" s="25"/>
    </row>
    <row r="8152" spans="1:10" ht="14.4">
      <c r="A8152" s="25"/>
      <c r="B8152" s="25"/>
      <c r="C8152" s="25"/>
      <c r="D8152" s="25"/>
      <c r="E8152" s="25"/>
      <c r="F8152" s="25"/>
      <c r="G8152" s="25"/>
      <c r="H8152" s="25"/>
      <c r="I8152" s="25"/>
      <c r="J8152" s="25"/>
    </row>
    <row r="8153" spans="1:10" ht="14.4">
      <c r="A8153" s="25"/>
      <c r="B8153" s="25"/>
      <c r="C8153" s="25"/>
      <c r="D8153" s="25"/>
      <c r="E8153" s="25"/>
      <c r="F8153" s="25"/>
      <c r="G8153" s="25"/>
      <c r="H8153" s="25"/>
      <c r="I8153" s="25"/>
      <c r="J8153" s="25"/>
    </row>
    <row r="8154" spans="1:10" ht="14.4">
      <c r="A8154" s="25"/>
      <c r="B8154" s="25"/>
      <c r="C8154" s="25"/>
      <c r="D8154" s="25"/>
      <c r="E8154" s="25"/>
      <c r="F8154" s="25"/>
      <c r="G8154" s="25"/>
      <c r="H8154" s="25"/>
      <c r="I8154" s="25"/>
      <c r="J8154" s="25"/>
    </row>
    <row r="8155" spans="1:10" ht="14.4">
      <c r="A8155" s="25"/>
      <c r="B8155" s="25"/>
      <c r="C8155" s="25"/>
      <c r="D8155" s="25"/>
      <c r="E8155" s="25"/>
      <c r="F8155" s="25"/>
      <c r="G8155" s="25"/>
      <c r="H8155" s="25"/>
      <c r="I8155" s="25"/>
      <c r="J8155" s="25"/>
    </row>
    <row r="8156" spans="1:10" ht="14.4">
      <c r="A8156" s="25"/>
      <c r="B8156" s="25"/>
      <c r="C8156" s="25"/>
      <c r="D8156" s="25"/>
      <c r="E8156" s="25"/>
      <c r="F8156" s="25"/>
      <c r="G8156" s="25"/>
      <c r="H8156" s="25"/>
      <c r="I8156" s="25"/>
      <c r="J8156" s="25"/>
    </row>
    <row r="8157" spans="1:10" ht="14.4">
      <c r="A8157" s="25"/>
      <c r="B8157" s="25"/>
      <c r="C8157" s="25"/>
      <c r="D8157" s="25"/>
      <c r="E8157" s="25"/>
      <c r="F8157" s="25"/>
      <c r="G8157" s="25"/>
      <c r="H8157" s="25"/>
      <c r="I8157" s="25"/>
      <c r="J8157" s="25"/>
    </row>
    <row r="8158" spans="1:10" ht="14.4">
      <c r="A8158" s="25"/>
      <c r="B8158" s="25"/>
      <c r="C8158" s="25"/>
      <c r="D8158" s="25"/>
      <c r="E8158" s="25"/>
      <c r="F8158" s="25"/>
      <c r="G8158" s="25"/>
      <c r="H8158" s="25"/>
      <c r="I8158" s="25"/>
      <c r="J8158" s="25"/>
    </row>
    <row r="8159" spans="1:10" ht="14.4">
      <c r="A8159" s="25"/>
      <c r="B8159" s="25"/>
      <c r="C8159" s="25"/>
      <c r="D8159" s="25"/>
      <c r="E8159" s="25"/>
      <c r="F8159" s="25"/>
      <c r="G8159" s="25"/>
      <c r="H8159" s="25"/>
      <c r="I8159" s="25"/>
      <c r="J8159" s="25"/>
    </row>
    <row r="8160" spans="1:10" ht="14.4">
      <c r="A8160" s="25"/>
      <c r="B8160" s="25"/>
      <c r="C8160" s="25"/>
      <c r="D8160" s="25"/>
      <c r="E8160" s="25"/>
      <c r="F8160" s="25"/>
      <c r="G8160" s="25"/>
      <c r="H8160" s="25"/>
      <c r="I8160" s="25"/>
      <c r="J8160" s="25"/>
    </row>
    <row r="8161" spans="1:10" ht="14.4">
      <c r="A8161" s="25"/>
      <c r="B8161" s="25"/>
      <c r="C8161" s="25"/>
      <c r="D8161" s="25"/>
      <c r="E8161" s="25"/>
      <c r="F8161" s="25"/>
      <c r="G8161" s="25"/>
      <c r="H8161" s="25"/>
      <c r="I8161" s="25"/>
      <c r="J8161" s="25"/>
    </row>
    <row r="8162" spans="1:10" ht="14.4">
      <c r="A8162" s="25"/>
      <c r="B8162" s="25"/>
      <c r="C8162" s="25"/>
      <c r="D8162" s="25"/>
      <c r="E8162" s="25"/>
      <c r="F8162" s="25"/>
      <c r="G8162" s="25"/>
      <c r="H8162" s="25"/>
      <c r="I8162" s="25"/>
      <c r="J8162" s="25"/>
    </row>
    <row r="8163" spans="1:10" ht="14.4">
      <c r="A8163" s="25"/>
      <c r="B8163" s="25"/>
      <c r="C8163" s="25"/>
      <c r="D8163" s="25"/>
      <c r="E8163" s="25"/>
      <c r="F8163" s="25"/>
      <c r="G8163" s="25"/>
      <c r="H8163" s="25"/>
      <c r="I8163" s="25"/>
      <c r="J8163" s="25"/>
    </row>
    <row r="8164" spans="1:10" ht="14.4">
      <c r="A8164" s="25"/>
      <c r="B8164" s="25"/>
      <c r="C8164" s="25"/>
      <c r="D8164" s="25"/>
      <c r="E8164" s="25"/>
      <c r="F8164" s="25"/>
      <c r="G8164" s="25"/>
      <c r="H8164" s="25"/>
      <c r="I8164" s="25"/>
      <c r="J8164" s="25"/>
    </row>
    <row r="8165" spans="1:10" ht="14.4">
      <c r="A8165" s="25"/>
      <c r="B8165" s="25"/>
      <c r="C8165" s="25"/>
      <c r="D8165" s="25"/>
      <c r="E8165" s="25"/>
      <c r="F8165" s="25"/>
      <c r="G8165" s="25"/>
      <c r="H8165" s="25"/>
      <c r="I8165" s="25"/>
      <c r="J8165" s="25"/>
    </row>
    <row r="8166" spans="1:10" ht="14.4">
      <c r="A8166" s="25"/>
      <c r="B8166" s="25"/>
      <c r="C8166" s="25"/>
      <c r="D8166" s="25"/>
      <c r="E8166" s="25"/>
      <c r="F8166" s="25"/>
      <c r="G8166" s="25"/>
      <c r="H8166" s="25"/>
      <c r="I8166" s="25"/>
      <c r="J8166" s="25"/>
    </row>
    <row r="8167" spans="1:10" ht="14.4">
      <c r="A8167" s="25"/>
      <c r="B8167" s="25"/>
      <c r="C8167" s="25"/>
      <c r="D8167" s="25"/>
      <c r="E8167" s="25"/>
      <c r="F8167" s="25"/>
      <c r="G8167" s="25"/>
      <c r="H8167" s="25"/>
      <c r="I8167" s="25"/>
      <c r="J8167" s="25"/>
    </row>
    <row r="8168" spans="1:10" ht="14.4">
      <c r="A8168" s="25"/>
      <c r="B8168" s="25"/>
      <c r="C8168" s="25"/>
      <c r="D8168" s="25"/>
      <c r="E8168" s="25"/>
      <c r="F8168" s="25"/>
      <c r="G8168" s="25"/>
      <c r="H8168" s="25"/>
      <c r="I8168" s="25"/>
      <c r="J8168" s="25"/>
    </row>
    <row r="8169" spans="1:10" ht="14.4">
      <c r="A8169" s="25"/>
      <c r="B8169" s="25"/>
      <c r="C8169" s="25"/>
      <c r="D8169" s="25"/>
      <c r="E8169" s="25"/>
      <c r="F8169" s="25"/>
      <c r="G8169" s="25"/>
      <c r="H8169" s="25"/>
      <c r="I8169" s="25"/>
      <c r="J8169" s="25"/>
    </row>
    <row r="8170" spans="1:10" ht="14.4">
      <c r="A8170" s="25"/>
      <c r="B8170" s="25"/>
      <c r="C8170" s="25"/>
      <c r="D8170" s="25"/>
      <c r="E8170" s="25"/>
      <c r="F8170" s="25"/>
      <c r="G8170" s="25"/>
      <c r="H8170" s="25"/>
      <c r="I8170" s="25"/>
      <c r="J8170" s="25"/>
    </row>
    <row r="8171" spans="1:10" ht="14.4">
      <c r="A8171" s="25"/>
      <c r="B8171" s="25"/>
      <c r="C8171" s="25"/>
      <c r="D8171" s="25"/>
      <c r="E8171" s="25"/>
      <c r="F8171" s="25"/>
      <c r="G8171" s="25"/>
      <c r="H8171" s="25"/>
      <c r="I8171" s="25"/>
      <c r="J8171" s="25"/>
    </row>
    <row r="8172" spans="1:10" ht="14.4">
      <c r="A8172" s="25"/>
      <c r="B8172" s="25"/>
      <c r="C8172" s="25"/>
      <c r="D8172" s="25"/>
      <c r="E8172" s="25"/>
      <c r="F8172" s="25"/>
      <c r="G8172" s="25"/>
      <c r="H8172" s="25"/>
      <c r="I8172" s="25"/>
      <c r="J8172" s="25"/>
    </row>
    <row r="8173" spans="1:10" ht="14.4">
      <c r="A8173" s="25"/>
      <c r="B8173" s="25"/>
      <c r="C8173" s="25"/>
      <c r="D8173" s="25"/>
      <c r="E8173" s="25"/>
      <c r="F8173" s="25"/>
      <c r="G8173" s="25"/>
      <c r="H8173" s="25"/>
      <c r="I8173" s="25"/>
      <c r="J8173" s="25"/>
    </row>
    <row r="8174" spans="1:10" ht="14.4">
      <c r="A8174" s="25"/>
      <c r="B8174" s="25"/>
      <c r="C8174" s="25"/>
      <c r="D8174" s="25"/>
      <c r="E8174" s="25"/>
      <c r="F8174" s="25"/>
      <c r="G8174" s="25"/>
      <c r="H8174" s="25"/>
      <c r="I8174" s="25"/>
      <c r="J8174" s="25"/>
    </row>
    <row r="8175" spans="1:10" ht="14.4">
      <c r="A8175" s="25"/>
      <c r="B8175" s="25"/>
      <c r="C8175" s="25"/>
      <c r="D8175" s="25"/>
      <c r="E8175" s="25"/>
      <c r="F8175" s="25"/>
      <c r="G8175" s="25"/>
      <c r="H8175" s="25"/>
      <c r="I8175" s="25"/>
      <c r="J8175" s="25"/>
    </row>
    <row r="8176" spans="1:10" ht="14.4">
      <c r="A8176" s="25"/>
      <c r="B8176" s="25"/>
      <c r="C8176" s="25"/>
      <c r="D8176" s="25"/>
      <c r="E8176" s="25"/>
      <c r="F8176" s="25"/>
      <c r="G8176" s="25"/>
      <c r="H8176" s="25"/>
      <c r="I8176" s="25"/>
      <c r="J8176" s="25"/>
    </row>
    <row r="8177" spans="1:10" ht="14.4">
      <c r="A8177" s="25"/>
      <c r="B8177" s="25"/>
      <c r="C8177" s="25"/>
      <c r="D8177" s="25"/>
      <c r="E8177" s="25"/>
      <c r="F8177" s="25"/>
      <c r="G8177" s="25"/>
      <c r="H8177" s="25"/>
      <c r="I8177" s="25"/>
      <c r="J8177" s="25"/>
    </row>
    <row r="8178" spans="1:10" ht="14.4">
      <c r="A8178" s="25"/>
      <c r="B8178" s="25"/>
      <c r="C8178" s="25"/>
      <c r="D8178" s="25"/>
      <c r="E8178" s="25"/>
      <c r="F8178" s="25"/>
      <c r="G8178" s="25"/>
      <c r="H8178" s="25"/>
      <c r="I8178" s="25"/>
      <c r="J8178" s="25"/>
    </row>
    <row r="8179" spans="1:10" ht="14.4">
      <c r="A8179" s="25"/>
      <c r="B8179" s="25"/>
      <c r="C8179" s="25"/>
      <c r="D8179" s="25"/>
      <c r="E8179" s="25"/>
      <c r="F8179" s="25"/>
      <c r="G8179" s="25"/>
      <c r="H8179" s="25"/>
      <c r="I8179" s="25"/>
      <c r="J8179" s="25"/>
    </row>
    <row r="8180" spans="1:10" ht="14.4">
      <c r="A8180" s="25"/>
      <c r="B8180" s="25"/>
      <c r="C8180" s="25"/>
      <c r="D8180" s="25"/>
      <c r="E8180" s="25"/>
      <c r="F8180" s="25"/>
      <c r="G8180" s="25"/>
      <c r="H8180" s="25"/>
      <c r="I8180" s="25"/>
      <c r="J8180" s="25"/>
    </row>
    <row r="8181" spans="1:10" ht="14.4">
      <c r="A8181" s="25"/>
      <c r="B8181" s="25"/>
      <c r="C8181" s="25"/>
      <c r="D8181" s="25"/>
      <c r="E8181" s="25"/>
      <c r="F8181" s="25"/>
      <c r="G8181" s="25"/>
      <c r="H8181" s="25"/>
      <c r="I8181" s="25"/>
      <c r="J8181" s="25"/>
    </row>
    <row r="8182" spans="1:10" ht="14.4">
      <c r="A8182" s="25"/>
      <c r="B8182" s="25"/>
      <c r="C8182" s="25"/>
      <c r="D8182" s="25"/>
      <c r="E8182" s="25"/>
      <c r="F8182" s="25"/>
      <c r="G8182" s="25"/>
      <c r="H8182" s="25"/>
      <c r="I8182" s="25"/>
      <c r="J8182" s="25"/>
    </row>
    <row r="8183" spans="1:10" ht="14.4">
      <c r="A8183" s="25"/>
      <c r="B8183" s="25"/>
      <c r="C8183" s="25"/>
      <c r="D8183" s="25"/>
      <c r="E8183" s="25"/>
      <c r="F8183" s="25"/>
      <c r="G8183" s="25"/>
      <c r="H8183" s="25"/>
      <c r="I8183" s="25"/>
      <c r="J8183" s="25"/>
    </row>
    <row r="8184" spans="1:10" ht="14.4">
      <c r="A8184" s="25"/>
      <c r="B8184" s="25"/>
      <c r="C8184" s="25"/>
      <c r="D8184" s="25"/>
      <c r="E8184" s="25"/>
      <c r="F8184" s="25"/>
      <c r="G8184" s="25"/>
      <c r="H8184" s="25"/>
      <c r="I8184" s="25"/>
      <c r="J8184" s="25"/>
    </row>
    <row r="8185" spans="1:10" ht="14.4">
      <c r="A8185" s="25"/>
      <c r="B8185" s="25"/>
      <c r="C8185" s="25"/>
      <c r="D8185" s="25"/>
      <c r="E8185" s="25"/>
      <c r="F8185" s="25"/>
      <c r="G8185" s="25"/>
      <c r="H8185" s="25"/>
      <c r="I8185" s="25"/>
      <c r="J8185" s="25"/>
    </row>
    <row r="8186" spans="1:10" ht="14.4">
      <c r="A8186" s="25"/>
      <c r="B8186" s="25"/>
      <c r="C8186" s="25"/>
      <c r="D8186" s="25"/>
      <c r="E8186" s="25"/>
      <c r="F8186" s="25"/>
      <c r="G8186" s="25"/>
      <c r="H8186" s="25"/>
      <c r="I8186" s="25"/>
      <c r="J8186" s="25"/>
    </row>
    <row r="8187" spans="1:10" ht="14.4">
      <c r="A8187" s="25"/>
      <c r="B8187" s="25"/>
      <c r="C8187" s="25"/>
      <c r="D8187" s="25"/>
      <c r="E8187" s="25"/>
      <c r="F8187" s="25"/>
      <c r="G8187" s="25"/>
      <c r="H8187" s="25"/>
      <c r="I8187" s="25"/>
      <c r="J8187" s="25"/>
    </row>
    <row r="8188" spans="1:10" ht="14.4">
      <c r="A8188" s="25"/>
      <c r="B8188" s="25"/>
      <c r="C8188" s="25"/>
      <c r="D8188" s="25"/>
      <c r="E8188" s="25"/>
      <c r="F8188" s="25"/>
      <c r="G8188" s="25"/>
      <c r="H8188" s="25"/>
      <c r="I8188" s="25"/>
      <c r="J8188" s="25"/>
    </row>
    <row r="8189" spans="1:10" ht="14.4">
      <c r="A8189" s="25"/>
      <c r="B8189" s="25"/>
      <c r="C8189" s="25"/>
      <c r="D8189" s="25"/>
      <c r="E8189" s="25"/>
      <c r="F8189" s="25"/>
      <c r="G8189" s="25"/>
      <c r="H8189" s="25"/>
      <c r="I8189" s="25"/>
      <c r="J8189" s="25"/>
    </row>
    <row r="8190" spans="1:10" ht="14.4">
      <c r="A8190" s="25"/>
      <c r="B8190" s="25"/>
      <c r="C8190" s="25"/>
      <c r="D8190" s="25"/>
      <c r="E8190" s="25"/>
      <c r="F8190" s="25"/>
      <c r="G8190" s="25"/>
      <c r="H8190" s="25"/>
      <c r="I8190" s="25"/>
      <c r="J8190" s="25"/>
    </row>
    <row r="8191" spans="1:10" ht="14.4">
      <c r="A8191" s="25"/>
      <c r="B8191" s="25"/>
      <c r="C8191" s="25"/>
      <c r="D8191" s="25"/>
      <c r="E8191" s="25"/>
      <c r="F8191" s="25"/>
      <c r="G8191" s="25"/>
      <c r="H8191" s="25"/>
      <c r="I8191" s="25"/>
      <c r="J8191" s="25"/>
    </row>
    <row r="8192" spans="1:10" ht="14.4">
      <c r="A8192" s="25"/>
      <c r="B8192" s="25"/>
      <c r="C8192" s="25"/>
      <c r="D8192" s="25"/>
      <c r="E8192" s="25"/>
      <c r="F8192" s="25"/>
      <c r="G8192" s="25"/>
      <c r="H8192" s="25"/>
      <c r="I8192" s="25"/>
      <c r="J8192" s="25"/>
    </row>
    <row r="8193" spans="1:10" ht="14.4">
      <c r="A8193" s="25"/>
      <c r="B8193" s="25"/>
      <c r="C8193" s="25"/>
      <c r="D8193" s="25"/>
      <c r="E8193" s="25"/>
      <c r="F8193" s="25"/>
      <c r="G8193" s="25"/>
      <c r="H8193" s="25"/>
      <c r="I8193" s="25"/>
      <c r="J8193" s="25"/>
    </row>
    <row r="8194" spans="1:10" ht="14.4">
      <c r="A8194" s="25"/>
      <c r="B8194" s="25"/>
      <c r="C8194" s="25"/>
      <c r="D8194" s="25"/>
      <c r="E8194" s="25"/>
      <c r="F8194" s="25"/>
      <c r="G8194" s="25"/>
      <c r="H8194" s="25"/>
      <c r="I8194" s="25"/>
      <c r="J8194" s="25"/>
    </row>
    <row r="8195" spans="1:10" ht="14.4">
      <c r="A8195" s="25"/>
      <c r="B8195" s="25"/>
      <c r="C8195" s="25"/>
      <c r="D8195" s="25"/>
      <c r="E8195" s="25"/>
      <c r="F8195" s="25"/>
      <c r="G8195" s="25"/>
      <c r="H8195" s="25"/>
      <c r="I8195" s="25"/>
      <c r="J8195" s="25"/>
    </row>
    <row r="8196" spans="1:10" ht="14.4">
      <c r="A8196" s="25"/>
      <c r="B8196" s="25"/>
      <c r="C8196" s="25"/>
      <c r="D8196" s="25"/>
      <c r="E8196" s="25"/>
      <c r="F8196" s="25"/>
      <c r="G8196" s="25"/>
      <c r="H8196" s="25"/>
      <c r="I8196" s="25"/>
      <c r="J8196" s="25"/>
    </row>
    <row r="8197" spans="1:10" ht="14.4">
      <c r="A8197" s="25"/>
      <c r="B8197" s="25"/>
      <c r="C8197" s="25"/>
      <c r="D8197" s="25"/>
      <c r="E8197" s="25"/>
      <c r="F8197" s="25"/>
      <c r="G8197" s="25"/>
      <c r="H8197" s="25"/>
      <c r="I8197" s="25"/>
      <c r="J8197" s="25"/>
    </row>
    <row r="8198" spans="1:10" ht="14.4">
      <c r="A8198" s="25"/>
      <c r="B8198" s="25"/>
      <c r="C8198" s="25"/>
      <c r="D8198" s="25"/>
      <c r="E8198" s="25"/>
      <c r="F8198" s="25"/>
      <c r="G8198" s="25"/>
      <c r="H8198" s="25"/>
      <c r="I8198" s="25"/>
      <c r="J8198" s="25"/>
    </row>
    <row r="8199" spans="1:10" ht="14.4">
      <c r="A8199" s="25"/>
      <c r="B8199" s="25"/>
      <c r="C8199" s="25"/>
      <c r="D8199" s="25"/>
      <c r="E8199" s="25"/>
      <c r="F8199" s="25"/>
      <c r="G8199" s="25"/>
      <c r="H8199" s="25"/>
      <c r="I8199" s="25"/>
      <c r="J8199" s="25"/>
    </row>
    <row r="8200" spans="1:10" ht="14.4">
      <c r="A8200" s="25"/>
      <c r="B8200" s="25"/>
      <c r="C8200" s="25"/>
      <c r="D8200" s="25"/>
      <c r="E8200" s="25"/>
      <c r="F8200" s="25"/>
      <c r="G8200" s="25"/>
      <c r="H8200" s="25"/>
      <c r="I8200" s="25"/>
      <c r="J8200" s="25"/>
    </row>
    <row r="8201" spans="1:10" ht="14.4">
      <c r="A8201" s="25"/>
      <c r="B8201" s="25"/>
      <c r="C8201" s="25"/>
      <c r="D8201" s="25"/>
      <c r="E8201" s="25"/>
      <c r="F8201" s="25"/>
      <c r="G8201" s="25"/>
      <c r="H8201" s="25"/>
      <c r="I8201" s="25"/>
      <c r="J8201" s="25"/>
    </row>
    <row r="8202" spans="1:10" ht="14.4">
      <c r="A8202" s="25"/>
      <c r="B8202" s="25"/>
      <c r="C8202" s="25"/>
      <c r="D8202" s="25"/>
      <c r="E8202" s="25"/>
      <c r="F8202" s="25"/>
      <c r="G8202" s="25"/>
      <c r="H8202" s="25"/>
      <c r="I8202" s="25"/>
      <c r="J8202" s="25"/>
    </row>
    <row r="8203" spans="1:10" ht="14.4">
      <c r="A8203" s="25"/>
      <c r="B8203" s="25"/>
      <c r="C8203" s="25"/>
      <c r="D8203" s="25"/>
      <c r="E8203" s="25"/>
      <c r="F8203" s="25"/>
      <c r="G8203" s="25"/>
      <c r="H8203" s="25"/>
      <c r="I8203" s="25"/>
      <c r="J8203" s="25"/>
    </row>
    <row r="8204" spans="1:10" ht="14.4">
      <c r="A8204" s="25"/>
      <c r="B8204" s="25"/>
      <c r="C8204" s="25"/>
      <c r="D8204" s="25"/>
      <c r="E8204" s="25"/>
      <c r="F8204" s="25"/>
      <c r="G8204" s="25"/>
      <c r="H8204" s="25"/>
      <c r="I8204" s="25"/>
      <c r="J8204" s="25"/>
    </row>
    <row r="8205" spans="1:10" ht="14.4">
      <c r="A8205" s="25"/>
      <c r="B8205" s="25"/>
      <c r="C8205" s="25"/>
      <c r="D8205" s="25"/>
      <c r="E8205" s="25"/>
      <c r="F8205" s="25"/>
      <c r="G8205" s="25"/>
      <c r="H8205" s="25"/>
      <c r="I8205" s="25"/>
      <c r="J8205" s="25"/>
    </row>
    <row r="8206" spans="1:10" ht="14.4">
      <c r="A8206" s="25"/>
      <c r="B8206" s="25"/>
      <c r="C8206" s="25"/>
      <c r="D8206" s="25"/>
      <c r="E8206" s="25"/>
      <c r="F8206" s="25"/>
      <c r="G8206" s="25"/>
      <c r="H8206" s="25"/>
      <c r="I8206" s="25"/>
      <c r="J8206" s="25"/>
    </row>
    <row r="8207" spans="1:10" ht="14.4">
      <c r="A8207" s="25"/>
      <c r="B8207" s="25"/>
      <c r="C8207" s="25"/>
      <c r="D8207" s="25"/>
      <c r="E8207" s="25"/>
      <c r="F8207" s="25"/>
      <c r="G8207" s="25"/>
      <c r="H8207" s="25"/>
      <c r="I8207" s="25"/>
      <c r="J8207" s="25"/>
    </row>
    <row r="8208" spans="1:10" ht="14.4">
      <c r="A8208" s="25"/>
      <c r="B8208" s="25"/>
      <c r="C8208" s="25"/>
      <c r="D8208" s="25"/>
      <c r="E8208" s="25"/>
      <c r="F8208" s="25"/>
      <c r="G8208" s="25"/>
      <c r="H8208" s="25"/>
      <c r="I8208" s="25"/>
      <c r="J8208" s="25"/>
    </row>
    <row r="8209" spans="1:10" ht="14.4">
      <c r="A8209" s="25"/>
      <c r="B8209" s="25"/>
      <c r="C8209" s="25"/>
      <c r="D8209" s="25"/>
      <c r="E8209" s="25"/>
      <c r="F8209" s="25"/>
      <c r="G8209" s="25"/>
      <c r="H8209" s="25"/>
      <c r="I8209" s="25"/>
      <c r="J8209" s="25"/>
    </row>
    <row r="8210" spans="1:10" ht="14.4">
      <c r="A8210" s="25"/>
      <c r="B8210" s="25"/>
      <c r="C8210" s="25"/>
      <c r="D8210" s="25"/>
      <c r="E8210" s="25"/>
      <c r="F8210" s="25"/>
      <c r="G8210" s="25"/>
      <c r="H8210" s="25"/>
      <c r="I8210" s="25"/>
      <c r="J8210" s="25"/>
    </row>
    <row r="8211" spans="1:10" ht="14.4">
      <c r="A8211" s="25"/>
      <c r="B8211" s="25"/>
      <c r="C8211" s="25"/>
      <c r="D8211" s="25"/>
      <c r="E8211" s="25"/>
      <c r="F8211" s="25"/>
      <c r="G8211" s="25"/>
      <c r="H8211" s="25"/>
      <c r="I8211" s="25"/>
      <c r="J8211" s="25"/>
    </row>
    <row r="8212" spans="1:10" ht="14.4">
      <c r="A8212" s="25"/>
      <c r="B8212" s="25"/>
      <c r="C8212" s="25"/>
      <c r="D8212" s="25"/>
      <c r="E8212" s="25"/>
      <c r="F8212" s="25"/>
      <c r="G8212" s="25"/>
      <c r="H8212" s="25"/>
      <c r="I8212" s="25"/>
      <c r="J8212" s="25"/>
    </row>
    <row r="8213" spans="1:10" ht="14.4">
      <c r="A8213" s="25"/>
      <c r="B8213" s="25"/>
      <c r="C8213" s="25"/>
      <c r="D8213" s="25"/>
      <c r="E8213" s="25"/>
      <c r="F8213" s="25"/>
      <c r="G8213" s="25"/>
      <c r="H8213" s="25"/>
      <c r="I8213" s="25"/>
      <c r="J8213" s="25"/>
    </row>
    <row r="8214" spans="1:10" ht="14.4">
      <c r="A8214" s="25"/>
      <c r="B8214" s="25"/>
      <c r="C8214" s="25"/>
      <c r="D8214" s="25"/>
      <c r="E8214" s="25"/>
      <c r="F8214" s="25"/>
      <c r="G8214" s="25"/>
      <c r="H8214" s="25"/>
      <c r="I8214" s="25"/>
      <c r="J8214" s="25"/>
    </row>
    <row r="8215" spans="1:10" ht="14.4">
      <c r="A8215" s="25"/>
      <c r="B8215" s="25"/>
      <c r="C8215" s="25"/>
      <c r="D8215" s="25"/>
      <c r="E8215" s="25"/>
      <c r="F8215" s="25"/>
      <c r="G8215" s="25"/>
      <c r="H8215" s="25"/>
      <c r="I8215" s="25"/>
      <c r="J8215" s="25"/>
    </row>
    <row r="8216" spans="1:10" ht="14.4">
      <c r="A8216" s="25"/>
      <c r="B8216" s="25"/>
      <c r="C8216" s="25"/>
      <c r="D8216" s="25"/>
      <c r="E8216" s="25"/>
      <c r="F8216" s="25"/>
      <c r="G8216" s="25"/>
      <c r="H8216" s="25"/>
      <c r="I8216" s="25"/>
      <c r="J8216" s="25"/>
    </row>
    <row r="8217" spans="1:10" ht="14.4">
      <c r="A8217" s="25"/>
      <c r="B8217" s="25"/>
      <c r="C8217" s="25"/>
      <c r="D8217" s="25"/>
      <c r="E8217" s="25"/>
      <c r="F8217" s="25"/>
      <c r="G8217" s="25"/>
      <c r="H8217" s="25"/>
      <c r="I8217" s="25"/>
      <c r="J8217" s="25"/>
    </row>
    <row r="8218" spans="1:10" ht="14.4">
      <c r="A8218" s="25"/>
      <c r="B8218" s="25"/>
      <c r="C8218" s="25"/>
      <c r="D8218" s="25"/>
      <c r="E8218" s="25"/>
      <c r="F8218" s="25"/>
      <c r="G8218" s="25"/>
      <c r="H8218" s="25"/>
      <c r="I8218" s="25"/>
      <c r="J8218" s="25"/>
    </row>
    <row r="8219" spans="1:10" ht="14.4">
      <c r="A8219" s="25"/>
      <c r="B8219" s="25"/>
      <c r="C8219" s="25"/>
      <c r="D8219" s="25"/>
      <c r="E8219" s="25"/>
      <c r="F8219" s="25"/>
      <c r="G8219" s="25"/>
      <c r="H8219" s="25"/>
      <c r="I8219" s="25"/>
      <c r="J8219" s="25"/>
    </row>
    <row r="8220" spans="1:10" ht="14.4">
      <c r="A8220" s="25"/>
      <c r="B8220" s="25"/>
      <c r="C8220" s="25"/>
      <c r="D8220" s="25"/>
      <c r="E8220" s="25"/>
      <c r="F8220" s="25"/>
      <c r="G8220" s="25"/>
      <c r="H8220" s="25"/>
      <c r="I8220" s="25"/>
      <c r="J8220" s="25"/>
    </row>
    <row r="8221" spans="1:10" ht="14.4">
      <c r="A8221" s="25"/>
      <c r="B8221" s="25"/>
      <c r="C8221" s="25"/>
      <c r="D8221" s="25"/>
      <c r="E8221" s="25"/>
      <c r="F8221" s="25"/>
      <c r="G8221" s="25"/>
      <c r="H8221" s="25"/>
      <c r="I8221" s="25"/>
      <c r="J8221" s="25"/>
    </row>
    <row r="8222" spans="1:10" ht="14.4">
      <c r="A8222" s="25"/>
      <c r="B8222" s="25"/>
      <c r="C8222" s="25"/>
      <c r="D8222" s="25"/>
      <c r="E8222" s="25"/>
      <c r="F8222" s="25"/>
      <c r="G8222" s="25"/>
      <c r="H8222" s="25"/>
      <c r="I8222" s="25"/>
      <c r="J8222" s="25"/>
    </row>
    <row r="8223" spans="1:10" ht="14.4">
      <c r="A8223" s="25"/>
      <c r="B8223" s="25"/>
      <c r="C8223" s="25"/>
      <c r="D8223" s="25"/>
      <c r="E8223" s="25"/>
      <c r="F8223" s="25"/>
      <c r="G8223" s="25"/>
      <c r="H8223" s="25"/>
      <c r="I8223" s="25"/>
      <c r="J8223" s="25"/>
    </row>
    <row r="8224" spans="1:10" ht="14.4">
      <c r="A8224" s="25"/>
      <c r="B8224" s="25"/>
      <c r="C8224" s="25"/>
      <c r="D8224" s="25"/>
      <c r="E8224" s="25"/>
      <c r="F8224" s="25"/>
      <c r="G8224" s="25"/>
      <c r="H8224" s="25"/>
      <c r="I8224" s="25"/>
      <c r="J8224" s="25"/>
    </row>
    <row r="8225" spans="1:10" ht="14.4">
      <c r="A8225" s="25"/>
      <c r="B8225" s="25"/>
      <c r="C8225" s="25"/>
      <c r="D8225" s="25"/>
      <c r="E8225" s="25"/>
      <c r="F8225" s="25"/>
      <c r="G8225" s="25"/>
      <c r="H8225" s="25"/>
      <c r="I8225" s="25"/>
      <c r="J8225" s="25"/>
    </row>
    <row r="8226" spans="1:10" ht="14.4">
      <c r="A8226" s="25"/>
      <c r="B8226" s="25"/>
      <c r="C8226" s="25"/>
      <c r="D8226" s="25"/>
      <c r="E8226" s="25"/>
      <c r="F8226" s="25"/>
      <c r="G8226" s="25"/>
      <c r="H8226" s="25"/>
      <c r="I8226" s="25"/>
      <c r="J8226" s="25"/>
    </row>
    <row r="8227" spans="1:10" ht="14.4">
      <c r="A8227" s="25"/>
      <c r="B8227" s="25"/>
      <c r="C8227" s="25"/>
      <c r="D8227" s="25"/>
      <c r="E8227" s="25"/>
      <c r="F8227" s="25"/>
      <c r="G8227" s="25"/>
      <c r="H8227" s="25"/>
      <c r="I8227" s="25"/>
      <c r="J8227" s="25"/>
    </row>
    <row r="8228" spans="1:10" ht="14.4">
      <c r="A8228" s="25"/>
      <c r="B8228" s="25"/>
      <c r="C8228" s="25"/>
      <c r="D8228" s="25"/>
      <c r="E8228" s="25"/>
      <c r="F8228" s="25"/>
      <c r="G8228" s="25"/>
      <c r="H8228" s="25"/>
      <c r="I8228" s="25"/>
      <c r="J8228" s="25"/>
    </row>
    <row r="8229" spans="1:10" ht="14.4">
      <c r="A8229" s="25"/>
      <c r="B8229" s="25"/>
      <c r="C8229" s="25"/>
      <c r="D8229" s="25"/>
      <c r="E8229" s="25"/>
      <c r="F8229" s="25"/>
      <c r="G8229" s="25"/>
      <c r="H8229" s="25"/>
      <c r="I8229" s="25"/>
      <c r="J8229" s="25"/>
    </row>
    <row r="8230" spans="1:10" ht="14.4">
      <c r="A8230" s="25"/>
      <c r="B8230" s="25"/>
      <c r="C8230" s="25"/>
      <c r="D8230" s="25"/>
      <c r="E8230" s="25"/>
      <c r="F8230" s="25"/>
      <c r="G8230" s="25"/>
      <c r="H8230" s="25"/>
      <c r="I8230" s="25"/>
      <c r="J8230" s="25"/>
    </row>
    <row r="8231" spans="1:10" ht="14.4">
      <c r="A8231" s="25"/>
      <c r="B8231" s="25"/>
      <c r="C8231" s="25"/>
      <c r="D8231" s="25"/>
      <c r="E8231" s="25"/>
      <c r="F8231" s="25"/>
      <c r="G8231" s="25"/>
      <c r="H8231" s="25"/>
      <c r="I8231" s="25"/>
      <c r="J8231" s="25"/>
    </row>
    <row r="8232" spans="1:10" ht="14.4">
      <c r="A8232" s="25"/>
      <c r="B8232" s="25"/>
      <c r="C8232" s="25"/>
      <c r="D8232" s="25"/>
      <c r="E8232" s="25"/>
      <c r="F8232" s="25"/>
      <c r="G8232" s="25"/>
      <c r="H8232" s="25"/>
      <c r="I8232" s="25"/>
      <c r="J8232" s="25"/>
    </row>
    <row r="8233" spans="1:10" ht="14.4">
      <c r="A8233" s="25"/>
      <c r="B8233" s="25"/>
      <c r="C8233" s="25"/>
      <c r="D8233" s="25"/>
      <c r="E8233" s="25"/>
      <c r="F8233" s="25"/>
      <c r="G8233" s="25"/>
      <c r="H8233" s="25"/>
      <c r="I8233" s="25"/>
      <c r="J8233" s="25"/>
    </row>
    <row r="8234" spans="1:10" ht="14.4">
      <c r="A8234" s="25"/>
      <c r="B8234" s="25"/>
      <c r="C8234" s="25"/>
      <c r="D8234" s="25"/>
      <c r="E8234" s="25"/>
      <c r="F8234" s="25"/>
      <c r="G8234" s="25"/>
      <c r="H8234" s="25"/>
      <c r="I8234" s="25"/>
      <c r="J8234" s="25"/>
    </row>
    <row r="8235" spans="1:10" ht="14.4">
      <c r="A8235" s="25"/>
      <c r="B8235" s="25"/>
      <c r="C8235" s="25"/>
      <c r="D8235" s="25"/>
      <c r="E8235" s="25"/>
      <c r="F8235" s="25"/>
      <c r="G8235" s="25"/>
      <c r="H8235" s="25"/>
      <c r="I8235" s="25"/>
      <c r="J8235" s="25"/>
    </row>
    <row r="8236" spans="1:10" ht="14.4">
      <c r="A8236" s="25"/>
      <c r="B8236" s="25"/>
      <c r="C8236" s="25"/>
      <c r="D8236" s="25"/>
      <c r="E8236" s="25"/>
      <c r="F8236" s="25"/>
      <c r="G8236" s="25"/>
      <c r="H8236" s="25"/>
      <c r="I8236" s="25"/>
      <c r="J8236" s="25"/>
    </row>
    <row r="8237" spans="1:10" ht="14.4">
      <c r="A8237" s="25"/>
      <c r="B8237" s="25"/>
      <c r="C8237" s="25"/>
      <c r="D8237" s="25"/>
      <c r="E8237" s="25"/>
      <c r="F8237" s="25"/>
      <c r="G8237" s="25"/>
      <c r="H8237" s="25"/>
      <c r="I8237" s="25"/>
      <c r="J8237" s="25"/>
    </row>
    <row r="8238" spans="1:10" ht="14.4">
      <c r="A8238" s="25"/>
      <c r="B8238" s="25"/>
      <c r="C8238" s="25"/>
      <c r="D8238" s="25"/>
      <c r="E8238" s="25"/>
      <c r="F8238" s="25"/>
      <c r="G8238" s="25"/>
      <c r="H8238" s="25"/>
      <c r="I8238" s="25"/>
      <c r="J8238" s="25"/>
    </row>
    <row r="8239" spans="1:10" ht="14.4">
      <c r="A8239" s="25"/>
      <c r="B8239" s="25"/>
      <c r="C8239" s="25"/>
      <c r="D8239" s="25"/>
      <c r="E8239" s="25"/>
      <c r="F8239" s="25"/>
      <c r="G8239" s="25"/>
      <c r="H8239" s="25"/>
      <c r="I8239" s="25"/>
      <c r="J8239" s="25"/>
    </row>
    <row r="8240" spans="1:10" ht="14.4">
      <c r="A8240" s="25"/>
      <c r="B8240" s="25"/>
      <c r="C8240" s="25"/>
      <c r="D8240" s="25"/>
      <c r="E8240" s="25"/>
      <c r="F8240" s="25"/>
      <c r="G8240" s="25"/>
      <c r="H8240" s="25"/>
      <c r="I8240" s="25"/>
      <c r="J8240" s="25"/>
    </row>
    <row r="8241" spans="1:10" ht="14.4">
      <c r="A8241" s="25"/>
      <c r="B8241" s="25"/>
      <c r="C8241" s="25"/>
      <c r="D8241" s="25"/>
      <c r="E8241" s="25"/>
      <c r="F8241" s="25"/>
      <c r="G8241" s="25"/>
      <c r="H8241" s="25"/>
      <c r="I8241" s="25"/>
      <c r="J8241" s="25"/>
    </row>
    <row r="8242" spans="1:10" ht="14.4">
      <c r="A8242" s="25"/>
      <c r="B8242" s="25"/>
      <c r="C8242" s="25"/>
      <c r="D8242" s="25"/>
      <c r="E8242" s="25"/>
      <c r="F8242" s="25"/>
      <c r="G8242" s="25"/>
      <c r="H8242" s="25"/>
      <c r="I8242" s="25"/>
      <c r="J8242" s="25"/>
    </row>
    <row r="8243" spans="1:10" ht="14.4">
      <c r="A8243" s="25"/>
      <c r="B8243" s="25"/>
      <c r="C8243" s="25"/>
      <c r="D8243" s="25"/>
      <c r="E8243" s="25"/>
      <c r="F8243" s="25"/>
      <c r="G8243" s="25"/>
      <c r="H8243" s="25"/>
      <c r="I8243" s="25"/>
      <c r="J8243" s="25"/>
    </row>
    <row r="8244" spans="1:10" ht="14.4">
      <c r="A8244" s="25"/>
      <c r="B8244" s="25"/>
      <c r="C8244" s="25"/>
      <c r="D8244" s="25"/>
      <c r="E8244" s="25"/>
      <c r="F8244" s="25"/>
      <c r="G8244" s="25"/>
      <c r="H8244" s="25"/>
      <c r="I8244" s="25"/>
      <c r="J8244" s="25"/>
    </row>
    <row r="8245" spans="1:10" ht="14.4">
      <c r="A8245" s="25"/>
      <c r="B8245" s="25"/>
      <c r="C8245" s="25"/>
      <c r="D8245" s="25"/>
      <c r="E8245" s="25"/>
      <c r="F8245" s="25"/>
      <c r="G8245" s="25"/>
      <c r="H8245" s="25"/>
      <c r="I8245" s="25"/>
      <c r="J8245" s="25"/>
    </row>
    <row r="8246" spans="1:10" ht="14.4">
      <c r="A8246" s="25"/>
      <c r="B8246" s="25"/>
      <c r="C8246" s="25"/>
      <c r="D8246" s="25"/>
      <c r="E8246" s="25"/>
      <c r="F8246" s="25"/>
      <c r="G8246" s="25"/>
      <c r="H8246" s="25"/>
      <c r="I8246" s="25"/>
      <c r="J8246" s="25"/>
    </row>
    <row r="8247" spans="1:10" ht="14.4">
      <c r="A8247" s="25"/>
      <c r="B8247" s="25"/>
      <c r="C8247" s="25"/>
      <c r="D8247" s="25"/>
      <c r="E8247" s="25"/>
      <c r="F8247" s="25"/>
      <c r="G8247" s="25"/>
      <c r="H8247" s="25"/>
      <c r="I8247" s="25"/>
      <c r="J8247" s="25"/>
    </row>
    <row r="8248" spans="1:10" ht="14.4">
      <c r="A8248" s="25"/>
      <c r="B8248" s="25"/>
      <c r="C8248" s="25"/>
      <c r="D8248" s="25"/>
      <c r="E8248" s="25"/>
      <c r="F8248" s="25"/>
      <c r="G8248" s="25"/>
      <c r="H8248" s="25"/>
      <c r="I8248" s="25"/>
      <c r="J8248" s="25"/>
    </row>
    <row r="8249" spans="1:10" ht="14.4">
      <c r="A8249" s="25"/>
      <c r="B8249" s="25"/>
      <c r="C8249" s="25"/>
      <c r="D8249" s="25"/>
      <c r="E8249" s="25"/>
      <c r="F8249" s="25"/>
      <c r="G8249" s="25"/>
      <c r="H8249" s="25"/>
      <c r="I8249" s="25"/>
      <c r="J8249" s="25"/>
    </row>
    <row r="8250" spans="1:10" ht="14.4">
      <c r="A8250" s="25"/>
      <c r="B8250" s="25"/>
      <c r="C8250" s="25"/>
      <c r="D8250" s="25"/>
      <c r="E8250" s="25"/>
      <c r="F8250" s="25"/>
      <c r="G8250" s="25"/>
      <c r="H8250" s="25"/>
      <c r="I8250" s="25"/>
      <c r="J8250" s="25"/>
    </row>
    <row r="8251" spans="1:10" ht="14.4">
      <c r="A8251" s="25"/>
      <c r="B8251" s="25"/>
      <c r="C8251" s="25"/>
      <c r="D8251" s="25"/>
      <c r="E8251" s="25"/>
      <c r="F8251" s="25"/>
      <c r="G8251" s="25"/>
      <c r="H8251" s="25"/>
      <c r="I8251" s="25"/>
      <c r="J8251" s="25"/>
    </row>
    <row r="8252" spans="1:10" ht="14.4">
      <c r="A8252" s="25"/>
      <c r="B8252" s="25"/>
      <c r="C8252" s="25"/>
      <c r="D8252" s="25"/>
      <c r="E8252" s="25"/>
      <c r="F8252" s="25"/>
      <c r="G8252" s="25"/>
      <c r="H8252" s="25"/>
      <c r="I8252" s="25"/>
      <c r="J8252" s="25"/>
    </row>
    <row r="8253" spans="1:10" ht="14.4">
      <c r="A8253" s="25"/>
      <c r="B8253" s="25"/>
      <c r="C8253" s="25"/>
      <c r="D8253" s="25"/>
      <c r="E8253" s="25"/>
      <c r="F8253" s="25"/>
      <c r="G8253" s="25"/>
      <c r="H8253" s="25"/>
      <c r="I8253" s="25"/>
      <c r="J8253" s="25"/>
    </row>
    <row r="8254" spans="1:10" ht="14.4">
      <c r="A8254" s="25"/>
      <c r="B8254" s="25"/>
      <c r="C8254" s="25"/>
      <c r="D8254" s="25"/>
      <c r="E8254" s="25"/>
      <c r="F8254" s="25"/>
      <c r="G8254" s="25"/>
      <c r="H8254" s="25"/>
      <c r="I8254" s="25"/>
      <c r="J8254" s="25"/>
    </row>
    <row r="8255" spans="1:10" ht="14.4">
      <c r="A8255" s="25"/>
      <c r="B8255" s="25"/>
      <c r="C8255" s="25"/>
      <c r="D8255" s="25"/>
      <c r="E8255" s="25"/>
      <c r="F8255" s="25"/>
      <c r="G8255" s="25"/>
      <c r="H8255" s="25"/>
      <c r="I8255" s="25"/>
      <c r="J8255" s="25"/>
    </row>
    <row r="8256" spans="1:10" ht="14.4">
      <c r="A8256" s="25"/>
      <c r="B8256" s="25"/>
      <c r="C8256" s="25"/>
      <c r="D8256" s="25"/>
      <c r="E8256" s="25"/>
      <c r="F8256" s="25"/>
      <c r="G8256" s="25"/>
      <c r="H8256" s="25"/>
      <c r="I8256" s="25"/>
      <c r="J8256" s="25"/>
    </row>
    <row r="8257" spans="1:10" ht="14.4">
      <c r="A8257" s="25"/>
      <c r="B8257" s="25"/>
      <c r="C8257" s="25"/>
      <c r="D8257" s="25"/>
      <c r="E8257" s="25"/>
      <c r="F8257" s="25"/>
      <c r="G8257" s="25"/>
      <c r="H8257" s="25"/>
      <c r="I8257" s="25"/>
      <c r="J8257" s="25"/>
    </row>
    <row r="8258" spans="1:10" ht="14.4">
      <c r="A8258" s="25"/>
      <c r="B8258" s="25"/>
      <c r="C8258" s="25"/>
      <c r="D8258" s="25"/>
      <c r="E8258" s="25"/>
      <c r="F8258" s="25"/>
      <c r="G8258" s="25"/>
      <c r="H8258" s="25"/>
      <c r="I8258" s="25"/>
      <c r="J8258" s="25"/>
    </row>
    <row r="8259" spans="1:10" ht="14.4">
      <c r="A8259" s="25"/>
      <c r="B8259" s="25"/>
      <c r="C8259" s="25"/>
      <c r="D8259" s="25"/>
      <c r="E8259" s="25"/>
      <c r="F8259" s="25"/>
      <c r="G8259" s="25"/>
      <c r="H8259" s="25"/>
      <c r="I8259" s="25"/>
      <c r="J8259" s="25"/>
    </row>
    <row r="8260" spans="1:10" ht="14.4">
      <c r="A8260" s="25"/>
      <c r="B8260" s="25"/>
      <c r="C8260" s="25"/>
      <c r="D8260" s="25"/>
      <c r="E8260" s="25"/>
      <c r="F8260" s="25"/>
      <c r="G8260" s="25"/>
      <c r="H8260" s="25"/>
      <c r="I8260" s="25"/>
      <c r="J8260" s="25"/>
    </row>
    <row r="8261" spans="1:10" ht="14.4">
      <c r="A8261" s="25"/>
      <c r="B8261" s="25"/>
      <c r="C8261" s="25"/>
      <c r="D8261" s="25"/>
      <c r="E8261" s="25"/>
      <c r="F8261" s="25"/>
      <c r="G8261" s="25"/>
      <c r="H8261" s="25"/>
      <c r="I8261" s="25"/>
      <c r="J8261" s="25"/>
    </row>
    <row r="8262" spans="1:10" ht="14.4">
      <c r="A8262" s="25"/>
      <c r="B8262" s="25"/>
      <c r="C8262" s="25"/>
      <c r="D8262" s="25"/>
      <c r="E8262" s="25"/>
      <c r="F8262" s="25"/>
      <c r="G8262" s="25"/>
      <c r="H8262" s="25"/>
      <c r="I8262" s="25"/>
      <c r="J8262" s="25"/>
    </row>
    <row r="8263" spans="1:10" ht="14.4">
      <c r="A8263" s="25"/>
      <c r="B8263" s="25"/>
      <c r="C8263" s="25"/>
      <c r="D8263" s="25"/>
      <c r="E8263" s="25"/>
      <c r="F8263" s="25"/>
      <c r="G8263" s="25"/>
      <c r="H8263" s="25"/>
      <c r="I8263" s="25"/>
      <c r="J8263" s="25"/>
    </row>
    <row r="8264" spans="1:10" ht="14.4">
      <c r="A8264" s="25"/>
      <c r="B8264" s="25"/>
      <c r="C8264" s="25"/>
      <c r="D8264" s="25"/>
      <c r="E8264" s="25"/>
      <c r="F8264" s="25"/>
      <c r="G8264" s="25"/>
      <c r="H8264" s="25"/>
      <c r="I8264" s="25"/>
      <c r="J8264" s="25"/>
    </row>
    <row r="8265" spans="1:10" ht="14.4">
      <c r="A8265" s="25"/>
      <c r="B8265" s="25"/>
      <c r="C8265" s="25"/>
      <c r="D8265" s="25"/>
      <c r="E8265" s="25"/>
      <c r="F8265" s="25"/>
      <c r="G8265" s="25"/>
      <c r="H8265" s="25"/>
      <c r="I8265" s="25"/>
      <c r="J8265" s="25"/>
    </row>
    <row r="8266" spans="1:10" ht="14.4">
      <c r="A8266" s="25"/>
      <c r="B8266" s="25"/>
      <c r="C8266" s="25"/>
      <c r="D8266" s="25"/>
      <c r="E8266" s="25"/>
      <c r="F8266" s="25"/>
      <c r="G8266" s="25"/>
      <c r="H8266" s="25"/>
      <c r="I8266" s="25"/>
      <c r="J8266" s="25"/>
    </row>
    <row r="8267" spans="1:10" ht="14.4">
      <c r="A8267" s="25"/>
      <c r="B8267" s="25"/>
      <c r="C8267" s="25"/>
      <c r="D8267" s="25"/>
      <c r="E8267" s="25"/>
      <c r="F8267" s="25"/>
      <c r="G8267" s="25"/>
      <c r="H8267" s="25"/>
      <c r="I8267" s="25"/>
      <c r="J8267" s="25"/>
    </row>
    <row r="8268" spans="1:10" ht="14.4">
      <c r="A8268" s="25"/>
      <c r="B8268" s="25"/>
      <c r="C8268" s="25"/>
      <c r="D8268" s="25"/>
      <c r="E8268" s="25"/>
      <c r="F8268" s="25"/>
      <c r="G8268" s="25"/>
      <c r="H8268" s="25"/>
      <c r="I8268" s="25"/>
      <c r="J8268" s="25"/>
    </row>
    <row r="8269" spans="1:10" ht="14.4">
      <c r="A8269" s="25"/>
      <c r="B8269" s="25"/>
      <c r="C8269" s="25"/>
      <c r="D8269" s="25"/>
      <c r="E8269" s="25"/>
      <c r="F8269" s="25"/>
      <c r="G8269" s="25"/>
      <c r="H8269" s="25"/>
      <c r="I8269" s="25"/>
      <c r="J8269" s="25"/>
    </row>
    <row r="8270" spans="1:10" ht="14.4">
      <c r="A8270" s="25"/>
      <c r="B8270" s="25"/>
      <c r="C8270" s="25"/>
      <c r="D8270" s="25"/>
      <c r="E8270" s="25"/>
      <c r="F8270" s="25"/>
      <c r="G8270" s="25"/>
      <c r="H8270" s="25"/>
      <c r="I8270" s="25"/>
      <c r="J8270" s="25"/>
    </row>
    <row r="8271" spans="1:10" ht="14.4">
      <c r="A8271" s="25"/>
      <c r="B8271" s="25"/>
      <c r="C8271" s="25"/>
      <c r="D8271" s="25"/>
      <c r="E8271" s="25"/>
      <c r="F8271" s="25"/>
      <c r="G8271" s="25"/>
      <c r="H8271" s="25"/>
      <c r="I8271" s="25"/>
      <c r="J8271" s="25"/>
    </row>
    <row r="8272" spans="1:10" ht="14.4">
      <c r="A8272" s="25"/>
      <c r="B8272" s="25"/>
      <c r="C8272" s="25"/>
      <c r="D8272" s="25"/>
      <c r="E8272" s="25"/>
      <c r="F8272" s="25"/>
      <c r="G8272" s="25"/>
      <c r="H8272" s="25"/>
      <c r="I8272" s="25"/>
      <c r="J8272" s="25"/>
    </row>
    <row r="8273" spans="1:10" ht="14.4">
      <c r="A8273" s="25"/>
      <c r="B8273" s="25"/>
      <c r="C8273" s="25"/>
      <c r="D8273" s="25"/>
      <c r="E8273" s="25"/>
      <c r="F8273" s="25"/>
      <c r="G8273" s="25"/>
      <c r="H8273" s="25"/>
      <c r="I8273" s="25"/>
      <c r="J8273" s="25"/>
    </row>
    <row r="8274" spans="1:10" ht="14.4">
      <c r="A8274" s="25"/>
      <c r="B8274" s="25"/>
      <c r="C8274" s="25"/>
      <c r="D8274" s="25"/>
      <c r="E8274" s="25"/>
      <c r="F8274" s="25"/>
      <c r="G8274" s="25"/>
      <c r="H8274" s="25"/>
      <c r="I8274" s="25"/>
      <c r="J8274" s="25"/>
    </row>
    <row r="8275" spans="1:10" ht="14.4">
      <c r="A8275" s="25"/>
      <c r="B8275" s="25"/>
      <c r="C8275" s="25"/>
      <c r="D8275" s="25"/>
      <c r="E8275" s="25"/>
      <c r="F8275" s="25"/>
      <c r="G8275" s="25"/>
      <c r="H8275" s="25"/>
      <c r="I8275" s="25"/>
      <c r="J8275" s="25"/>
    </row>
    <row r="8276" spans="1:10" ht="14.4">
      <c r="A8276" s="25"/>
      <c r="B8276" s="25"/>
      <c r="C8276" s="25"/>
      <c r="D8276" s="25"/>
      <c r="E8276" s="25"/>
      <c r="F8276" s="25"/>
      <c r="G8276" s="25"/>
      <c r="H8276" s="25"/>
      <c r="I8276" s="25"/>
      <c r="J8276" s="25"/>
    </row>
    <row r="8277" spans="1:10" ht="14.4">
      <c r="A8277" s="25"/>
      <c r="B8277" s="25"/>
      <c r="C8277" s="25"/>
      <c r="D8277" s="25"/>
      <c r="E8277" s="25"/>
      <c r="F8277" s="25"/>
      <c r="G8277" s="25"/>
      <c r="H8277" s="25"/>
      <c r="I8277" s="25"/>
      <c r="J8277" s="25"/>
    </row>
    <row r="8278" spans="1:10" ht="14.4">
      <c r="A8278" s="25"/>
      <c r="B8278" s="25"/>
      <c r="C8278" s="25"/>
      <c r="D8278" s="25"/>
      <c r="E8278" s="25"/>
      <c r="F8278" s="25"/>
      <c r="G8278" s="25"/>
      <c r="H8278" s="25"/>
      <c r="I8278" s="25"/>
      <c r="J8278" s="25"/>
    </row>
    <row r="8279" spans="1:10" ht="14.4">
      <c r="A8279" s="25"/>
      <c r="B8279" s="25"/>
      <c r="C8279" s="25"/>
      <c r="D8279" s="25"/>
      <c r="E8279" s="25"/>
      <c r="F8279" s="25"/>
      <c r="G8279" s="25"/>
      <c r="H8279" s="25"/>
      <c r="I8279" s="25"/>
      <c r="J8279" s="25"/>
    </row>
    <row r="8280" spans="1:10" ht="14.4">
      <c r="A8280" s="25"/>
      <c r="B8280" s="25"/>
      <c r="C8280" s="25"/>
      <c r="D8280" s="25"/>
      <c r="E8280" s="25"/>
      <c r="F8280" s="25"/>
      <c r="G8280" s="25"/>
      <c r="H8280" s="25"/>
      <c r="I8280" s="25"/>
      <c r="J8280" s="25"/>
    </row>
    <row r="8281" spans="1:10" ht="14.4">
      <c r="A8281" s="25"/>
      <c r="B8281" s="25"/>
      <c r="C8281" s="25"/>
      <c r="D8281" s="25"/>
      <c r="E8281" s="25"/>
      <c r="F8281" s="25"/>
      <c r="G8281" s="25"/>
      <c r="H8281" s="25"/>
      <c r="I8281" s="25"/>
      <c r="J8281" s="25"/>
    </row>
    <row r="8282" spans="1:10" ht="14.4">
      <c r="A8282" s="25"/>
      <c r="B8282" s="25"/>
      <c r="C8282" s="25"/>
      <c r="D8282" s="25"/>
      <c r="E8282" s="25"/>
      <c r="F8282" s="25"/>
      <c r="G8282" s="25"/>
      <c r="H8282" s="25"/>
      <c r="I8282" s="25"/>
      <c r="J8282" s="25"/>
    </row>
    <row r="8283" spans="1:10" ht="14.4">
      <c r="A8283" s="25"/>
      <c r="B8283" s="25"/>
      <c r="C8283" s="25"/>
      <c r="D8283" s="25"/>
      <c r="E8283" s="25"/>
      <c r="F8283" s="25"/>
      <c r="G8283" s="25"/>
      <c r="H8283" s="25"/>
      <c r="I8283" s="25"/>
      <c r="J8283" s="25"/>
    </row>
    <row r="8284" spans="1:10" ht="14.4">
      <c r="A8284" s="25"/>
      <c r="B8284" s="25"/>
      <c r="C8284" s="25"/>
      <c r="D8284" s="25"/>
      <c r="E8284" s="25"/>
      <c r="F8284" s="25"/>
      <c r="G8284" s="25"/>
      <c r="H8284" s="25"/>
      <c r="I8284" s="25"/>
      <c r="J8284" s="25"/>
    </row>
    <row r="8285" spans="1:10" ht="14.4">
      <c r="A8285" s="25"/>
      <c r="B8285" s="25"/>
      <c r="C8285" s="25"/>
      <c r="D8285" s="25"/>
      <c r="E8285" s="25"/>
      <c r="F8285" s="25"/>
      <c r="G8285" s="25"/>
      <c r="H8285" s="25"/>
      <c r="I8285" s="25"/>
      <c r="J8285" s="25"/>
    </row>
    <row r="8286" spans="1:10" ht="14.4">
      <c r="A8286" s="25"/>
      <c r="B8286" s="25"/>
      <c r="C8286" s="25"/>
      <c r="D8286" s="25"/>
      <c r="E8286" s="25"/>
      <c r="F8286" s="25"/>
      <c r="G8286" s="25"/>
      <c r="H8286" s="25"/>
      <c r="I8286" s="25"/>
      <c r="J8286" s="25"/>
    </row>
    <row r="8287" spans="1:10" ht="14.4">
      <c r="A8287" s="25"/>
      <c r="B8287" s="25"/>
      <c r="C8287" s="25"/>
      <c r="D8287" s="25"/>
      <c r="E8287" s="25"/>
      <c r="F8287" s="25"/>
      <c r="G8287" s="25"/>
      <c r="H8287" s="25"/>
      <c r="I8287" s="25"/>
      <c r="J8287" s="25"/>
    </row>
    <row r="8288" spans="1:10" ht="14.4">
      <c r="A8288" s="25"/>
      <c r="B8288" s="25"/>
      <c r="C8288" s="25"/>
      <c r="D8288" s="25"/>
      <c r="E8288" s="25"/>
      <c r="F8288" s="25"/>
      <c r="G8288" s="25"/>
      <c r="H8288" s="25"/>
      <c r="I8288" s="25"/>
      <c r="J8288" s="25"/>
    </row>
    <row r="8289" spans="1:10" ht="14.4">
      <c r="A8289" s="25"/>
      <c r="B8289" s="25"/>
      <c r="C8289" s="25"/>
      <c r="D8289" s="25"/>
      <c r="E8289" s="25"/>
      <c r="F8289" s="25"/>
      <c r="G8289" s="25"/>
      <c r="H8289" s="25"/>
      <c r="I8289" s="25"/>
      <c r="J8289" s="25"/>
    </row>
    <row r="8290" spans="1:10" ht="14.4">
      <c r="A8290" s="25"/>
      <c r="B8290" s="25"/>
      <c r="C8290" s="25"/>
      <c r="D8290" s="25"/>
      <c r="E8290" s="25"/>
      <c r="F8290" s="25"/>
      <c r="G8290" s="25"/>
      <c r="H8290" s="25"/>
      <c r="I8290" s="25"/>
      <c r="J8290" s="25"/>
    </row>
    <row r="8291" spans="1:10" ht="14.4">
      <c r="A8291" s="25"/>
      <c r="B8291" s="25"/>
      <c r="C8291" s="25"/>
      <c r="D8291" s="25"/>
      <c r="E8291" s="25"/>
      <c r="F8291" s="25"/>
      <c r="G8291" s="25"/>
      <c r="H8291" s="25"/>
      <c r="I8291" s="25"/>
      <c r="J8291" s="25"/>
    </row>
    <row r="8292" spans="1:10" ht="14.4">
      <c r="A8292" s="25"/>
      <c r="B8292" s="25"/>
      <c r="C8292" s="25"/>
      <c r="D8292" s="25"/>
      <c r="E8292" s="25"/>
      <c r="F8292" s="25"/>
      <c r="G8292" s="25"/>
      <c r="H8292" s="25"/>
      <c r="I8292" s="25"/>
      <c r="J8292" s="25"/>
    </row>
    <row r="8293" spans="1:10" ht="14.4">
      <c r="A8293" s="25"/>
      <c r="B8293" s="25"/>
      <c r="C8293" s="25"/>
      <c r="D8293" s="25"/>
      <c r="E8293" s="25"/>
      <c r="F8293" s="25"/>
      <c r="G8293" s="25"/>
      <c r="H8293" s="25"/>
      <c r="I8293" s="25"/>
      <c r="J8293" s="25"/>
    </row>
    <row r="8294" spans="1:10" ht="14.4">
      <c r="A8294" s="25"/>
      <c r="B8294" s="25"/>
      <c r="C8294" s="25"/>
      <c r="D8294" s="25"/>
      <c r="E8294" s="25"/>
      <c r="F8294" s="25"/>
      <c r="G8294" s="25"/>
      <c r="H8294" s="25"/>
      <c r="I8294" s="25"/>
      <c r="J8294" s="25"/>
    </row>
    <row r="8295" spans="1:10" ht="14.4">
      <c r="A8295" s="25"/>
      <c r="B8295" s="25"/>
      <c r="C8295" s="25"/>
      <c r="D8295" s="25"/>
      <c r="E8295" s="25"/>
      <c r="F8295" s="25"/>
      <c r="G8295" s="25"/>
      <c r="H8295" s="25"/>
      <c r="I8295" s="25"/>
      <c r="J8295" s="25"/>
    </row>
    <row r="8296" spans="1:10" ht="14.4">
      <c r="A8296" s="25"/>
      <c r="B8296" s="25"/>
      <c r="C8296" s="25"/>
      <c r="D8296" s="25"/>
      <c r="E8296" s="25"/>
      <c r="F8296" s="25"/>
      <c r="G8296" s="25"/>
      <c r="H8296" s="25"/>
      <c r="I8296" s="25"/>
      <c r="J8296" s="25"/>
    </row>
    <row r="8297" spans="1:10" ht="14.4">
      <c r="A8297" s="25"/>
      <c r="B8297" s="25"/>
      <c r="C8297" s="25"/>
      <c r="D8297" s="25"/>
      <c r="E8297" s="25"/>
      <c r="F8297" s="25"/>
      <c r="G8297" s="25"/>
      <c r="H8297" s="25"/>
      <c r="I8297" s="25"/>
      <c r="J8297" s="25"/>
    </row>
    <row r="8298" spans="1:10" ht="14.4">
      <c r="A8298" s="25"/>
      <c r="B8298" s="25"/>
      <c r="C8298" s="25"/>
      <c r="D8298" s="25"/>
      <c r="E8298" s="25"/>
      <c r="F8298" s="25"/>
      <c r="G8298" s="25"/>
      <c r="H8298" s="25"/>
      <c r="I8298" s="25"/>
      <c r="J8298" s="25"/>
    </row>
    <row r="8299" spans="1:10" ht="14.4">
      <c r="A8299" s="25"/>
      <c r="B8299" s="25"/>
      <c r="C8299" s="25"/>
      <c r="D8299" s="25"/>
      <c r="E8299" s="25"/>
      <c r="F8299" s="25"/>
      <c r="G8299" s="25"/>
      <c r="H8299" s="25"/>
      <c r="I8299" s="25"/>
      <c r="J8299" s="25"/>
    </row>
    <row r="8300" spans="1:10" ht="14.4">
      <c r="A8300" s="25"/>
      <c r="B8300" s="25"/>
      <c r="C8300" s="25"/>
      <c r="D8300" s="25"/>
      <c r="E8300" s="25"/>
      <c r="F8300" s="25"/>
      <c r="G8300" s="25"/>
      <c r="H8300" s="25"/>
      <c r="I8300" s="25"/>
      <c r="J8300" s="25"/>
    </row>
    <row r="8301" spans="1:10" ht="14.4">
      <c r="A8301" s="25"/>
      <c r="B8301" s="25"/>
      <c r="C8301" s="25"/>
      <c r="D8301" s="25"/>
      <c r="E8301" s="25"/>
      <c r="F8301" s="25"/>
      <c r="G8301" s="25"/>
      <c r="H8301" s="25"/>
      <c r="I8301" s="25"/>
      <c r="J8301" s="25"/>
    </row>
    <row r="8302" spans="1:10" ht="14.4">
      <c r="A8302" s="25"/>
      <c r="B8302" s="25"/>
      <c r="C8302" s="25"/>
      <c r="D8302" s="25"/>
      <c r="E8302" s="25"/>
      <c r="F8302" s="25"/>
      <c r="G8302" s="25"/>
      <c r="H8302" s="25"/>
      <c r="I8302" s="25"/>
      <c r="J8302" s="25"/>
    </row>
    <row r="8303" spans="1:10" ht="14.4">
      <c r="A8303" s="25"/>
      <c r="B8303" s="25"/>
      <c r="C8303" s="25"/>
      <c r="D8303" s="25"/>
      <c r="E8303" s="25"/>
      <c r="F8303" s="25"/>
      <c r="G8303" s="25"/>
      <c r="H8303" s="25"/>
      <c r="I8303" s="25"/>
      <c r="J8303" s="25"/>
    </row>
    <row r="8304" spans="1:10" ht="14.4">
      <c r="A8304" s="25"/>
      <c r="B8304" s="25"/>
      <c r="C8304" s="25"/>
      <c r="D8304" s="25"/>
      <c r="E8304" s="25"/>
      <c r="F8304" s="25"/>
      <c r="G8304" s="25"/>
      <c r="H8304" s="25"/>
      <c r="I8304" s="25"/>
      <c r="J8304" s="25"/>
    </row>
    <row r="8305" spans="1:10" ht="14.4">
      <c r="A8305" s="25"/>
      <c r="B8305" s="25"/>
      <c r="C8305" s="25"/>
      <c r="D8305" s="25"/>
      <c r="E8305" s="25"/>
      <c r="F8305" s="25"/>
      <c r="G8305" s="25"/>
      <c r="H8305" s="25"/>
      <c r="I8305" s="25"/>
      <c r="J8305" s="25"/>
    </row>
    <row r="8306" spans="1:10" ht="14.4">
      <c r="A8306" s="25"/>
      <c r="B8306" s="25"/>
      <c r="C8306" s="25"/>
      <c r="D8306" s="25"/>
      <c r="E8306" s="25"/>
      <c r="F8306" s="25"/>
      <c r="G8306" s="25"/>
      <c r="H8306" s="25"/>
      <c r="I8306" s="25"/>
      <c r="J8306" s="25"/>
    </row>
    <row r="8307" spans="1:10" ht="14.4">
      <c r="A8307" s="25"/>
      <c r="B8307" s="25"/>
      <c r="C8307" s="25"/>
      <c r="D8307" s="25"/>
      <c r="E8307" s="25"/>
      <c r="F8307" s="25"/>
      <c r="G8307" s="25"/>
      <c r="H8307" s="25"/>
      <c r="I8307" s="25"/>
      <c r="J8307" s="25"/>
    </row>
    <row r="8308" spans="1:10" ht="14.4">
      <c r="A8308" s="25"/>
      <c r="B8308" s="25"/>
      <c r="C8308" s="25"/>
      <c r="D8308" s="25"/>
      <c r="E8308" s="25"/>
      <c r="F8308" s="25"/>
      <c r="G8308" s="25"/>
      <c r="H8308" s="25"/>
      <c r="I8308" s="25"/>
      <c r="J8308" s="25"/>
    </row>
    <row r="8309" spans="1:10" ht="14.4">
      <c r="A8309" s="25"/>
      <c r="B8309" s="25"/>
      <c r="C8309" s="25"/>
      <c r="D8309" s="25"/>
      <c r="E8309" s="25"/>
      <c r="F8309" s="25"/>
      <c r="G8309" s="25"/>
      <c r="H8309" s="25"/>
      <c r="I8309" s="25"/>
      <c r="J8309" s="25"/>
    </row>
    <row r="8310" spans="1:10" ht="14.4">
      <c r="A8310" s="25"/>
      <c r="B8310" s="25"/>
      <c r="C8310" s="25"/>
      <c r="D8310" s="25"/>
      <c r="E8310" s="25"/>
      <c r="F8310" s="25"/>
      <c r="G8310" s="25"/>
      <c r="H8310" s="25"/>
      <c r="I8310" s="25"/>
      <c r="J8310" s="25"/>
    </row>
    <row r="8311" spans="1:10" ht="14.4">
      <c r="A8311" s="25"/>
      <c r="B8311" s="25"/>
      <c r="C8311" s="25"/>
      <c r="D8311" s="25"/>
      <c r="E8311" s="25"/>
      <c r="F8311" s="25"/>
      <c r="G8311" s="25"/>
      <c r="H8311" s="25"/>
      <c r="I8311" s="25"/>
      <c r="J8311" s="25"/>
    </row>
    <row r="8312" spans="1:10" ht="14.4">
      <c r="A8312" s="25"/>
      <c r="B8312" s="25"/>
      <c r="C8312" s="25"/>
      <c r="D8312" s="25"/>
      <c r="E8312" s="25"/>
      <c r="F8312" s="25"/>
      <c r="G8312" s="25"/>
      <c r="H8312" s="25"/>
      <c r="I8312" s="25"/>
      <c r="J8312" s="25"/>
    </row>
    <row r="8313" spans="1:10" ht="14.4">
      <c r="A8313" s="25"/>
      <c r="B8313" s="25"/>
      <c r="C8313" s="25"/>
      <c r="D8313" s="25"/>
      <c r="E8313" s="25"/>
      <c r="F8313" s="25"/>
      <c r="G8313" s="25"/>
      <c r="H8313" s="25"/>
      <c r="I8313" s="25"/>
      <c r="J8313" s="25"/>
    </row>
    <row r="8314" spans="1:10" ht="14.4">
      <c r="A8314" s="25"/>
      <c r="B8314" s="25"/>
      <c r="C8314" s="25"/>
      <c r="D8314" s="25"/>
      <c r="E8314" s="25"/>
      <c r="F8314" s="25"/>
      <c r="G8314" s="25"/>
      <c r="H8314" s="25"/>
      <c r="I8314" s="25"/>
      <c r="J8314" s="25"/>
    </row>
    <row r="8315" spans="1:10" ht="14.4">
      <c r="A8315" s="25"/>
      <c r="B8315" s="25"/>
      <c r="C8315" s="25"/>
      <c r="D8315" s="25"/>
      <c r="E8315" s="25"/>
      <c r="F8315" s="25"/>
      <c r="G8315" s="25"/>
      <c r="H8315" s="25"/>
      <c r="I8315" s="25"/>
      <c r="J8315" s="25"/>
    </row>
    <row r="8316" spans="1:10" ht="14.4">
      <c r="A8316" s="25"/>
      <c r="B8316" s="25"/>
      <c r="C8316" s="25"/>
      <c r="D8316" s="25"/>
      <c r="E8316" s="25"/>
      <c r="F8316" s="25"/>
      <c r="G8316" s="25"/>
      <c r="H8316" s="25"/>
      <c r="I8316" s="25"/>
      <c r="J8316" s="25"/>
    </row>
    <row r="8317" spans="1:10" ht="14.4">
      <c r="A8317" s="25"/>
      <c r="B8317" s="25"/>
      <c r="C8317" s="25"/>
      <c r="D8317" s="25"/>
      <c r="E8317" s="25"/>
      <c r="F8317" s="25"/>
      <c r="G8317" s="25"/>
      <c r="H8317" s="25"/>
      <c r="I8317" s="25"/>
      <c r="J8317" s="25"/>
    </row>
    <row r="8318" spans="1:10" ht="14.4">
      <c r="A8318" s="25"/>
      <c r="B8318" s="25"/>
      <c r="C8318" s="25"/>
      <c r="D8318" s="25"/>
      <c r="E8318" s="25"/>
      <c r="F8318" s="25"/>
      <c r="G8318" s="25"/>
      <c r="H8318" s="25"/>
      <c r="I8318" s="25"/>
      <c r="J8318" s="25"/>
    </row>
    <row r="8319" spans="1:10" ht="14.4">
      <c r="A8319" s="25"/>
      <c r="B8319" s="25"/>
      <c r="C8319" s="25"/>
      <c r="D8319" s="25"/>
      <c r="E8319" s="25"/>
      <c r="F8319" s="25"/>
      <c r="G8319" s="25"/>
      <c r="H8319" s="25"/>
      <c r="I8319" s="25"/>
      <c r="J8319" s="25"/>
    </row>
    <row r="8320" spans="1:10" ht="14.4">
      <c r="A8320" s="25"/>
      <c r="B8320" s="25"/>
      <c r="C8320" s="25"/>
      <c r="D8320" s="25"/>
      <c r="E8320" s="25"/>
      <c r="F8320" s="25"/>
      <c r="G8320" s="25"/>
      <c r="H8320" s="25"/>
      <c r="I8320" s="25"/>
      <c r="J8320" s="25"/>
    </row>
    <row r="8321" spans="1:10" ht="14.4">
      <c r="A8321" s="25"/>
      <c r="B8321" s="25"/>
      <c r="C8321" s="25"/>
      <c r="D8321" s="25"/>
      <c r="E8321" s="25"/>
      <c r="F8321" s="25"/>
      <c r="G8321" s="25"/>
      <c r="H8321" s="25"/>
      <c r="I8321" s="25"/>
      <c r="J8321" s="25"/>
    </row>
    <row r="8322" spans="1:10" ht="14.4">
      <c r="A8322" s="25"/>
      <c r="B8322" s="25"/>
      <c r="C8322" s="25"/>
      <c r="D8322" s="25"/>
      <c r="E8322" s="25"/>
      <c r="F8322" s="25"/>
      <c r="G8322" s="25"/>
      <c r="H8322" s="25"/>
      <c r="I8322" s="25"/>
      <c r="J8322" s="25"/>
    </row>
    <row r="8323" spans="1:10" ht="14.4">
      <c r="A8323" s="25"/>
      <c r="B8323" s="25"/>
      <c r="C8323" s="25"/>
      <c r="D8323" s="25"/>
      <c r="E8323" s="25"/>
      <c r="F8323" s="25"/>
      <c r="G8323" s="25"/>
      <c r="H8323" s="25"/>
      <c r="I8323" s="25"/>
      <c r="J8323" s="25"/>
    </row>
    <row r="8324" spans="1:10" ht="14.4">
      <c r="A8324" s="25"/>
      <c r="B8324" s="25"/>
      <c r="C8324" s="25"/>
      <c r="D8324" s="25"/>
      <c r="E8324" s="25"/>
      <c r="F8324" s="25"/>
      <c r="G8324" s="25"/>
      <c r="H8324" s="25"/>
      <c r="I8324" s="25"/>
      <c r="J8324" s="25"/>
    </row>
    <row r="8325" spans="1:10" ht="14.4">
      <c r="A8325" s="25"/>
      <c r="B8325" s="25"/>
      <c r="C8325" s="25"/>
      <c r="D8325" s="25"/>
      <c r="E8325" s="25"/>
      <c r="F8325" s="25"/>
      <c r="G8325" s="25"/>
      <c r="H8325" s="25"/>
      <c r="I8325" s="25"/>
      <c r="J8325" s="25"/>
    </row>
    <row r="8326" spans="1:10" ht="14.4">
      <c r="A8326" s="25"/>
      <c r="B8326" s="25"/>
      <c r="C8326" s="25"/>
      <c r="D8326" s="25"/>
      <c r="E8326" s="25"/>
      <c r="F8326" s="25"/>
      <c r="G8326" s="25"/>
      <c r="H8326" s="25"/>
      <c r="I8326" s="25"/>
      <c r="J8326" s="25"/>
    </row>
    <row r="8327" spans="1:10" ht="14.4">
      <c r="A8327" s="25"/>
      <c r="B8327" s="25"/>
      <c r="C8327" s="25"/>
      <c r="D8327" s="25"/>
      <c r="E8327" s="25"/>
      <c r="F8327" s="25"/>
      <c r="G8327" s="25"/>
      <c r="H8327" s="25"/>
      <c r="I8327" s="25"/>
      <c r="J8327" s="25"/>
    </row>
    <row r="8328" spans="1:10" ht="14.4">
      <c r="A8328" s="25"/>
      <c r="B8328" s="25"/>
      <c r="C8328" s="25"/>
      <c r="D8328" s="25"/>
      <c r="E8328" s="25"/>
      <c r="F8328" s="25"/>
      <c r="G8328" s="25"/>
      <c r="H8328" s="25"/>
      <c r="I8328" s="25"/>
      <c r="J8328" s="25"/>
    </row>
    <row r="8329" spans="1:10" ht="14.4">
      <c r="A8329" s="25"/>
      <c r="B8329" s="25"/>
      <c r="C8329" s="25"/>
      <c r="D8329" s="25"/>
      <c r="E8329" s="25"/>
      <c r="F8329" s="25"/>
      <c r="G8329" s="25"/>
      <c r="H8329" s="25"/>
      <c r="I8329" s="25"/>
      <c r="J8329" s="25"/>
    </row>
    <row r="8330" spans="1:10" ht="14.4">
      <c r="A8330" s="25"/>
      <c r="B8330" s="25"/>
      <c r="C8330" s="25"/>
      <c r="D8330" s="25"/>
      <c r="E8330" s="25"/>
      <c r="F8330" s="25"/>
      <c r="G8330" s="25"/>
      <c r="H8330" s="25"/>
      <c r="I8330" s="25"/>
      <c r="J8330" s="25"/>
    </row>
    <row r="8331" spans="1:10" ht="14.4">
      <c r="A8331" s="25"/>
      <c r="B8331" s="25"/>
      <c r="C8331" s="25"/>
      <c r="D8331" s="25"/>
      <c r="E8331" s="25"/>
      <c r="F8331" s="25"/>
      <c r="G8331" s="25"/>
      <c r="H8331" s="25"/>
      <c r="I8331" s="25"/>
      <c r="J8331" s="25"/>
    </row>
    <row r="8332" spans="1:10" ht="14.4">
      <c r="A8332" s="25"/>
      <c r="B8332" s="25"/>
      <c r="C8332" s="25"/>
      <c r="D8332" s="25"/>
      <c r="E8332" s="25"/>
      <c r="F8332" s="25"/>
      <c r="G8332" s="25"/>
      <c r="H8332" s="25"/>
      <c r="I8332" s="25"/>
      <c r="J8332" s="25"/>
    </row>
    <row r="8333" spans="1:10" ht="14.4">
      <c r="A8333" s="25"/>
      <c r="B8333" s="25"/>
      <c r="C8333" s="25"/>
      <c r="D8333" s="25"/>
      <c r="E8333" s="25"/>
      <c r="F8333" s="25"/>
      <c r="G8333" s="25"/>
      <c r="H8333" s="25"/>
      <c r="I8333" s="25"/>
      <c r="J8333" s="25"/>
    </row>
    <row r="8334" spans="1:10" ht="14.4">
      <c r="A8334" s="25"/>
      <c r="B8334" s="25"/>
      <c r="C8334" s="25"/>
      <c r="D8334" s="25"/>
      <c r="E8334" s="25"/>
      <c r="F8334" s="25"/>
      <c r="G8334" s="25"/>
      <c r="H8334" s="25"/>
      <c r="I8334" s="25"/>
      <c r="J8334" s="25"/>
    </row>
    <row r="8335" spans="1:10" ht="14.4">
      <c r="A8335" s="25"/>
      <c r="B8335" s="25"/>
      <c r="C8335" s="25"/>
      <c r="D8335" s="25"/>
      <c r="E8335" s="25"/>
      <c r="F8335" s="25"/>
      <c r="G8335" s="25"/>
      <c r="H8335" s="25"/>
      <c r="I8335" s="25"/>
      <c r="J8335" s="25"/>
    </row>
    <row r="8336" spans="1:10" ht="14.4">
      <c r="A8336" s="25"/>
      <c r="B8336" s="25"/>
      <c r="C8336" s="25"/>
      <c r="D8336" s="25"/>
      <c r="E8336" s="25"/>
      <c r="F8336" s="25"/>
      <c r="G8336" s="25"/>
      <c r="H8336" s="25"/>
      <c r="I8336" s="25"/>
      <c r="J8336" s="25"/>
    </row>
    <row r="8337" spans="1:10" ht="14.4">
      <c r="A8337" s="25"/>
      <c r="B8337" s="25"/>
      <c r="C8337" s="25"/>
      <c r="D8337" s="25"/>
      <c r="E8337" s="25"/>
      <c r="F8337" s="25"/>
      <c r="G8337" s="25"/>
      <c r="H8337" s="25"/>
      <c r="I8337" s="25"/>
      <c r="J8337" s="25"/>
    </row>
    <row r="8338" spans="1:10" ht="14.4">
      <c r="A8338" s="25"/>
      <c r="B8338" s="25"/>
      <c r="C8338" s="25"/>
      <c r="D8338" s="25"/>
      <c r="E8338" s="25"/>
      <c r="F8338" s="25"/>
      <c r="G8338" s="25"/>
      <c r="H8338" s="25"/>
      <c r="I8338" s="25"/>
      <c r="J8338" s="25"/>
    </row>
    <row r="8339" spans="1:10" ht="14.4">
      <c r="A8339" s="25"/>
      <c r="B8339" s="25"/>
      <c r="C8339" s="25"/>
      <c r="D8339" s="25"/>
      <c r="E8339" s="25"/>
      <c r="F8339" s="25"/>
      <c r="G8339" s="25"/>
      <c r="H8339" s="25"/>
      <c r="I8339" s="25"/>
      <c r="J8339" s="25"/>
    </row>
    <row r="8340" spans="1:10" ht="14.4">
      <c r="A8340" s="25"/>
      <c r="B8340" s="25"/>
      <c r="C8340" s="25"/>
      <c r="D8340" s="25"/>
      <c r="E8340" s="25"/>
      <c r="F8340" s="25"/>
      <c r="G8340" s="25"/>
      <c r="H8340" s="25"/>
      <c r="I8340" s="25"/>
      <c r="J8340" s="25"/>
    </row>
    <row r="8341" spans="1:10" ht="14.4">
      <c r="A8341" s="25"/>
      <c r="B8341" s="25"/>
      <c r="C8341" s="25"/>
      <c r="D8341" s="25"/>
      <c r="E8341" s="25"/>
      <c r="F8341" s="25"/>
      <c r="G8341" s="25"/>
      <c r="H8341" s="25"/>
      <c r="I8341" s="25"/>
      <c r="J8341" s="25"/>
    </row>
    <row r="8342" spans="1:10" ht="14.4">
      <c r="A8342" s="25"/>
      <c r="B8342" s="25"/>
      <c r="C8342" s="25"/>
      <c r="D8342" s="25"/>
      <c r="E8342" s="25"/>
      <c r="F8342" s="25"/>
      <c r="G8342" s="25"/>
      <c r="H8342" s="25"/>
      <c r="I8342" s="25"/>
      <c r="J8342" s="25"/>
    </row>
    <row r="8343" spans="1:10" ht="14.4">
      <c r="A8343" s="25"/>
      <c r="B8343" s="25"/>
      <c r="C8343" s="25"/>
      <c r="D8343" s="25"/>
      <c r="E8343" s="25"/>
      <c r="F8343" s="25"/>
      <c r="G8343" s="25"/>
      <c r="H8343" s="25"/>
      <c r="I8343" s="25"/>
      <c r="J8343" s="25"/>
    </row>
    <row r="8344" spans="1:10" ht="14.4">
      <c r="A8344" s="25"/>
      <c r="B8344" s="25"/>
      <c r="C8344" s="25"/>
      <c r="D8344" s="25"/>
      <c r="E8344" s="25"/>
      <c r="F8344" s="25"/>
      <c r="G8344" s="25"/>
      <c r="H8344" s="25"/>
      <c r="I8344" s="25"/>
      <c r="J8344" s="25"/>
    </row>
    <row r="8345" spans="1:10" ht="14.4">
      <c r="A8345" s="25"/>
      <c r="B8345" s="25"/>
      <c r="C8345" s="25"/>
      <c r="D8345" s="25"/>
      <c r="E8345" s="25"/>
      <c r="F8345" s="25"/>
      <c r="G8345" s="25"/>
      <c r="H8345" s="25"/>
      <c r="I8345" s="25"/>
      <c r="J8345" s="25"/>
    </row>
    <row r="8346" spans="1:10" ht="14.4">
      <c r="A8346" s="25"/>
      <c r="B8346" s="25"/>
      <c r="C8346" s="25"/>
      <c r="D8346" s="25"/>
      <c r="E8346" s="25"/>
      <c r="F8346" s="25"/>
      <c r="G8346" s="25"/>
      <c r="H8346" s="25"/>
      <c r="I8346" s="25"/>
      <c r="J8346" s="25"/>
    </row>
    <row r="8347" spans="1:10" ht="14.4">
      <c r="A8347" s="25"/>
      <c r="B8347" s="25"/>
      <c r="C8347" s="25"/>
      <c r="D8347" s="25"/>
      <c r="E8347" s="25"/>
      <c r="F8347" s="25"/>
      <c r="G8347" s="25"/>
      <c r="H8347" s="25"/>
      <c r="I8347" s="25"/>
      <c r="J8347" s="25"/>
    </row>
    <row r="8348" spans="1:10" ht="14.4">
      <c r="A8348" s="25"/>
      <c r="B8348" s="25"/>
      <c r="C8348" s="25"/>
      <c r="D8348" s="25"/>
      <c r="E8348" s="25"/>
      <c r="F8348" s="25"/>
      <c r="G8348" s="25"/>
      <c r="H8348" s="25"/>
      <c r="I8348" s="25"/>
      <c r="J8348" s="25"/>
    </row>
    <row r="8349" spans="1:10" ht="14.4">
      <c r="A8349" s="25"/>
      <c r="B8349" s="25"/>
      <c r="C8349" s="25"/>
      <c r="D8349" s="25"/>
      <c r="E8349" s="25"/>
      <c r="F8349" s="25"/>
      <c r="G8349" s="25"/>
      <c r="H8349" s="25"/>
      <c r="I8349" s="25"/>
      <c r="J8349" s="25"/>
    </row>
    <row r="8350" spans="1:10" ht="14.4">
      <c r="A8350" s="25"/>
      <c r="B8350" s="25"/>
      <c r="C8350" s="25"/>
      <c r="D8350" s="25"/>
      <c r="E8350" s="25"/>
      <c r="F8350" s="25"/>
      <c r="G8350" s="25"/>
      <c r="H8350" s="25"/>
      <c r="I8350" s="25"/>
      <c r="J8350" s="25"/>
    </row>
    <row r="8351" spans="1:10" ht="14.4">
      <c r="A8351" s="25"/>
      <c r="B8351" s="25"/>
      <c r="C8351" s="25"/>
      <c r="D8351" s="25"/>
      <c r="E8351" s="25"/>
      <c r="F8351" s="25"/>
      <c r="G8351" s="25"/>
      <c r="H8351" s="25"/>
      <c r="I8351" s="25"/>
      <c r="J8351" s="25"/>
    </row>
    <row r="8352" spans="1:10" ht="14.4">
      <c r="A8352" s="25"/>
      <c r="B8352" s="25"/>
      <c r="C8352" s="25"/>
      <c r="D8352" s="25"/>
      <c r="E8352" s="25"/>
      <c r="F8352" s="25"/>
      <c r="G8352" s="25"/>
      <c r="H8352" s="25"/>
      <c r="I8352" s="25"/>
      <c r="J8352" s="25"/>
    </row>
    <row r="8353" spans="1:10" ht="14.4">
      <c r="A8353" s="25"/>
      <c r="B8353" s="25"/>
      <c r="C8353" s="25"/>
      <c r="D8353" s="25"/>
      <c r="E8353" s="25"/>
      <c r="F8353" s="25"/>
      <c r="G8353" s="25"/>
      <c r="H8353" s="25"/>
      <c r="I8353" s="25"/>
      <c r="J8353" s="25"/>
    </row>
    <row r="8354" spans="1:10" ht="14.4">
      <c r="A8354" s="25"/>
      <c r="B8354" s="25"/>
      <c r="C8354" s="25"/>
      <c r="D8354" s="25"/>
      <c r="E8354" s="25"/>
      <c r="F8354" s="25"/>
      <c r="G8354" s="25"/>
      <c r="H8354" s="25"/>
      <c r="I8354" s="25"/>
      <c r="J8354" s="25"/>
    </row>
    <row r="8355" spans="1:10" ht="14.4">
      <c r="A8355" s="25"/>
      <c r="B8355" s="25"/>
      <c r="C8355" s="25"/>
      <c r="D8355" s="25"/>
      <c r="E8355" s="25"/>
      <c r="F8355" s="25"/>
      <c r="G8355" s="25"/>
      <c r="H8355" s="25"/>
      <c r="I8355" s="25"/>
      <c r="J8355" s="25"/>
    </row>
    <row r="8356" spans="1:10" ht="14.4">
      <c r="A8356" s="25"/>
      <c r="B8356" s="25"/>
      <c r="C8356" s="25"/>
      <c r="D8356" s="25"/>
      <c r="E8356" s="25"/>
      <c r="F8356" s="25"/>
      <c r="G8356" s="25"/>
      <c r="H8356" s="25"/>
      <c r="I8356" s="25"/>
      <c r="J8356" s="25"/>
    </row>
    <row r="8357" spans="1:10" ht="14.4">
      <c r="A8357" s="25"/>
      <c r="B8357" s="25"/>
      <c r="C8357" s="25"/>
      <c r="D8357" s="25"/>
      <c r="E8357" s="25"/>
      <c r="F8357" s="25"/>
      <c r="G8357" s="25"/>
      <c r="H8357" s="25"/>
      <c r="I8357" s="25"/>
      <c r="J8357" s="25"/>
    </row>
    <row r="8358" spans="1:10" ht="14.4">
      <c r="A8358" s="25"/>
      <c r="B8358" s="25"/>
      <c r="C8358" s="25"/>
      <c r="D8358" s="25"/>
      <c r="E8358" s="25"/>
      <c r="F8358" s="25"/>
      <c r="G8358" s="25"/>
      <c r="H8358" s="25"/>
      <c r="I8358" s="25"/>
      <c r="J8358" s="25"/>
    </row>
    <row r="8359" spans="1:10" ht="14.4">
      <c r="A8359" s="25"/>
      <c r="B8359" s="25"/>
      <c r="C8359" s="25"/>
      <c r="D8359" s="25"/>
      <c r="E8359" s="25"/>
      <c r="F8359" s="25"/>
      <c r="G8359" s="25"/>
      <c r="H8359" s="25"/>
      <c r="I8359" s="25"/>
      <c r="J8359" s="25"/>
    </row>
    <row r="8360" spans="1:10" ht="14.4">
      <c r="A8360" s="25"/>
      <c r="B8360" s="25"/>
      <c r="C8360" s="25"/>
      <c r="D8360" s="25"/>
      <c r="E8360" s="25"/>
      <c r="F8360" s="25"/>
      <c r="G8360" s="25"/>
      <c r="H8360" s="25"/>
      <c r="I8360" s="25"/>
      <c r="J8360" s="25"/>
    </row>
    <row r="8361" spans="1:10" ht="14.4">
      <c r="A8361" s="25"/>
      <c r="B8361" s="25"/>
      <c r="C8361" s="25"/>
      <c r="D8361" s="25"/>
      <c r="E8361" s="25"/>
      <c r="F8361" s="25"/>
      <c r="G8361" s="25"/>
      <c r="H8361" s="25"/>
      <c r="I8361" s="25"/>
      <c r="J8361" s="25"/>
    </row>
    <row r="8362" spans="1:10" ht="14.4">
      <c r="A8362" s="25"/>
      <c r="B8362" s="25"/>
      <c r="C8362" s="25"/>
      <c r="D8362" s="25"/>
      <c r="E8362" s="25"/>
      <c r="F8362" s="25"/>
      <c r="G8362" s="25"/>
      <c r="H8362" s="25"/>
      <c r="I8362" s="25"/>
      <c r="J8362" s="25"/>
    </row>
    <row r="8363" spans="1:10" ht="14.4">
      <c r="A8363" s="25"/>
      <c r="B8363" s="25"/>
      <c r="C8363" s="25"/>
      <c r="D8363" s="25"/>
      <c r="E8363" s="25"/>
      <c r="F8363" s="25"/>
      <c r="G8363" s="25"/>
      <c r="H8363" s="25"/>
      <c r="I8363" s="25"/>
      <c r="J8363" s="25"/>
    </row>
    <row r="8364" spans="1:10" ht="14.4">
      <c r="A8364" s="25"/>
      <c r="B8364" s="25"/>
      <c r="C8364" s="25"/>
      <c r="D8364" s="25"/>
      <c r="E8364" s="25"/>
      <c r="F8364" s="25"/>
      <c r="G8364" s="25"/>
      <c r="H8364" s="25"/>
      <c r="I8364" s="25"/>
      <c r="J8364" s="25"/>
    </row>
    <row r="8365" spans="1:10" ht="14.4">
      <c r="A8365" s="25"/>
      <c r="B8365" s="25"/>
      <c r="C8365" s="25"/>
      <c r="D8365" s="25"/>
      <c r="E8365" s="25"/>
      <c r="F8365" s="25"/>
      <c r="G8365" s="25"/>
      <c r="H8365" s="25"/>
      <c r="I8365" s="25"/>
      <c r="J8365" s="25"/>
    </row>
    <row r="8366" spans="1:10" ht="14.4">
      <c r="A8366" s="25"/>
      <c r="B8366" s="25"/>
      <c r="C8366" s="25"/>
      <c r="D8366" s="25"/>
      <c r="E8366" s="25"/>
      <c r="F8366" s="25"/>
      <c r="G8366" s="25"/>
      <c r="H8366" s="25"/>
      <c r="I8366" s="25"/>
      <c r="J8366" s="25"/>
    </row>
    <row r="8367" spans="1:10" ht="14.4">
      <c r="A8367" s="25"/>
      <c r="B8367" s="25"/>
      <c r="C8367" s="25"/>
      <c r="D8367" s="25"/>
      <c r="E8367" s="25"/>
      <c r="F8367" s="25"/>
      <c r="G8367" s="25"/>
      <c r="H8367" s="25"/>
      <c r="I8367" s="25"/>
      <c r="J8367" s="25"/>
    </row>
    <row r="8368" spans="1:10" ht="14.4">
      <c r="A8368" s="25"/>
      <c r="B8368" s="25"/>
      <c r="C8368" s="25"/>
      <c r="D8368" s="25"/>
      <c r="E8368" s="25"/>
      <c r="F8368" s="25"/>
      <c r="G8368" s="25"/>
      <c r="H8368" s="25"/>
      <c r="I8368" s="25"/>
      <c r="J8368" s="25"/>
    </row>
    <row r="8369" spans="1:10" ht="14.4">
      <c r="A8369" s="25"/>
      <c r="B8369" s="25"/>
      <c r="C8369" s="25"/>
      <c r="D8369" s="25"/>
      <c r="E8369" s="25"/>
      <c r="F8369" s="25"/>
      <c r="G8369" s="25"/>
      <c r="H8369" s="25"/>
      <c r="I8369" s="25"/>
      <c r="J8369" s="25"/>
    </row>
    <row r="8370" spans="1:10" ht="14.4">
      <c r="A8370" s="25"/>
      <c r="B8370" s="25"/>
      <c r="C8370" s="25"/>
      <c r="D8370" s="25"/>
      <c r="E8370" s="25"/>
      <c r="F8370" s="25"/>
      <c r="G8370" s="25"/>
      <c r="H8370" s="25"/>
      <c r="I8370" s="25"/>
      <c r="J8370" s="25"/>
    </row>
    <row r="8371" spans="1:10" ht="14.4">
      <c r="A8371" s="25"/>
      <c r="B8371" s="25"/>
      <c r="C8371" s="25"/>
      <c r="D8371" s="25"/>
      <c r="E8371" s="25"/>
      <c r="F8371" s="25"/>
      <c r="G8371" s="25"/>
      <c r="H8371" s="25"/>
      <c r="I8371" s="25"/>
      <c r="J8371" s="25"/>
    </row>
    <row r="8372" spans="1:10" ht="14.4">
      <c r="A8372" s="25"/>
      <c r="B8372" s="25"/>
      <c r="C8372" s="25"/>
      <c r="D8372" s="25"/>
      <c r="E8372" s="25"/>
      <c r="F8372" s="25"/>
      <c r="G8372" s="25"/>
      <c r="H8372" s="25"/>
      <c r="I8372" s="25"/>
      <c r="J8372" s="25"/>
    </row>
    <row r="8373" spans="1:10" ht="14.4">
      <c r="A8373" s="25"/>
      <c r="B8373" s="25"/>
      <c r="C8373" s="25"/>
      <c r="D8373" s="25"/>
      <c r="E8373" s="25"/>
      <c r="F8373" s="25"/>
      <c r="G8373" s="25"/>
      <c r="H8373" s="25"/>
      <c r="I8373" s="25"/>
      <c r="J8373" s="25"/>
    </row>
    <row r="8374" spans="1:10" ht="14.4">
      <c r="A8374" s="25"/>
      <c r="B8374" s="25"/>
      <c r="C8374" s="25"/>
      <c r="D8374" s="25"/>
      <c r="E8374" s="25"/>
      <c r="F8374" s="25"/>
      <c r="G8374" s="25"/>
      <c r="H8374" s="25"/>
      <c r="I8374" s="25"/>
      <c r="J8374" s="25"/>
    </row>
    <row r="8375" spans="1:10" ht="14.4">
      <c r="A8375" s="25"/>
      <c r="B8375" s="25"/>
      <c r="C8375" s="25"/>
      <c r="D8375" s="25"/>
      <c r="E8375" s="25"/>
      <c r="F8375" s="25"/>
      <c r="G8375" s="25"/>
      <c r="H8375" s="25"/>
      <c r="I8375" s="25"/>
      <c r="J8375" s="25"/>
    </row>
    <row r="8376" spans="1:10" ht="14.4">
      <c r="A8376" s="25"/>
      <c r="B8376" s="25"/>
      <c r="C8376" s="25"/>
      <c r="D8376" s="25"/>
      <c r="E8376" s="25"/>
      <c r="F8376" s="25"/>
      <c r="G8376" s="25"/>
      <c r="H8376" s="25"/>
      <c r="I8376" s="25"/>
      <c r="J8376" s="25"/>
    </row>
    <row r="8377" spans="1:10" ht="14.4">
      <c r="A8377" s="25"/>
      <c r="B8377" s="25"/>
      <c r="C8377" s="25"/>
      <c r="D8377" s="25"/>
      <c r="E8377" s="25"/>
      <c r="F8377" s="25"/>
      <c r="G8377" s="25"/>
      <c r="H8377" s="25"/>
      <c r="I8377" s="25"/>
      <c r="J8377" s="25"/>
    </row>
    <row r="8378" spans="1:10" ht="14.4">
      <c r="A8378" s="25"/>
      <c r="B8378" s="25"/>
      <c r="C8378" s="25"/>
      <c r="D8378" s="25"/>
      <c r="E8378" s="25"/>
      <c r="F8378" s="25"/>
      <c r="G8378" s="25"/>
      <c r="H8378" s="25"/>
      <c r="I8378" s="25"/>
      <c r="J8378" s="25"/>
    </row>
    <row r="8379" spans="1:10" ht="14.4">
      <c r="A8379" s="25"/>
      <c r="B8379" s="25"/>
      <c r="C8379" s="25"/>
      <c r="D8379" s="25"/>
      <c r="E8379" s="25"/>
      <c r="F8379" s="25"/>
      <c r="G8379" s="25"/>
      <c r="H8379" s="25"/>
      <c r="I8379" s="25"/>
      <c r="J8379" s="25"/>
    </row>
    <row r="8380" spans="1:10" ht="14.4">
      <c r="A8380" s="25"/>
      <c r="B8380" s="25"/>
      <c r="C8380" s="25"/>
      <c r="D8380" s="25"/>
      <c r="E8380" s="25"/>
      <c r="F8380" s="25"/>
      <c r="G8380" s="25"/>
      <c r="H8380" s="25"/>
      <c r="I8380" s="25"/>
      <c r="J8380" s="25"/>
    </row>
    <row r="8381" spans="1:10" ht="14.4">
      <c r="A8381" s="25"/>
      <c r="B8381" s="25"/>
      <c r="C8381" s="25"/>
      <c r="D8381" s="25"/>
      <c r="E8381" s="25"/>
      <c r="F8381" s="25"/>
      <c r="G8381" s="25"/>
      <c r="H8381" s="25"/>
      <c r="I8381" s="25"/>
      <c r="J8381" s="25"/>
    </row>
    <row r="8382" spans="1:10" ht="14.4">
      <c r="A8382" s="25"/>
      <c r="B8382" s="25"/>
      <c r="C8382" s="25"/>
      <c r="D8382" s="25"/>
      <c r="E8382" s="25"/>
      <c r="F8382" s="25"/>
      <c r="G8382" s="25"/>
      <c r="H8382" s="25"/>
      <c r="I8382" s="25"/>
      <c r="J8382" s="25"/>
    </row>
    <row r="8383" spans="1:10" ht="14.4">
      <c r="A8383" s="25"/>
      <c r="B8383" s="25"/>
      <c r="C8383" s="25"/>
      <c r="D8383" s="25"/>
      <c r="E8383" s="25"/>
      <c r="F8383" s="25"/>
      <c r="G8383" s="25"/>
      <c r="H8383" s="25"/>
      <c r="I8383" s="25"/>
      <c r="J8383" s="25"/>
    </row>
    <row r="8384" spans="1:10" ht="14.4">
      <c r="A8384" s="25"/>
      <c r="B8384" s="25"/>
      <c r="C8384" s="25"/>
      <c r="D8384" s="25"/>
      <c r="E8384" s="25"/>
      <c r="F8384" s="25"/>
      <c r="G8384" s="25"/>
      <c r="H8384" s="25"/>
      <c r="I8384" s="25"/>
      <c r="J8384" s="25"/>
    </row>
    <row r="8385" spans="1:10" ht="14.4">
      <c r="A8385" s="25"/>
      <c r="B8385" s="25"/>
      <c r="C8385" s="25"/>
      <c r="D8385" s="25"/>
      <c r="E8385" s="25"/>
      <c r="F8385" s="25"/>
      <c r="G8385" s="25"/>
      <c r="H8385" s="25"/>
      <c r="I8385" s="25"/>
      <c r="J8385" s="25"/>
    </row>
    <row r="8386" spans="1:10" ht="14.4">
      <c r="A8386" s="25"/>
      <c r="B8386" s="25"/>
      <c r="C8386" s="25"/>
      <c r="D8386" s="25"/>
      <c r="E8386" s="25"/>
      <c r="F8386" s="25"/>
      <c r="G8386" s="25"/>
      <c r="H8386" s="25"/>
      <c r="I8386" s="25"/>
      <c r="J8386" s="25"/>
    </row>
    <row r="8387" spans="1:10" ht="14.4">
      <c r="A8387" s="25"/>
      <c r="B8387" s="25"/>
      <c r="C8387" s="25"/>
      <c r="D8387" s="25"/>
      <c r="E8387" s="25"/>
      <c r="F8387" s="25"/>
      <c r="G8387" s="25"/>
      <c r="H8387" s="25"/>
      <c r="I8387" s="25"/>
      <c r="J8387" s="25"/>
    </row>
    <row r="8388" spans="1:10" ht="14.4">
      <c r="A8388" s="25"/>
      <c r="B8388" s="25"/>
      <c r="C8388" s="25"/>
      <c r="D8388" s="25"/>
      <c r="E8388" s="25"/>
      <c r="F8388" s="25"/>
      <c r="G8388" s="25"/>
      <c r="H8388" s="25"/>
      <c r="I8388" s="25"/>
      <c r="J8388" s="25"/>
    </row>
    <row r="8389" spans="1:10" ht="14.4">
      <c r="A8389" s="25"/>
      <c r="B8389" s="25"/>
      <c r="C8389" s="25"/>
      <c r="D8389" s="25"/>
      <c r="E8389" s="25"/>
      <c r="F8389" s="25"/>
      <c r="G8389" s="25"/>
      <c r="H8389" s="25"/>
      <c r="I8389" s="25"/>
      <c r="J8389" s="25"/>
    </row>
    <row r="8390" spans="1:10" ht="14.4">
      <c r="A8390" s="25"/>
      <c r="B8390" s="25"/>
      <c r="C8390" s="25"/>
      <c r="D8390" s="25"/>
      <c r="E8390" s="25"/>
      <c r="F8390" s="25"/>
      <c r="G8390" s="25"/>
      <c r="H8390" s="25"/>
      <c r="I8390" s="25"/>
      <c r="J8390" s="25"/>
    </row>
    <row r="8391" spans="1:10" ht="14.4">
      <c r="A8391" s="25"/>
      <c r="B8391" s="25"/>
      <c r="C8391" s="25"/>
      <c r="D8391" s="25"/>
      <c r="E8391" s="25"/>
      <c r="F8391" s="25"/>
      <c r="G8391" s="25"/>
      <c r="H8391" s="25"/>
      <c r="I8391" s="25"/>
      <c r="J8391" s="25"/>
    </row>
    <row r="8392" spans="1:10" ht="14.4">
      <c r="A8392" s="25"/>
      <c r="B8392" s="25"/>
      <c r="C8392" s="25"/>
      <c r="D8392" s="25"/>
      <c r="E8392" s="25"/>
      <c r="F8392" s="25"/>
      <c r="G8392" s="25"/>
      <c r="H8392" s="25"/>
      <c r="I8392" s="25"/>
      <c r="J8392" s="25"/>
    </row>
    <row r="8393" spans="1:10" ht="14.4">
      <c r="A8393" s="25"/>
      <c r="B8393" s="25"/>
      <c r="C8393" s="25"/>
      <c r="D8393" s="25"/>
      <c r="E8393" s="25"/>
      <c r="F8393" s="25"/>
      <c r="G8393" s="25"/>
      <c r="H8393" s="25"/>
      <c r="I8393" s="25"/>
      <c r="J8393" s="25"/>
    </row>
    <row r="8394" spans="1:10" ht="14.4">
      <c r="A8394" s="25"/>
      <c r="B8394" s="25"/>
      <c r="C8394" s="25"/>
      <c r="D8394" s="25"/>
      <c r="E8394" s="25"/>
      <c r="F8394" s="25"/>
      <c r="G8394" s="25"/>
      <c r="H8394" s="25"/>
      <c r="I8394" s="25"/>
      <c r="J8394" s="25"/>
    </row>
    <row r="8395" spans="1:10" ht="14.4">
      <c r="A8395" s="25"/>
      <c r="B8395" s="25"/>
      <c r="C8395" s="25"/>
      <c r="D8395" s="25"/>
      <c r="E8395" s="25"/>
      <c r="F8395" s="25"/>
      <c r="G8395" s="25"/>
      <c r="H8395" s="25"/>
      <c r="I8395" s="25"/>
      <c r="J8395" s="25"/>
    </row>
    <row r="8396" spans="1:10" ht="14.4">
      <c r="A8396" s="25"/>
      <c r="B8396" s="25"/>
      <c r="C8396" s="25"/>
      <c r="D8396" s="25"/>
      <c r="E8396" s="25"/>
      <c r="F8396" s="25"/>
      <c r="G8396" s="25"/>
      <c r="H8396" s="25"/>
      <c r="I8396" s="25"/>
      <c r="J8396" s="25"/>
    </row>
    <row r="8397" spans="1:10" ht="14.4">
      <c r="A8397" s="25"/>
      <c r="B8397" s="25"/>
      <c r="C8397" s="25"/>
      <c r="D8397" s="25"/>
      <c r="E8397" s="25"/>
      <c r="F8397" s="25"/>
      <c r="G8397" s="25"/>
      <c r="H8397" s="25"/>
      <c r="I8397" s="25"/>
      <c r="J8397" s="25"/>
    </row>
    <row r="8398" spans="1:10" ht="14.4">
      <c r="A8398" s="25"/>
      <c r="B8398" s="25"/>
      <c r="C8398" s="25"/>
      <c r="D8398" s="25"/>
      <c r="E8398" s="25"/>
      <c r="F8398" s="25"/>
      <c r="G8398" s="25"/>
      <c r="H8398" s="25"/>
      <c r="I8398" s="25"/>
      <c r="J8398" s="25"/>
    </row>
    <row r="8399" spans="1:10" ht="14.4">
      <c r="A8399" s="25"/>
      <c r="B8399" s="25"/>
      <c r="C8399" s="25"/>
      <c r="D8399" s="25"/>
      <c r="E8399" s="25"/>
      <c r="F8399" s="25"/>
      <c r="G8399" s="25"/>
      <c r="H8399" s="25"/>
      <c r="I8399" s="25"/>
      <c r="J8399" s="25"/>
    </row>
    <row r="8400" spans="1:10" ht="14.4">
      <c r="A8400" s="25"/>
      <c r="B8400" s="25"/>
      <c r="C8400" s="25"/>
      <c r="D8400" s="25"/>
      <c r="E8400" s="25"/>
      <c r="F8400" s="25"/>
      <c r="G8400" s="25"/>
      <c r="H8400" s="25"/>
      <c r="I8400" s="25"/>
      <c r="J8400" s="25"/>
    </row>
    <row r="8401" spans="1:10" ht="14.4">
      <c r="A8401" s="25"/>
      <c r="B8401" s="25"/>
      <c r="C8401" s="25"/>
      <c r="D8401" s="25"/>
      <c r="E8401" s="25"/>
      <c r="F8401" s="25"/>
      <c r="G8401" s="25"/>
      <c r="H8401" s="25"/>
      <c r="I8401" s="25"/>
      <c r="J8401" s="25"/>
    </row>
    <row r="8402" spans="1:10" ht="14.4">
      <c r="A8402" s="25"/>
      <c r="B8402" s="25"/>
      <c r="C8402" s="25"/>
      <c r="D8402" s="25"/>
      <c r="E8402" s="25"/>
      <c r="F8402" s="25"/>
      <c r="G8402" s="25"/>
      <c r="H8402" s="25"/>
      <c r="I8402" s="25"/>
      <c r="J8402" s="25"/>
    </row>
    <row r="8403" spans="1:10" ht="14.4">
      <c r="A8403" s="25"/>
      <c r="B8403" s="25"/>
      <c r="C8403" s="25"/>
      <c r="D8403" s="25"/>
      <c r="E8403" s="25"/>
      <c r="F8403" s="25"/>
      <c r="G8403" s="25"/>
      <c r="H8403" s="25"/>
      <c r="I8403" s="25"/>
      <c r="J8403" s="25"/>
    </row>
    <row r="8404" spans="1:10" ht="14.4">
      <c r="A8404" s="25"/>
      <c r="B8404" s="25"/>
      <c r="C8404" s="25"/>
      <c r="D8404" s="25"/>
      <c r="E8404" s="25"/>
      <c r="F8404" s="25"/>
      <c r="G8404" s="25"/>
      <c r="H8404" s="25"/>
      <c r="I8404" s="25"/>
      <c r="J8404" s="25"/>
    </row>
    <row r="8405" spans="1:10" ht="14.4">
      <c r="A8405" s="25"/>
      <c r="B8405" s="25"/>
      <c r="C8405" s="25"/>
      <c r="D8405" s="25"/>
      <c r="E8405" s="25"/>
      <c r="F8405" s="25"/>
      <c r="G8405" s="25"/>
      <c r="H8405" s="25"/>
      <c r="I8405" s="25"/>
      <c r="J8405" s="25"/>
    </row>
    <row r="8406" spans="1:10" ht="14.4">
      <c r="A8406" s="25"/>
      <c r="B8406" s="25"/>
      <c r="C8406" s="25"/>
      <c r="D8406" s="25"/>
      <c r="E8406" s="25"/>
      <c r="F8406" s="25"/>
      <c r="G8406" s="25"/>
      <c r="H8406" s="25"/>
      <c r="I8406" s="25"/>
      <c r="J8406" s="25"/>
    </row>
    <row r="8407" spans="1:10" ht="14.4">
      <c r="A8407" s="25"/>
      <c r="B8407" s="25"/>
      <c r="C8407" s="25"/>
      <c r="D8407" s="25"/>
      <c r="E8407" s="25"/>
      <c r="F8407" s="25"/>
      <c r="G8407" s="25"/>
      <c r="H8407" s="25"/>
      <c r="I8407" s="25"/>
      <c r="J8407" s="25"/>
    </row>
    <row r="8408" spans="1:10" ht="14.4">
      <c r="A8408" s="25"/>
      <c r="B8408" s="25"/>
      <c r="C8408" s="25"/>
      <c r="D8408" s="25"/>
      <c r="E8408" s="25"/>
      <c r="F8408" s="25"/>
      <c r="G8408" s="25"/>
      <c r="H8408" s="25"/>
      <c r="I8408" s="25"/>
      <c r="J8408" s="25"/>
    </row>
    <row r="8409" spans="1:10" ht="14.4">
      <c r="A8409" s="25"/>
      <c r="B8409" s="25"/>
      <c r="C8409" s="25"/>
      <c r="D8409" s="25"/>
      <c r="E8409" s="25"/>
      <c r="F8409" s="25"/>
      <c r="G8409" s="25"/>
      <c r="H8409" s="25"/>
      <c r="I8409" s="25"/>
      <c r="J8409" s="25"/>
    </row>
    <row r="8410" spans="1:10" ht="14.4">
      <c r="A8410" s="25"/>
      <c r="B8410" s="25"/>
      <c r="C8410" s="25"/>
      <c r="D8410" s="25"/>
      <c r="E8410" s="25"/>
      <c r="F8410" s="25"/>
      <c r="G8410" s="25"/>
      <c r="H8410" s="25"/>
      <c r="I8410" s="25"/>
      <c r="J8410" s="25"/>
    </row>
    <row r="8411" spans="1:10" ht="14.4">
      <c r="A8411" s="25"/>
      <c r="B8411" s="25"/>
      <c r="C8411" s="25"/>
      <c r="D8411" s="25"/>
      <c r="E8411" s="25"/>
      <c r="F8411" s="25"/>
      <c r="G8411" s="25"/>
      <c r="H8411" s="25"/>
      <c r="I8411" s="25"/>
      <c r="J8411" s="25"/>
    </row>
    <row r="8412" spans="1:10" ht="14.4">
      <c r="A8412" s="25"/>
      <c r="B8412" s="25"/>
      <c r="C8412" s="25"/>
      <c r="D8412" s="25"/>
      <c r="E8412" s="25"/>
      <c r="F8412" s="25"/>
      <c r="G8412" s="25"/>
      <c r="H8412" s="25"/>
      <c r="I8412" s="25"/>
      <c r="J8412" s="25"/>
    </row>
    <row r="8413" spans="1:10" ht="14.4">
      <c r="A8413" s="25"/>
      <c r="B8413" s="25"/>
      <c r="C8413" s="25"/>
      <c r="D8413" s="25"/>
      <c r="E8413" s="25"/>
      <c r="F8413" s="25"/>
      <c r="G8413" s="25"/>
      <c r="H8413" s="25"/>
      <c r="I8413" s="25"/>
      <c r="J8413" s="25"/>
    </row>
    <row r="8414" spans="1:10" ht="14.4">
      <c r="A8414" s="25"/>
      <c r="B8414" s="25"/>
      <c r="C8414" s="25"/>
      <c r="D8414" s="25"/>
      <c r="E8414" s="25"/>
      <c r="F8414" s="25"/>
      <c r="G8414" s="25"/>
      <c r="H8414" s="25"/>
      <c r="I8414" s="25"/>
      <c r="J8414" s="25"/>
    </row>
    <row r="8415" spans="1:10" ht="14.4">
      <c r="A8415" s="25"/>
      <c r="B8415" s="25"/>
      <c r="C8415" s="25"/>
      <c r="D8415" s="25"/>
      <c r="E8415" s="25"/>
      <c r="F8415" s="25"/>
      <c r="G8415" s="25"/>
      <c r="H8415" s="25"/>
      <c r="I8415" s="25"/>
      <c r="J8415" s="25"/>
    </row>
    <row r="8416" spans="1:10" ht="14.4">
      <c r="A8416" s="25"/>
      <c r="B8416" s="25"/>
      <c r="C8416" s="25"/>
      <c r="D8416" s="25"/>
      <c r="E8416" s="25"/>
      <c r="F8416" s="25"/>
      <c r="G8416" s="25"/>
      <c r="H8416" s="25"/>
      <c r="I8416" s="25"/>
      <c r="J8416" s="25"/>
    </row>
    <row r="8417" spans="1:10" ht="14.4">
      <c r="A8417" s="25"/>
      <c r="B8417" s="25"/>
      <c r="C8417" s="25"/>
      <c r="D8417" s="25"/>
      <c r="E8417" s="25"/>
      <c r="F8417" s="25"/>
      <c r="G8417" s="25"/>
      <c r="H8417" s="25"/>
      <c r="I8417" s="25"/>
      <c r="J8417" s="25"/>
    </row>
    <row r="8418" spans="1:10" ht="14.4">
      <c r="A8418" s="25"/>
      <c r="B8418" s="25"/>
      <c r="C8418" s="25"/>
      <c r="D8418" s="25"/>
      <c r="E8418" s="25"/>
      <c r="F8418" s="25"/>
      <c r="G8418" s="25"/>
      <c r="H8418" s="25"/>
      <c r="I8418" s="25"/>
      <c r="J8418" s="25"/>
    </row>
    <row r="8419" spans="1:10" ht="14.4">
      <c r="A8419" s="25"/>
      <c r="B8419" s="25"/>
      <c r="C8419" s="25"/>
      <c r="D8419" s="25"/>
      <c r="E8419" s="25"/>
      <c r="F8419" s="25"/>
      <c r="G8419" s="25"/>
      <c r="H8419" s="25"/>
      <c r="I8419" s="25"/>
      <c r="J8419" s="25"/>
    </row>
    <row r="8420" spans="1:10" ht="14.4">
      <c r="A8420" s="25"/>
      <c r="B8420" s="25"/>
      <c r="C8420" s="25"/>
      <c r="D8420" s="25"/>
      <c r="E8420" s="25"/>
      <c r="F8420" s="25"/>
      <c r="G8420" s="25"/>
      <c r="H8420" s="25"/>
      <c r="I8420" s="25"/>
      <c r="J8420" s="25"/>
    </row>
    <row r="8421" spans="1:10" ht="14.4">
      <c r="A8421" s="25"/>
      <c r="B8421" s="25"/>
      <c r="C8421" s="25"/>
      <c r="D8421" s="25"/>
      <c r="E8421" s="25"/>
      <c r="F8421" s="25"/>
      <c r="G8421" s="25"/>
      <c r="H8421" s="25"/>
      <c r="I8421" s="25"/>
      <c r="J8421" s="25"/>
    </row>
    <row r="8422" spans="1:10" ht="14.4">
      <c r="A8422" s="25"/>
      <c r="B8422" s="25"/>
      <c r="C8422" s="25"/>
      <c r="D8422" s="25"/>
      <c r="E8422" s="25"/>
      <c r="F8422" s="25"/>
      <c r="G8422" s="25"/>
      <c r="H8422" s="25"/>
      <c r="I8422" s="25"/>
      <c r="J8422" s="25"/>
    </row>
    <row r="8423" spans="1:10" ht="14.4">
      <c r="A8423" s="25"/>
      <c r="B8423" s="25"/>
      <c r="C8423" s="25"/>
      <c r="D8423" s="25"/>
      <c r="E8423" s="25"/>
      <c r="F8423" s="25"/>
      <c r="G8423" s="25"/>
      <c r="H8423" s="25"/>
      <c r="I8423" s="25"/>
      <c r="J8423" s="25"/>
    </row>
    <row r="8424" spans="1:10" ht="14.4">
      <c r="A8424" s="25"/>
      <c r="B8424" s="25"/>
      <c r="C8424" s="25"/>
      <c r="D8424" s="25"/>
      <c r="E8424" s="25"/>
      <c r="F8424" s="25"/>
      <c r="G8424" s="25"/>
      <c r="H8424" s="25"/>
      <c r="I8424" s="25"/>
      <c r="J8424" s="25"/>
    </row>
    <row r="8425" spans="1:10" ht="14.4">
      <c r="A8425" s="25"/>
      <c r="B8425" s="25"/>
      <c r="C8425" s="25"/>
      <c r="D8425" s="25"/>
      <c r="E8425" s="25"/>
      <c r="F8425" s="25"/>
      <c r="G8425" s="25"/>
      <c r="H8425" s="25"/>
      <c r="I8425" s="25"/>
      <c r="J8425" s="25"/>
    </row>
    <row r="8426" spans="1:10" ht="14.4">
      <c r="A8426" s="25"/>
      <c r="B8426" s="25"/>
      <c r="C8426" s="25"/>
      <c r="D8426" s="25"/>
      <c r="E8426" s="25"/>
      <c r="F8426" s="25"/>
      <c r="G8426" s="25"/>
      <c r="H8426" s="25"/>
      <c r="I8426" s="25"/>
      <c r="J8426" s="25"/>
    </row>
    <row r="8427" spans="1:10" ht="14.4">
      <c r="A8427" s="25"/>
      <c r="B8427" s="25"/>
      <c r="C8427" s="25"/>
      <c r="D8427" s="25"/>
      <c r="E8427" s="25"/>
      <c r="F8427" s="25"/>
      <c r="G8427" s="25"/>
      <c r="H8427" s="25"/>
      <c r="I8427" s="25"/>
      <c r="J8427" s="25"/>
    </row>
    <row r="8428" spans="1:10" ht="14.4">
      <c r="A8428" s="25"/>
      <c r="B8428" s="25"/>
      <c r="C8428" s="25"/>
      <c r="D8428" s="25"/>
      <c r="E8428" s="25"/>
      <c r="F8428" s="25"/>
      <c r="G8428" s="25"/>
      <c r="H8428" s="25"/>
      <c r="I8428" s="25"/>
      <c r="J8428" s="25"/>
    </row>
    <row r="8429" spans="1:10" ht="14.4">
      <c r="A8429" s="25"/>
      <c r="B8429" s="25"/>
      <c r="C8429" s="25"/>
      <c r="D8429" s="25"/>
      <c r="E8429" s="25"/>
      <c r="F8429" s="25"/>
      <c r="G8429" s="25"/>
      <c r="H8429" s="25"/>
      <c r="I8429" s="25"/>
      <c r="J8429" s="25"/>
    </row>
    <row r="8430" spans="1:10" ht="14.4">
      <c r="A8430" s="25"/>
      <c r="B8430" s="25"/>
      <c r="C8430" s="25"/>
      <c r="D8430" s="25"/>
      <c r="E8430" s="25"/>
      <c r="F8430" s="25"/>
      <c r="G8430" s="25"/>
      <c r="H8430" s="25"/>
      <c r="I8430" s="25"/>
      <c r="J8430" s="25"/>
    </row>
    <row r="8431" spans="1:10" ht="14.4">
      <c r="A8431" s="25"/>
      <c r="B8431" s="25"/>
      <c r="C8431" s="25"/>
      <c r="D8431" s="25"/>
      <c r="E8431" s="25"/>
      <c r="F8431" s="25"/>
      <c r="G8431" s="25"/>
      <c r="H8431" s="25"/>
      <c r="I8431" s="25"/>
      <c r="J8431" s="25"/>
    </row>
    <row r="8432" spans="1:10" ht="14.4">
      <c r="A8432" s="25"/>
      <c r="B8432" s="25"/>
      <c r="C8432" s="25"/>
      <c r="D8432" s="25"/>
      <c r="E8432" s="25"/>
      <c r="F8432" s="25"/>
      <c r="G8432" s="25"/>
      <c r="H8432" s="25"/>
      <c r="I8432" s="25"/>
      <c r="J8432" s="25"/>
    </row>
    <row r="8433" spans="1:10" ht="14.4">
      <c r="A8433" s="25"/>
      <c r="B8433" s="25"/>
      <c r="C8433" s="25"/>
      <c r="D8433" s="25"/>
      <c r="E8433" s="25"/>
      <c r="F8433" s="25"/>
      <c r="G8433" s="25"/>
      <c r="H8433" s="25"/>
      <c r="I8433" s="25"/>
      <c r="J8433" s="25"/>
    </row>
    <row r="8434" spans="1:10" ht="14.4">
      <c r="A8434" s="25"/>
      <c r="B8434" s="25"/>
      <c r="C8434" s="25"/>
      <c r="D8434" s="25"/>
      <c r="E8434" s="25"/>
      <c r="F8434" s="25"/>
      <c r="G8434" s="25"/>
      <c r="H8434" s="25"/>
      <c r="I8434" s="25"/>
      <c r="J8434" s="25"/>
    </row>
    <row r="8435" spans="1:10" ht="14.4">
      <c r="A8435" s="25"/>
      <c r="B8435" s="25"/>
      <c r="C8435" s="25"/>
      <c r="D8435" s="25"/>
      <c r="E8435" s="25"/>
      <c r="F8435" s="25"/>
      <c r="G8435" s="25"/>
      <c r="H8435" s="25"/>
      <c r="I8435" s="25"/>
      <c r="J8435" s="25"/>
    </row>
    <row r="8436" spans="1:10" ht="14.4">
      <c r="A8436" s="25"/>
      <c r="B8436" s="25"/>
      <c r="C8436" s="25"/>
      <c r="D8436" s="25"/>
      <c r="E8436" s="25"/>
      <c r="F8436" s="25"/>
      <c r="G8436" s="25"/>
      <c r="H8436" s="25"/>
      <c r="I8436" s="25"/>
      <c r="J8436" s="25"/>
    </row>
    <row r="8437" spans="1:10" ht="14.4">
      <c r="A8437" s="25"/>
      <c r="B8437" s="25"/>
      <c r="C8437" s="25"/>
      <c r="D8437" s="25"/>
      <c r="E8437" s="25"/>
      <c r="F8437" s="25"/>
      <c r="G8437" s="25"/>
      <c r="H8437" s="25"/>
      <c r="I8437" s="25"/>
      <c r="J8437" s="25"/>
    </row>
    <row r="8438" spans="1:10" ht="14.4">
      <c r="A8438" s="25"/>
      <c r="B8438" s="25"/>
      <c r="C8438" s="25"/>
      <c r="D8438" s="25"/>
      <c r="E8438" s="25"/>
      <c r="F8438" s="25"/>
      <c r="G8438" s="25"/>
      <c r="H8438" s="25"/>
      <c r="I8438" s="25"/>
      <c r="J8438" s="25"/>
    </row>
    <row r="8439" spans="1:10" ht="14.4">
      <c r="A8439" s="25"/>
      <c r="B8439" s="25"/>
      <c r="C8439" s="25"/>
      <c r="D8439" s="25"/>
      <c r="E8439" s="25"/>
      <c r="F8439" s="25"/>
      <c r="G8439" s="25"/>
      <c r="H8439" s="25"/>
      <c r="I8439" s="25"/>
      <c r="J8439" s="25"/>
    </row>
    <row r="8440" spans="1:10" ht="14.4">
      <c r="A8440" s="25"/>
      <c r="B8440" s="25"/>
      <c r="C8440" s="25"/>
      <c r="D8440" s="25"/>
      <c r="E8440" s="25"/>
      <c r="F8440" s="25"/>
      <c r="G8440" s="25"/>
      <c r="H8440" s="25"/>
      <c r="I8440" s="25"/>
      <c r="J8440" s="25"/>
    </row>
    <row r="8441" spans="1:10" ht="14.4">
      <c r="A8441" s="25"/>
      <c r="B8441" s="25"/>
      <c r="C8441" s="25"/>
      <c r="D8441" s="25"/>
      <c r="E8441" s="25"/>
      <c r="F8441" s="25"/>
      <c r="G8441" s="25"/>
      <c r="H8441" s="25"/>
      <c r="I8441" s="25"/>
      <c r="J8441" s="25"/>
    </row>
    <row r="8442" spans="1:10" ht="14.4">
      <c r="A8442" s="25"/>
      <c r="B8442" s="25"/>
      <c r="C8442" s="25"/>
      <c r="D8442" s="25"/>
      <c r="E8442" s="25"/>
      <c r="F8442" s="25"/>
      <c r="G8442" s="25"/>
      <c r="H8442" s="25"/>
      <c r="I8442" s="25"/>
      <c r="J8442" s="25"/>
    </row>
    <row r="8443" spans="1:10" ht="14.4">
      <c r="A8443" s="25"/>
      <c r="B8443" s="25"/>
      <c r="C8443" s="25"/>
      <c r="D8443" s="25"/>
      <c r="E8443" s="25"/>
      <c r="F8443" s="25"/>
      <c r="G8443" s="25"/>
      <c r="H8443" s="25"/>
      <c r="I8443" s="25"/>
      <c r="J8443" s="25"/>
    </row>
    <row r="8444" spans="1:10" ht="14.4">
      <c r="A8444" s="25"/>
      <c r="B8444" s="25"/>
      <c r="C8444" s="25"/>
      <c r="D8444" s="25"/>
      <c r="E8444" s="25"/>
      <c r="F8444" s="25"/>
      <c r="G8444" s="25"/>
      <c r="H8444" s="25"/>
      <c r="I8444" s="25"/>
      <c r="J8444" s="25"/>
    </row>
    <row r="8445" spans="1:10" ht="14.4">
      <c r="A8445" s="25"/>
      <c r="B8445" s="25"/>
      <c r="C8445" s="25"/>
      <c r="D8445" s="25"/>
      <c r="E8445" s="25"/>
      <c r="F8445" s="25"/>
      <c r="G8445" s="25"/>
      <c r="H8445" s="25"/>
      <c r="I8445" s="25"/>
      <c r="J8445" s="25"/>
    </row>
    <row r="8446" spans="1:10" ht="14.4">
      <c r="A8446" s="25"/>
      <c r="B8446" s="25"/>
      <c r="C8446" s="25"/>
      <c r="D8446" s="25"/>
      <c r="E8446" s="25"/>
      <c r="F8446" s="25"/>
      <c r="G8446" s="25"/>
      <c r="H8446" s="25"/>
      <c r="I8446" s="25"/>
      <c r="J8446" s="25"/>
    </row>
    <row r="8447" spans="1:10" ht="14.4">
      <c r="A8447" s="25"/>
      <c r="B8447" s="25"/>
      <c r="C8447" s="25"/>
      <c r="D8447" s="25"/>
      <c r="E8447" s="25"/>
      <c r="F8447" s="25"/>
      <c r="G8447" s="25"/>
      <c r="H8447" s="25"/>
      <c r="I8447" s="25"/>
      <c r="J8447" s="25"/>
    </row>
    <row r="8448" spans="1:10" ht="14.4">
      <c r="A8448" s="25"/>
      <c r="B8448" s="25"/>
      <c r="C8448" s="25"/>
      <c r="D8448" s="25"/>
      <c r="E8448" s="25"/>
      <c r="F8448" s="25"/>
      <c r="G8448" s="25"/>
      <c r="H8448" s="25"/>
      <c r="I8448" s="25"/>
      <c r="J8448" s="25"/>
    </row>
    <row r="8449" spans="1:10" ht="14.4">
      <c r="A8449" s="25"/>
      <c r="B8449" s="25"/>
      <c r="C8449" s="25"/>
      <c r="D8449" s="25"/>
      <c r="E8449" s="25"/>
      <c r="F8449" s="25"/>
      <c r="G8449" s="25"/>
      <c r="H8449" s="25"/>
      <c r="I8449" s="25"/>
      <c r="J8449" s="25"/>
    </row>
    <row r="8450" spans="1:10" ht="14.4">
      <c r="A8450" s="25"/>
      <c r="B8450" s="25"/>
      <c r="C8450" s="25"/>
      <c r="D8450" s="25"/>
      <c r="E8450" s="25"/>
      <c r="F8450" s="25"/>
      <c r="G8450" s="25"/>
      <c r="H8450" s="25"/>
      <c r="I8450" s="25"/>
      <c r="J8450" s="25"/>
    </row>
    <row r="8451" spans="1:10" ht="14.4">
      <c r="A8451" s="25"/>
      <c r="B8451" s="25"/>
      <c r="C8451" s="25"/>
      <c r="D8451" s="25"/>
      <c r="E8451" s="25"/>
      <c r="F8451" s="25"/>
      <c r="G8451" s="25"/>
      <c r="H8451" s="25"/>
      <c r="I8451" s="25"/>
      <c r="J8451" s="25"/>
    </row>
    <row r="8452" spans="1:10" ht="14.4">
      <c r="A8452" s="25"/>
      <c r="B8452" s="25"/>
      <c r="C8452" s="25"/>
      <c r="D8452" s="25"/>
      <c r="E8452" s="25"/>
      <c r="F8452" s="25"/>
      <c r="G8452" s="25"/>
      <c r="H8452" s="25"/>
      <c r="I8452" s="25"/>
      <c r="J8452" s="25"/>
    </row>
    <row r="8453" spans="1:10" ht="14.4">
      <c r="A8453" s="25"/>
      <c r="B8453" s="25"/>
      <c r="C8453" s="25"/>
      <c r="D8453" s="25"/>
      <c r="E8453" s="25"/>
      <c r="F8453" s="25"/>
      <c r="G8453" s="25"/>
      <c r="H8453" s="25"/>
      <c r="I8453" s="25"/>
      <c r="J8453" s="25"/>
    </row>
    <row r="8454" spans="1:10" ht="14.4">
      <c r="A8454" s="25"/>
      <c r="B8454" s="25"/>
      <c r="C8454" s="25"/>
      <c r="D8454" s="25"/>
      <c r="E8454" s="25"/>
      <c r="F8454" s="25"/>
      <c r="G8454" s="25"/>
      <c r="H8454" s="25"/>
      <c r="I8454" s="25"/>
      <c r="J8454" s="25"/>
    </row>
    <row r="8455" spans="1:10" ht="14.4">
      <c r="A8455" s="25"/>
      <c r="B8455" s="25"/>
      <c r="C8455" s="25"/>
      <c r="D8455" s="25"/>
      <c r="E8455" s="25"/>
      <c r="F8455" s="25"/>
      <c r="G8455" s="25"/>
      <c r="H8455" s="25"/>
      <c r="I8455" s="25"/>
      <c r="J8455" s="25"/>
    </row>
    <row r="8456" spans="1:10" ht="14.4">
      <c r="A8456" s="25"/>
      <c r="B8456" s="25"/>
      <c r="C8456" s="25"/>
      <c r="D8456" s="25"/>
      <c r="E8456" s="25"/>
      <c r="F8456" s="25"/>
      <c r="G8456" s="25"/>
      <c r="H8456" s="25"/>
      <c r="I8456" s="25"/>
      <c r="J8456" s="25"/>
    </row>
    <row r="8457" spans="1:10" ht="14.4">
      <c r="A8457" s="25"/>
      <c r="B8457" s="25"/>
      <c r="C8457" s="25"/>
      <c r="D8457" s="25"/>
      <c r="E8457" s="25"/>
      <c r="F8457" s="25"/>
      <c r="G8457" s="25"/>
      <c r="H8457" s="25"/>
      <c r="I8457" s="25"/>
      <c r="J8457" s="25"/>
    </row>
    <row r="8458" spans="1:10" ht="14.4">
      <c r="A8458" s="25"/>
      <c r="B8458" s="25"/>
      <c r="C8458" s="25"/>
      <c r="D8458" s="25"/>
      <c r="E8458" s="25"/>
      <c r="F8458" s="25"/>
      <c r="G8458" s="25"/>
      <c r="H8458" s="25"/>
      <c r="I8458" s="25"/>
      <c r="J8458" s="25"/>
    </row>
    <row r="8459" spans="1:10" ht="14.4">
      <c r="A8459" s="25"/>
      <c r="B8459" s="25"/>
      <c r="C8459" s="25"/>
      <c r="D8459" s="25"/>
      <c r="E8459" s="25"/>
      <c r="F8459" s="25"/>
      <c r="G8459" s="25"/>
      <c r="H8459" s="25"/>
      <c r="I8459" s="25"/>
      <c r="J8459" s="25"/>
    </row>
    <row r="8460" spans="1:10" ht="14.4">
      <c r="A8460" s="25"/>
      <c r="B8460" s="25"/>
      <c r="C8460" s="25"/>
      <c r="D8460" s="25"/>
      <c r="E8460" s="25"/>
      <c r="F8460" s="25"/>
      <c r="G8460" s="25"/>
      <c r="H8460" s="25"/>
      <c r="I8460" s="25"/>
      <c r="J8460" s="25"/>
    </row>
    <row r="8461" spans="1:10" ht="14.4">
      <c r="A8461" s="25"/>
      <c r="B8461" s="25"/>
      <c r="C8461" s="25"/>
      <c r="D8461" s="25"/>
      <c r="E8461" s="25"/>
      <c r="F8461" s="25"/>
      <c r="G8461" s="25"/>
      <c r="H8461" s="25"/>
      <c r="I8461" s="25"/>
      <c r="J8461" s="25"/>
    </row>
    <row r="8462" spans="1:10" ht="14.4">
      <c r="A8462" s="25"/>
      <c r="B8462" s="25"/>
      <c r="C8462" s="25"/>
      <c r="D8462" s="25"/>
      <c r="E8462" s="25"/>
      <c r="F8462" s="25"/>
      <c r="G8462" s="25"/>
      <c r="H8462" s="25"/>
      <c r="I8462" s="25"/>
      <c r="J8462" s="25"/>
    </row>
    <row r="8463" spans="1:10" ht="14.4">
      <c r="A8463" s="25"/>
      <c r="B8463" s="25"/>
      <c r="C8463" s="25"/>
      <c r="D8463" s="25"/>
      <c r="E8463" s="25"/>
      <c r="F8463" s="25"/>
      <c r="G8463" s="25"/>
      <c r="H8463" s="25"/>
      <c r="I8463" s="25"/>
      <c r="J8463" s="25"/>
    </row>
    <row r="8464" spans="1:10" ht="14.4">
      <c r="A8464" s="25"/>
      <c r="B8464" s="25"/>
      <c r="C8464" s="25"/>
      <c r="D8464" s="25"/>
      <c r="E8464" s="25"/>
      <c r="F8464" s="25"/>
      <c r="G8464" s="25"/>
      <c r="H8464" s="25"/>
      <c r="I8464" s="25"/>
      <c r="J8464" s="25"/>
    </row>
    <row r="8465" spans="1:10" ht="14.4">
      <c r="A8465" s="25"/>
      <c r="B8465" s="25"/>
      <c r="C8465" s="25"/>
      <c r="D8465" s="25"/>
      <c r="E8465" s="25"/>
      <c r="F8465" s="25"/>
      <c r="G8465" s="25"/>
      <c r="H8465" s="25"/>
      <c r="I8465" s="25"/>
      <c r="J8465" s="25"/>
    </row>
    <row r="8466" spans="1:10" ht="14.4">
      <c r="A8466" s="25"/>
      <c r="B8466" s="25"/>
      <c r="C8466" s="25"/>
      <c r="D8466" s="25"/>
      <c r="E8466" s="25"/>
      <c r="F8466" s="25"/>
      <c r="G8466" s="25"/>
      <c r="H8466" s="25"/>
      <c r="I8466" s="25"/>
      <c r="J8466" s="25"/>
    </row>
    <row r="8467" spans="1:10" ht="14.4">
      <c r="A8467" s="25"/>
      <c r="B8467" s="25"/>
      <c r="C8467" s="25"/>
      <c r="D8467" s="25"/>
      <c r="E8467" s="25"/>
      <c r="F8467" s="25"/>
      <c r="G8467" s="25"/>
      <c r="H8467" s="25"/>
      <c r="I8467" s="25"/>
      <c r="J8467" s="25"/>
    </row>
    <row r="8468" spans="1:10" ht="14.4">
      <c r="A8468" s="25"/>
      <c r="B8468" s="25"/>
      <c r="C8468" s="25"/>
      <c r="D8468" s="25"/>
      <c r="E8468" s="25"/>
      <c r="F8468" s="25"/>
      <c r="G8468" s="25"/>
      <c r="H8468" s="25"/>
      <c r="I8468" s="25"/>
      <c r="J8468" s="25"/>
    </row>
    <row r="8469" spans="1:10" ht="14.4">
      <c r="A8469" s="25"/>
      <c r="B8469" s="25"/>
      <c r="C8469" s="25"/>
      <c r="D8469" s="25"/>
      <c r="E8469" s="25"/>
      <c r="F8469" s="25"/>
      <c r="G8469" s="25"/>
      <c r="H8469" s="25"/>
      <c r="I8469" s="25"/>
      <c r="J8469" s="25"/>
    </row>
    <row r="8470" spans="1:10" ht="14.4">
      <c r="A8470" s="25"/>
      <c r="B8470" s="25"/>
      <c r="C8470" s="25"/>
      <c r="D8470" s="25"/>
      <c r="E8470" s="25"/>
      <c r="F8470" s="25"/>
      <c r="G8470" s="25"/>
      <c r="H8470" s="25"/>
      <c r="I8470" s="25"/>
      <c r="J8470" s="25"/>
    </row>
    <row r="8471" spans="1:10" ht="14.4">
      <c r="A8471" s="25"/>
      <c r="B8471" s="25"/>
      <c r="C8471" s="25"/>
      <c r="D8471" s="25"/>
      <c r="E8471" s="25"/>
      <c r="F8471" s="25"/>
      <c r="G8471" s="25"/>
      <c r="H8471" s="25"/>
      <c r="I8471" s="25"/>
      <c r="J8471" s="25"/>
    </row>
    <row r="8472" spans="1:10" ht="14.4">
      <c r="A8472" s="25"/>
      <c r="B8472" s="25"/>
      <c r="C8472" s="25"/>
      <c r="D8472" s="25"/>
      <c r="E8472" s="25"/>
      <c r="F8472" s="25"/>
      <c r="G8472" s="25"/>
      <c r="H8472" s="25"/>
      <c r="I8472" s="25"/>
      <c r="J8472" s="25"/>
    </row>
    <row r="8473" spans="1:10" ht="14.4">
      <c r="A8473" s="25"/>
      <c r="B8473" s="25"/>
      <c r="C8473" s="25"/>
      <c r="D8473" s="25"/>
      <c r="E8473" s="25"/>
      <c r="F8473" s="25"/>
      <c r="G8473" s="25"/>
      <c r="H8473" s="25"/>
      <c r="I8473" s="25"/>
      <c r="J8473" s="25"/>
    </row>
    <row r="8474" spans="1:10" ht="14.4">
      <c r="A8474" s="25"/>
      <c r="B8474" s="25"/>
      <c r="C8474" s="25"/>
      <c r="D8474" s="25"/>
      <c r="E8474" s="25"/>
      <c r="F8474" s="25"/>
      <c r="G8474" s="25"/>
      <c r="H8474" s="25"/>
      <c r="I8474" s="25"/>
      <c r="J8474" s="25"/>
    </row>
    <row r="8475" spans="1:10" ht="14.4">
      <c r="A8475" s="25"/>
      <c r="B8475" s="25"/>
      <c r="C8475" s="25"/>
      <c r="D8475" s="25"/>
      <c r="E8475" s="25"/>
      <c r="F8475" s="25"/>
      <c r="G8475" s="25"/>
      <c r="H8475" s="25"/>
      <c r="I8475" s="25"/>
      <c r="J8475" s="25"/>
    </row>
    <row r="8476" spans="1:10" ht="14.4">
      <c r="A8476" s="25"/>
      <c r="B8476" s="25"/>
      <c r="C8476" s="25"/>
      <c r="D8476" s="25"/>
      <c r="E8476" s="25"/>
      <c r="F8476" s="25"/>
      <c r="G8476" s="25"/>
      <c r="H8476" s="25"/>
      <c r="I8476" s="25"/>
      <c r="J8476" s="25"/>
    </row>
    <row r="8477" spans="1:10" ht="14.4">
      <c r="A8477" s="25"/>
      <c r="B8477" s="25"/>
      <c r="C8477" s="25"/>
      <c r="D8477" s="25"/>
      <c r="E8477" s="25"/>
      <c r="F8477" s="25"/>
      <c r="G8477" s="25"/>
      <c r="H8477" s="25"/>
      <c r="I8477" s="25"/>
      <c r="J8477" s="25"/>
    </row>
    <row r="8478" spans="1:10" ht="14.4">
      <c r="A8478" s="25"/>
      <c r="B8478" s="25"/>
      <c r="C8478" s="25"/>
      <c r="D8478" s="25"/>
      <c r="E8478" s="25"/>
      <c r="F8478" s="25"/>
      <c r="G8478" s="25"/>
      <c r="H8478" s="25"/>
      <c r="I8478" s="25"/>
      <c r="J8478" s="25"/>
    </row>
    <row r="8479" spans="1:10" ht="14.4">
      <c r="A8479" s="25"/>
      <c r="B8479" s="25"/>
      <c r="C8479" s="25"/>
      <c r="D8479" s="25"/>
      <c r="E8479" s="25"/>
      <c r="F8479" s="25"/>
      <c r="G8479" s="25"/>
      <c r="H8479" s="25"/>
      <c r="I8479" s="25"/>
      <c r="J8479" s="25"/>
    </row>
    <row r="8480" spans="1:10" ht="14.4">
      <c r="A8480" s="25"/>
      <c r="B8480" s="25"/>
      <c r="C8480" s="25"/>
      <c r="D8480" s="25"/>
      <c r="E8480" s="25"/>
      <c r="F8480" s="25"/>
      <c r="G8480" s="25"/>
      <c r="H8480" s="25"/>
      <c r="I8480" s="25"/>
      <c r="J8480" s="25"/>
    </row>
    <row r="8481" spans="1:10" ht="14.4">
      <c r="A8481" s="25"/>
      <c r="B8481" s="25"/>
      <c r="C8481" s="25"/>
      <c r="D8481" s="25"/>
      <c r="E8481" s="25"/>
      <c r="F8481" s="25"/>
      <c r="G8481" s="25"/>
      <c r="H8481" s="25"/>
      <c r="I8481" s="25"/>
      <c r="J8481" s="25"/>
    </row>
    <row r="8482" spans="1:10" ht="14.4">
      <c r="A8482" s="25"/>
      <c r="B8482" s="25"/>
      <c r="C8482" s="25"/>
      <c r="D8482" s="25"/>
      <c r="E8482" s="25"/>
      <c r="F8482" s="25"/>
      <c r="G8482" s="25"/>
      <c r="H8482" s="25"/>
      <c r="I8482" s="25"/>
      <c r="J8482" s="25"/>
    </row>
    <row r="8483" spans="1:10" ht="14.4">
      <c r="A8483" s="25"/>
      <c r="B8483" s="25"/>
      <c r="C8483" s="25"/>
      <c r="D8483" s="25"/>
      <c r="E8483" s="25"/>
      <c r="F8483" s="25"/>
      <c r="G8483" s="25"/>
      <c r="H8483" s="25"/>
      <c r="I8483" s="25"/>
      <c r="J8483" s="25"/>
    </row>
    <row r="8484" spans="1:10" ht="14.4">
      <c r="A8484" s="25"/>
      <c r="B8484" s="25"/>
      <c r="C8484" s="25"/>
      <c r="D8484" s="25"/>
      <c r="E8484" s="25"/>
      <c r="F8484" s="25"/>
      <c r="G8484" s="25"/>
      <c r="H8484" s="25"/>
      <c r="I8484" s="25"/>
      <c r="J8484" s="25"/>
    </row>
    <row r="8485" spans="1:10" ht="14.4">
      <c r="A8485" s="25"/>
      <c r="B8485" s="25"/>
      <c r="C8485" s="25"/>
      <c r="D8485" s="25"/>
      <c r="E8485" s="25"/>
      <c r="F8485" s="25"/>
      <c r="G8485" s="25"/>
      <c r="H8485" s="25"/>
      <c r="I8485" s="25"/>
      <c r="J8485" s="25"/>
    </row>
    <row r="8486" spans="1:10" ht="14.4">
      <c r="A8486" s="25"/>
      <c r="B8486" s="25"/>
      <c r="C8486" s="25"/>
      <c r="D8486" s="25"/>
      <c r="E8486" s="25"/>
      <c r="F8486" s="25"/>
      <c r="G8486" s="25"/>
      <c r="H8486" s="25"/>
      <c r="I8486" s="25"/>
      <c r="J8486" s="25"/>
    </row>
    <row r="8487" spans="1:10" ht="14.4">
      <c r="A8487" s="25"/>
      <c r="B8487" s="25"/>
      <c r="C8487" s="25"/>
      <c r="D8487" s="25"/>
      <c r="E8487" s="25"/>
      <c r="F8487" s="25"/>
      <c r="G8487" s="25"/>
      <c r="H8487" s="25"/>
      <c r="I8487" s="25"/>
      <c r="J8487" s="25"/>
    </row>
    <row r="8488" spans="1:10" ht="14.4">
      <c r="A8488" s="25"/>
      <c r="B8488" s="25"/>
      <c r="C8488" s="25"/>
      <c r="D8488" s="25"/>
      <c r="E8488" s="25"/>
      <c r="F8488" s="25"/>
      <c r="G8488" s="25"/>
      <c r="H8488" s="25"/>
      <c r="I8488" s="25"/>
      <c r="J8488" s="25"/>
    </row>
    <row r="8489" spans="1:10" ht="14.4">
      <c r="A8489" s="25"/>
      <c r="B8489" s="25"/>
      <c r="C8489" s="25"/>
      <c r="D8489" s="25"/>
      <c r="E8489" s="25"/>
      <c r="F8489" s="25"/>
      <c r="G8489" s="25"/>
      <c r="H8489" s="25"/>
      <c r="I8489" s="25"/>
      <c r="J8489" s="25"/>
    </row>
    <row r="8490" spans="1:10" ht="14.4">
      <c r="A8490" s="25"/>
      <c r="B8490" s="25"/>
      <c r="C8490" s="25"/>
      <c r="D8490" s="25"/>
      <c r="E8490" s="25"/>
      <c r="F8490" s="25"/>
      <c r="G8490" s="25"/>
      <c r="H8490" s="25"/>
      <c r="I8490" s="25"/>
      <c r="J8490" s="25"/>
    </row>
    <row r="8491" spans="1:10" ht="14.4">
      <c r="A8491" s="25"/>
      <c r="B8491" s="25"/>
      <c r="C8491" s="25"/>
      <c r="D8491" s="25"/>
      <c r="E8491" s="25"/>
      <c r="F8491" s="25"/>
      <c r="G8491" s="25"/>
      <c r="H8491" s="25"/>
      <c r="I8491" s="25"/>
      <c r="J8491" s="25"/>
    </row>
    <row r="8492" spans="1:10" ht="14.4">
      <c r="A8492" s="25"/>
      <c r="B8492" s="25"/>
      <c r="C8492" s="25"/>
      <c r="D8492" s="25"/>
      <c r="E8492" s="25"/>
      <c r="F8492" s="25"/>
      <c r="G8492" s="25"/>
      <c r="H8492" s="25"/>
      <c r="I8492" s="25"/>
      <c r="J8492" s="25"/>
    </row>
    <row r="8493" spans="1:10" ht="14.4">
      <c r="A8493" s="25"/>
      <c r="B8493" s="25"/>
      <c r="C8493" s="25"/>
      <c r="D8493" s="25"/>
      <c r="E8493" s="25"/>
      <c r="F8493" s="25"/>
      <c r="G8493" s="25"/>
      <c r="H8493" s="25"/>
      <c r="I8493" s="25"/>
      <c r="J8493" s="25"/>
    </row>
    <row r="8494" spans="1:10" ht="14.4">
      <c r="A8494" s="25"/>
      <c r="B8494" s="25"/>
      <c r="C8494" s="25"/>
      <c r="D8494" s="25"/>
      <c r="E8494" s="25"/>
      <c r="F8494" s="25"/>
      <c r="G8494" s="25"/>
      <c r="H8494" s="25"/>
      <c r="I8494" s="25"/>
      <c r="J8494" s="25"/>
    </row>
    <row r="8495" spans="1:10" ht="14.4">
      <c r="A8495" s="25"/>
      <c r="B8495" s="25"/>
      <c r="C8495" s="25"/>
      <c r="D8495" s="25"/>
      <c r="E8495" s="25"/>
      <c r="F8495" s="25"/>
      <c r="G8495" s="25"/>
      <c r="H8495" s="25"/>
      <c r="I8495" s="25"/>
      <c r="J8495" s="25"/>
    </row>
    <row r="8496" spans="1:10" ht="14.4">
      <c r="A8496" s="25"/>
      <c r="B8496" s="25"/>
      <c r="C8496" s="25"/>
      <c r="D8496" s="25"/>
      <c r="E8496" s="25"/>
      <c r="F8496" s="25"/>
      <c r="G8496" s="25"/>
      <c r="H8496" s="25"/>
      <c r="I8496" s="25"/>
      <c r="J8496" s="25"/>
    </row>
    <row r="8497" spans="1:10" ht="14.4">
      <c r="A8497" s="25"/>
      <c r="B8497" s="25"/>
      <c r="C8497" s="25"/>
      <c r="D8497" s="25"/>
      <c r="E8497" s="25"/>
      <c r="F8497" s="25"/>
      <c r="G8497" s="25"/>
      <c r="H8497" s="25"/>
      <c r="I8497" s="25"/>
      <c r="J8497" s="25"/>
    </row>
    <row r="8498" spans="1:10" ht="14.4">
      <c r="A8498" s="25"/>
      <c r="B8498" s="25"/>
      <c r="C8498" s="25"/>
      <c r="D8498" s="25"/>
      <c r="E8498" s="25"/>
      <c r="F8498" s="25"/>
      <c r="G8498" s="25"/>
      <c r="H8498" s="25"/>
      <c r="I8498" s="25"/>
      <c r="J8498" s="25"/>
    </row>
    <row r="8499" spans="1:10" ht="14.4">
      <c r="A8499" s="25"/>
      <c r="B8499" s="25"/>
      <c r="C8499" s="25"/>
      <c r="D8499" s="25"/>
      <c r="E8499" s="25"/>
      <c r="F8499" s="25"/>
      <c r="G8499" s="25"/>
      <c r="H8499" s="25"/>
      <c r="I8499" s="25"/>
      <c r="J8499" s="25"/>
    </row>
    <row r="8500" spans="1:10" ht="14.4">
      <c r="A8500" s="25"/>
      <c r="B8500" s="25"/>
      <c r="C8500" s="25"/>
      <c r="D8500" s="25"/>
      <c r="E8500" s="25"/>
      <c r="F8500" s="25"/>
      <c r="G8500" s="25"/>
      <c r="H8500" s="25"/>
      <c r="I8500" s="25"/>
      <c r="J8500" s="25"/>
    </row>
    <row r="8501" spans="1:10" ht="14.4">
      <c r="A8501" s="25"/>
      <c r="B8501" s="25"/>
      <c r="C8501" s="25"/>
      <c r="D8501" s="25"/>
      <c r="E8501" s="25"/>
      <c r="F8501" s="25"/>
      <c r="G8501" s="25"/>
      <c r="H8501" s="25"/>
      <c r="I8501" s="25"/>
      <c r="J8501" s="25"/>
    </row>
    <row r="8502" spans="1:10" ht="14.4">
      <c r="A8502" s="25"/>
      <c r="B8502" s="25"/>
      <c r="C8502" s="25"/>
      <c r="D8502" s="25"/>
      <c r="E8502" s="25"/>
      <c r="F8502" s="25"/>
      <c r="G8502" s="25"/>
      <c r="H8502" s="25"/>
      <c r="I8502" s="25"/>
      <c r="J8502" s="25"/>
    </row>
    <row r="8503" spans="1:10" ht="14.4">
      <c r="A8503" s="25"/>
      <c r="B8503" s="25"/>
      <c r="C8503" s="25"/>
      <c r="D8503" s="25"/>
      <c r="E8503" s="25"/>
      <c r="F8503" s="25"/>
      <c r="G8503" s="25"/>
      <c r="H8503" s="25"/>
      <c r="I8503" s="25"/>
      <c r="J8503" s="25"/>
    </row>
    <row r="8504" spans="1:10" ht="14.4">
      <c r="A8504" s="25"/>
      <c r="B8504" s="25"/>
      <c r="C8504" s="25"/>
      <c r="D8504" s="25"/>
      <c r="E8504" s="25"/>
      <c r="F8504" s="25"/>
      <c r="G8504" s="25"/>
      <c r="H8504" s="25"/>
      <c r="I8504" s="25"/>
      <c r="J8504" s="25"/>
    </row>
    <row r="8505" spans="1:10" ht="14.4">
      <c r="A8505" s="25"/>
      <c r="B8505" s="25"/>
      <c r="C8505" s="25"/>
      <c r="D8505" s="25"/>
      <c r="E8505" s="25"/>
      <c r="F8505" s="25"/>
      <c r="G8505" s="25"/>
      <c r="H8505" s="25"/>
      <c r="I8505" s="25"/>
      <c r="J8505" s="25"/>
    </row>
    <row r="8506" spans="1:10" ht="14.4">
      <c r="A8506" s="25"/>
      <c r="B8506" s="25"/>
      <c r="C8506" s="25"/>
      <c r="D8506" s="25"/>
      <c r="E8506" s="25"/>
      <c r="F8506" s="25"/>
      <c r="G8506" s="25"/>
      <c r="H8506" s="25"/>
      <c r="I8506" s="25"/>
      <c r="J8506" s="25"/>
    </row>
    <row r="8507" spans="1:10" ht="14.4">
      <c r="A8507" s="25"/>
      <c r="B8507" s="25"/>
      <c r="C8507" s="25"/>
      <c r="D8507" s="25"/>
      <c r="E8507" s="25"/>
      <c r="F8507" s="25"/>
      <c r="G8507" s="25"/>
      <c r="H8507" s="25"/>
      <c r="I8507" s="25"/>
      <c r="J8507" s="25"/>
    </row>
    <row r="8508" spans="1:10" ht="14.4">
      <c r="A8508" s="25"/>
      <c r="B8508" s="25"/>
      <c r="C8508" s="25"/>
      <c r="D8508" s="25"/>
      <c r="E8508" s="25"/>
      <c r="F8508" s="25"/>
      <c r="G8508" s="25"/>
      <c r="H8508" s="25"/>
      <c r="I8508" s="25"/>
      <c r="J8508" s="25"/>
    </row>
    <row r="8509" spans="1:10" ht="14.4">
      <c r="A8509" s="25"/>
      <c r="B8509" s="25"/>
      <c r="C8509" s="25"/>
      <c r="D8509" s="25"/>
      <c r="E8509" s="25"/>
      <c r="F8509" s="25"/>
      <c r="G8509" s="25"/>
      <c r="H8509" s="25"/>
      <c r="I8509" s="25"/>
      <c r="J8509" s="25"/>
    </row>
    <row r="8510" spans="1:10" ht="14.4">
      <c r="A8510" s="25"/>
      <c r="B8510" s="25"/>
      <c r="C8510" s="25"/>
      <c r="D8510" s="25"/>
      <c r="E8510" s="25"/>
      <c r="F8510" s="25"/>
      <c r="G8510" s="25"/>
      <c r="H8510" s="25"/>
      <c r="I8510" s="25"/>
      <c r="J8510" s="25"/>
    </row>
    <row r="8511" spans="1:10" ht="14.4">
      <c r="A8511" s="25"/>
      <c r="B8511" s="25"/>
      <c r="C8511" s="25"/>
      <c r="D8511" s="25"/>
      <c r="E8511" s="25"/>
      <c r="F8511" s="25"/>
      <c r="G8511" s="25"/>
      <c r="H8511" s="25"/>
      <c r="I8511" s="25"/>
      <c r="J8511" s="25"/>
    </row>
    <row r="8512" spans="1:10" ht="14.4">
      <c r="A8512" s="25"/>
      <c r="B8512" s="25"/>
      <c r="C8512" s="25"/>
      <c r="D8512" s="25"/>
      <c r="E8512" s="25"/>
      <c r="F8512" s="25"/>
      <c r="G8512" s="25"/>
      <c r="H8512" s="25"/>
      <c r="I8512" s="25"/>
      <c r="J8512" s="25"/>
    </row>
    <row r="8513" spans="1:10" ht="14.4">
      <c r="A8513" s="25"/>
      <c r="B8513" s="25"/>
      <c r="C8513" s="25"/>
      <c r="D8513" s="25"/>
      <c r="E8513" s="25"/>
      <c r="F8513" s="25"/>
      <c r="G8513" s="25"/>
      <c r="H8513" s="25"/>
      <c r="I8513" s="25"/>
      <c r="J8513" s="25"/>
    </row>
    <row r="8514" spans="1:10" ht="14.4">
      <c r="A8514" s="25"/>
      <c r="B8514" s="25"/>
      <c r="C8514" s="25"/>
      <c r="D8514" s="25"/>
      <c r="E8514" s="25"/>
      <c r="F8514" s="25"/>
      <c r="G8514" s="25"/>
      <c r="H8514" s="25"/>
      <c r="I8514" s="25"/>
      <c r="J8514" s="25"/>
    </row>
    <row r="8515" spans="1:10" ht="14.4">
      <c r="A8515" s="25"/>
      <c r="B8515" s="25"/>
      <c r="C8515" s="25"/>
      <c r="D8515" s="25"/>
      <c r="E8515" s="25"/>
      <c r="F8515" s="25"/>
      <c r="G8515" s="25"/>
      <c r="H8515" s="25"/>
      <c r="I8515" s="25"/>
      <c r="J8515" s="25"/>
    </row>
    <row r="8516" spans="1:10" ht="14.4">
      <c r="A8516" s="25"/>
      <c r="B8516" s="25"/>
      <c r="C8516" s="25"/>
      <c r="D8516" s="25"/>
      <c r="E8516" s="25"/>
      <c r="F8516" s="25"/>
      <c r="G8516" s="25"/>
      <c r="H8516" s="25"/>
      <c r="I8516" s="25"/>
      <c r="J8516" s="25"/>
    </row>
    <row r="8517" spans="1:10" ht="14.4">
      <c r="A8517" s="25"/>
      <c r="B8517" s="25"/>
      <c r="C8517" s="25"/>
      <c r="D8517" s="25"/>
      <c r="E8517" s="25"/>
      <c r="F8517" s="25"/>
      <c r="G8517" s="25"/>
      <c r="H8517" s="25"/>
      <c r="I8517" s="25"/>
      <c r="J8517" s="25"/>
    </row>
    <row r="8518" spans="1:10" ht="14.4">
      <c r="A8518" s="25"/>
      <c r="B8518" s="25"/>
      <c r="C8518" s="25"/>
      <c r="D8518" s="25"/>
      <c r="E8518" s="25"/>
      <c r="F8518" s="25"/>
      <c r="G8518" s="25"/>
      <c r="H8518" s="25"/>
      <c r="I8518" s="25"/>
      <c r="J8518" s="25"/>
    </row>
    <row r="8519" spans="1:10" ht="14.4">
      <c r="A8519" s="25"/>
      <c r="B8519" s="25"/>
      <c r="C8519" s="25"/>
      <c r="D8519" s="25"/>
      <c r="E8519" s="25"/>
      <c r="F8519" s="25"/>
      <c r="G8519" s="25"/>
      <c r="H8519" s="25"/>
      <c r="I8519" s="25"/>
      <c r="J8519" s="25"/>
    </row>
    <row r="8520" spans="1:10" ht="14.4">
      <c r="A8520" s="25"/>
      <c r="B8520" s="25"/>
      <c r="C8520" s="25"/>
      <c r="D8520" s="25"/>
      <c r="E8520" s="25"/>
      <c r="F8520" s="25"/>
      <c r="G8520" s="25"/>
      <c r="H8520" s="25"/>
      <c r="I8520" s="25"/>
      <c r="J8520" s="25"/>
    </row>
    <row r="8521" spans="1:10" ht="14.4">
      <c r="A8521" s="25"/>
      <c r="B8521" s="25"/>
      <c r="C8521" s="25"/>
      <c r="D8521" s="25"/>
      <c r="E8521" s="25"/>
      <c r="F8521" s="25"/>
      <c r="G8521" s="25"/>
      <c r="H8521" s="25"/>
      <c r="I8521" s="25"/>
      <c r="J8521" s="25"/>
    </row>
    <row r="8522" spans="1:10" ht="14.4">
      <c r="A8522" s="25"/>
      <c r="B8522" s="25"/>
      <c r="C8522" s="25"/>
      <c r="D8522" s="25"/>
      <c r="E8522" s="25"/>
      <c r="F8522" s="25"/>
      <c r="G8522" s="25"/>
      <c r="H8522" s="25"/>
      <c r="I8522" s="25"/>
      <c r="J8522" s="25"/>
    </row>
    <row r="8523" spans="1:10" ht="14.4">
      <c r="A8523" s="25"/>
      <c r="B8523" s="25"/>
      <c r="C8523" s="25"/>
      <c r="D8523" s="25"/>
      <c r="E8523" s="25"/>
      <c r="F8523" s="25"/>
      <c r="G8523" s="25"/>
      <c r="H8523" s="25"/>
      <c r="I8523" s="25"/>
      <c r="J8523" s="25"/>
    </row>
    <row r="8524" spans="1:10" ht="14.4">
      <c r="A8524" s="25"/>
      <c r="B8524" s="25"/>
      <c r="C8524" s="25"/>
      <c r="D8524" s="25"/>
      <c r="E8524" s="25"/>
      <c r="F8524" s="25"/>
      <c r="G8524" s="25"/>
      <c r="H8524" s="25"/>
      <c r="I8524" s="25"/>
      <c r="J8524" s="25"/>
    </row>
    <row r="8525" spans="1:10" ht="14.4">
      <c r="A8525" s="25"/>
      <c r="B8525" s="25"/>
      <c r="C8525" s="25"/>
      <c r="D8525" s="25"/>
      <c r="E8525" s="25"/>
      <c r="F8525" s="25"/>
      <c r="G8525" s="25"/>
      <c r="H8525" s="25"/>
      <c r="I8525" s="25"/>
      <c r="J8525" s="25"/>
    </row>
    <row r="8526" spans="1:10" ht="14.4">
      <c r="A8526" s="25"/>
      <c r="B8526" s="25"/>
      <c r="C8526" s="25"/>
      <c r="D8526" s="25"/>
      <c r="E8526" s="25"/>
      <c r="F8526" s="25"/>
      <c r="G8526" s="25"/>
      <c r="H8526" s="25"/>
      <c r="I8526" s="25"/>
      <c r="J8526" s="25"/>
    </row>
    <row r="8527" spans="1:10" ht="14.4">
      <c r="A8527" s="25"/>
      <c r="B8527" s="25"/>
      <c r="C8527" s="25"/>
      <c r="D8527" s="25"/>
      <c r="E8527" s="25"/>
      <c r="F8527" s="25"/>
      <c r="G8527" s="25"/>
      <c r="H8527" s="25"/>
      <c r="I8527" s="25"/>
      <c r="J8527" s="25"/>
    </row>
    <row r="8528" spans="1:10" ht="14.4">
      <c r="A8528" s="25"/>
      <c r="B8528" s="25"/>
      <c r="C8528" s="25"/>
      <c r="D8528" s="25"/>
      <c r="E8528" s="25"/>
      <c r="F8528" s="25"/>
      <c r="G8528" s="25"/>
      <c r="H8528" s="25"/>
      <c r="I8528" s="25"/>
      <c r="J8528" s="25"/>
    </row>
    <row r="8529" spans="1:10" ht="14.4">
      <c r="A8529" s="25"/>
      <c r="B8529" s="25"/>
      <c r="C8529" s="25"/>
      <c r="D8529" s="25"/>
      <c r="E8529" s="25"/>
      <c r="F8529" s="25"/>
      <c r="G8529" s="25"/>
      <c r="H8529" s="25"/>
      <c r="I8529" s="25"/>
      <c r="J8529" s="25"/>
    </row>
    <row r="8530" spans="1:10" ht="14.4">
      <c r="A8530" s="25"/>
      <c r="B8530" s="25"/>
      <c r="C8530" s="25"/>
      <c r="D8530" s="25"/>
      <c r="E8530" s="25"/>
      <c r="F8530" s="25"/>
      <c r="G8530" s="25"/>
      <c r="H8530" s="25"/>
      <c r="I8530" s="25"/>
      <c r="J8530" s="25"/>
    </row>
    <row r="8531" spans="1:10" ht="14.4">
      <c r="A8531" s="25"/>
      <c r="B8531" s="25"/>
      <c r="C8531" s="25"/>
      <c r="D8531" s="25"/>
      <c r="E8531" s="25"/>
      <c r="F8531" s="25"/>
      <c r="G8531" s="25"/>
      <c r="H8531" s="25"/>
      <c r="I8531" s="25"/>
      <c r="J8531" s="25"/>
    </row>
    <row r="8532" spans="1:10" ht="14.4">
      <c r="A8532" s="25"/>
      <c r="B8532" s="25"/>
      <c r="C8532" s="25"/>
      <c r="D8532" s="25"/>
      <c r="E8532" s="25"/>
      <c r="F8532" s="25"/>
      <c r="G8532" s="25"/>
      <c r="H8532" s="25"/>
      <c r="I8532" s="25"/>
      <c r="J8532" s="25"/>
    </row>
    <row r="8533" spans="1:10" ht="14.4">
      <c r="A8533" s="25"/>
      <c r="B8533" s="25"/>
      <c r="C8533" s="25"/>
      <c r="D8533" s="25"/>
      <c r="E8533" s="25"/>
      <c r="F8533" s="25"/>
      <c r="G8533" s="25"/>
      <c r="H8533" s="25"/>
      <c r="I8533" s="25"/>
      <c r="J8533" s="25"/>
    </row>
    <row r="8534" spans="1:10" ht="14.4">
      <c r="A8534" s="25"/>
      <c r="B8534" s="25"/>
      <c r="C8534" s="25"/>
      <c r="D8534" s="25"/>
      <c r="E8534" s="25"/>
      <c r="F8534" s="25"/>
      <c r="G8534" s="25"/>
      <c r="H8534" s="25"/>
      <c r="I8534" s="25"/>
      <c r="J8534" s="25"/>
    </row>
    <row r="8535" spans="1:10" ht="14.4">
      <c r="A8535" s="25"/>
      <c r="B8535" s="25"/>
      <c r="C8535" s="25"/>
      <c r="D8535" s="25"/>
      <c r="E8535" s="25"/>
      <c r="F8535" s="25"/>
      <c r="G8535" s="25"/>
      <c r="H8535" s="25"/>
      <c r="I8535" s="25"/>
      <c r="J8535" s="25"/>
    </row>
    <row r="8536" spans="1:10" ht="14.4">
      <c r="A8536" s="25"/>
      <c r="B8536" s="25"/>
      <c r="C8536" s="25"/>
      <c r="D8536" s="25"/>
      <c r="E8536" s="25"/>
      <c r="F8536" s="25"/>
      <c r="G8536" s="25"/>
      <c r="H8536" s="25"/>
      <c r="I8536" s="25"/>
      <c r="J8536" s="25"/>
    </row>
    <row r="8537" spans="1:10" ht="14.4">
      <c r="A8537" s="25"/>
      <c r="B8537" s="25"/>
      <c r="C8537" s="25"/>
      <c r="D8537" s="25"/>
      <c r="E8537" s="25"/>
      <c r="F8537" s="25"/>
      <c r="G8537" s="25"/>
      <c r="H8537" s="25"/>
      <c r="I8537" s="25"/>
      <c r="J8537" s="25"/>
    </row>
    <row r="8538" spans="1:10" ht="14.4">
      <c r="A8538" s="25"/>
      <c r="B8538" s="25"/>
      <c r="C8538" s="25"/>
      <c r="D8538" s="25"/>
      <c r="E8538" s="25"/>
      <c r="F8538" s="25"/>
      <c r="G8538" s="25"/>
      <c r="H8538" s="25"/>
      <c r="I8538" s="25"/>
      <c r="J8538" s="25"/>
    </row>
    <row r="8539" spans="1:10" ht="14.4">
      <c r="A8539" s="25"/>
      <c r="B8539" s="25"/>
      <c r="C8539" s="25"/>
      <c r="D8539" s="25"/>
      <c r="E8539" s="25"/>
      <c r="F8539" s="25"/>
      <c r="G8539" s="25"/>
      <c r="H8539" s="25"/>
      <c r="I8539" s="25"/>
      <c r="J8539" s="25"/>
    </row>
    <row r="8540" spans="1:10" ht="14.4">
      <c r="A8540" s="25"/>
      <c r="B8540" s="25"/>
      <c r="C8540" s="25"/>
      <c r="D8540" s="25"/>
      <c r="E8540" s="25"/>
      <c r="F8540" s="25"/>
      <c r="G8540" s="25"/>
      <c r="H8540" s="25"/>
      <c r="I8540" s="25"/>
      <c r="J8540" s="25"/>
    </row>
    <row r="8541" spans="1:10" ht="14.4">
      <c r="A8541" s="25"/>
      <c r="B8541" s="25"/>
      <c r="C8541" s="25"/>
      <c r="D8541" s="25"/>
      <c r="E8541" s="25"/>
      <c r="F8541" s="25"/>
      <c r="G8541" s="25"/>
      <c r="H8541" s="25"/>
      <c r="I8541" s="25"/>
      <c r="J8541" s="25"/>
    </row>
    <row r="8542" spans="1:10" ht="14.4">
      <c r="A8542" s="25"/>
      <c r="B8542" s="25"/>
      <c r="C8542" s="25"/>
      <c r="D8542" s="25"/>
      <c r="E8542" s="25"/>
      <c r="F8542" s="25"/>
      <c r="G8542" s="25"/>
      <c r="H8542" s="25"/>
      <c r="I8542" s="25"/>
      <c r="J8542" s="25"/>
    </row>
    <row r="8543" spans="1:10" ht="14.4">
      <c r="A8543" s="25"/>
      <c r="B8543" s="25"/>
      <c r="C8543" s="25"/>
      <c r="D8543" s="25"/>
      <c r="E8543" s="25"/>
      <c r="F8543" s="25"/>
      <c r="G8543" s="25"/>
      <c r="H8543" s="25"/>
      <c r="I8543" s="25"/>
      <c r="J8543" s="25"/>
    </row>
    <row r="8544" spans="1:10" ht="14.4">
      <c r="A8544" s="25"/>
      <c r="B8544" s="25"/>
      <c r="C8544" s="25"/>
      <c r="D8544" s="25"/>
      <c r="E8544" s="25"/>
      <c r="F8544" s="25"/>
      <c r="G8544" s="25"/>
      <c r="H8544" s="25"/>
      <c r="I8544" s="25"/>
      <c r="J8544" s="25"/>
    </row>
    <row r="8545" spans="1:10" ht="14.4">
      <c r="A8545" s="25"/>
      <c r="B8545" s="25"/>
      <c r="C8545" s="25"/>
      <c r="D8545" s="25"/>
      <c r="E8545" s="25"/>
      <c r="F8545" s="25"/>
      <c r="G8545" s="25"/>
      <c r="H8545" s="25"/>
      <c r="I8545" s="25"/>
      <c r="J8545" s="25"/>
    </row>
    <row r="8546" spans="1:10" ht="14.4">
      <c r="A8546" s="25"/>
      <c r="B8546" s="25"/>
      <c r="C8546" s="25"/>
      <c r="D8546" s="25"/>
      <c r="E8546" s="25"/>
      <c r="F8546" s="25"/>
      <c r="G8546" s="25"/>
      <c r="H8546" s="25"/>
      <c r="I8546" s="25"/>
      <c r="J8546" s="25"/>
    </row>
    <row r="8547" spans="1:10" ht="14.4">
      <c r="A8547" s="25"/>
      <c r="B8547" s="25"/>
      <c r="C8547" s="25"/>
      <c r="D8547" s="25"/>
      <c r="E8547" s="25"/>
      <c r="F8547" s="25"/>
      <c r="G8547" s="25"/>
      <c r="H8547" s="25"/>
      <c r="I8547" s="25"/>
      <c r="J8547" s="25"/>
    </row>
    <row r="8548" spans="1:10" ht="14.4">
      <c r="A8548" s="25"/>
      <c r="B8548" s="25"/>
      <c r="C8548" s="25"/>
      <c r="D8548" s="25"/>
      <c r="E8548" s="25"/>
      <c r="F8548" s="25"/>
      <c r="G8548" s="25"/>
      <c r="H8548" s="25"/>
      <c r="I8548" s="25"/>
      <c r="J8548" s="25"/>
    </row>
    <row r="8549" spans="1:10" ht="14.4">
      <c r="A8549" s="25"/>
      <c r="B8549" s="25"/>
      <c r="C8549" s="25"/>
      <c r="D8549" s="25"/>
      <c r="E8549" s="25"/>
      <c r="F8549" s="25"/>
      <c r="G8549" s="25"/>
      <c r="H8549" s="25"/>
      <c r="I8549" s="25"/>
      <c r="J8549" s="25"/>
    </row>
    <row r="8550" spans="1:10" ht="14.4">
      <c r="A8550" s="25"/>
      <c r="B8550" s="25"/>
      <c r="C8550" s="25"/>
      <c r="D8550" s="25"/>
      <c r="E8550" s="25"/>
      <c r="F8550" s="25"/>
      <c r="G8550" s="25"/>
      <c r="H8550" s="25"/>
      <c r="I8550" s="25"/>
      <c r="J8550" s="25"/>
    </row>
    <row r="8551" spans="1:10" ht="14.4">
      <c r="A8551" s="25"/>
      <c r="B8551" s="25"/>
      <c r="C8551" s="25"/>
      <c r="D8551" s="25"/>
      <c r="E8551" s="25"/>
      <c r="F8551" s="25"/>
      <c r="G8551" s="25"/>
      <c r="H8551" s="25"/>
      <c r="I8551" s="25"/>
      <c r="J8551" s="25"/>
    </row>
    <row r="8552" spans="1:10" ht="14.4">
      <c r="A8552" s="25"/>
      <c r="B8552" s="25"/>
      <c r="C8552" s="25"/>
      <c r="D8552" s="25"/>
      <c r="E8552" s="25"/>
      <c r="F8552" s="25"/>
      <c r="G8552" s="25"/>
      <c r="H8552" s="25"/>
      <c r="I8552" s="25"/>
      <c r="J8552" s="25"/>
    </row>
    <row r="8553" spans="1:10" ht="14.4">
      <c r="A8553" s="25"/>
      <c r="B8553" s="25"/>
      <c r="C8553" s="25"/>
      <c r="D8553" s="25"/>
      <c r="E8553" s="25"/>
      <c r="F8553" s="25"/>
      <c r="G8553" s="25"/>
      <c r="H8553" s="25"/>
      <c r="I8553" s="25"/>
      <c r="J8553" s="25"/>
    </row>
    <row r="8554" spans="1:10" ht="14.4">
      <c r="A8554" s="25"/>
      <c r="B8554" s="25"/>
      <c r="C8554" s="25"/>
      <c r="D8554" s="25"/>
      <c r="E8554" s="25"/>
      <c r="F8554" s="25"/>
      <c r="G8554" s="25"/>
      <c r="H8554" s="25"/>
      <c r="I8554" s="25"/>
      <c r="J8554" s="25"/>
    </row>
    <row r="8555" spans="1:10" ht="14.4">
      <c r="A8555" s="25"/>
      <c r="B8555" s="25"/>
      <c r="C8555" s="25"/>
      <c r="D8555" s="25"/>
      <c r="E8555" s="25"/>
      <c r="F8555" s="25"/>
      <c r="G8555" s="25"/>
      <c r="H8555" s="25"/>
      <c r="I8555" s="25"/>
      <c r="J8555" s="25"/>
    </row>
    <row r="8556" spans="1:10" ht="14.4">
      <c r="A8556" s="25"/>
      <c r="B8556" s="25"/>
      <c r="C8556" s="25"/>
      <c r="D8556" s="25"/>
      <c r="E8556" s="25"/>
      <c r="F8556" s="25"/>
      <c r="G8556" s="25"/>
      <c r="H8556" s="25"/>
      <c r="I8556" s="25"/>
      <c r="J8556" s="25"/>
    </row>
    <row r="8557" spans="1:10" ht="14.4">
      <c r="A8557" s="25"/>
      <c r="B8557" s="25"/>
      <c r="C8557" s="25"/>
      <c r="D8557" s="25"/>
      <c r="E8557" s="25"/>
      <c r="F8557" s="25"/>
      <c r="G8557" s="25"/>
      <c r="H8557" s="25"/>
      <c r="I8557" s="25"/>
      <c r="J8557" s="25"/>
    </row>
    <row r="8558" spans="1:10" ht="14.4">
      <c r="A8558" s="25"/>
      <c r="B8558" s="25"/>
      <c r="C8558" s="25"/>
      <c r="D8558" s="25"/>
      <c r="E8558" s="25"/>
      <c r="F8558" s="25"/>
      <c r="G8558" s="25"/>
      <c r="H8558" s="25"/>
      <c r="I8558" s="25"/>
      <c r="J8558" s="25"/>
    </row>
    <row r="8559" spans="1:10" ht="14.4">
      <c r="A8559" s="25"/>
      <c r="B8559" s="25"/>
      <c r="C8559" s="25"/>
      <c r="D8559" s="25"/>
      <c r="E8559" s="25"/>
      <c r="F8559" s="25"/>
      <c r="G8559" s="25"/>
      <c r="H8559" s="25"/>
      <c r="I8559" s="25"/>
      <c r="J8559" s="25"/>
    </row>
    <row r="8560" spans="1:10" ht="14.4">
      <c r="A8560" s="25"/>
      <c r="B8560" s="25"/>
      <c r="C8560" s="25"/>
      <c r="D8560" s="25"/>
      <c r="E8560" s="25"/>
      <c r="F8560" s="25"/>
      <c r="G8560" s="25"/>
      <c r="H8560" s="25"/>
      <c r="I8560" s="25"/>
      <c r="J8560" s="25"/>
    </row>
    <row r="8561" spans="1:10" ht="14.4">
      <c r="A8561" s="25"/>
      <c r="B8561" s="25"/>
      <c r="C8561" s="25"/>
      <c r="D8561" s="25"/>
      <c r="E8561" s="25"/>
      <c r="F8561" s="25"/>
      <c r="G8561" s="25"/>
      <c r="H8561" s="25"/>
      <c r="I8561" s="25"/>
      <c r="J8561" s="25"/>
    </row>
    <row r="8562" spans="1:10" ht="14.4">
      <c r="A8562" s="25"/>
      <c r="B8562" s="25"/>
      <c r="C8562" s="25"/>
      <c r="D8562" s="25"/>
      <c r="E8562" s="25"/>
      <c r="F8562" s="25"/>
      <c r="G8562" s="25"/>
      <c r="H8562" s="25"/>
      <c r="I8562" s="25"/>
      <c r="J8562" s="25"/>
    </row>
    <row r="8563" spans="1:10" ht="14.4">
      <c r="A8563" s="25"/>
      <c r="B8563" s="25"/>
      <c r="C8563" s="25"/>
      <c r="D8563" s="25"/>
      <c r="E8563" s="25"/>
      <c r="F8563" s="25"/>
      <c r="G8563" s="25"/>
      <c r="H8563" s="25"/>
      <c r="I8563" s="25"/>
      <c r="J8563" s="25"/>
    </row>
    <row r="8564" spans="1:10" ht="14.4">
      <c r="A8564" s="25"/>
      <c r="B8564" s="25"/>
      <c r="C8564" s="25"/>
      <c r="D8564" s="25"/>
      <c r="E8564" s="25"/>
      <c r="F8564" s="25"/>
      <c r="G8564" s="25"/>
      <c r="H8564" s="25"/>
      <c r="I8564" s="25"/>
      <c r="J8564" s="25"/>
    </row>
    <row r="8565" spans="1:10" ht="14.4">
      <c r="A8565" s="25"/>
      <c r="B8565" s="25"/>
      <c r="C8565" s="25"/>
      <c r="D8565" s="25"/>
      <c r="E8565" s="25"/>
      <c r="F8565" s="25"/>
      <c r="G8565" s="25"/>
      <c r="H8565" s="25"/>
      <c r="I8565" s="25"/>
      <c r="J8565" s="25"/>
    </row>
    <row r="8566" spans="1:10" ht="14.4">
      <c r="A8566" s="25"/>
      <c r="B8566" s="25"/>
      <c r="C8566" s="25"/>
      <c r="D8566" s="25"/>
      <c r="E8566" s="25"/>
      <c r="F8566" s="25"/>
      <c r="G8566" s="25"/>
      <c r="H8566" s="25"/>
      <c r="I8566" s="25"/>
      <c r="J8566" s="25"/>
    </row>
    <row r="8567" spans="1:10" ht="14.4">
      <c r="A8567" s="25"/>
      <c r="B8567" s="25"/>
      <c r="C8567" s="25"/>
      <c r="D8567" s="25"/>
      <c r="E8567" s="25"/>
      <c r="F8567" s="25"/>
      <c r="G8567" s="25"/>
      <c r="H8567" s="25"/>
      <c r="I8567" s="25"/>
      <c r="J8567" s="25"/>
    </row>
    <row r="8568" spans="1:10" ht="14.4">
      <c r="A8568" s="25"/>
      <c r="B8568" s="25"/>
      <c r="C8568" s="25"/>
      <c r="D8568" s="25"/>
      <c r="E8568" s="25"/>
      <c r="F8568" s="25"/>
      <c r="G8568" s="25"/>
      <c r="H8568" s="25"/>
      <c r="I8568" s="25"/>
      <c r="J8568" s="25"/>
    </row>
    <row r="8569" spans="1:10" ht="14.4">
      <c r="A8569" s="25"/>
      <c r="B8569" s="25"/>
      <c r="C8569" s="25"/>
      <c r="D8569" s="25"/>
      <c r="E8569" s="25"/>
      <c r="F8569" s="25"/>
      <c r="G8569" s="25"/>
      <c r="H8569" s="25"/>
      <c r="I8569" s="25"/>
      <c r="J8569" s="25"/>
    </row>
    <row r="8570" spans="1:10" ht="14.4">
      <c r="A8570" s="25"/>
      <c r="B8570" s="25"/>
      <c r="C8570" s="25"/>
      <c r="D8570" s="25"/>
      <c r="E8570" s="25"/>
      <c r="F8570" s="25"/>
      <c r="G8570" s="25"/>
      <c r="H8570" s="25"/>
      <c r="I8570" s="25"/>
      <c r="J8570" s="25"/>
    </row>
    <row r="8571" spans="1:10" ht="14.4">
      <c r="A8571" s="25"/>
      <c r="B8571" s="25"/>
      <c r="C8571" s="25"/>
      <c r="D8571" s="25"/>
      <c r="E8571" s="25"/>
      <c r="F8571" s="25"/>
      <c r="G8571" s="25"/>
      <c r="H8571" s="25"/>
      <c r="I8571" s="25"/>
      <c r="J8571" s="25"/>
    </row>
    <row r="8572" spans="1:10" ht="14.4">
      <c r="A8572" s="25"/>
      <c r="B8572" s="25"/>
      <c r="C8572" s="25"/>
      <c r="D8572" s="25"/>
      <c r="E8572" s="25"/>
      <c r="F8572" s="25"/>
      <c r="G8572" s="25"/>
      <c r="H8572" s="25"/>
      <c r="I8572" s="25"/>
      <c r="J8572" s="25"/>
    </row>
    <row r="8573" spans="1:10" ht="14.4">
      <c r="A8573" s="25"/>
      <c r="B8573" s="25"/>
      <c r="C8573" s="25"/>
      <c r="D8573" s="25"/>
      <c r="E8573" s="25"/>
      <c r="F8573" s="25"/>
      <c r="G8573" s="25"/>
      <c r="H8573" s="25"/>
      <c r="I8573" s="25"/>
      <c r="J8573" s="25"/>
    </row>
    <row r="8574" spans="1:10" ht="14.4">
      <c r="A8574" s="25"/>
      <c r="B8574" s="25"/>
      <c r="C8574" s="25"/>
      <c r="D8574" s="25"/>
      <c r="E8574" s="25"/>
      <c r="F8574" s="25"/>
      <c r="G8574" s="25"/>
      <c r="H8574" s="25"/>
      <c r="I8574" s="25"/>
      <c r="J8574" s="25"/>
    </row>
    <row r="8575" spans="1:10" ht="14.4">
      <c r="A8575" s="25"/>
      <c r="B8575" s="25"/>
      <c r="C8575" s="25"/>
      <c r="D8575" s="25"/>
      <c r="E8575" s="25"/>
      <c r="F8575" s="25"/>
      <c r="G8575" s="25"/>
      <c r="H8575" s="25"/>
      <c r="I8575" s="25"/>
      <c r="J8575" s="25"/>
    </row>
    <row r="8576" spans="1:10" ht="14.4">
      <c r="A8576" s="25"/>
      <c r="B8576" s="25"/>
      <c r="C8576" s="25"/>
      <c r="D8576" s="25"/>
      <c r="E8576" s="25"/>
      <c r="F8576" s="25"/>
      <c r="G8576" s="25"/>
      <c r="H8576" s="25"/>
      <c r="I8576" s="25"/>
      <c r="J8576" s="25"/>
    </row>
    <row r="8577" spans="1:10" ht="14.4">
      <c r="A8577" s="25"/>
      <c r="B8577" s="25"/>
      <c r="C8577" s="25"/>
      <c r="D8577" s="25"/>
      <c r="E8577" s="25"/>
      <c r="F8577" s="25"/>
      <c r="G8577" s="25"/>
      <c r="H8577" s="25"/>
      <c r="I8577" s="25"/>
      <c r="J8577" s="25"/>
    </row>
    <row r="8578" spans="1:10" ht="14.4">
      <c r="A8578" s="25"/>
      <c r="B8578" s="25"/>
      <c r="C8578" s="25"/>
      <c r="D8578" s="25"/>
      <c r="E8578" s="25"/>
      <c r="F8578" s="25"/>
      <c r="G8578" s="25"/>
      <c r="H8578" s="25"/>
      <c r="I8578" s="25"/>
      <c r="J8578" s="25"/>
    </row>
    <row r="8579" spans="1:10" ht="14.4">
      <c r="A8579" s="25"/>
      <c r="B8579" s="25"/>
      <c r="C8579" s="25"/>
      <c r="D8579" s="25"/>
      <c r="E8579" s="25"/>
      <c r="F8579" s="25"/>
      <c r="G8579" s="25"/>
      <c r="H8579" s="25"/>
      <c r="I8579" s="25"/>
      <c r="J8579" s="25"/>
    </row>
    <row r="8580" spans="1:10" ht="14.4">
      <c r="A8580" s="25"/>
      <c r="B8580" s="25"/>
      <c r="C8580" s="25"/>
      <c r="D8580" s="25"/>
      <c r="E8580" s="25"/>
      <c r="F8580" s="25"/>
      <c r="G8580" s="25"/>
      <c r="H8580" s="25"/>
      <c r="I8580" s="25"/>
      <c r="J8580" s="25"/>
    </row>
    <row r="8581" spans="1:10" ht="14.4">
      <c r="A8581" s="25"/>
      <c r="B8581" s="25"/>
      <c r="C8581" s="25"/>
      <c r="D8581" s="25"/>
      <c r="E8581" s="25"/>
      <c r="F8581" s="25"/>
      <c r="G8581" s="25"/>
      <c r="H8581" s="25"/>
      <c r="I8581" s="25"/>
      <c r="J8581" s="25"/>
    </row>
    <row r="8582" spans="1:10" ht="14.4">
      <c r="A8582" s="25"/>
      <c r="B8582" s="25"/>
      <c r="C8582" s="25"/>
      <c r="D8582" s="25"/>
      <c r="E8582" s="25"/>
      <c r="F8582" s="25"/>
      <c r="G8582" s="25"/>
      <c r="H8582" s="25"/>
      <c r="I8582" s="25"/>
      <c r="J8582" s="25"/>
    </row>
    <row r="8583" spans="1:10" ht="14.4">
      <c r="A8583" s="25"/>
      <c r="B8583" s="25"/>
      <c r="C8583" s="25"/>
      <c r="D8583" s="25"/>
      <c r="E8583" s="25"/>
      <c r="F8583" s="25"/>
      <c r="G8583" s="25"/>
      <c r="H8583" s="25"/>
      <c r="I8583" s="25"/>
      <c r="J8583" s="25"/>
    </row>
    <row r="8584" spans="1:10" ht="14.4">
      <c r="A8584" s="25"/>
      <c r="B8584" s="25"/>
      <c r="C8584" s="25"/>
      <c r="D8584" s="25"/>
      <c r="E8584" s="25"/>
      <c r="F8584" s="25"/>
      <c r="G8584" s="25"/>
      <c r="H8584" s="25"/>
      <c r="I8584" s="25"/>
      <c r="J8584" s="25"/>
    </row>
    <row r="8585" spans="1:10" ht="14.4">
      <c r="A8585" s="25"/>
      <c r="B8585" s="25"/>
      <c r="C8585" s="25"/>
      <c r="D8585" s="25"/>
      <c r="E8585" s="25"/>
      <c r="F8585" s="25"/>
      <c r="G8585" s="25"/>
      <c r="H8585" s="25"/>
      <c r="I8585" s="25"/>
      <c r="J8585" s="25"/>
    </row>
    <row r="8586" spans="1:10" ht="14.4">
      <c r="A8586" s="25"/>
      <c r="B8586" s="25"/>
      <c r="C8586" s="25"/>
      <c r="D8586" s="25"/>
      <c r="E8586" s="25"/>
      <c r="F8586" s="25"/>
      <c r="G8586" s="25"/>
      <c r="H8586" s="25"/>
      <c r="I8586" s="25"/>
      <c r="J8586" s="25"/>
    </row>
    <row r="8587" spans="1:10" ht="14.4">
      <c r="A8587" s="25"/>
      <c r="B8587" s="25"/>
      <c r="C8587" s="25"/>
      <c r="D8587" s="25"/>
      <c r="E8587" s="25"/>
      <c r="F8587" s="25"/>
      <c r="G8587" s="25"/>
      <c r="H8587" s="25"/>
      <c r="I8587" s="25"/>
      <c r="J8587" s="25"/>
    </row>
    <row r="8588" spans="1:10" ht="14.4">
      <c r="A8588" s="25"/>
      <c r="B8588" s="25"/>
      <c r="C8588" s="25"/>
      <c r="D8588" s="25"/>
      <c r="E8588" s="25"/>
      <c r="F8588" s="25"/>
      <c r="G8588" s="25"/>
      <c r="H8588" s="25"/>
      <c r="I8588" s="25"/>
      <c r="J8588" s="25"/>
    </row>
    <row r="8589" spans="1:10" ht="14.4">
      <c r="A8589" s="25"/>
      <c r="B8589" s="25"/>
      <c r="C8589" s="25"/>
      <c r="D8589" s="25"/>
      <c r="E8589" s="25"/>
      <c r="F8589" s="25"/>
      <c r="G8589" s="25"/>
      <c r="H8589" s="25"/>
      <c r="I8589" s="25"/>
      <c r="J8589" s="25"/>
    </row>
    <row r="8590" spans="1:10" ht="14.4">
      <c r="A8590" s="25"/>
      <c r="B8590" s="25"/>
      <c r="C8590" s="25"/>
      <c r="D8590" s="25"/>
      <c r="E8590" s="25"/>
      <c r="F8590" s="25"/>
      <c r="G8590" s="25"/>
      <c r="H8590" s="25"/>
      <c r="I8590" s="25"/>
      <c r="J8590" s="25"/>
    </row>
    <row r="8591" spans="1:10" ht="14.4">
      <c r="A8591" s="25"/>
      <c r="B8591" s="25"/>
      <c r="C8591" s="25"/>
      <c r="D8591" s="25"/>
      <c r="E8591" s="25"/>
      <c r="F8591" s="25"/>
      <c r="G8591" s="25"/>
      <c r="H8591" s="25"/>
      <c r="I8591" s="25"/>
      <c r="J8591" s="25"/>
    </row>
    <row r="8592" spans="1:10" ht="14.4">
      <c r="A8592" s="25"/>
      <c r="B8592" s="25"/>
      <c r="C8592" s="25"/>
      <c r="D8592" s="25"/>
      <c r="E8592" s="25"/>
      <c r="F8592" s="25"/>
      <c r="G8592" s="25"/>
      <c r="H8592" s="25"/>
      <c r="I8592" s="25"/>
      <c r="J8592" s="25"/>
    </row>
    <row r="8593" spans="1:10" ht="14.4">
      <c r="A8593" s="25"/>
      <c r="B8593" s="25"/>
      <c r="C8593" s="25"/>
      <c r="D8593" s="25"/>
      <c r="E8593" s="25"/>
      <c r="F8593" s="25"/>
      <c r="G8593" s="25"/>
      <c r="H8593" s="25"/>
      <c r="I8593" s="25"/>
      <c r="J8593" s="25"/>
    </row>
    <row r="8594" spans="1:10" ht="14.4">
      <c r="A8594" s="25"/>
      <c r="B8594" s="25"/>
      <c r="C8594" s="25"/>
      <c r="D8594" s="25"/>
      <c r="E8594" s="25"/>
      <c r="F8594" s="25"/>
      <c r="G8594" s="25"/>
      <c r="H8594" s="25"/>
      <c r="I8594" s="25"/>
      <c r="J8594" s="25"/>
    </row>
    <row r="8595" spans="1:10" ht="14.4">
      <c r="A8595" s="25"/>
      <c r="B8595" s="25"/>
      <c r="C8595" s="25"/>
      <c r="D8595" s="25"/>
      <c r="E8595" s="25"/>
      <c r="F8595" s="25"/>
      <c r="G8595" s="25"/>
      <c r="H8595" s="25"/>
      <c r="I8595" s="25"/>
      <c r="J8595" s="25"/>
    </row>
    <row r="8596" spans="1:10" ht="14.4">
      <c r="A8596" s="25"/>
      <c r="B8596" s="25"/>
      <c r="C8596" s="25"/>
      <c r="D8596" s="25"/>
      <c r="E8596" s="25"/>
      <c r="F8596" s="25"/>
      <c r="G8596" s="25"/>
      <c r="H8596" s="25"/>
      <c r="I8596" s="25"/>
      <c r="J8596" s="25"/>
    </row>
    <row r="8597" spans="1:10" ht="14.4">
      <c r="A8597" s="25"/>
      <c r="B8597" s="25"/>
      <c r="C8597" s="25"/>
      <c r="D8597" s="25"/>
      <c r="E8597" s="25"/>
      <c r="F8597" s="25"/>
      <c r="G8597" s="25"/>
      <c r="H8597" s="25"/>
      <c r="I8597" s="25"/>
      <c r="J8597" s="25"/>
    </row>
    <row r="8598" spans="1:10" ht="14.4">
      <c r="A8598" s="25"/>
      <c r="B8598" s="25"/>
      <c r="C8598" s="25"/>
      <c r="D8598" s="25"/>
      <c r="E8598" s="25"/>
      <c r="F8598" s="25"/>
      <c r="G8598" s="25"/>
      <c r="H8598" s="25"/>
      <c r="I8598" s="25"/>
      <c r="J8598" s="25"/>
    </row>
    <row r="8599" spans="1:10" ht="14.4">
      <c r="A8599" s="25"/>
      <c r="B8599" s="25"/>
      <c r="C8599" s="25"/>
      <c r="D8599" s="25"/>
      <c r="E8599" s="25"/>
      <c r="F8599" s="25"/>
      <c r="G8599" s="25"/>
      <c r="H8599" s="25"/>
      <c r="I8599" s="25"/>
      <c r="J8599" s="25"/>
    </row>
    <row r="8600" spans="1:10" ht="14.4">
      <c r="A8600" s="25"/>
      <c r="B8600" s="25"/>
      <c r="C8600" s="25"/>
      <c r="D8600" s="25"/>
      <c r="E8600" s="25"/>
      <c r="F8600" s="25"/>
      <c r="G8600" s="25"/>
      <c r="H8600" s="25"/>
      <c r="I8600" s="25"/>
      <c r="J8600" s="25"/>
    </row>
    <row r="8601" spans="1:10" ht="14.4">
      <c r="A8601" s="25"/>
      <c r="B8601" s="25"/>
      <c r="C8601" s="25"/>
      <c r="D8601" s="25"/>
      <c r="E8601" s="25"/>
      <c r="F8601" s="25"/>
      <c r="G8601" s="25"/>
      <c r="H8601" s="25"/>
      <c r="I8601" s="25"/>
      <c r="J8601" s="25"/>
    </row>
    <row r="8602" spans="1:10" ht="14.4">
      <c r="A8602" s="25"/>
      <c r="B8602" s="25"/>
      <c r="C8602" s="25"/>
      <c r="D8602" s="25"/>
      <c r="E8602" s="25"/>
      <c r="F8602" s="25"/>
      <c r="G8602" s="25"/>
      <c r="H8602" s="25"/>
      <c r="I8602" s="25"/>
      <c r="J8602" s="25"/>
    </row>
    <row r="8603" spans="1:10" ht="14.4">
      <c r="A8603" s="25"/>
      <c r="B8603" s="25"/>
      <c r="C8603" s="25"/>
      <c r="D8603" s="25"/>
      <c r="E8603" s="25"/>
      <c r="F8603" s="25"/>
      <c r="G8603" s="25"/>
      <c r="H8603" s="25"/>
      <c r="I8603" s="25"/>
      <c r="J8603" s="25"/>
    </row>
    <row r="8604" spans="1:10" ht="14.4">
      <c r="A8604" s="25"/>
      <c r="B8604" s="25"/>
      <c r="C8604" s="25"/>
      <c r="D8604" s="25"/>
      <c r="E8604" s="25"/>
      <c r="F8604" s="25"/>
      <c r="G8604" s="25"/>
      <c r="H8604" s="25"/>
      <c r="I8604" s="25"/>
      <c r="J8604" s="25"/>
    </row>
    <row r="8605" spans="1:10" ht="14.4">
      <c r="A8605" s="25"/>
      <c r="B8605" s="25"/>
      <c r="C8605" s="25"/>
      <c r="D8605" s="25"/>
      <c r="E8605" s="25"/>
      <c r="F8605" s="25"/>
      <c r="G8605" s="25"/>
      <c r="H8605" s="25"/>
      <c r="I8605" s="25"/>
      <c r="J8605" s="25"/>
    </row>
    <row r="8606" spans="1:10" ht="14.4">
      <c r="A8606" s="25"/>
      <c r="B8606" s="25"/>
      <c r="C8606" s="25"/>
      <c r="D8606" s="25"/>
      <c r="E8606" s="25"/>
      <c r="F8606" s="25"/>
      <c r="G8606" s="25"/>
      <c r="H8606" s="25"/>
      <c r="I8606" s="25"/>
      <c r="J8606" s="25"/>
    </row>
    <row r="8607" spans="1:10" ht="14.4">
      <c r="A8607" s="25"/>
      <c r="B8607" s="25"/>
      <c r="C8607" s="25"/>
      <c r="D8607" s="25"/>
      <c r="E8607" s="25"/>
      <c r="F8607" s="25"/>
      <c r="G8607" s="25"/>
      <c r="H8607" s="25"/>
      <c r="I8607" s="25"/>
      <c r="J8607" s="25"/>
    </row>
    <row r="8608" spans="1:10" ht="14.4">
      <c r="A8608" s="25"/>
      <c r="B8608" s="25"/>
      <c r="C8608" s="25"/>
      <c r="D8608" s="25"/>
      <c r="E8608" s="25"/>
      <c r="F8608" s="25"/>
      <c r="G8608" s="25"/>
      <c r="H8608" s="25"/>
      <c r="I8608" s="25"/>
      <c r="J8608" s="25"/>
    </row>
    <row r="8609" spans="1:10" ht="14.4">
      <c r="A8609" s="25"/>
      <c r="B8609" s="25"/>
      <c r="C8609" s="25"/>
      <c r="D8609" s="25"/>
      <c r="E8609" s="25"/>
      <c r="F8609" s="25"/>
      <c r="G8609" s="25"/>
      <c r="H8609" s="25"/>
      <c r="I8609" s="25"/>
      <c r="J8609" s="25"/>
    </row>
    <row r="8610" spans="1:10" ht="14.4">
      <c r="A8610" s="25"/>
      <c r="B8610" s="25"/>
      <c r="C8610" s="25"/>
      <c r="D8610" s="25"/>
      <c r="E8610" s="25"/>
      <c r="F8610" s="25"/>
      <c r="G8610" s="25"/>
      <c r="H8610" s="25"/>
      <c r="I8610" s="25"/>
      <c r="J8610" s="25"/>
    </row>
    <row r="8611" spans="1:10" ht="14.4">
      <c r="A8611" s="25"/>
      <c r="B8611" s="25"/>
      <c r="C8611" s="25"/>
      <c r="D8611" s="25"/>
      <c r="E8611" s="25"/>
      <c r="F8611" s="25"/>
      <c r="G8611" s="25"/>
      <c r="H8611" s="25"/>
      <c r="I8611" s="25"/>
      <c r="J8611" s="25"/>
    </row>
    <row r="8612" spans="1:10" ht="14.4">
      <c r="A8612" s="25"/>
      <c r="B8612" s="25"/>
      <c r="C8612" s="25"/>
      <c r="D8612" s="25"/>
      <c r="E8612" s="25"/>
      <c r="F8612" s="25"/>
      <c r="G8612" s="25"/>
      <c r="H8612" s="25"/>
      <c r="I8612" s="25"/>
      <c r="J8612" s="25"/>
    </row>
    <row r="8613" spans="1:10" ht="14.4">
      <c r="A8613" s="25"/>
      <c r="B8613" s="25"/>
      <c r="C8613" s="25"/>
      <c r="D8613" s="25"/>
      <c r="E8613" s="25"/>
      <c r="F8613" s="25"/>
      <c r="G8613" s="25"/>
      <c r="H8613" s="25"/>
      <c r="I8613" s="25"/>
      <c r="J8613" s="25"/>
    </row>
    <row r="8614" spans="1:10" ht="14.4">
      <c r="A8614" s="25"/>
      <c r="B8614" s="25"/>
      <c r="C8614" s="25"/>
      <c r="D8614" s="25"/>
      <c r="E8614" s="25"/>
      <c r="F8614" s="25"/>
      <c r="G8614" s="25"/>
      <c r="H8614" s="25"/>
      <c r="I8614" s="25"/>
      <c r="J8614" s="25"/>
    </row>
    <row r="8615" spans="1:10" ht="14.4">
      <c r="A8615" s="25"/>
      <c r="B8615" s="25"/>
      <c r="C8615" s="25"/>
      <c r="D8615" s="25"/>
      <c r="E8615" s="25"/>
      <c r="F8615" s="25"/>
      <c r="G8615" s="25"/>
      <c r="H8615" s="25"/>
      <c r="I8615" s="25"/>
      <c r="J8615" s="25"/>
    </row>
    <row r="8616" spans="1:10" ht="14.4">
      <c r="A8616" s="25"/>
      <c r="B8616" s="25"/>
      <c r="C8616" s="25"/>
      <c r="D8616" s="25"/>
      <c r="E8616" s="25"/>
      <c r="F8616" s="25"/>
      <c r="G8616" s="25"/>
      <c r="H8616" s="25"/>
      <c r="I8616" s="25"/>
      <c r="J8616" s="25"/>
    </row>
    <row r="8617" spans="1:10" ht="14.4">
      <c r="A8617" s="25"/>
      <c r="B8617" s="25"/>
      <c r="C8617" s="25"/>
      <c r="D8617" s="25"/>
      <c r="E8617" s="25"/>
      <c r="F8617" s="25"/>
      <c r="G8617" s="25"/>
      <c r="H8617" s="25"/>
      <c r="I8617" s="25"/>
      <c r="J8617" s="25"/>
    </row>
    <row r="8618" spans="1:10" ht="14.4">
      <c r="A8618" s="25"/>
      <c r="B8618" s="25"/>
      <c r="C8618" s="25"/>
      <c r="D8618" s="25"/>
      <c r="E8618" s="25"/>
      <c r="F8618" s="25"/>
      <c r="G8618" s="25"/>
      <c r="H8618" s="25"/>
      <c r="I8618" s="25"/>
      <c r="J8618" s="25"/>
    </row>
    <row r="8619" spans="1:10" ht="14.4">
      <c r="A8619" s="25"/>
      <c r="B8619" s="25"/>
      <c r="C8619" s="25"/>
      <c r="D8619" s="25"/>
      <c r="E8619" s="25"/>
      <c r="F8619" s="25"/>
      <c r="G8619" s="25"/>
      <c r="H8619" s="25"/>
      <c r="I8619" s="25"/>
      <c r="J8619" s="25"/>
    </row>
    <row r="8620" spans="1:10" ht="14.4">
      <c r="A8620" s="25"/>
      <c r="B8620" s="25"/>
      <c r="C8620" s="25"/>
      <c r="D8620" s="25"/>
      <c r="E8620" s="25"/>
      <c r="F8620" s="25"/>
      <c r="G8620" s="25"/>
      <c r="H8620" s="25"/>
      <c r="I8620" s="25"/>
      <c r="J8620" s="25"/>
    </row>
    <row r="8621" spans="1:10" ht="14.4">
      <c r="A8621" s="25"/>
      <c r="B8621" s="25"/>
      <c r="C8621" s="25"/>
      <c r="D8621" s="25"/>
      <c r="E8621" s="25"/>
      <c r="F8621" s="25"/>
      <c r="G8621" s="25"/>
      <c r="H8621" s="25"/>
      <c r="I8621" s="25"/>
      <c r="J8621" s="25"/>
    </row>
    <row r="8622" spans="1:10" ht="14.4">
      <c r="A8622" s="25"/>
      <c r="B8622" s="25"/>
      <c r="C8622" s="25"/>
      <c r="D8622" s="25"/>
      <c r="E8622" s="25"/>
      <c r="F8622" s="25"/>
      <c r="G8622" s="25"/>
      <c r="H8622" s="25"/>
      <c r="I8622" s="25"/>
      <c r="J8622" s="25"/>
    </row>
    <row r="8623" spans="1:10" ht="14.4">
      <c r="A8623" s="25"/>
      <c r="B8623" s="25"/>
      <c r="C8623" s="25"/>
      <c r="D8623" s="25"/>
      <c r="E8623" s="25"/>
      <c r="F8623" s="25"/>
      <c r="G8623" s="25"/>
      <c r="H8623" s="25"/>
      <c r="I8623" s="25"/>
      <c r="J8623" s="25"/>
    </row>
    <row r="8624" spans="1:10" ht="14.4">
      <c r="A8624" s="25"/>
      <c r="B8624" s="25"/>
      <c r="C8624" s="25"/>
      <c r="D8624" s="25"/>
      <c r="E8624" s="25"/>
      <c r="F8624" s="25"/>
      <c r="G8624" s="25"/>
      <c r="H8624" s="25"/>
      <c r="I8624" s="25"/>
      <c r="J8624" s="25"/>
    </row>
    <row r="8625" spans="1:10" ht="14.4">
      <c r="A8625" s="25"/>
      <c r="B8625" s="25"/>
      <c r="C8625" s="25"/>
      <c r="D8625" s="25"/>
      <c r="E8625" s="25"/>
      <c r="F8625" s="25"/>
      <c r="G8625" s="25"/>
      <c r="H8625" s="25"/>
      <c r="I8625" s="25"/>
      <c r="J8625" s="25"/>
    </row>
    <row r="8626" spans="1:10" ht="14.4">
      <c r="A8626" s="25"/>
      <c r="B8626" s="25"/>
      <c r="C8626" s="25"/>
      <c r="D8626" s="25"/>
      <c r="E8626" s="25"/>
      <c r="F8626" s="25"/>
      <c r="G8626" s="25"/>
      <c r="H8626" s="25"/>
      <c r="I8626" s="25"/>
      <c r="J8626" s="25"/>
    </row>
    <row r="8627" spans="1:10" ht="14.4">
      <c r="A8627" s="25"/>
      <c r="B8627" s="25"/>
      <c r="C8627" s="25"/>
      <c r="D8627" s="25"/>
      <c r="E8627" s="25"/>
      <c r="F8627" s="25"/>
      <c r="G8627" s="25"/>
      <c r="H8627" s="25"/>
      <c r="I8627" s="25"/>
      <c r="J8627" s="25"/>
    </row>
    <row r="8628" spans="1:10" ht="14.4">
      <c r="A8628" s="25"/>
      <c r="B8628" s="25"/>
      <c r="C8628" s="25"/>
      <c r="D8628" s="25"/>
      <c r="E8628" s="25"/>
      <c r="F8628" s="25"/>
      <c r="G8628" s="25"/>
      <c r="H8628" s="25"/>
      <c r="I8628" s="25"/>
      <c r="J8628" s="25"/>
    </row>
    <row r="8629" spans="1:10" ht="14.4">
      <c r="A8629" s="25"/>
      <c r="B8629" s="25"/>
      <c r="C8629" s="25"/>
      <c r="D8629" s="25"/>
      <c r="E8629" s="25"/>
      <c r="F8629" s="25"/>
      <c r="G8629" s="25"/>
      <c r="H8629" s="25"/>
      <c r="I8629" s="25"/>
      <c r="J8629" s="25"/>
    </row>
    <row r="8630" spans="1:10" ht="14.4">
      <c r="A8630" s="25"/>
      <c r="B8630" s="25"/>
      <c r="C8630" s="25"/>
      <c r="D8630" s="25"/>
      <c r="E8630" s="25"/>
      <c r="F8630" s="25"/>
      <c r="G8630" s="25"/>
      <c r="H8630" s="25"/>
      <c r="I8630" s="25"/>
      <c r="J8630" s="25"/>
    </row>
    <row r="8631" spans="1:10" ht="14.4">
      <c r="A8631" s="25"/>
      <c r="B8631" s="25"/>
      <c r="C8631" s="25"/>
      <c r="D8631" s="25"/>
      <c r="E8631" s="25"/>
      <c r="F8631" s="25"/>
      <c r="G8631" s="25"/>
      <c r="H8631" s="25"/>
      <c r="I8631" s="25"/>
      <c r="J8631" s="25"/>
    </row>
    <row r="8632" spans="1:10" ht="14.4">
      <c r="A8632" s="25"/>
      <c r="B8632" s="25"/>
      <c r="C8632" s="25"/>
      <c r="D8632" s="25"/>
      <c r="E8632" s="25"/>
      <c r="F8632" s="25"/>
      <c r="G8632" s="25"/>
      <c r="H8632" s="25"/>
      <c r="I8632" s="25"/>
      <c r="J8632" s="25"/>
    </row>
    <row r="8633" spans="1:10" ht="14.4">
      <c r="A8633" s="25"/>
      <c r="B8633" s="25"/>
      <c r="C8633" s="25"/>
      <c r="D8633" s="25"/>
      <c r="E8633" s="25"/>
      <c r="F8633" s="25"/>
      <c r="G8633" s="25"/>
      <c r="H8633" s="25"/>
      <c r="I8633" s="25"/>
      <c r="J8633" s="25"/>
    </row>
    <row r="8634" spans="1:10" ht="14.4">
      <c r="A8634" s="25"/>
      <c r="B8634" s="25"/>
      <c r="C8634" s="25"/>
      <c r="D8634" s="25"/>
      <c r="E8634" s="25"/>
      <c r="F8634" s="25"/>
      <c r="G8634" s="25"/>
      <c r="H8634" s="25"/>
      <c r="I8634" s="25"/>
      <c r="J8634" s="25"/>
    </row>
    <row r="8635" spans="1:10" ht="14.4">
      <c r="A8635" s="25"/>
      <c r="B8635" s="25"/>
      <c r="C8635" s="25"/>
      <c r="D8635" s="25"/>
      <c r="E8635" s="25"/>
      <c r="F8635" s="25"/>
      <c r="G8635" s="25"/>
      <c r="H8635" s="25"/>
      <c r="I8635" s="25"/>
      <c r="J8635" s="25"/>
    </row>
    <row r="8636" spans="1:10" ht="14.4">
      <c r="A8636" s="25"/>
      <c r="B8636" s="25"/>
      <c r="C8636" s="25"/>
      <c r="D8636" s="25"/>
      <c r="E8636" s="25"/>
      <c r="F8636" s="25"/>
      <c r="G8636" s="25"/>
      <c r="H8636" s="25"/>
      <c r="I8636" s="25"/>
      <c r="J8636" s="25"/>
    </row>
    <row r="8637" spans="1:10" ht="14.4">
      <c r="A8637" s="25"/>
      <c r="B8637" s="25"/>
      <c r="C8637" s="25"/>
      <c r="D8637" s="25"/>
      <c r="E8637" s="25"/>
      <c r="F8637" s="25"/>
      <c r="G8637" s="25"/>
      <c r="H8637" s="25"/>
      <c r="I8637" s="25"/>
      <c r="J8637" s="25"/>
    </row>
    <row r="8638" spans="1:10" ht="14.4">
      <c r="A8638" s="25"/>
      <c r="B8638" s="25"/>
      <c r="C8638" s="25"/>
      <c r="D8638" s="25"/>
      <c r="E8638" s="25"/>
      <c r="F8638" s="25"/>
      <c r="G8638" s="25"/>
      <c r="H8638" s="25"/>
      <c r="I8638" s="25"/>
      <c r="J8638" s="25"/>
    </row>
    <row r="8639" spans="1:10" ht="14.4">
      <c r="A8639" s="25"/>
      <c r="B8639" s="25"/>
      <c r="C8639" s="25"/>
      <c r="D8639" s="25"/>
      <c r="E8639" s="25"/>
      <c r="F8639" s="25"/>
      <c r="G8639" s="25"/>
      <c r="H8639" s="25"/>
      <c r="I8639" s="25"/>
      <c r="J8639" s="25"/>
    </row>
    <row r="8640" spans="1:10" ht="14.4">
      <c r="A8640" s="25"/>
      <c r="B8640" s="25"/>
      <c r="C8640" s="25"/>
      <c r="D8640" s="25"/>
      <c r="E8640" s="25"/>
      <c r="F8640" s="25"/>
      <c r="G8640" s="25"/>
      <c r="H8640" s="25"/>
      <c r="I8640" s="25"/>
      <c r="J8640" s="25"/>
    </row>
    <row r="8641" spans="1:10" ht="14.4">
      <c r="A8641" s="25"/>
      <c r="B8641" s="25"/>
      <c r="C8641" s="25"/>
      <c r="D8641" s="25"/>
      <c r="E8641" s="25"/>
      <c r="F8641" s="25"/>
      <c r="G8641" s="25"/>
      <c r="H8641" s="25"/>
      <c r="I8641" s="25"/>
      <c r="J8641" s="25"/>
    </row>
    <row r="8642" spans="1:10" ht="14.4">
      <c r="A8642" s="25"/>
      <c r="B8642" s="25"/>
      <c r="C8642" s="25"/>
      <c r="D8642" s="25"/>
      <c r="E8642" s="25"/>
      <c r="F8642" s="25"/>
      <c r="G8642" s="25"/>
      <c r="H8642" s="25"/>
      <c r="I8642" s="25"/>
      <c r="J8642" s="25"/>
    </row>
    <row r="8643" spans="1:10" ht="14.4">
      <c r="A8643" s="25"/>
      <c r="B8643" s="25"/>
      <c r="C8643" s="25"/>
      <c r="D8643" s="25"/>
      <c r="E8643" s="25"/>
      <c r="F8643" s="25"/>
      <c r="G8643" s="25"/>
      <c r="H8643" s="25"/>
      <c r="I8643" s="25"/>
      <c r="J8643" s="25"/>
    </row>
    <row r="8644" spans="1:10" ht="14.4">
      <c r="A8644" s="25"/>
      <c r="B8644" s="25"/>
      <c r="C8644" s="25"/>
      <c r="D8644" s="25"/>
      <c r="E8644" s="25"/>
      <c r="F8644" s="25"/>
      <c r="G8644" s="25"/>
      <c r="H8644" s="25"/>
      <c r="I8644" s="25"/>
      <c r="J8644" s="25"/>
    </row>
    <row r="8645" spans="1:10" ht="14.4">
      <c r="A8645" s="25"/>
      <c r="B8645" s="25"/>
      <c r="C8645" s="25"/>
      <c r="D8645" s="25"/>
      <c r="E8645" s="25"/>
      <c r="F8645" s="25"/>
      <c r="G8645" s="25"/>
      <c r="H8645" s="25"/>
      <c r="I8645" s="25"/>
      <c r="J8645" s="25"/>
    </row>
    <row r="8646" spans="1:10" ht="14.4">
      <c r="A8646" s="25"/>
      <c r="B8646" s="25"/>
      <c r="C8646" s="25"/>
      <c r="D8646" s="25"/>
      <c r="E8646" s="25"/>
      <c r="F8646" s="25"/>
      <c r="G8646" s="25"/>
      <c r="H8646" s="25"/>
      <c r="I8646" s="25"/>
      <c r="J8646" s="25"/>
    </row>
    <row r="8647" spans="1:10" ht="14.4">
      <c r="A8647" s="25"/>
      <c r="B8647" s="25"/>
      <c r="C8647" s="25"/>
      <c r="D8647" s="25"/>
      <c r="E8647" s="25"/>
      <c r="F8647" s="25"/>
      <c r="G8647" s="25"/>
      <c r="H8647" s="25"/>
      <c r="I8647" s="25"/>
      <c r="J8647" s="25"/>
    </row>
    <row r="8648" spans="1:10" ht="14.4">
      <c r="A8648" s="25"/>
      <c r="B8648" s="25"/>
      <c r="C8648" s="25"/>
      <c r="D8648" s="25"/>
      <c r="E8648" s="25"/>
      <c r="F8648" s="25"/>
      <c r="G8648" s="25"/>
      <c r="H8648" s="25"/>
      <c r="I8648" s="25"/>
      <c r="J8648" s="25"/>
    </row>
    <row r="8649" spans="1:10" ht="14.4">
      <c r="A8649" s="25"/>
      <c r="B8649" s="25"/>
      <c r="C8649" s="25"/>
      <c r="D8649" s="25"/>
      <c r="E8649" s="25"/>
      <c r="F8649" s="25"/>
      <c r="G8649" s="25"/>
      <c r="H8649" s="25"/>
      <c r="I8649" s="25"/>
      <c r="J8649" s="25"/>
    </row>
    <row r="8650" spans="1:10" ht="14.4">
      <c r="A8650" s="25"/>
      <c r="B8650" s="25"/>
      <c r="C8650" s="25"/>
      <c r="D8650" s="25"/>
      <c r="E8650" s="25"/>
      <c r="F8650" s="25"/>
      <c r="G8650" s="25"/>
      <c r="H8650" s="25"/>
      <c r="I8650" s="25"/>
      <c r="J8650" s="25"/>
    </row>
    <row r="8651" spans="1:10" ht="14.4">
      <c r="A8651" s="25"/>
      <c r="B8651" s="25"/>
      <c r="C8651" s="25"/>
      <c r="D8651" s="25"/>
      <c r="E8651" s="25"/>
      <c r="F8651" s="25"/>
      <c r="G8651" s="25"/>
      <c r="H8651" s="25"/>
      <c r="I8651" s="25"/>
      <c r="J8651" s="25"/>
    </row>
    <row r="8652" spans="1:10" ht="14.4">
      <c r="A8652" s="25"/>
      <c r="B8652" s="25"/>
      <c r="C8652" s="25"/>
      <c r="D8652" s="25"/>
      <c r="E8652" s="25"/>
      <c r="F8652" s="25"/>
      <c r="G8652" s="25"/>
      <c r="H8652" s="25"/>
      <c r="I8652" s="25"/>
      <c r="J8652" s="25"/>
    </row>
    <row r="8653" spans="1:10" ht="14.4">
      <c r="A8653" s="25"/>
      <c r="B8653" s="25"/>
      <c r="C8653" s="25"/>
      <c r="D8653" s="25"/>
      <c r="E8653" s="25"/>
      <c r="F8653" s="25"/>
      <c r="G8653" s="25"/>
      <c r="H8653" s="25"/>
      <c r="I8653" s="25"/>
      <c r="J8653" s="25"/>
    </row>
    <row r="8654" spans="1:10" ht="14.4">
      <c r="A8654" s="25"/>
      <c r="B8654" s="25"/>
      <c r="C8654" s="25"/>
      <c r="D8654" s="25"/>
      <c r="E8654" s="25"/>
      <c r="F8654" s="25"/>
      <c r="G8654" s="25"/>
      <c r="H8654" s="25"/>
      <c r="I8654" s="25"/>
      <c r="J8654" s="25"/>
    </row>
    <row r="8655" spans="1:10" ht="14.4">
      <c r="A8655" s="25"/>
      <c r="B8655" s="25"/>
      <c r="C8655" s="25"/>
      <c r="D8655" s="25"/>
      <c r="E8655" s="25"/>
      <c r="F8655" s="25"/>
      <c r="G8655" s="25"/>
      <c r="H8655" s="25"/>
      <c r="I8655" s="25"/>
      <c r="J8655" s="25"/>
    </row>
    <row r="8656" spans="1:10" ht="14.4">
      <c r="A8656" s="25"/>
      <c r="B8656" s="25"/>
      <c r="C8656" s="25"/>
      <c r="D8656" s="25"/>
      <c r="E8656" s="25"/>
      <c r="F8656" s="25"/>
      <c r="G8656" s="25"/>
      <c r="H8656" s="25"/>
      <c r="I8656" s="25"/>
      <c r="J8656" s="25"/>
    </row>
    <row r="8657" spans="1:10" ht="14.4">
      <c r="A8657" s="25"/>
      <c r="B8657" s="25"/>
      <c r="C8657" s="25"/>
      <c r="D8657" s="25"/>
      <c r="E8657" s="25"/>
      <c r="F8657" s="25"/>
      <c r="G8657" s="25"/>
      <c r="H8657" s="25"/>
      <c r="I8657" s="25"/>
      <c r="J8657" s="25"/>
    </row>
    <row r="8658" spans="1:10" ht="14.4">
      <c r="A8658" s="25"/>
      <c r="B8658" s="25"/>
      <c r="C8658" s="25"/>
      <c r="D8658" s="25"/>
      <c r="E8658" s="25"/>
      <c r="F8658" s="25"/>
      <c r="G8658" s="25"/>
      <c r="H8658" s="25"/>
      <c r="I8658" s="25"/>
      <c r="J8658" s="25"/>
    </row>
    <row r="8659" spans="1:10" ht="14.4">
      <c r="A8659" s="25"/>
      <c r="B8659" s="25"/>
      <c r="C8659" s="25"/>
      <c r="D8659" s="25"/>
      <c r="E8659" s="25"/>
      <c r="F8659" s="25"/>
      <c r="G8659" s="25"/>
      <c r="H8659" s="25"/>
      <c r="I8659" s="25"/>
      <c r="J8659" s="25"/>
    </row>
    <row r="8660" spans="1:10" ht="14.4">
      <c r="A8660" s="25"/>
      <c r="B8660" s="25"/>
      <c r="C8660" s="25"/>
      <c r="D8660" s="25"/>
      <c r="E8660" s="25"/>
      <c r="F8660" s="25"/>
      <c r="G8660" s="25"/>
      <c r="H8660" s="25"/>
      <c r="I8660" s="25"/>
      <c r="J8660" s="25"/>
    </row>
    <row r="8661" spans="1:10" ht="14.4">
      <c r="A8661" s="25"/>
      <c r="B8661" s="25"/>
      <c r="C8661" s="25"/>
      <c r="D8661" s="25"/>
      <c r="E8661" s="25"/>
      <c r="F8661" s="25"/>
      <c r="G8661" s="25"/>
      <c r="H8661" s="25"/>
      <c r="I8661" s="25"/>
      <c r="J8661" s="25"/>
    </row>
    <row r="8662" spans="1:10" ht="14.4">
      <c r="A8662" s="25"/>
      <c r="B8662" s="25"/>
      <c r="C8662" s="25"/>
      <c r="D8662" s="25"/>
      <c r="E8662" s="25"/>
      <c r="F8662" s="25"/>
      <c r="G8662" s="25"/>
      <c r="H8662" s="25"/>
      <c r="I8662" s="25"/>
      <c r="J8662" s="25"/>
    </row>
    <row r="8663" spans="1:10" ht="14.4">
      <c r="A8663" s="25"/>
      <c r="B8663" s="25"/>
      <c r="C8663" s="25"/>
      <c r="D8663" s="25"/>
      <c r="E8663" s="25"/>
      <c r="F8663" s="25"/>
      <c r="G8663" s="25"/>
      <c r="H8663" s="25"/>
      <c r="I8663" s="25"/>
      <c r="J8663" s="25"/>
    </row>
    <row r="8664" spans="1:10" ht="14.4">
      <c r="A8664" s="25"/>
      <c r="B8664" s="25"/>
      <c r="C8664" s="25"/>
      <c r="D8664" s="25"/>
      <c r="E8664" s="25"/>
      <c r="F8664" s="25"/>
      <c r="G8664" s="25"/>
      <c r="H8664" s="25"/>
      <c r="I8664" s="25"/>
      <c r="J8664" s="25"/>
    </row>
    <row r="8665" spans="1:10" ht="14.4">
      <c r="A8665" s="25"/>
      <c r="B8665" s="25"/>
      <c r="C8665" s="25"/>
      <c r="D8665" s="25"/>
      <c r="E8665" s="25"/>
      <c r="F8665" s="25"/>
      <c r="G8665" s="25"/>
      <c r="H8665" s="25"/>
      <c r="I8665" s="25"/>
      <c r="J8665" s="25"/>
    </row>
    <row r="8666" spans="1:10" ht="14.4">
      <c r="A8666" s="25"/>
      <c r="B8666" s="25"/>
      <c r="C8666" s="25"/>
      <c r="D8666" s="25"/>
      <c r="E8666" s="25"/>
      <c r="F8666" s="25"/>
      <c r="G8666" s="25"/>
      <c r="H8666" s="25"/>
      <c r="I8666" s="25"/>
      <c r="J8666" s="25"/>
    </row>
    <row r="8667" spans="1:10" ht="14.4">
      <c r="A8667" s="25"/>
      <c r="B8667" s="25"/>
      <c r="C8667" s="25"/>
      <c r="D8667" s="25"/>
      <c r="E8667" s="25"/>
      <c r="F8667" s="25"/>
      <c r="G8667" s="25"/>
      <c r="H8667" s="25"/>
      <c r="I8667" s="25"/>
      <c r="J8667" s="25"/>
    </row>
    <row r="8668" spans="1:10" ht="14.4">
      <c r="A8668" s="25"/>
      <c r="B8668" s="25"/>
      <c r="C8668" s="25"/>
      <c r="D8668" s="25"/>
      <c r="E8668" s="25"/>
      <c r="F8668" s="25"/>
      <c r="G8668" s="25"/>
      <c r="H8668" s="25"/>
      <c r="I8668" s="25"/>
      <c r="J8668" s="25"/>
    </row>
    <row r="8669" spans="1:10" ht="14.4">
      <c r="A8669" s="25"/>
      <c r="B8669" s="25"/>
      <c r="C8669" s="25"/>
      <c r="D8669" s="25"/>
      <c r="E8669" s="25"/>
      <c r="F8669" s="25"/>
      <c r="G8669" s="25"/>
      <c r="H8669" s="25"/>
      <c r="I8669" s="25"/>
      <c r="J8669" s="25"/>
    </row>
    <row r="8670" spans="1:10" ht="14.4">
      <c r="A8670" s="25"/>
      <c r="B8670" s="25"/>
      <c r="C8670" s="25"/>
      <c r="D8670" s="25"/>
      <c r="E8670" s="25"/>
      <c r="F8670" s="25"/>
      <c r="G8670" s="25"/>
      <c r="H8670" s="25"/>
      <c r="I8670" s="25"/>
      <c r="J8670" s="25"/>
    </row>
    <row r="8671" spans="1:10" ht="14.4">
      <c r="A8671" s="25"/>
      <c r="B8671" s="25"/>
      <c r="C8671" s="25"/>
      <c r="D8671" s="25"/>
      <c r="E8671" s="25"/>
      <c r="F8671" s="25"/>
      <c r="G8671" s="25"/>
      <c r="H8671" s="25"/>
      <c r="I8671" s="25"/>
      <c r="J8671" s="25"/>
    </row>
    <row r="8672" spans="1:10" ht="14.4">
      <c r="A8672" s="25"/>
      <c r="B8672" s="25"/>
      <c r="C8672" s="25"/>
      <c r="D8672" s="25"/>
      <c r="E8672" s="25"/>
      <c r="F8672" s="25"/>
      <c r="G8672" s="25"/>
      <c r="H8672" s="25"/>
      <c r="I8672" s="25"/>
      <c r="J8672" s="25"/>
    </row>
    <row r="8673" spans="1:10" ht="14.4">
      <c r="A8673" s="25"/>
      <c r="B8673" s="25"/>
      <c r="C8673" s="25"/>
      <c r="D8673" s="25"/>
      <c r="E8673" s="25"/>
      <c r="F8673" s="25"/>
      <c r="G8673" s="25"/>
      <c r="H8673" s="25"/>
      <c r="I8673" s="25"/>
      <c r="J8673" s="25"/>
    </row>
    <row r="8674" spans="1:10" ht="14.4">
      <c r="A8674" s="25"/>
      <c r="B8674" s="25"/>
      <c r="C8674" s="25"/>
      <c r="D8674" s="25"/>
      <c r="E8674" s="25"/>
      <c r="F8674" s="25"/>
      <c r="G8674" s="25"/>
      <c r="H8674" s="25"/>
      <c r="I8674" s="25"/>
      <c r="J8674" s="25"/>
    </row>
    <row r="8675" spans="1:10" ht="14.4">
      <c r="A8675" s="25"/>
      <c r="B8675" s="25"/>
      <c r="C8675" s="25"/>
      <c r="D8675" s="25"/>
      <c r="E8675" s="25"/>
      <c r="F8675" s="25"/>
      <c r="G8675" s="25"/>
      <c r="H8675" s="25"/>
      <c r="I8675" s="25"/>
      <c r="J8675" s="25"/>
    </row>
    <row r="8676" spans="1:10" ht="14.4">
      <c r="A8676" s="25"/>
      <c r="B8676" s="25"/>
      <c r="C8676" s="25"/>
      <c r="D8676" s="25"/>
      <c r="E8676" s="25"/>
      <c r="F8676" s="25"/>
      <c r="G8676" s="25"/>
      <c r="H8676" s="25"/>
      <c r="I8676" s="25"/>
      <c r="J8676" s="25"/>
    </row>
    <row r="8677" spans="1:10" ht="14.4">
      <c r="A8677" s="25"/>
      <c r="B8677" s="25"/>
      <c r="C8677" s="25"/>
      <c r="D8677" s="25"/>
      <c r="E8677" s="25"/>
      <c r="F8677" s="25"/>
      <c r="G8677" s="25"/>
      <c r="H8677" s="25"/>
      <c r="I8677" s="25"/>
      <c r="J8677" s="25"/>
    </row>
    <row r="8678" spans="1:10" ht="14.4">
      <c r="A8678" s="25"/>
      <c r="B8678" s="25"/>
      <c r="C8678" s="25"/>
      <c r="D8678" s="25"/>
      <c r="E8678" s="25"/>
      <c r="F8678" s="25"/>
      <c r="G8678" s="25"/>
      <c r="H8678" s="25"/>
      <c r="I8678" s="25"/>
      <c r="J8678" s="25"/>
    </row>
    <row r="8679" spans="1:10" ht="14.4">
      <c r="A8679" s="25"/>
      <c r="B8679" s="25"/>
      <c r="C8679" s="25"/>
      <c r="D8679" s="25"/>
      <c r="E8679" s="25"/>
      <c r="F8679" s="25"/>
      <c r="G8679" s="25"/>
      <c r="H8679" s="25"/>
      <c r="I8679" s="25"/>
      <c r="J8679" s="25"/>
    </row>
    <row r="8680" spans="1:10" ht="14.4">
      <c r="A8680" s="25"/>
      <c r="B8680" s="25"/>
      <c r="C8680" s="25"/>
      <c r="D8680" s="25"/>
      <c r="E8680" s="25"/>
      <c r="F8680" s="25"/>
      <c r="G8680" s="25"/>
      <c r="H8680" s="25"/>
      <c r="I8680" s="25"/>
      <c r="J8680" s="25"/>
    </row>
    <row r="8681" spans="1:10" ht="14.4">
      <c r="A8681" s="25"/>
      <c r="B8681" s="25"/>
      <c r="C8681" s="25"/>
      <c r="D8681" s="25"/>
      <c r="E8681" s="25"/>
      <c r="F8681" s="25"/>
      <c r="G8681" s="25"/>
      <c r="H8681" s="25"/>
      <c r="I8681" s="25"/>
      <c r="J8681" s="25"/>
    </row>
    <row r="8682" spans="1:10" ht="14.4">
      <c r="A8682" s="25"/>
      <c r="B8682" s="25"/>
      <c r="C8682" s="25"/>
      <c r="D8682" s="25"/>
      <c r="E8682" s="25"/>
      <c r="F8682" s="25"/>
      <c r="G8682" s="25"/>
      <c r="H8682" s="25"/>
      <c r="I8682" s="25"/>
      <c r="J8682" s="25"/>
    </row>
    <row r="8683" spans="1:10" ht="14.4">
      <c r="A8683" s="25"/>
      <c r="B8683" s="25"/>
      <c r="C8683" s="25"/>
      <c r="D8683" s="25"/>
      <c r="E8683" s="25"/>
      <c r="F8683" s="25"/>
      <c r="G8683" s="25"/>
      <c r="H8683" s="25"/>
      <c r="I8683" s="25"/>
      <c r="J8683" s="25"/>
    </row>
    <row r="8684" spans="1:10" ht="14.4">
      <c r="A8684" s="25"/>
      <c r="B8684" s="25"/>
      <c r="C8684" s="25"/>
      <c r="D8684" s="25"/>
      <c r="E8684" s="25"/>
      <c r="F8684" s="25"/>
      <c r="G8684" s="25"/>
      <c r="H8684" s="25"/>
      <c r="I8684" s="25"/>
      <c r="J8684" s="25"/>
    </row>
    <row r="8685" spans="1:10" ht="14.4">
      <c r="A8685" s="25"/>
      <c r="B8685" s="25"/>
      <c r="C8685" s="25"/>
      <c r="D8685" s="25"/>
      <c r="E8685" s="25"/>
      <c r="F8685" s="25"/>
      <c r="G8685" s="25"/>
      <c r="H8685" s="25"/>
      <c r="I8685" s="25"/>
      <c r="J8685" s="25"/>
    </row>
    <row r="8686" spans="1:10" ht="14.4">
      <c r="A8686" s="25"/>
      <c r="B8686" s="25"/>
      <c r="C8686" s="25"/>
      <c r="D8686" s="25"/>
      <c r="E8686" s="25"/>
      <c r="F8686" s="25"/>
      <c r="G8686" s="25"/>
      <c r="H8686" s="25"/>
      <c r="I8686" s="25"/>
      <c r="J8686" s="25"/>
    </row>
    <row r="8687" spans="1:10" ht="14.4">
      <c r="A8687" s="25"/>
      <c r="B8687" s="25"/>
      <c r="C8687" s="25"/>
      <c r="D8687" s="25"/>
      <c r="E8687" s="25"/>
      <c r="F8687" s="25"/>
      <c r="G8687" s="25"/>
      <c r="H8687" s="25"/>
      <c r="I8687" s="25"/>
      <c r="J8687" s="25"/>
    </row>
    <row r="8688" spans="1:10" ht="14.4">
      <c r="A8688" s="25"/>
      <c r="B8688" s="25"/>
      <c r="C8688" s="25"/>
      <c r="D8688" s="25"/>
      <c r="E8688" s="25"/>
      <c r="F8688" s="25"/>
      <c r="G8688" s="25"/>
      <c r="H8688" s="25"/>
      <c r="I8688" s="25"/>
      <c r="J8688" s="25"/>
    </row>
    <row r="8689" spans="1:10" ht="14.4">
      <c r="A8689" s="25"/>
      <c r="B8689" s="25"/>
      <c r="C8689" s="25"/>
      <c r="D8689" s="25"/>
      <c r="E8689" s="25"/>
      <c r="F8689" s="25"/>
      <c r="G8689" s="25"/>
      <c r="H8689" s="25"/>
      <c r="I8689" s="25"/>
      <c r="J8689" s="25"/>
    </row>
    <row r="8690" spans="1:10" ht="14.4">
      <c r="A8690" s="25"/>
      <c r="B8690" s="25"/>
      <c r="C8690" s="25"/>
      <c r="D8690" s="25"/>
      <c r="E8690" s="25"/>
      <c r="F8690" s="25"/>
      <c r="G8690" s="25"/>
      <c r="H8690" s="25"/>
      <c r="I8690" s="25"/>
      <c r="J8690" s="25"/>
    </row>
    <row r="8691" spans="1:10" ht="14.4">
      <c r="A8691" s="25"/>
      <c r="B8691" s="25"/>
      <c r="C8691" s="25"/>
      <c r="D8691" s="25"/>
      <c r="E8691" s="25"/>
      <c r="F8691" s="25"/>
      <c r="G8691" s="25"/>
      <c r="H8691" s="25"/>
      <c r="I8691" s="25"/>
      <c r="J8691" s="25"/>
    </row>
    <row r="8692" spans="1:10" ht="14.4">
      <c r="A8692" s="25"/>
      <c r="B8692" s="25"/>
      <c r="C8692" s="25"/>
      <c r="D8692" s="25"/>
      <c r="E8692" s="25"/>
      <c r="F8692" s="25"/>
      <c r="G8692" s="25"/>
      <c r="H8692" s="25"/>
      <c r="I8692" s="25"/>
      <c r="J8692" s="25"/>
    </row>
    <row r="8693" spans="1:10" ht="14.4">
      <c r="A8693" s="25"/>
      <c r="B8693" s="25"/>
      <c r="C8693" s="25"/>
      <c r="D8693" s="25"/>
      <c r="E8693" s="25"/>
      <c r="F8693" s="25"/>
      <c r="G8693" s="25"/>
      <c r="H8693" s="25"/>
      <c r="I8693" s="25"/>
      <c r="J8693" s="25"/>
    </row>
    <row r="8694" spans="1:10" ht="14.4">
      <c r="A8694" s="25"/>
      <c r="B8694" s="25"/>
      <c r="C8694" s="25"/>
      <c r="D8694" s="25"/>
      <c r="E8694" s="25"/>
      <c r="F8694" s="25"/>
      <c r="G8694" s="25"/>
      <c r="H8694" s="25"/>
      <c r="I8694" s="25"/>
      <c r="J8694" s="25"/>
    </row>
    <row r="8695" spans="1:10" ht="14.4">
      <c r="A8695" s="25"/>
      <c r="B8695" s="25"/>
      <c r="C8695" s="25"/>
      <c r="D8695" s="25"/>
      <c r="E8695" s="25"/>
      <c r="F8695" s="25"/>
      <c r="G8695" s="25"/>
      <c r="H8695" s="25"/>
      <c r="I8695" s="25"/>
      <c r="J8695" s="25"/>
    </row>
    <row r="8696" spans="1:10" ht="14.4">
      <c r="A8696" s="25"/>
      <c r="B8696" s="25"/>
      <c r="C8696" s="25"/>
      <c r="D8696" s="25"/>
      <c r="E8696" s="25"/>
      <c r="F8696" s="25"/>
      <c r="G8696" s="25"/>
      <c r="H8696" s="25"/>
      <c r="I8696" s="25"/>
      <c r="J8696" s="25"/>
    </row>
    <row r="8697" spans="1:10" ht="14.4">
      <c r="A8697" s="25"/>
      <c r="B8697" s="25"/>
      <c r="C8697" s="25"/>
      <c r="D8697" s="25"/>
      <c r="E8697" s="25"/>
      <c r="F8697" s="25"/>
      <c r="G8697" s="25"/>
      <c r="H8697" s="25"/>
      <c r="I8697" s="25"/>
      <c r="J8697" s="25"/>
    </row>
    <row r="8698" spans="1:10" ht="14.4">
      <c r="A8698" s="25"/>
      <c r="B8698" s="25"/>
      <c r="C8698" s="25"/>
      <c r="D8698" s="25"/>
      <c r="E8698" s="25"/>
      <c r="F8698" s="25"/>
      <c r="G8698" s="25"/>
      <c r="H8698" s="25"/>
      <c r="I8698" s="25"/>
      <c r="J8698" s="25"/>
    </row>
    <row r="8699" spans="1:10" ht="14.4">
      <c r="A8699" s="25"/>
      <c r="B8699" s="25"/>
      <c r="C8699" s="25"/>
      <c r="D8699" s="25"/>
      <c r="E8699" s="25"/>
      <c r="F8699" s="25"/>
      <c r="G8699" s="25"/>
      <c r="H8699" s="25"/>
      <c r="I8699" s="25"/>
      <c r="J8699" s="25"/>
    </row>
    <row r="8700" spans="1:10" ht="14.4">
      <c r="A8700" s="25"/>
      <c r="B8700" s="25"/>
      <c r="C8700" s="25"/>
      <c r="D8700" s="25"/>
      <c r="E8700" s="25"/>
      <c r="F8700" s="25"/>
      <c r="G8700" s="25"/>
      <c r="H8700" s="25"/>
      <c r="I8700" s="25"/>
      <c r="J8700" s="25"/>
    </row>
    <row r="8701" spans="1:10" ht="14.4">
      <c r="A8701" s="25"/>
      <c r="B8701" s="25"/>
      <c r="C8701" s="25"/>
      <c r="D8701" s="25"/>
      <c r="E8701" s="25"/>
      <c r="F8701" s="25"/>
      <c r="G8701" s="25"/>
      <c r="H8701" s="25"/>
      <c r="I8701" s="25"/>
      <c r="J8701" s="25"/>
    </row>
    <row r="8702" spans="1:10" ht="14.4">
      <c r="A8702" s="25"/>
      <c r="B8702" s="25"/>
      <c r="C8702" s="25"/>
      <c r="D8702" s="25"/>
      <c r="E8702" s="25"/>
      <c r="F8702" s="25"/>
      <c r="G8702" s="25"/>
      <c r="H8702" s="25"/>
      <c r="I8702" s="25"/>
      <c r="J8702" s="25"/>
    </row>
    <row r="8703" spans="1:10" ht="14.4">
      <c r="A8703" s="25"/>
      <c r="B8703" s="25"/>
      <c r="C8703" s="25"/>
      <c r="D8703" s="25"/>
      <c r="E8703" s="25"/>
      <c r="F8703" s="25"/>
      <c r="G8703" s="25"/>
      <c r="H8703" s="25"/>
      <c r="I8703" s="25"/>
      <c r="J8703" s="25"/>
    </row>
    <row r="8704" spans="1:10" ht="14.4">
      <c r="A8704" s="25"/>
      <c r="B8704" s="25"/>
      <c r="C8704" s="25"/>
      <c r="D8704" s="25"/>
      <c r="E8704" s="25"/>
      <c r="F8704" s="25"/>
      <c r="G8704" s="25"/>
      <c r="H8704" s="25"/>
      <c r="I8704" s="25"/>
      <c r="J8704" s="25"/>
    </row>
    <row r="8705" spans="1:10" ht="14.4">
      <c r="A8705" s="25"/>
      <c r="B8705" s="25"/>
      <c r="C8705" s="25"/>
      <c r="D8705" s="25"/>
      <c r="E8705" s="25"/>
      <c r="F8705" s="25"/>
      <c r="G8705" s="25"/>
      <c r="H8705" s="25"/>
      <c r="I8705" s="25"/>
      <c r="J8705" s="25"/>
    </row>
    <row r="8706" spans="1:10" ht="14.4">
      <c r="A8706" s="25"/>
      <c r="B8706" s="25"/>
      <c r="C8706" s="25"/>
      <c r="D8706" s="25"/>
      <c r="E8706" s="25"/>
      <c r="F8706" s="25"/>
      <c r="G8706" s="25"/>
      <c r="H8706" s="25"/>
      <c r="I8706" s="25"/>
      <c r="J8706" s="25"/>
    </row>
    <row r="8707" spans="1:10" ht="14.4">
      <c r="A8707" s="25"/>
      <c r="B8707" s="25"/>
      <c r="C8707" s="25"/>
      <c r="D8707" s="25"/>
      <c r="E8707" s="25"/>
      <c r="F8707" s="25"/>
      <c r="G8707" s="25"/>
      <c r="H8707" s="25"/>
      <c r="I8707" s="25"/>
      <c r="J8707" s="25"/>
    </row>
    <row r="8708" spans="1:10" ht="14.4">
      <c r="A8708" s="25"/>
      <c r="B8708" s="25"/>
      <c r="C8708" s="25"/>
      <c r="D8708" s="25"/>
      <c r="E8708" s="25"/>
      <c r="F8708" s="25"/>
      <c r="G8708" s="25"/>
      <c r="H8708" s="25"/>
      <c r="I8708" s="25"/>
      <c r="J8708" s="25"/>
    </row>
    <row r="8709" spans="1:10" ht="14.4">
      <c r="A8709" s="25"/>
      <c r="B8709" s="25"/>
      <c r="C8709" s="25"/>
      <c r="D8709" s="25"/>
      <c r="E8709" s="25"/>
      <c r="F8709" s="25"/>
      <c r="G8709" s="25"/>
      <c r="H8709" s="25"/>
      <c r="I8709" s="25"/>
      <c r="J8709" s="25"/>
    </row>
    <row r="8710" spans="1:10" ht="14.4">
      <c r="A8710" s="25"/>
      <c r="B8710" s="25"/>
      <c r="C8710" s="25"/>
      <c r="D8710" s="25"/>
      <c r="E8710" s="25"/>
      <c r="F8710" s="25"/>
      <c r="G8710" s="25"/>
      <c r="H8710" s="25"/>
      <c r="I8710" s="25"/>
      <c r="J8710" s="25"/>
    </row>
    <row r="8711" spans="1:10" ht="14.4">
      <c r="A8711" s="25"/>
      <c r="B8711" s="25"/>
      <c r="C8711" s="25"/>
      <c r="D8711" s="25"/>
      <c r="E8711" s="25"/>
      <c r="F8711" s="25"/>
      <c r="G8711" s="25"/>
      <c r="H8711" s="25"/>
      <c r="I8711" s="25"/>
      <c r="J8711" s="25"/>
    </row>
    <row r="8712" spans="1:10" ht="14.4">
      <c r="A8712" s="25"/>
      <c r="B8712" s="25"/>
      <c r="C8712" s="25"/>
      <c r="D8712" s="25"/>
      <c r="E8712" s="25"/>
      <c r="F8712" s="25"/>
      <c r="G8712" s="25"/>
      <c r="H8712" s="25"/>
      <c r="I8712" s="25"/>
      <c r="J8712" s="25"/>
    </row>
    <row r="8713" spans="1:10" ht="14.4">
      <c r="A8713" s="25"/>
      <c r="B8713" s="25"/>
      <c r="C8713" s="25"/>
      <c r="D8713" s="25"/>
      <c r="E8713" s="25"/>
      <c r="F8713" s="25"/>
      <c r="G8713" s="25"/>
      <c r="H8713" s="25"/>
      <c r="I8713" s="25"/>
      <c r="J8713" s="25"/>
    </row>
    <row r="8714" spans="1:10" ht="14.4">
      <c r="A8714" s="25"/>
      <c r="B8714" s="25"/>
      <c r="C8714" s="25"/>
      <c r="D8714" s="25"/>
      <c r="E8714" s="25"/>
      <c r="F8714" s="25"/>
      <c r="G8714" s="25"/>
      <c r="H8714" s="25"/>
      <c r="I8714" s="25"/>
      <c r="J8714" s="25"/>
    </row>
    <row r="8715" spans="1:10" ht="14.4">
      <c r="A8715" s="25"/>
      <c r="B8715" s="25"/>
      <c r="C8715" s="25"/>
      <c r="D8715" s="25"/>
      <c r="E8715" s="25"/>
      <c r="F8715" s="25"/>
      <c r="G8715" s="25"/>
      <c r="H8715" s="25"/>
      <c r="I8715" s="25"/>
      <c r="J8715" s="25"/>
    </row>
    <row r="8716" spans="1:10" ht="14.4">
      <c r="A8716" s="25"/>
      <c r="B8716" s="25"/>
      <c r="C8716" s="25"/>
      <c r="D8716" s="25"/>
      <c r="E8716" s="25"/>
      <c r="F8716" s="25"/>
      <c r="G8716" s="25"/>
      <c r="H8716" s="25"/>
      <c r="I8716" s="25"/>
      <c r="J8716" s="25"/>
    </row>
    <row r="8717" spans="1:10" ht="14.4">
      <c r="A8717" s="25"/>
      <c r="B8717" s="25"/>
      <c r="C8717" s="25"/>
      <c r="D8717" s="25"/>
      <c r="E8717" s="25"/>
      <c r="F8717" s="25"/>
      <c r="G8717" s="25"/>
      <c r="H8717" s="25"/>
      <c r="I8717" s="25"/>
      <c r="J8717" s="25"/>
    </row>
    <row r="8718" spans="1:10" ht="14.4">
      <c r="A8718" s="25"/>
      <c r="B8718" s="25"/>
      <c r="C8718" s="25"/>
      <c r="D8718" s="25"/>
      <c r="E8718" s="25"/>
      <c r="F8718" s="25"/>
      <c r="G8718" s="25"/>
      <c r="H8718" s="25"/>
      <c r="I8718" s="25"/>
      <c r="J8718" s="25"/>
    </row>
    <row r="8719" spans="1:10" ht="14.4">
      <c r="A8719" s="25"/>
      <c r="B8719" s="25"/>
      <c r="C8719" s="25"/>
      <c r="D8719" s="25"/>
      <c r="E8719" s="25"/>
      <c r="F8719" s="25"/>
      <c r="G8719" s="25"/>
      <c r="H8719" s="25"/>
      <c r="I8719" s="25"/>
      <c r="J8719" s="25"/>
    </row>
    <row r="8720" spans="1:10" ht="14.4">
      <c r="A8720" s="25"/>
      <c r="B8720" s="25"/>
      <c r="C8720" s="25"/>
      <c r="D8720" s="25"/>
      <c r="E8720" s="25"/>
      <c r="F8720" s="25"/>
      <c r="G8720" s="25"/>
      <c r="H8720" s="25"/>
      <c r="I8720" s="25"/>
      <c r="J8720" s="25"/>
    </row>
    <row r="8721" spans="1:10" ht="14.4">
      <c r="A8721" s="25"/>
      <c r="B8721" s="25"/>
      <c r="C8721" s="25"/>
      <c r="D8721" s="25"/>
      <c r="E8721" s="25"/>
      <c r="F8721" s="25"/>
      <c r="G8721" s="25"/>
      <c r="H8721" s="25"/>
      <c r="I8721" s="25"/>
      <c r="J8721" s="25"/>
    </row>
    <row r="8722" spans="1:10" ht="14.4">
      <c r="A8722" s="25"/>
      <c r="B8722" s="25"/>
      <c r="C8722" s="25"/>
      <c r="D8722" s="25"/>
      <c r="E8722" s="25"/>
      <c r="F8722" s="25"/>
      <c r="G8722" s="25"/>
      <c r="H8722" s="25"/>
      <c r="I8722" s="25"/>
      <c r="J8722" s="25"/>
    </row>
    <row r="8723" spans="1:10" ht="14.4">
      <c r="A8723" s="25"/>
      <c r="B8723" s="25"/>
      <c r="C8723" s="25"/>
      <c r="D8723" s="25"/>
      <c r="E8723" s="25"/>
      <c r="F8723" s="25"/>
      <c r="G8723" s="25"/>
      <c r="H8723" s="25"/>
      <c r="I8723" s="25"/>
      <c r="J8723" s="25"/>
    </row>
    <row r="8724" spans="1:10" ht="14.4">
      <c r="A8724" s="25"/>
      <c r="B8724" s="25"/>
      <c r="C8724" s="25"/>
      <c r="D8724" s="25"/>
      <c r="E8724" s="25"/>
      <c r="F8724" s="25"/>
      <c r="G8724" s="25"/>
      <c r="H8724" s="25"/>
      <c r="I8724" s="25"/>
      <c r="J8724" s="25"/>
    </row>
    <row r="8725" spans="1:10" ht="14.4">
      <c r="A8725" s="25"/>
      <c r="B8725" s="25"/>
      <c r="C8725" s="25"/>
      <c r="D8725" s="25"/>
      <c r="E8725" s="25"/>
      <c r="F8725" s="25"/>
      <c r="G8725" s="25"/>
      <c r="H8725" s="25"/>
      <c r="I8725" s="25"/>
      <c r="J8725" s="25"/>
    </row>
    <row r="8726" spans="1:10" ht="14.4">
      <c r="A8726" s="25"/>
      <c r="B8726" s="25"/>
      <c r="C8726" s="25"/>
      <c r="D8726" s="25"/>
      <c r="E8726" s="25"/>
      <c r="F8726" s="25"/>
      <c r="G8726" s="25"/>
      <c r="H8726" s="25"/>
      <c r="I8726" s="25"/>
      <c r="J8726" s="25"/>
    </row>
    <row r="8727" spans="1:10" ht="14.4">
      <c r="A8727" s="25"/>
      <c r="B8727" s="25"/>
      <c r="C8727" s="25"/>
      <c r="D8727" s="25"/>
      <c r="E8727" s="25"/>
      <c r="F8727" s="25"/>
      <c r="G8727" s="25"/>
      <c r="H8727" s="25"/>
      <c r="I8727" s="25"/>
      <c r="J8727" s="25"/>
    </row>
    <row r="8728" spans="1:10" ht="14.4">
      <c r="A8728" s="25"/>
      <c r="B8728" s="25"/>
      <c r="C8728" s="25"/>
      <c r="D8728" s="25"/>
      <c r="E8728" s="25"/>
      <c r="F8728" s="25"/>
      <c r="G8728" s="25"/>
      <c r="H8728" s="25"/>
      <c r="I8728" s="25"/>
      <c r="J8728" s="25"/>
    </row>
    <row r="8729" spans="1:10" ht="14.4">
      <c r="A8729" s="25"/>
      <c r="B8729" s="25"/>
      <c r="C8729" s="25"/>
      <c r="D8729" s="25"/>
      <c r="E8729" s="25"/>
      <c r="F8729" s="25"/>
      <c r="G8729" s="25"/>
      <c r="H8729" s="25"/>
      <c r="I8729" s="25"/>
      <c r="J8729" s="25"/>
    </row>
    <row r="8730" spans="1:10" ht="14.4">
      <c r="A8730" s="25"/>
      <c r="B8730" s="25"/>
      <c r="C8730" s="25"/>
      <c r="D8730" s="25"/>
      <c r="E8730" s="25"/>
      <c r="F8730" s="25"/>
      <c r="G8730" s="25"/>
      <c r="H8730" s="25"/>
      <c r="I8730" s="25"/>
      <c r="J8730" s="25"/>
    </row>
    <row r="8731" spans="1:10" ht="14.4">
      <c r="A8731" s="25"/>
      <c r="B8731" s="25"/>
      <c r="C8731" s="25"/>
      <c r="D8731" s="25"/>
      <c r="E8731" s="25"/>
      <c r="F8731" s="25"/>
      <c r="G8731" s="25"/>
      <c r="H8731" s="25"/>
      <c r="I8731" s="25"/>
      <c r="J8731" s="25"/>
    </row>
    <row r="8732" spans="1:10" ht="14.4">
      <c r="A8732" s="25"/>
      <c r="B8732" s="25"/>
      <c r="C8732" s="25"/>
      <c r="D8732" s="25"/>
      <c r="E8732" s="25"/>
      <c r="F8732" s="25"/>
      <c r="G8732" s="25"/>
      <c r="H8732" s="25"/>
      <c r="I8732" s="25"/>
      <c r="J8732" s="25"/>
    </row>
    <row r="8733" spans="1:10" ht="14.4">
      <c r="A8733" s="25"/>
      <c r="B8733" s="25"/>
      <c r="C8733" s="25"/>
      <c r="D8733" s="25"/>
      <c r="E8733" s="25"/>
      <c r="F8733" s="25"/>
      <c r="G8733" s="25"/>
      <c r="H8733" s="25"/>
      <c r="I8733" s="25"/>
      <c r="J8733" s="25"/>
    </row>
    <row r="8734" spans="1:10" ht="14.4">
      <c r="A8734" s="25"/>
      <c r="B8734" s="25"/>
      <c r="C8734" s="25"/>
      <c r="D8734" s="25"/>
      <c r="E8734" s="25"/>
      <c r="F8734" s="25"/>
      <c r="G8734" s="25"/>
      <c r="H8734" s="25"/>
      <c r="I8734" s="25"/>
      <c r="J8734" s="25"/>
    </row>
    <row r="8735" spans="1:10" ht="14.4">
      <c r="A8735" s="25"/>
      <c r="B8735" s="25"/>
      <c r="C8735" s="25"/>
      <c r="D8735" s="25"/>
      <c r="E8735" s="25"/>
      <c r="F8735" s="25"/>
      <c r="G8735" s="25"/>
      <c r="H8735" s="25"/>
      <c r="I8735" s="25"/>
      <c r="J8735" s="25"/>
    </row>
    <row r="8736" spans="1:10" ht="14.4">
      <c r="A8736" s="25"/>
      <c r="B8736" s="25"/>
      <c r="C8736" s="25"/>
      <c r="D8736" s="25"/>
      <c r="E8736" s="25"/>
      <c r="F8736" s="25"/>
      <c r="G8736" s="25"/>
      <c r="H8736" s="25"/>
      <c r="I8736" s="25"/>
      <c r="J8736" s="25"/>
    </row>
    <row r="8737" spans="1:10" ht="14.4">
      <c r="A8737" s="25"/>
      <c r="B8737" s="25"/>
      <c r="C8737" s="25"/>
      <c r="D8737" s="25"/>
      <c r="E8737" s="25"/>
      <c r="F8737" s="25"/>
      <c r="G8737" s="25"/>
      <c r="H8737" s="25"/>
      <c r="I8737" s="25"/>
      <c r="J8737" s="25"/>
    </row>
    <row r="8738" spans="1:10" ht="14.4">
      <c r="A8738" s="25"/>
      <c r="B8738" s="25"/>
      <c r="C8738" s="25"/>
      <c r="D8738" s="25"/>
      <c r="E8738" s="25"/>
      <c r="F8738" s="25"/>
      <c r="G8738" s="25"/>
      <c r="H8738" s="25"/>
      <c r="I8738" s="25"/>
      <c r="J8738" s="25"/>
    </row>
    <row r="8739" spans="1:10" ht="14.4">
      <c r="A8739" s="25"/>
      <c r="B8739" s="25"/>
      <c r="C8739" s="25"/>
      <c r="D8739" s="25"/>
      <c r="E8739" s="25"/>
      <c r="F8739" s="25"/>
      <c r="G8739" s="25"/>
      <c r="H8739" s="25"/>
      <c r="I8739" s="25"/>
      <c r="J8739" s="25"/>
    </row>
    <row r="8740" spans="1:10" ht="14.4">
      <c r="A8740" s="25"/>
      <c r="B8740" s="25"/>
      <c r="C8740" s="25"/>
      <c r="D8740" s="25"/>
      <c r="E8740" s="25"/>
      <c r="F8740" s="25"/>
      <c r="G8740" s="25"/>
      <c r="H8740" s="25"/>
      <c r="I8740" s="25"/>
      <c r="J8740" s="25"/>
    </row>
    <row r="8741" spans="1:10" ht="14.4">
      <c r="A8741" s="25"/>
      <c r="B8741" s="25"/>
      <c r="C8741" s="25"/>
      <c r="D8741" s="25"/>
      <c r="E8741" s="25"/>
      <c r="F8741" s="25"/>
      <c r="G8741" s="25"/>
      <c r="H8741" s="25"/>
      <c r="I8741" s="25"/>
      <c r="J8741" s="25"/>
    </row>
    <row r="8742" spans="1:10" ht="14.4">
      <c r="A8742" s="25"/>
      <c r="B8742" s="25"/>
      <c r="C8742" s="25"/>
      <c r="D8742" s="25"/>
      <c r="E8742" s="25"/>
      <c r="F8742" s="25"/>
      <c r="G8742" s="25"/>
      <c r="H8742" s="25"/>
      <c r="I8742" s="25"/>
      <c r="J8742" s="25"/>
    </row>
    <row r="8743" spans="1:10" ht="14.4">
      <c r="A8743" s="25"/>
      <c r="B8743" s="25"/>
      <c r="C8743" s="25"/>
      <c r="D8743" s="25"/>
      <c r="E8743" s="25"/>
      <c r="F8743" s="25"/>
      <c r="G8743" s="25"/>
      <c r="H8743" s="25"/>
      <c r="I8743" s="25"/>
      <c r="J8743" s="25"/>
    </row>
    <row r="8744" spans="1:10" ht="14.4">
      <c r="A8744" s="25"/>
      <c r="B8744" s="25"/>
      <c r="C8744" s="25"/>
      <c r="D8744" s="25"/>
      <c r="E8744" s="25"/>
      <c r="F8744" s="25"/>
      <c r="G8744" s="25"/>
      <c r="H8744" s="25"/>
      <c r="I8744" s="25"/>
      <c r="J8744" s="25"/>
    </row>
    <row r="8745" spans="1:10" ht="14.4">
      <c r="A8745" s="25"/>
      <c r="B8745" s="25"/>
      <c r="C8745" s="25"/>
      <c r="D8745" s="25"/>
      <c r="E8745" s="25"/>
      <c r="F8745" s="25"/>
      <c r="G8745" s="25"/>
      <c r="H8745" s="25"/>
      <c r="I8745" s="25"/>
      <c r="J8745" s="25"/>
    </row>
    <row r="8746" spans="1:10" ht="14.4">
      <c r="A8746" s="25"/>
      <c r="B8746" s="25"/>
      <c r="C8746" s="25"/>
      <c r="D8746" s="25"/>
      <c r="E8746" s="25"/>
      <c r="F8746" s="25"/>
      <c r="G8746" s="25"/>
      <c r="H8746" s="25"/>
      <c r="I8746" s="25"/>
      <c r="J8746" s="25"/>
    </row>
    <row r="8747" spans="1:10" ht="14.4">
      <c r="A8747" s="25"/>
      <c r="B8747" s="25"/>
      <c r="C8747" s="25"/>
      <c r="D8747" s="25"/>
      <c r="E8747" s="25"/>
      <c r="F8747" s="25"/>
      <c r="G8747" s="25"/>
      <c r="H8747" s="25"/>
      <c r="I8747" s="25"/>
      <c r="J8747" s="25"/>
    </row>
    <row r="8748" spans="1:10" ht="14.4">
      <c r="A8748" s="25"/>
      <c r="B8748" s="25"/>
      <c r="C8748" s="25"/>
      <c r="D8748" s="25"/>
      <c r="E8748" s="25"/>
      <c r="F8748" s="25"/>
      <c r="G8748" s="25"/>
      <c r="H8748" s="25"/>
      <c r="I8748" s="25"/>
      <c r="J8748" s="25"/>
    </row>
    <row r="8749" spans="1:10" ht="14.4">
      <c r="A8749" s="25"/>
      <c r="B8749" s="25"/>
      <c r="C8749" s="25"/>
      <c r="D8749" s="25"/>
      <c r="E8749" s="25"/>
      <c r="F8749" s="25"/>
      <c r="G8749" s="25"/>
      <c r="H8749" s="25"/>
      <c r="I8749" s="25"/>
      <c r="J8749" s="25"/>
    </row>
    <row r="8750" spans="1:10" ht="14.4">
      <c r="A8750" s="25"/>
      <c r="B8750" s="25"/>
      <c r="C8750" s="25"/>
      <c r="D8750" s="25"/>
      <c r="E8750" s="25"/>
      <c r="F8750" s="25"/>
      <c r="G8750" s="25"/>
      <c r="H8750" s="25"/>
      <c r="I8750" s="25"/>
      <c r="J8750" s="25"/>
    </row>
    <row r="8751" spans="1:10" ht="14.4">
      <c r="A8751" s="25"/>
      <c r="B8751" s="25"/>
      <c r="C8751" s="25"/>
      <c r="D8751" s="25"/>
      <c r="E8751" s="25"/>
      <c r="F8751" s="25"/>
      <c r="G8751" s="25"/>
      <c r="H8751" s="25"/>
      <c r="I8751" s="25"/>
      <c r="J8751" s="25"/>
    </row>
    <row r="8752" spans="1:10" ht="14.4">
      <c r="A8752" s="25"/>
      <c r="B8752" s="25"/>
      <c r="C8752" s="25"/>
      <c r="D8752" s="25"/>
      <c r="E8752" s="25"/>
      <c r="F8752" s="25"/>
      <c r="G8752" s="25"/>
      <c r="H8752" s="25"/>
      <c r="I8752" s="25"/>
      <c r="J8752" s="25"/>
    </row>
    <row r="8753" spans="1:10" ht="14.4">
      <c r="A8753" s="25"/>
      <c r="B8753" s="25"/>
      <c r="C8753" s="25"/>
      <c r="D8753" s="25"/>
      <c r="E8753" s="25"/>
      <c r="F8753" s="25"/>
      <c r="G8753" s="25"/>
      <c r="H8753" s="25"/>
      <c r="I8753" s="25"/>
      <c r="J8753" s="25"/>
    </row>
    <row r="8754" spans="1:10" ht="14.4">
      <c r="A8754" s="25"/>
      <c r="B8754" s="25"/>
      <c r="C8754" s="25"/>
      <c r="D8754" s="25"/>
      <c r="E8754" s="25"/>
      <c r="F8754" s="25"/>
      <c r="G8754" s="25"/>
      <c r="H8754" s="25"/>
      <c r="I8754" s="25"/>
      <c r="J8754" s="25"/>
    </row>
    <row r="8755" spans="1:10" ht="14.4">
      <c r="A8755" s="25"/>
      <c r="B8755" s="25"/>
      <c r="C8755" s="25"/>
      <c r="D8755" s="25"/>
      <c r="E8755" s="25"/>
      <c r="F8755" s="25"/>
      <c r="G8755" s="25"/>
      <c r="H8755" s="25"/>
      <c r="I8755" s="25"/>
      <c r="J8755" s="25"/>
    </row>
    <row r="8756" spans="1:10" ht="14.4">
      <c r="A8756" s="25"/>
      <c r="B8756" s="25"/>
      <c r="C8756" s="25"/>
      <c r="D8756" s="25"/>
      <c r="E8756" s="25"/>
      <c r="F8756" s="25"/>
      <c r="G8756" s="25"/>
      <c r="H8756" s="25"/>
      <c r="I8756" s="25"/>
      <c r="J8756" s="25"/>
    </row>
    <row r="8757" spans="1:10" ht="14.4">
      <c r="A8757" s="25"/>
      <c r="B8757" s="25"/>
      <c r="C8757" s="25"/>
      <c r="D8757" s="25"/>
      <c r="E8757" s="25"/>
      <c r="F8757" s="25"/>
      <c r="G8757" s="25"/>
      <c r="H8757" s="25"/>
      <c r="I8757" s="25"/>
      <c r="J8757" s="25"/>
    </row>
    <row r="8758" spans="1:10" ht="14.4">
      <c r="A8758" s="25"/>
      <c r="B8758" s="25"/>
      <c r="C8758" s="25"/>
      <c r="D8758" s="25"/>
      <c r="E8758" s="25"/>
      <c r="F8758" s="25"/>
      <c r="G8758" s="25"/>
      <c r="H8758" s="25"/>
      <c r="I8758" s="25"/>
      <c r="J8758" s="25"/>
    </row>
    <row r="8759" spans="1:10" ht="14.4">
      <c r="A8759" s="25"/>
      <c r="B8759" s="25"/>
      <c r="C8759" s="25"/>
      <c r="D8759" s="25"/>
      <c r="E8759" s="25"/>
      <c r="F8759" s="25"/>
      <c r="G8759" s="25"/>
      <c r="H8759" s="25"/>
      <c r="I8759" s="25"/>
      <c r="J8759" s="25"/>
    </row>
    <row r="8760" spans="1:10" ht="14.4">
      <c r="A8760" s="25"/>
      <c r="B8760" s="25"/>
      <c r="C8760" s="25"/>
      <c r="D8760" s="25"/>
      <c r="E8760" s="25"/>
      <c r="F8760" s="25"/>
      <c r="G8760" s="25"/>
      <c r="H8760" s="25"/>
      <c r="I8760" s="25"/>
      <c r="J8760" s="25"/>
    </row>
    <row r="8761" spans="1:10" ht="14.4">
      <c r="A8761" s="25"/>
      <c r="B8761" s="25"/>
      <c r="C8761" s="25"/>
      <c r="D8761" s="25"/>
      <c r="E8761" s="25"/>
      <c r="F8761" s="25"/>
      <c r="G8761" s="25"/>
      <c r="H8761" s="25"/>
      <c r="I8761" s="25"/>
      <c r="J8761" s="25"/>
    </row>
    <row r="8762" spans="1:10" ht="14.4">
      <c r="A8762" s="25"/>
      <c r="B8762" s="25"/>
      <c r="C8762" s="25"/>
      <c r="D8762" s="25"/>
      <c r="E8762" s="25"/>
      <c r="F8762" s="25"/>
      <c r="G8762" s="25"/>
      <c r="H8762" s="25"/>
      <c r="I8762" s="25"/>
      <c r="J8762" s="25"/>
    </row>
    <row r="8763" spans="1:10" ht="14.4">
      <c r="A8763" s="25"/>
      <c r="B8763" s="25"/>
      <c r="C8763" s="25"/>
      <c r="D8763" s="25"/>
      <c r="E8763" s="25"/>
      <c r="F8763" s="25"/>
      <c r="G8763" s="25"/>
      <c r="H8763" s="25"/>
      <c r="I8763" s="25"/>
      <c r="J8763" s="25"/>
    </row>
    <row r="8764" spans="1:10" ht="14.4">
      <c r="A8764" s="25"/>
      <c r="B8764" s="25"/>
      <c r="C8764" s="25"/>
      <c r="D8764" s="25"/>
      <c r="E8764" s="25"/>
      <c r="F8764" s="25"/>
      <c r="G8764" s="25"/>
      <c r="H8764" s="25"/>
      <c r="I8764" s="25"/>
      <c r="J8764" s="25"/>
    </row>
    <row r="8765" spans="1:10" ht="14.4">
      <c r="A8765" s="25"/>
      <c r="B8765" s="25"/>
      <c r="C8765" s="25"/>
      <c r="D8765" s="25"/>
      <c r="E8765" s="25"/>
      <c r="F8765" s="25"/>
      <c r="G8765" s="25"/>
      <c r="H8765" s="25"/>
      <c r="I8765" s="25"/>
      <c r="J8765" s="25"/>
    </row>
    <row r="8766" spans="1:10" ht="14.4">
      <c r="A8766" s="25"/>
      <c r="B8766" s="25"/>
      <c r="C8766" s="25"/>
      <c r="D8766" s="25"/>
      <c r="E8766" s="25"/>
      <c r="F8766" s="25"/>
      <c r="G8766" s="25"/>
      <c r="H8766" s="25"/>
      <c r="I8766" s="25"/>
      <c r="J8766" s="25"/>
    </row>
    <row r="8767" spans="1:10" ht="14.4">
      <c r="A8767" s="25"/>
      <c r="B8767" s="25"/>
      <c r="C8767" s="25"/>
      <c r="D8767" s="25"/>
      <c r="E8767" s="25"/>
      <c r="F8767" s="25"/>
      <c r="G8767" s="25"/>
      <c r="H8767" s="25"/>
      <c r="I8767" s="25"/>
      <c r="J8767" s="25"/>
    </row>
    <row r="8768" spans="1:10" ht="14.4">
      <c r="A8768" s="25"/>
      <c r="B8768" s="25"/>
      <c r="C8768" s="25"/>
      <c r="D8768" s="25"/>
      <c r="E8768" s="25"/>
      <c r="F8768" s="25"/>
      <c r="G8768" s="25"/>
      <c r="H8768" s="25"/>
      <c r="I8768" s="25"/>
      <c r="J8768" s="25"/>
    </row>
    <row r="8769" spans="1:10" ht="14.4">
      <c r="A8769" s="25"/>
      <c r="B8769" s="25"/>
      <c r="C8769" s="25"/>
      <c r="D8769" s="25"/>
      <c r="E8769" s="25"/>
      <c r="F8769" s="25"/>
      <c r="G8769" s="25"/>
      <c r="H8769" s="25"/>
      <c r="I8769" s="25"/>
      <c r="J8769" s="25"/>
    </row>
    <row r="8770" spans="1:10" ht="14.4">
      <c r="A8770" s="25"/>
      <c r="B8770" s="25"/>
      <c r="C8770" s="25"/>
      <c r="D8770" s="25"/>
      <c r="E8770" s="25"/>
      <c r="F8770" s="25"/>
      <c r="G8770" s="25"/>
      <c r="H8770" s="25"/>
      <c r="I8770" s="25"/>
      <c r="J8770" s="25"/>
    </row>
    <row r="8771" spans="1:10" ht="14.4">
      <c r="A8771" s="25"/>
      <c r="B8771" s="25"/>
      <c r="C8771" s="25"/>
      <c r="D8771" s="25"/>
      <c r="E8771" s="25"/>
      <c r="F8771" s="25"/>
      <c r="G8771" s="25"/>
      <c r="H8771" s="25"/>
      <c r="I8771" s="25"/>
      <c r="J8771" s="25"/>
    </row>
    <row r="8772" spans="1:10" ht="14.4">
      <c r="A8772" s="25"/>
      <c r="B8772" s="25"/>
      <c r="C8772" s="25"/>
      <c r="D8772" s="25"/>
      <c r="E8772" s="25"/>
      <c r="F8772" s="25"/>
      <c r="G8772" s="25"/>
      <c r="H8772" s="25"/>
      <c r="I8772" s="25"/>
      <c r="J8772" s="25"/>
    </row>
    <row r="8773" spans="1:10" ht="14.4">
      <c r="A8773" s="25"/>
      <c r="B8773" s="25"/>
      <c r="C8773" s="25"/>
      <c r="D8773" s="25"/>
      <c r="E8773" s="25"/>
      <c r="F8773" s="25"/>
      <c r="G8773" s="25"/>
      <c r="H8773" s="25"/>
      <c r="I8773" s="25"/>
      <c r="J8773" s="25"/>
    </row>
    <row r="8774" spans="1:10" ht="14.4">
      <c r="A8774" s="25"/>
      <c r="B8774" s="25"/>
      <c r="C8774" s="25"/>
      <c r="D8774" s="25"/>
      <c r="E8774" s="25"/>
      <c r="F8774" s="25"/>
      <c r="G8774" s="25"/>
      <c r="H8774" s="25"/>
      <c r="I8774" s="25"/>
      <c r="J8774" s="25"/>
    </row>
    <row r="8775" spans="1:10" ht="14.4">
      <c r="A8775" s="25"/>
      <c r="B8775" s="25"/>
      <c r="C8775" s="25"/>
      <c r="D8775" s="25"/>
      <c r="E8775" s="25"/>
      <c r="F8775" s="25"/>
      <c r="G8775" s="25"/>
      <c r="H8775" s="25"/>
      <c r="I8775" s="25"/>
      <c r="J8775" s="25"/>
    </row>
    <row r="8776" spans="1:10" ht="14.4">
      <c r="A8776" s="25"/>
      <c r="B8776" s="25"/>
      <c r="C8776" s="25"/>
      <c r="D8776" s="25"/>
      <c r="E8776" s="25"/>
      <c r="F8776" s="25"/>
      <c r="G8776" s="25"/>
      <c r="H8776" s="25"/>
      <c r="I8776" s="25"/>
      <c r="J8776" s="25"/>
    </row>
    <row r="8777" spans="1:10" ht="14.4">
      <c r="A8777" s="25"/>
      <c r="B8777" s="25"/>
      <c r="C8777" s="25"/>
      <c r="D8777" s="25"/>
      <c r="E8777" s="25"/>
      <c r="F8777" s="25"/>
      <c r="G8777" s="25"/>
      <c r="H8777" s="25"/>
      <c r="I8777" s="25"/>
      <c r="J8777" s="25"/>
    </row>
    <row r="8778" spans="1:10" ht="14.4">
      <c r="A8778" s="25"/>
      <c r="B8778" s="25"/>
      <c r="C8778" s="25"/>
      <c r="D8778" s="25"/>
      <c r="E8778" s="25"/>
      <c r="F8778" s="25"/>
      <c r="G8778" s="25"/>
      <c r="H8778" s="25"/>
      <c r="I8778" s="25"/>
      <c r="J8778" s="25"/>
    </row>
    <row r="8779" spans="1:10" ht="14.4">
      <c r="A8779" s="25"/>
      <c r="B8779" s="25"/>
      <c r="C8779" s="25"/>
      <c r="D8779" s="25"/>
      <c r="E8779" s="25"/>
      <c r="F8779" s="25"/>
      <c r="G8779" s="25"/>
      <c r="H8779" s="25"/>
      <c r="I8779" s="25"/>
      <c r="J8779" s="25"/>
    </row>
    <row r="8780" spans="1:10" ht="14.4">
      <c r="A8780" s="25"/>
      <c r="B8780" s="25"/>
      <c r="C8780" s="25"/>
      <c r="D8780" s="25"/>
      <c r="E8780" s="25"/>
      <c r="F8780" s="25"/>
      <c r="G8780" s="25"/>
      <c r="H8780" s="25"/>
      <c r="I8780" s="25"/>
      <c r="J8780" s="25"/>
    </row>
    <row r="8781" spans="1:10" ht="14.4">
      <c r="A8781" s="25"/>
      <c r="B8781" s="25"/>
      <c r="C8781" s="25"/>
      <c r="D8781" s="25"/>
      <c r="E8781" s="25"/>
      <c r="F8781" s="25"/>
      <c r="G8781" s="25"/>
      <c r="H8781" s="25"/>
      <c r="I8781" s="25"/>
      <c r="J8781" s="25"/>
    </row>
    <row r="8782" spans="1:10" ht="14.4">
      <c r="A8782" s="25"/>
      <c r="B8782" s="25"/>
      <c r="C8782" s="25"/>
      <c r="D8782" s="25"/>
      <c r="E8782" s="25"/>
      <c r="F8782" s="25"/>
      <c r="G8782" s="25"/>
      <c r="H8782" s="25"/>
      <c r="I8782" s="25"/>
      <c r="J8782" s="25"/>
    </row>
    <row r="8783" spans="1:10" ht="14.4">
      <c r="A8783" s="25"/>
      <c r="B8783" s="25"/>
      <c r="C8783" s="25"/>
      <c r="D8783" s="25"/>
      <c r="E8783" s="25"/>
      <c r="F8783" s="25"/>
      <c r="G8783" s="25"/>
      <c r="H8783" s="25"/>
      <c r="I8783" s="25"/>
      <c r="J8783" s="25"/>
    </row>
    <row r="8784" spans="1:10" ht="14.4">
      <c r="A8784" s="25"/>
      <c r="B8784" s="25"/>
      <c r="C8784" s="25"/>
      <c r="D8784" s="25"/>
      <c r="E8784" s="25"/>
      <c r="F8784" s="25"/>
      <c r="G8784" s="25"/>
      <c r="H8784" s="25"/>
      <c r="I8784" s="25"/>
      <c r="J8784" s="25"/>
    </row>
    <row r="8785" spans="1:10" ht="14.4">
      <c r="A8785" s="25"/>
      <c r="B8785" s="25"/>
      <c r="C8785" s="25"/>
      <c r="D8785" s="25"/>
      <c r="E8785" s="25"/>
      <c r="F8785" s="25"/>
      <c r="G8785" s="25"/>
      <c r="H8785" s="25"/>
      <c r="I8785" s="25"/>
      <c r="J8785" s="25"/>
    </row>
    <row r="8786" spans="1:10" ht="14.4">
      <c r="A8786" s="25"/>
      <c r="B8786" s="25"/>
      <c r="C8786" s="25"/>
      <c r="D8786" s="25"/>
      <c r="E8786" s="25"/>
      <c r="F8786" s="25"/>
      <c r="G8786" s="25"/>
      <c r="H8786" s="25"/>
      <c r="I8786" s="25"/>
      <c r="J8786" s="25"/>
    </row>
    <row r="8787" spans="1:10" ht="14.4">
      <c r="A8787" s="25"/>
      <c r="B8787" s="25"/>
      <c r="C8787" s="25"/>
      <c r="D8787" s="25"/>
      <c r="E8787" s="25"/>
      <c r="F8787" s="25"/>
      <c r="G8787" s="25"/>
      <c r="H8787" s="25"/>
      <c r="I8787" s="25"/>
      <c r="J8787" s="25"/>
    </row>
    <row r="8788" spans="1:10" ht="14.4">
      <c r="A8788" s="25"/>
      <c r="B8788" s="25"/>
      <c r="C8788" s="25"/>
      <c r="D8788" s="25"/>
      <c r="E8788" s="25"/>
      <c r="F8788" s="25"/>
      <c r="G8788" s="25"/>
      <c r="H8788" s="25"/>
      <c r="I8788" s="25"/>
      <c r="J8788" s="25"/>
    </row>
    <row r="8789" spans="1:10" ht="14.4">
      <c r="A8789" s="25"/>
      <c r="B8789" s="25"/>
      <c r="C8789" s="25"/>
      <c r="D8789" s="25"/>
      <c r="E8789" s="25"/>
      <c r="F8789" s="25"/>
      <c r="G8789" s="25"/>
      <c r="H8789" s="25"/>
      <c r="I8789" s="25"/>
      <c r="J8789" s="25"/>
    </row>
    <row r="8790" spans="1:10" ht="14.4">
      <c r="A8790" s="25"/>
      <c r="B8790" s="25"/>
      <c r="C8790" s="25"/>
      <c r="D8790" s="25"/>
      <c r="E8790" s="25"/>
      <c r="F8790" s="25"/>
      <c r="G8790" s="25"/>
      <c r="H8790" s="25"/>
      <c r="I8790" s="25"/>
      <c r="J8790" s="25"/>
    </row>
    <row r="8791" spans="1:10" ht="14.4">
      <c r="A8791" s="25"/>
      <c r="B8791" s="25"/>
      <c r="C8791" s="25"/>
      <c r="D8791" s="25"/>
      <c r="E8791" s="25"/>
      <c r="F8791" s="25"/>
      <c r="G8791" s="25"/>
      <c r="H8791" s="25"/>
      <c r="I8791" s="25"/>
      <c r="J8791" s="25"/>
    </row>
    <row r="8792" spans="1:10" ht="14.4">
      <c r="A8792" s="25"/>
      <c r="B8792" s="25"/>
      <c r="C8792" s="25"/>
      <c r="D8792" s="25"/>
      <c r="E8792" s="25"/>
      <c r="F8792" s="25"/>
      <c r="G8792" s="25"/>
      <c r="H8792" s="25"/>
      <c r="I8792" s="25"/>
      <c r="J8792" s="25"/>
    </row>
    <row r="8793" spans="1:10" ht="14.4">
      <c r="A8793" s="25"/>
      <c r="B8793" s="25"/>
      <c r="C8793" s="25"/>
      <c r="D8793" s="25"/>
      <c r="E8793" s="25"/>
      <c r="F8793" s="25"/>
      <c r="G8793" s="25"/>
      <c r="H8793" s="25"/>
      <c r="I8793" s="25"/>
      <c r="J8793" s="25"/>
    </row>
    <row r="8794" spans="1:10" ht="14.4">
      <c r="A8794" s="25"/>
      <c r="B8794" s="25"/>
      <c r="C8794" s="25"/>
      <c r="D8794" s="25"/>
      <c r="E8794" s="25"/>
      <c r="F8794" s="25"/>
      <c r="G8794" s="25"/>
      <c r="H8794" s="25"/>
      <c r="I8794" s="25"/>
      <c r="J8794" s="25"/>
    </row>
    <row r="8795" spans="1:10" ht="14.4">
      <c r="A8795" s="25"/>
      <c r="B8795" s="25"/>
      <c r="C8795" s="25"/>
      <c r="D8795" s="25"/>
      <c r="E8795" s="25"/>
      <c r="F8795" s="25"/>
      <c r="G8795" s="25"/>
      <c r="H8795" s="25"/>
      <c r="I8795" s="25"/>
      <c r="J8795" s="25"/>
    </row>
    <row r="8796" spans="1:10" ht="14.4">
      <c r="A8796" s="25"/>
      <c r="B8796" s="25"/>
      <c r="C8796" s="25"/>
      <c r="D8796" s="25"/>
      <c r="E8796" s="25"/>
      <c r="F8796" s="25"/>
      <c r="G8796" s="25"/>
      <c r="H8796" s="25"/>
      <c r="I8796" s="25"/>
      <c r="J8796" s="25"/>
    </row>
    <row r="8797" spans="1:10" ht="14.4">
      <c r="A8797" s="25"/>
      <c r="B8797" s="25"/>
      <c r="C8797" s="25"/>
      <c r="D8797" s="25"/>
      <c r="E8797" s="25"/>
      <c r="F8797" s="25"/>
      <c r="G8797" s="25"/>
      <c r="H8797" s="25"/>
      <c r="I8797" s="25"/>
      <c r="J8797" s="25"/>
    </row>
    <row r="8798" spans="1:10" ht="14.4">
      <c r="A8798" s="25"/>
      <c r="B8798" s="25"/>
      <c r="C8798" s="25"/>
      <c r="D8798" s="25"/>
      <c r="E8798" s="25"/>
      <c r="F8798" s="25"/>
      <c r="G8798" s="25"/>
      <c r="H8798" s="25"/>
      <c r="I8798" s="25"/>
      <c r="J8798" s="25"/>
    </row>
    <row r="8799" spans="1:10" ht="14.4">
      <c r="A8799" s="25"/>
      <c r="B8799" s="25"/>
      <c r="C8799" s="25"/>
      <c r="D8799" s="25"/>
      <c r="E8799" s="25"/>
      <c r="F8799" s="25"/>
      <c r="G8799" s="25"/>
      <c r="H8799" s="25"/>
      <c r="I8799" s="25"/>
      <c r="J8799" s="25"/>
    </row>
    <row r="8800" spans="1:10" ht="14.4">
      <c r="A8800" s="25"/>
      <c r="B8800" s="25"/>
      <c r="C8800" s="25"/>
      <c r="D8800" s="25"/>
      <c r="E8800" s="25"/>
      <c r="F8800" s="25"/>
      <c r="G8800" s="25"/>
      <c r="H8800" s="25"/>
      <c r="I8800" s="25"/>
      <c r="J8800" s="25"/>
    </row>
    <row r="8801" spans="1:10" ht="14.4">
      <c r="A8801" s="25"/>
      <c r="B8801" s="25"/>
      <c r="C8801" s="25"/>
      <c r="D8801" s="25"/>
      <c r="E8801" s="25"/>
      <c r="F8801" s="25"/>
      <c r="G8801" s="25"/>
      <c r="H8801" s="25"/>
      <c r="I8801" s="25"/>
      <c r="J8801" s="25"/>
    </row>
    <row r="8802" spans="1:10" ht="14.4">
      <c r="A8802" s="25"/>
      <c r="B8802" s="25"/>
      <c r="C8802" s="25"/>
      <c r="D8802" s="25"/>
      <c r="E8802" s="25"/>
      <c r="F8802" s="25"/>
      <c r="G8802" s="25"/>
      <c r="H8802" s="25"/>
      <c r="I8802" s="25"/>
      <c r="J8802" s="25"/>
    </row>
    <row r="8803" spans="1:10" ht="14.4">
      <c r="A8803" s="25"/>
      <c r="B8803" s="25"/>
      <c r="C8803" s="25"/>
      <c r="D8803" s="25"/>
      <c r="E8803" s="25"/>
      <c r="F8803" s="25"/>
      <c r="G8803" s="25"/>
      <c r="H8803" s="25"/>
      <c r="I8803" s="25"/>
      <c r="J8803" s="25"/>
    </row>
    <row r="8804" spans="1:10" ht="14.4">
      <c r="A8804" s="25"/>
      <c r="B8804" s="25"/>
      <c r="C8804" s="25"/>
      <c r="D8804" s="25"/>
      <c r="E8804" s="25"/>
      <c r="F8804" s="25"/>
      <c r="G8804" s="25"/>
      <c r="H8804" s="25"/>
      <c r="I8804" s="25"/>
      <c r="J8804" s="25"/>
    </row>
    <row r="8805" spans="1:10" ht="14.4">
      <c r="A8805" s="25"/>
      <c r="B8805" s="25"/>
      <c r="C8805" s="25"/>
      <c r="D8805" s="25"/>
      <c r="E8805" s="25"/>
      <c r="F8805" s="25"/>
      <c r="G8805" s="25"/>
      <c r="H8805" s="25"/>
      <c r="I8805" s="25"/>
      <c r="J8805" s="25"/>
    </row>
    <row r="8806" spans="1:10" ht="14.4">
      <c r="A8806" s="25"/>
      <c r="B8806" s="25"/>
      <c r="C8806" s="25"/>
      <c r="D8806" s="25"/>
      <c r="E8806" s="25"/>
      <c r="F8806" s="25"/>
      <c r="G8806" s="25"/>
      <c r="H8806" s="25"/>
      <c r="I8806" s="25"/>
      <c r="J8806" s="25"/>
    </row>
    <row r="8807" spans="1:10" ht="14.4">
      <c r="A8807" s="25"/>
      <c r="B8807" s="25"/>
      <c r="C8807" s="25"/>
      <c r="D8807" s="25"/>
      <c r="E8807" s="25"/>
      <c r="F8807" s="25"/>
      <c r="G8807" s="25"/>
      <c r="H8807" s="25"/>
      <c r="I8807" s="25"/>
      <c r="J8807" s="25"/>
    </row>
    <row r="8808" spans="1:10" ht="14.4">
      <c r="A8808" s="25"/>
      <c r="B8808" s="25"/>
      <c r="C8808" s="25"/>
      <c r="D8808" s="25"/>
      <c r="E8808" s="25"/>
      <c r="F8808" s="25"/>
      <c r="G8808" s="25"/>
      <c r="H8808" s="25"/>
      <c r="I8808" s="25"/>
      <c r="J8808" s="25"/>
    </row>
    <row r="8809" spans="1:10" ht="14.4">
      <c r="A8809" s="25"/>
      <c r="B8809" s="25"/>
      <c r="C8809" s="25"/>
      <c r="D8809" s="25"/>
      <c r="E8809" s="25"/>
      <c r="F8809" s="25"/>
      <c r="G8809" s="25"/>
      <c r="H8809" s="25"/>
      <c r="I8809" s="25"/>
      <c r="J8809" s="25"/>
    </row>
    <row r="8810" spans="1:10" ht="14.4">
      <c r="A8810" s="25"/>
      <c r="B8810" s="25"/>
      <c r="C8810" s="25"/>
      <c r="D8810" s="25"/>
      <c r="E8810" s="25"/>
      <c r="F8810" s="25"/>
      <c r="G8810" s="25"/>
      <c r="H8810" s="25"/>
      <c r="I8810" s="25"/>
      <c r="J8810" s="25"/>
    </row>
    <row r="8811" spans="1:10" ht="14.4">
      <c r="A8811" s="25"/>
      <c r="B8811" s="25"/>
      <c r="C8811" s="25"/>
      <c r="D8811" s="25"/>
      <c r="E8811" s="25"/>
      <c r="F8811" s="25"/>
      <c r="G8811" s="25"/>
      <c r="H8811" s="25"/>
      <c r="I8811" s="25"/>
      <c r="J8811" s="25"/>
    </row>
    <row r="8812" spans="1:10" ht="14.4">
      <c r="A8812" s="25"/>
      <c r="B8812" s="25"/>
      <c r="C8812" s="25"/>
      <c r="D8812" s="25"/>
      <c r="E8812" s="25"/>
      <c r="F8812" s="25"/>
      <c r="G8812" s="25"/>
      <c r="H8812" s="25"/>
      <c r="I8812" s="25"/>
      <c r="J8812" s="25"/>
    </row>
    <row r="8813" spans="1:10" ht="14.4">
      <c r="A8813" s="25"/>
      <c r="B8813" s="25"/>
      <c r="C8813" s="25"/>
      <c r="D8813" s="25"/>
      <c r="E8813" s="25"/>
      <c r="F8813" s="25"/>
      <c r="G8813" s="25"/>
      <c r="H8813" s="25"/>
      <c r="I8813" s="25"/>
      <c r="J8813" s="25"/>
    </row>
    <row r="8814" spans="1:10" ht="14.4">
      <c r="A8814" s="25"/>
      <c r="B8814" s="25"/>
      <c r="C8814" s="25"/>
      <c r="D8814" s="25"/>
      <c r="E8814" s="25"/>
      <c r="F8814" s="25"/>
      <c r="G8814" s="25"/>
      <c r="H8814" s="25"/>
      <c r="I8814" s="25"/>
      <c r="J8814" s="25"/>
    </row>
    <row r="8815" spans="1:10" ht="14.4">
      <c r="A8815" s="25"/>
      <c r="B8815" s="25"/>
      <c r="C8815" s="25"/>
      <c r="D8815" s="25"/>
      <c r="E8815" s="25"/>
      <c r="F8815" s="25"/>
      <c r="G8815" s="25"/>
      <c r="H8815" s="25"/>
      <c r="I8815" s="25"/>
      <c r="J8815" s="25"/>
    </row>
    <row r="8816" spans="1:10" ht="14.4">
      <c r="A8816" s="25"/>
      <c r="B8816" s="25"/>
      <c r="C8816" s="25"/>
      <c r="D8816" s="25"/>
      <c r="E8816" s="25"/>
      <c r="F8816" s="25"/>
      <c r="G8816" s="25"/>
      <c r="H8816" s="25"/>
      <c r="I8816" s="25"/>
      <c r="J8816" s="25"/>
    </row>
    <row r="8817" spans="1:10" ht="14.4">
      <c r="A8817" s="25"/>
      <c r="B8817" s="25"/>
      <c r="C8817" s="25"/>
      <c r="D8817" s="25"/>
      <c r="E8817" s="25"/>
      <c r="F8817" s="25"/>
      <c r="G8817" s="25"/>
      <c r="H8817" s="25"/>
      <c r="I8817" s="25"/>
      <c r="J8817" s="25"/>
    </row>
    <row r="8818" spans="1:10" ht="14.4">
      <c r="A8818" s="25"/>
      <c r="B8818" s="25"/>
      <c r="C8818" s="25"/>
      <c r="D8818" s="25"/>
      <c r="E8818" s="25"/>
      <c r="F8818" s="25"/>
      <c r="G8818" s="25"/>
      <c r="H8818" s="25"/>
      <c r="I8818" s="25"/>
      <c r="J8818" s="25"/>
    </row>
    <row r="8819" spans="1:10" ht="14.4">
      <c r="A8819" s="25"/>
      <c r="B8819" s="25"/>
      <c r="C8819" s="25"/>
      <c r="D8819" s="25"/>
      <c r="E8819" s="25"/>
      <c r="F8819" s="25"/>
      <c r="G8819" s="25"/>
      <c r="H8819" s="25"/>
      <c r="I8819" s="25"/>
      <c r="J8819" s="25"/>
    </row>
    <row r="8820" spans="1:10" ht="14.4">
      <c r="A8820" s="25"/>
      <c r="B8820" s="25"/>
      <c r="C8820" s="25"/>
      <c r="D8820" s="25"/>
      <c r="E8820" s="25"/>
      <c r="F8820" s="25"/>
      <c r="G8820" s="25"/>
      <c r="H8820" s="25"/>
      <c r="I8820" s="25"/>
      <c r="J8820" s="25"/>
    </row>
    <row r="8821" spans="1:10" ht="14.4">
      <c r="A8821" s="25"/>
      <c r="B8821" s="25"/>
      <c r="C8821" s="25"/>
      <c r="D8821" s="25"/>
      <c r="E8821" s="25"/>
      <c r="F8821" s="25"/>
      <c r="G8821" s="25"/>
      <c r="H8821" s="25"/>
      <c r="I8821" s="25"/>
      <c r="J8821" s="25"/>
    </row>
    <row r="8822" spans="1:10" ht="14.4">
      <c r="A8822" s="25"/>
      <c r="B8822" s="25"/>
      <c r="C8822" s="25"/>
      <c r="D8822" s="25"/>
      <c r="E8822" s="25"/>
      <c r="F8822" s="25"/>
      <c r="G8822" s="25"/>
      <c r="H8822" s="25"/>
      <c r="I8822" s="25"/>
      <c r="J8822" s="25"/>
    </row>
    <row r="8823" spans="1:10" ht="14.4">
      <c r="A8823" s="25"/>
      <c r="B8823" s="25"/>
      <c r="C8823" s="25"/>
      <c r="D8823" s="25"/>
      <c r="E8823" s="25"/>
      <c r="F8823" s="25"/>
      <c r="G8823" s="25"/>
      <c r="H8823" s="25"/>
      <c r="I8823" s="25"/>
      <c r="J8823" s="25"/>
    </row>
    <row r="8824" spans="1:10" ht="14.4">
      <c r="A8824" s="25"/>
      <c r="B8824" s="25"/>
      <c r="C8824" s="25"/>
      <c r="D8824" s="25"/>
      <c r="E8824" s="25"/>
      <c r="F8824" s="25"/>
      <c r="G8824" s="25"/>
      <c r="H8824" s="25"/>
      <c r="I8824" s="25"/>
      <c r="J8824" s="25"/>
    </row>
    <row r="8825" spans="1:10" ht="14.4">
      <c r="A8825" s="25"/>
      <c r="B8825" s="25"/>
      <c r="C8825" s="25"/>
      <c r="D8825" s="25"/>
      <c r="E8825" s="25"/>
      <c r="F8825" s="25"/>
      <c r="G8825" s="25"/>
      <c r="H8825" s="25"/>
      <c r="I8825" s="25"/>
      <c r="J8825" s="25"/>
    </row>
    <row r="8826" spans="1:10" ht="14.4">
      <c r="A8826" s="25"/>
      <c r="B8826" s="25"/>
      <c r="C8826" s="25"/>
      <c r="D8826" s="25"/>
      <c r="E8826" s="25"/>
      <c r="F8826" s="25"/>
      <c r="G8826" s="25"/>
      <c r="H8826" s="25"/>
      <c r="I8826" s="25"/>
      <c r="J8826" s="25"/>
    </row>
    <row r="8827" spans="1:10" ht="14.4">
      <c r="A8827" s="25"/>
      <c r="B8827" s="25"/>
      <c r="C8827" s="25"/>
      <c r="D8827" s="25"/>
      <c r="E8827" s="25"/>
      <c r="F8827" s="25"/>
      <c r="G8827" s="25"/>
      <c r="H8827" s="25"/>
      <c r="I8827" s="25"/>
      <c r="J8827" s="25"/>
    </row>
    <row r="8828" spans="1:10" ht="14.4">
      <c r="A8828" s="25"/>
      <c r="B8828" s="25"/>
      <c r="C8828" s="25"/>
      <c r="D8828" s="25"/>
      <c r="E8828" s="25"/>
      <c r="F8828" s="25"/>
      <c r="G8828" s="25"/>
      <c r="H8828" s="25"/>
      <c r="I8828" s="25"/>
      <c r="J8828" s="25"/>
    </row>
    <row r="8829" spans="1:10" ht="14.4">
      <c r="A8829" s="25"/>
      <c r="B8829" s="25"/>
      <c r="C8829" s="25"/>
      <c r="D8829" s="25"/>
      <c r="E8829" s="25"/>
      <c r="F8829" s="25"/>
      <c r="G8829" s="25"/>
      <c r="H8829" s="25"/>
      <c r="I8829" s="25"/>
      <c r="J8829" s="25"/>
    </row>
    <row r="8830" spans="1:10" ht="14.4">
      <c r="A8830" s="25"/>
      <c r="B8830" s="25"/>
      <c r="C8830" s="25"/>
      <c r="D8830" s="25"/>
      <c r="E8830" s="25"/>
      <c r="F8830" s="25"/>
      <c r="G8830" s="25"/>
      <c r="H8830" s="25"/>
      <c r="I8830" s="25"/>
      <c r="J8830" s="25"/>
    </row>
    <row r="8831" spans="1:10" ht="14.4">
      <c r="A8831" s="25"/>
      <c r="B8831" s="25"/>
      <c r="C8831" s="25"/>
      <c r="D8831" s="25"/>
      <c r="E8831" s="25"/>
      <c r="F8831" s="25"/>
      <c r="G8831" s="25"/>
      <c r="H8831" s="25"/>
      <c r="I8831" s="25"/>
      <c r="J8831" s="25"/>
    </row>
    <row r="8832" spans="1:10" ht="14.4">
      <c r="A8832" s="25"/>
      <c r="B8832" s="25"/>
      <c r="C8832" s="25"/>
      <c r="D8832" s="25"/>
      <c r="E8832" s="25"/>
      <c r="F8832" s="25"/>
      <c r="G8832" s="25"/>
      <c r="H8832" s="25"/>
      <c r="I8832" s="25"/>
      <c r="J8832" s="25"/>
    </row>
    <row r="8833" spans="1:10" ht="14.4">
      <c r="A8833" s="25"/>
      <c r="B8833" s="25"/>
      <c r="C8833" s="25"/>
      <c r="D8833" s="25"/>
      <c r="E8833" s="25"/>
      <c r="F8833" s="25"/>
      <c r="G8833" s="25"/>
      <c r="H8833" s="25"/>
      <c r="I8833" s="25"/>
      <c r="J8833" s="25"/>
    </row>
    <row r="8834" spans="1:10" ht="14.4">
      <c r="A8834" s="25"/>
      <c r="B8834" s="25"/>
      <c r="C8834" s="25"/>
      <c r="D8834" s="25"/>
      <c r="E8834" s="25"/>
      <c r="F8834" s="25"/>
      <c r="G8834" s="25"/>
      <c r="H8834" s="25"/>
      <c r="I8834" s="25"/>
      <c r="J8834" s="25"/>
    </row>
    <row r="8835" spans="1:10" ht="14.4">
      <c r="A8835" s="25"/>
      <c r="B8835" s="25"/>
      <c r="C8835" s="25"/>
      <c r="D8835" s="25"/>
      <c r="E8835" s="25"/>
      <c r="F8835" s="25"/>
      <c r="G8835" s="25"/>
      <c r="H8835" s="25"/>
      <c r="I8835" s="25"/>
      <c r="J8835" s="25"/>
    </row>
    <row r="8836" spans="1:10" ht="14.4">
      <c r="A8836" s="25"/>
      <c r="B8836" s="25"/>
      <c r="C8836" s="25"/>
      <c r="D8836" s="25"/>
      <c r="E8836" s="25"/>
      <c r="F8836" s="25"/>
      <c r="G8836" s="25"/>
      <c r="H8836" s="25"/>
      <c r="I8836" s="25"/>
      <c r="J8836" s="25"/>
    </row>
    <row r="8837" spans="1:10" ht="14.4">
      <c r="A8837" s="25"/>
      <c r="B8837" s="25"/>
      <c r="C8837" s="25"/>
      <c r="D8837" s="25"/>
      <c r="E8837" s="25"/>
      <c r="F8837" s="25"/>
      <c r="G8837" s="25"/>
      <c r="H8837" s="25"/>
      <c r="I8837" s="25"/>
      <c r="J8837" s="25"/>
    </row>
    <row r="8838" spans="1:10" ht="14.4">
      <c r="A8838" s="25"/>
      <c r="B8838" s="25"/>
      <c r="C8838" s="25"/>
      <c r="D8838" s="25"/>
      <c r="E8838" s="25"/>
      <c r="F8838" s="25"/>
      <c r="G8838" s="25"/>
      <c r="H8838" s="25"/>
      <c r="I8838" s="25"/>
      <c r="J8838" s="25"/>
    </row>
    <row r="8839" spans="1:10" ht="14.4">
      <c r="A8839" s="25"/>
      <c r="B8839" s="25"/>
      <c r="C8839" s="25"/>
      <c r="D8839" s="25"/>
      <c r="E8839" s="25"/>
      <c r="F8839" s="25"/>
      <c r="G8839" s="25"/>
      <c r="H8839" s="25"/>
      <c r="I8839" s="25"/>
      <c r="J8839" s="25"/>
    </row>
    <row r="8840" spans="1:10" ht="14.4">
      <c r="A8840" s="25"/>
      <c r="B8840" s="25"/>
      <c r="C8840" s="25"/>
      <c r="D8840" s="25"/>
      <c r="E8840" s="25"/>
      <c r="F8840" s="25"/>
      <c r="G8840" s="25"/>
      <c r="H8840" s="25"/>
      <c r="I8840" s="25"/>
      <c r="J8840" s="25"/>
    </row>
    <row r="8841" spans="1:10" ht="14.4">
      <c r="A8841" s="25"/>
      <c r="B8841" s="25"/>
      <c r="C8841" s="25"/>
      <c r="D8841" s="25"/>
      <c r="E8841" s="25"/>
      <c r="F8841" s="25"/>
      <c r="G8841" s="25"/>
      <c r="H8841" s="25"/>
      <c r="I8841" s="25"/>
      <c r="J8841" s="25"/>
    </row>
    <row r="8842" spans="1:10" ht="14.4">
      <c r="A8842" s="25"/>
      <c r="B8842" s="25"/>
      <c r="C8842" s="25"/>
      <c r="D8842" s="25"/>
      <c r="E8842" s="25"/>
      <c r="F8842" s="25"/>
      <c r="G8842" s="25"/>
      <c r="H8842" s="25"/>
      <c r="I8842" s="25"/>
      <c r="J8842" s="25"/>
    </row>
    <row r="8843" spans="1:10" ht="14.4">
      <c r="A8843" s="25"/>
      <c r="B8843" s="25"/>
      <c r="C8843" s="25"/>
      <c r="D8843" s="25"/>
      <c r="E8843" s="25"/>
      <c r="F8843" s="25"/>
      <c r="G8843" s="25"/>
      <c r="H8843" s="25"/>
      <c r="I8843" s="25"/>
      <c r="J8843" s="25"/>
    </row>
    <row r="8844" spans="1:10" ht="14.4">
      <c r="A8844" s="25"/>
      <c r="B8844" s="25"/>
      <c r="C8844" s="25"/>
      <c r="D8844" s="25"/>
      <c r="E8844" s="25"/>
      <c r="F8844" s="25"/>
      <c r="G8844" s="25"/>
      <c r="H8844" s="25"/>
      <c r="I8844" s="25"/>
      <c r="J8844" s="25"/>
    </row>
    <row r="8845" spans="1:10" ht="14.4">
      <c r="A8845" s="25"/>
      <c r="B8845" s="25"/>
      <c r="C8845" s="25"/>
      <c r="D8845" s="25"/>
      <c r="E8845" s="25"/>
      <c r="F8845" s="25"/>
      <c r="G8845" s="25"/>
      <c r="H8845" s="25"/>
      <c r="I8845" s="25"/>
      <c r="J8845" s="25"/>
    </row>
    <row r="8846" spans="1:10" ht="14.4">
      <c r="A8846" s="25"/>
      <c r="B8846" s="25"/>
      <c r="C8846" s="25"/>
      <c r="D8846" s="25"/>
      <c r="E8846" s="25"/>
      <c r="F8846" s="25"/>
      <c r="G8846" s="25"/>
      <c r="H8846" s="25"/>
      <c r="I8846" s="25"/>
      <c r="J8846" s="25"/>
    </row>
    <row r="8847" spans="1:10" ht="14.4">
      <c r="A8847" s="25"/>
      <c r="B8847" s="25"/>
      <c r="C8847" s="25"/>
      <c r="D8847" s="25"/>
      <c r="E8847" s="25"/>
      <c r="F8847" s="25"/>
      <c r="G8847" s="25"/>
      <c r="H8847" s="25"/>
      <c r="I8847" s="25"/>
      <c r="J8847" s="25"/>
    </row>
    <row r="8848" spans="1:10" ht="14.4">
      <c r="A8848" s="25"/>
      <c r="B8848" s="25"/>
      <c r="C8848" s="25"/>
      <c r="D8848" s="25"/>
      <c r="E8848" s="25"/>
      <c r="F8848" s="25"/>
      <c r="G8848" s="25"/>
      <c r="H8848" s="25"/>
      <c r="I8848" s="25"/>
      <c r="J8848" s="25"/>
    </row>
    <row r="8849" spans="1:10" ht="14.4">
      <c r="A8849" s="25"/>
      <c r="B8849" s="25"/>
      <c r="C8849" s="25"/>
      <c r="D8849" s="25"/>
      <c r="E8849" s="25"/>
      <c r="F8849" s="25"/>
      <c r="G8849" s="25"/>
      <c r="H8849" s="25"/>
      <c r="I8849" s="25"/>
      <c r="J8849" s="25"/>
    </row>
    <row r="8850" spans="1:10" ht="14.4">
      <c r="A8850" s="25"/>
      <c r="B8850" s="25"/>
      <c r="C8850" s="25"/>
      <c r="D8850" s="25"/>
      <c r="E8850" s="25"/>
      <c r="F8850" s="25"/>
      <c r="G8850" s="25"/>
      <c r="H8850" s="25"/>
      <c r="I8850" s="25"/>
      <c r="J8850" s="25"/>
    </row>
    <row r="8851" spans="1:10" ht="14.4">
      <c r="A8851" s="25"/>
      <c r="B8851" s="25"/>
      <c r="C8851" s="25"/>
      <c r="D8851" s="25"/>
      <c r="E8851" s="25"/>
      <c r="F8851" s="25"/>
      <c r="G8851" s="25"/>
      <c r="H8851" s="25"/>
      <c r="I8851" s="25"/>
      <c r="J8851" s="25"/>
    </row>
    <row r="8852" spans="1:10" ht="14.4">
      <c r="A8852" s="25"/>
      <c r="B8852" s="25"/>
      <c r="C8852" s="25"/>
      <c r="D8852" s="25"/>
      <c r="E8852" s="25"/>
      <c r="F8852" s="25"/>
      <c r="G8852" s="25"/>
      <c r="H8852" s="25"/>
      <c r="I8852" s="25"/>
      <c r="J8852" s="25"/>
    </row>
    <row r="8853" spans="1:10" ht="14.4">
      <c r="A8853" s="25"/>
      <c r="B8853" s="25"/>
      <c r="C8853" s="25"/>
      <c r="D8853" s="25"/>
      <c r="E8853" s="25"/>
      <c r="F8853" s="25"/>
      <c r="G8853" s="25"/>
      <c r="H8853" s="25"/>
      <c r="I8853" s="25"/>
      <c r="J8853" s="25"/>
    </row>
    <row r="8854" spans="1:10" ht="14.4">
      <c r="A8854" s="25"/>
      <c r="B8854" s="25"/>
      <c r="C8854" s="25"/>
      <c r="D8854" s="25"/>
      <c r="E8854" s="25"/>
      <c r="F8854" s="25"/>
      <c r="G8854" s="25"/>
      <c r="H8854" s="25"/>
      <c r="I8854" s="25"/>
      <c r="J8854" s="25"/>
    </row>
    <row r="8855" spans="1:10" ht="14.4">
      <c r="A8855" s="25"/>
      <c r="B8855" s="25"/>
      <c r="C8855" s="25"/>
      <c r="D8855" s="25"/>
      <c r="E8855" s="25"/>
      <c r="F8855" s="25"/>
      <c r="G8855" s="25"/>
      <c r="H8855" s="25"/>
      <c r="I8855" s="25"/>
      <c r="J8855" s="25"/>
    </row>
    <row r="8856" spans="1:10" ht="14.4">
      <c r="A8856" s="25"/>
      <c r="B8856" s="25"/>
      <c r="C8856" s="25"/>
      <c r="D8856" s="25"/>
      <c r="E8856" s="25"/>
      <c r="F8856" s="25"/>
      <c r="G8856" s="25"/>
      <c r="H8856" s="25"/>
      <c r="I8856" s="25"/>
      <c r="J8856" s="25"/>
    </row>
    <row r="8857" spans="1:10" ht="14.4">
      <c r="A8857" s="25"/>
      <c r="B8857" s="25"/>
      <c r="C8857" s="25"/>
      <c r="D8857" s="25"/>
      <c r="E8857" s="25"/>
      <c r="F8857" s="25"/>
      <c r="G8857" s="25"/>
      <c r="H8857" s="25"/>
      <c r="I8857" s="25"/>
      <c r="J8857" s="25"/>
    </row>
    <row r="8858" spans="1:10" ht="14.4">
      <c r="A8858" s="25"/>
      <c r="B8858" s="25"/>
      <c r="C8858" s="25"/>
      <c r="D8858" s="25"/>
      <c r="E8858" s="25"/>
      <c r="F8858" s="25"/>
      <c r="G8858" s="25"/>
      <c r="H8858" s="25"/>
      <c r="I8858" s="25"/>
      <c r="J8858" s="25"/>
    </row>
    <row r="8859" spans="1:10" ht="14.4">
      <c r="A8859" s="25"/>
      <c r="B8859" s="25"/>
      <c r="C8859" s="25"/>
      <c r="D8859" s="25"/>
      <c r="E8859" s="25"/>
      <c r="F8859" s="25"/>
      <c r="G8859" s="25"/>
      <c r="H8859" s="25"/>
      <c r="I8859" s="25"/>
      <c r="J8859" s="25"/>
    </row>
    <row r="8860" spans="1:10" ht="14.4">
      <c r="A8860" s="25"/>
      <c r="B8860" s="25"/>
      <c r="C8860" s="25"/>
      <c r="D8860" s="25"/>
      <c r="E8860" s="25"/>
      <c r="F8860" s="25"/>
      <c r="G8860" s="25"/>
      <c r="H8860" s="25"/>
      <c r="I8860" s="25"/>
      <c r="J8860" s="25"/>
    </row>
    <row r="8861" spans="1:10" ht="14.4">
      <c r="A8861" s="25"/>
      <c r="B8861" s="25"/>
      <c r="C8861" s="25"/>
      <c r="D8861" s="25"/>
      <c r="E8861" s="25"/>
      <c r="F8861" s="25"/>
      <c r="G8861" s="25"/>
      <c r="H8861" s="25"/>
      <c r="I8861" s="25"/>
      <c r="J8861" s="25"/>
    </row>
    <row r="8862" spans="1:10" ht="14.4">
      <c r="A8862" s="25"/>
      <c r="B8862" s="25"/>
      <c r="C8862" s="25"/>
      <c r="D8862" s="25"/>
      <c r="E8862" s="25"/>
      <c r="F8862" s="25"/>
      <c r="G8862" s="25"/>
      <c r="H8862" s="25"/>
      <c r="I8862" s="25"/>
      <c r="J8862" s="25"/>
    </row>
    <row r="8863" spans="1:10" ht="14.4">
      <c r="A8863" s="25"/>
      <c r="B8863" s="25"/>
      <c r="C8863" s="25"/>
      <c r="D8863" s="25"/>
      <c r="E8863" s="25"/>
      <c r="F8863" s="25"/>
      <c r="G8863" s="25"/>
      <c r="H8863" s="25"/>
      <c r="I8863" s="25"/>
      <c r="J8863" s="25"/>
    </row>
    <row r="8864" spans="1:10" ht="14.4">
      <c r="A8864" s="25"/>
      <c r="B8864" s="25"/>
      <c r="C8864" s="25"/>
      <c r="D8864" s="25"/>
      <c r="E8864" s="25"/>
      <c r="F8864" s="25"/>
      <c r="G8864" s="25"/>
      <c r="H8864" s="25"/>
      <c r="I8864" s="25"/>
      <c r="J8864" s="25"/>
    </row>
    <row r="8865" spans="1:10" ht="14.4">
      <c r="A8865" s="25"/>
      <c r="B8865" s="25"/>
      <c r="C8865" s="25"/>
      <c r="D8865" s="25"/>
      <c r="E8865" s="25"/>
      <c r="F8865" s="25"/>
      <c r="G8865" s="25"/>
      <c r="H8865" s="25"/>
      <c r="I8865" s="25"/>
      <c r="J8865" s="25"/>
    </row>
    <row r="8866" spans="1:10" ht="14.4">
      <c r="A8866" s="25"/>
      <c r="B8866" s="25"/>
      <c r="C8866" s="25"/>
      <c r="D8866" s="25"/>
      <c r="E8866" s="25"/>
      <c r="F8866" s="25"/>
      <c r="G8866" s="25"/>
      <c r="H8866" s="25"/>
      <c r="I8866" s="25"/>
      <c r="J8866" s="25"/>
    </row>
    <row r="8867" spans="1:10" ht="14.4">
      <c r="A8867" s="25"/>
      <c r="B8867" s="25"/>
      <c r="C8867" s="25"/>
      <c r="D8867" s="25"/>
      <c r="E8867" s="25"/>
      <c r="F8867" s="25"/>
      <c r="G8867" s="25"/>
      <c r="H8867" s="25"/>
      <c r="I8867" s="25"/>
      <c r="J8867" s="25"/>
    </row>
    <row r="8868" spans="1:10" ht="14.4">
      <c r="A8868" s="25"/>
      <c r="B8868" s="25"/>
      <c r="C8868" s="25"/>
      <c r="D8868" s="25"/>
      <c r="E8868" s="25"/>
      <c r="F8868" s="25"/>
      <c r="G8868" s="25"/>
      <c r="H8868" s="25"/>
      <c r="I8868" s="25"/>
      <c r="J8868" s="25"/>
    </row>
    <row r="8869" spans="1:10" ht="14.4">
      <c r="A8869" s="25"/>
      <c r="B8869" s="25"/>
      <c r="C8869" s="25"/>
      <c r="D8869" s="25"/>
      <c r="E8869" s="25"/>
      <c r="F8869" s="25"/>
      <c r="G8869" s="25"/>
      <c r="H8869" s="25"/>
      <c r="I8869" s="25"/>
      <c r="J8869" s="25"/>
    </row>
    <row r="8870" spans="1:10" ht="14.4">
      <c r="A8870" s="25"/>
      <c r="B8870" s="25"/>
      <c r="C8870" s="25"/>
      <c r="D8870" s="25"/>
      <c r="E8870" s="25"/>
      <c r="F8870" s="25"/>
      <c r="G8870" s="25"/>
      <c r="H8870" s="25"/>
      <c r="I8870" s="25"/>
      <c r="J8870" s="25"/>
    </row>
    <row r="8871" spans="1:10" ht="14.4">
      <c r="A8871" s="25"/>
      <c r="B8871" s="25"/>
      <c r="C8871" s="25"/>
      <c r="D8871" s="25"/>
      <c r="E8871" s="25"/>
      <c r="F8871" s="25"/>
      <c r="G8871" s="25"/>
      <c r="H8871" s="25"/>
      <c r="I8871" s="25"/>
      <c r="J8871" s="25"/>
    </row>
    <row r="8872" spans="1:10" ht="14.4">
      <c r="A8872" s="25"/>
      <c r="B8872" s="25"/>
      <c r="C8872" s="25"/>
      <c r="D8872" s="25"/>
      <c r="E8872" s="25"/>
      <c r="F8872" s="25"/>
      <c r="G8872" s="25"/>
      <c r="H8872" s="25"/>
      <c r="I8872" s="25"/>
      <c r="J8872" s="25"/>
    </row>
    <row r="8873" spans="1:10" ht="14.4">
      <c r="A8873" s="25"/>
      <c r="B8873" s="25"/>
      <c r="C8873" s="25"/>
      <c r="D8873" s="25"/>
      <c r="E8873" s="25"/>
      <c r="F8873" s="25"/>
      <c r="G8873" s="25"/>
      <c r="H8873" s="25"/>
      <c r="I8873" s="25"/>
      <c r="J8873" s="25"/>
    </row>
    <row r="8874" spans="1:10" ht="14.4">
      <c r="A8874" s="25"/>
      <c r="B8874" s="25"/>
      <c r="C8874" s="25"/>
      <c r="D8874" s="25"/>
      <c r="E8874" s="25"/>
      <c r="F8874" s="25"/>
      <c r="G8874" s="25"/>
      <c r="H8874" s="25"/>
      <c r="I8874" s="25"/>
      <c r="J8874" s="25"/>
    </row>
    <row r="8875" spans="1:10" ht="14.4">
      <c r="A8875" s="25"/>
      <c r="B8875" s="25"/>
      <c r="C8875" s="25"/>
      <c r="D8875" s="25"/>
      <c r="E8875" s="25"/>
      <c r="F8875" s="25"/>
      <c r="G8875" s="25"/>
      <c r="H8875" s="25"/>
      <c r="I8875" s="25"/>
      <c r="J8875" s="25"/>
    </row>
    <row r="8876" spans="1:10" ht="14.4">
      <c r="A8876" s="25"/>
      <c r="B8876" s="25"/>
      <c r="C8876" s="25"/>
      <c r="D8876" s="25"/>
      <c r="E8876" s="25"/>
      <c r="F8876" s="25"/>
      <c r="G8876" s="25"/>
      <c r="H8876" s="25"/>
      <c r="I8876" s="25"/>
      <c r="J8876" s="25"/>
    </row>
    <row r="8877" spans="1:10" ht="14.4">
      <c r="A8877" s="25"/>
      <c r="B8877" s="25"/>
      <c r="C8877" s="25"/>
      <c r="D8877" s="25"/>
      <c r="E8877" s="25"/>
      <c r="F8877" s="25"/>
      <c r="G8877" s="25"/>
      <c r="H8877" s="25"/>
      <c r="I8877" s="25"/>
      <c r="J8877" s="25"/>
    </row>
    <row r="8878" spans="1:10" ht="14.4">
      <c r="A8878" s="25"/>
      <c r="B8878" s="25"/>
      <c r="C8878" s="25"/>
      <c r="D8878" s="25"/>
      <c r="E8878" s="25"/>
      <c r="F8878" s="25"/>
      <c r="G8878" s="25"/>
      <c r="H8878" s="25"/>
      <c r="I8878" s="25"/>
      <c r="J8878" s="25"/>
    </row>
    <row r="8879" spans="1:10" ht="14.4">
      <c r="A8879" s="25"/>
      <c r="B8879" s="25"/>
      <c r="C8879" s="25"/>
      <c r="D8879" s="25"/>
      <c r="E8879" s="25"/>
      <c r="F8879" s="25"/>
      <c r="G8879" s="25"/>
      <c r="H8879" s="25"/>
      <c r="I8879" s="25"/>
      <c r="J8879" s="25"/>
    </row>
    <row r="8880" spans="1:10" ht="14.4">
      <c r="A8880" s="25"/>
      <c r="B8880" s="25"/>
      <c r="C8880" s="25"/>
      <c r="D8880" s="25"/>
      <c r="E8880" s="25"/>
      <c r="F8880" s="25"/>
      <c r="G8880" s="25"/>
      <c r="H8880" s="25"/>
      <c r="I8880" s="25"/>
      <c r="J8880" s="25"/>
    </row>
    <row r="8881" spans="1:10" ht="14.4">
      <c r="A8881" s="25"/>
      <c r="B8881" s="25"/>
      <c r="C8881" s="25"/>
      <c r="D8881" s="25"/>
      <c r="E8881" s="25"/>
      <c r="F8881" s="25"/>
      <c r="G8881" s="25"/>
      <c r="H8881" s="25"/>
      <c r="I8881" s="25"/>
      <c r="J8881" s="25"/>
    </row>
    <row r="8882" spans="1:10" ht="14.4">
      <c r="A8882" s="25"/>
      <c r="B8882" s="25"/>
      <c r="C8882" s="25"/>
      <c r="D8882" s="25"/>
      <c r="E8882" s="25"/>
      <c r="F8882" s="25"/>
      <c r="G8882" s="25"/>
      <c r="H8882" s="25"/>
      <c r="I8882" s="25"/>
      <c r="J8882" s="25"/>
    </row>
    <row r="8883" spans="1:10" ht="14.4">
      <c r="A8883" s="25"/>
      <c r="B8883" s="25"/>
      <c r="C8883" s="25"/>
      <c r="D8883" s="25"/>
      <c r="E8883" s="25"/>
      <c r="F8883" s="25"/>
      <c r="G8883" s="25"/>
      <c r="H8883" s="25"/>
      <c r="I8883" s="25"/>
      <c r="J8883" s="25"/>
    </row>
    <row r="8884" spans="1:10" ht="14.4">
      <c r="A8884" s="25"/>
      <c r="B8884" s="25"/>
      <c r="C8884" s="25"/>
      <c r="D8884" s="25"/>
      <c r="E8884" s="25"/>
      <c r="F8884" s="25"/>
      <c r="G8884" s="25"/>
      <c r="H8884" s="25"/>
      <c r="I8884" s="25"/>
      <c r="J8884" s="25"/>
    </row>
    <row r="8885" spans="1:10" ht="14.4">
      <c r="A8885" s="25"/>
      <c r="B8885" s="25"/>
      <c r="C8885" s="25"/>
      <c r="D8885" s="25"/>
      <c r="E8885" s="25"/>
      <c r="F8885" s="25"/>
      <c r="G8885" s="25"/>
      <c r="H8885" s="25"/>
      <c r="I8885" s="25"/>
      <c r="J8885" s="25"/>
    </row>
    <row r="8886" spans="1:10" ht="14.4">
      <c r="A8886" s="25"/>
      <c r="B8886" s="25"/>
      <c r="C8886" s="25"/>
      <c r="D8886" s="25"/>
      <c r="E8886" s="25"/>
      <c r="F8886" s="25"/>
      <c r="G8886" s="25"/>
      <c r="H8886" s="25"/>
      <c r="I8886" s="25"/>
      <c r="J8886" s="25"/>
    </row>
    <row r="8887" spans="1:10" ht="14.4">
      <c r="A8887" s="25"/>
      <c r="B8887" s="25"/>
      <c r="C8887" s="25"/>
      <c r="D8887" s="25"/>
      <c r="E8887" s="25"/>
      <c r="F8887" s="25"/>
      <c r="G8887" s="25"/>
      <c r="H8887" s="25"/>
      <c r="I8887" s="25"/>
      <c r="J8887" s="25"/>
    </row>
    <row r="8888" spans="1:10" ht="14.4">
      <c r="A8888" s="25"/>
      <c r="B8888" s="25"/>
      <c r="C8888" s="25"/>
      <c r="D8888" s="25"/>
      <c r="E8888" s="25"/>
      <c r="F8888" s="25"/>
      <c r="G8888" s="25"/>
      <c r="H8888" s="25"/>
      <c r="I8888" s="25"/>
      <c r="J8888" s="25"/>
    </row>
    <row r="8889" spans="1:10" ht="14.4">
      <c r="A8889" s="25"/>
      <c r="B8889" s="25"/>
      <c r="C8889" s="25"/>
      <c r="D8889" s="25"/>
      <c r="E8889" s="25"/>
      <c r="F8889" s="25"/>
      <c r="G8889" s="25"/>
      <c r="H8889" s="25"/>
      <c r="I8889" s="25"/>
      <c r="J8889" s="25"/>
    </row>
    <row r="8890" spans="1:10" ht="14.4">
      <c r="A8890" s="25"/>
      <c r="B8890" s="25"/>
      <c r="C8890" s="25"/>
      <c r="D8890" s="25"/>
      <c r="E8890" s="25"/>
      <c r="F8890" s="25"/>
      <c r="G8890" s="25"/>
      <c r="H8890" s="25"/>
      <c r="I8890" s="25"/>
      <c r="J8890" s="25"/>
    </row>
    <row r="8891" spans="1:10" ht="14.4">
      <c r="A8891" s="25"/>
      <c r="B8891" s="25"/>
      <c r="C8891" s="25"/>
      <c r="D8891" s="25"/>
      <c r="E8891" s="25"/>
      <c r="F8891" s="25"/>
      <c r="G8891" s="25"/>
      <c r="H8891" s="25"/>
      <c r="I8891" s="25"/>
      <c r="J8891" s="25"/>
    </row>
    <row r="8892" spans="1:10" ht="14.4">
      <c r="A8892" s="25"/>
      <c r="B8892" s="25"/>
      <c r="C8892" s="25"/>
      <c r="D8892" s="25"/>
      <c r="E8892" s="25"/>
      <c r="F8892" s="25"/>
      <c r="G8892" s="25"/>
      <c r="H8892" s="25"/>
      <c r="I8892" s="25"/>
      <c r="J8892" s="25"/>
    </row>
    <row r="8893" spans="1:10" ht="14.4">
      <c r="A8893" s="25"/>
      <c r="B8893" s="25"/>
      <c r="C8893" s="25"/>
      <c r="D8893" s="25"/>
      <c r="E8893" s="25"/>
      <c r="F8893" s="25"/>
      <c r="G8893" s="25"/>
      <c r="H8893" s="25"/>
      <c r="I8893" s="25"/>
      <c r="J8893" s="25"/>
    </row>
    <row r="8894" spans="1:10" ht="14.4">
      <c r="A8894" s="25"/>
      <c r="B8894" s="25"/>
      <c r="C8894" s="25"/>
      <c r="D8894" s="25"/>
      <c r="E8894" s="25"/>
      <c r="F8894" s="25"/>
      <c r="G8894" s="25"/>
      <c r="H8894" s="25"/>
      <c r="I8894" s="25"/>
      <c r="J8894" s="25"/>
    </row>
    <row r="8895" spans="1:10" ht="14.4">
      <c r="A8895" s="25"/>
      <c r="B8895" s="25"/>
      <c r="C8895" s="25"/>
      <c r="D8895" s="25"/>
      <c r="E8895" s="25"/>
      <c r="F8895" s="25"/>
      <c r="G8895" s="25"/>
      <c r="H8895" s="25"/>
      <c r="I8895" s="25"/>
      <c r="J8895" s="25"/>
    </row>
    <row r="8896" spans="1:10" ht="14.4">
      <c r="A8896" s="25"/>
      <c r="B8896" s="25"/>
      <c r="C8896" s="25"/>
      <c r="D8896" s="25"/>
      <c r="E8896" s="25"/>
      <c r="F8896" s="25"/>
      <c r="G8896" s="25"/>
      <c r="H8896" s="25"/>
      <c r="I8896" s="25"/>
      <c r="J8896" s="25"/>
    </row>
    <row r="8897" spans="1:10" ht="14.4">
      <c r="A8897" s="25"/>
      <c r="B8897" s="25"/>
      <c r="C8897" s="25"/>
      <c r="D8897" s="25"/>
      <c r="E8897" s="25"/>
      <c r="F8897" s="25"/>
      <c r="G8897" s="25"/>
      <c r="H8897" s="25"/>
      <c r="I8897" s="25"/>
      <c r="J8897" s="25"/>
    </row>
    <row r="8898" spans="1:10" ht="14.4">
      <c r="A8898" s="25"/>
      <c r="B8898" s="25"/>
      <c r="C8898" s="25"/>
      <c r="D8898" s="25"/>
      <c r="E8898" s="25"/>
      <c r="F8898" s="25"/>
      <c r="G8898" s="25"/>
      <c r="H8898" s="25"/>
      <c r="I8898" s="25"/>
      <c r="J8898" s="25"/>
    </row>
    <row r="8899" spans="1:10" ht="14.4">
      <c r="A8899" s="25"/>
      <c r="B8899" s="25"/>
      <c r="C8899" s="25"/>
      <c r="D8899" s="25"/>
      <c r="E8899" s="25"/>
      <c r="F8899" s="25"/>
      <c r="G8899" s="25"/>
      <c r="H8899" s="25"/>
      <c r="I8899" s="25"/>
      <c r="J8899" s="25"/>
    </row>
    <row r="8900" spans="1:10" ht="14.4">
      <c r="A8900" s="25"/>
      <c r="B8900" s="25"/>
      <c r="C8900" s="25"/>
      <c r="D8900" s="25"/>
      <c r="E8900" s="25"/>
      <c r="F8900" s="25"/>
      <c r="G8900" s="25"/>
      <c r="H8900" s="25"/>
      <c r="I8900" s="25"/>
      <c r="J8900" s="25"/>
    </row>
    <row r="8901" spans="1:10" ht="14.4">
      <c r="A8901" s="25"/>
      <c r="B8901" s="25"/>
      <c r="C8901" s="25"/>
      <c r="D8901" s="25"/>
      <c r="E8901" s="25"/>
      <c r="F8901" s="25"/>
      <c r="G8901" s="25"/>
      <c r="H8901" s="25"/>
      <c r="I8901" s="25"/>
      <c r="J8901" s="25"/>
    </row>
    <row r="8902" spans="1:10" ht="14.4">
      <c r="A8902" s="25"/>
      <c r="B8902" s="25"/>
      <c r="C8902" s="25"/>
      <c r="D8902" s="25"/>
      <c r="E8902" s="25"/>
      <c r="F8902" s="25"/>
      <c r="G8902" s="25"/>
      <c r="H8902" s="25"/>
      <c r="I8902" s="25"/>
      <c r="J8902" s="25"/>
    </row>
    <row r="8903" spans="1:10" ht="14.4">
      <c r="A8903" s="25"/>
      <c r="B8903" s="25"/>
      <c r="C8903" s="25"/>
      <c r="D8903" s="25"/>
      <c r="E8903" s="25"/>
      <c r="F8903" s="25"/>
      <c r="G8903" s="25"/>
      <c r="H8903" s="25"/>
      <c r="I8903" s="25"/>
      <c r="J8903" s="25"/>
    </row>
    <row r="8904" spans="1:10" ht="14.4">
      <c r="A8904" s="25"/>
      <c r="B8904" s="25"/>
      <c r="C8904" s="25"/>
      <c r="D8904" s="25"/>
      <c r="E8904" s="25"/>
      <c r="F8904" s="25"/>
      <c r="G8904" s="25"/>
      <c r="H8904" s="25"/>
      <c r="I8904" s="25"/>
      <c r="J8904" s="25"/>
    </row>
    <row r="8905" spans="1:10" ht="14.4">
      <c r="A8905" s="25"/>
      <c r="B8905" s="25"/>
      <c r="C8905" s="25"/>
      <c r="D8905" s="25"/>
      <c r="E8905" s="25"/>
      <c r="F8905" s="25"/>
      <c r="G8905" s="25"/>
      <c r="H8905" s="25"/>
      <c r="I8905" s="25"/>
      <c r="J8905" s="25"/>
    </row>
    <row r="8906" spans="1:10" ht="14.4">
      <c r="A8906" s="25"/>
      <c r="B8906" s="25"/>
      <c r="C8906" s="25"/>
      <c r="D8906" s="25"/>
      <c r="E8906" s="25"/>
      <c r="F8906" s="25"/>
      <c r="G8906" s="25"/>
      <c r="H8906" s="25"/>
      <c r="I8906" s="25"/>
      <c r="J8906" s="25"/>
    </row>
    <row r="8907" spans="1:10" ht="14.4">
      <c r="A8907" s="25"/>
      <c r="B8907" s="25"/>
      <c r="C8907" s="25"/>
      <c r="D8907" s="25"/>
      <c r="E8907" s="25"/>
      <c r="F8907" s="25"/>
      <c r="G8907" s="25"/>
      <c r="H8907" s="25"/>
      <c r="I8907" s="25"/>
      <c r="J8907" s="25"/>
    </row>
    <row r="8908" spans="1:10" ht="14.4">
      <c r="A8908" s="25"/>
      <c r="B8908" s="25"/>
      <c r="C8908" s="25"/>
      <c r="D8908" s="25"/>
      <c r="E8908" s="25"/>
      <c r="F8908" s="25"/>
      <c r="G8908" s="25"/>
      <c r="H8908" s="25"/>
      <c r="I8908" s="25"/>
      <c r="J8908" s="25"/>
    </row>
    <row r="8909" spans="1:10" ht="14.4">
      <c r="A8909" s="25"/>
      <c r="B8909" s="25"/>
      <c r="C8909" s="25"/>
      <c r="D8909" s="25"/>
      <c r="E8909" s="25"/>
      <c r="F8909" s="25"/>
      <c r="G8909" s="25"/>
      <c r="H8909" s="25"/>
      <c r="I8909" s="25"/>
      <c r="J8909" s="25"/>
    </row>
    <row r="8910" spans="1:10" ht="14.4">
      <c r="A8910" s="25"/>
      <c r="B8910" s="25"/>
      <c r="C8910" s="25"/>
      <c r="D8910" s="25"/>
      <c r="E8910" s="25"/>
      <c r="F8910" s="25"/>
      <c r="G8910" s="25"/>
      <c r="H8910" s="25"/>
      <c r="I8910" s="25"/>
      <c r="J8910" s="25"/>
    </row>
    <row r="8911" spans="1:10" ht="14.4">
      <c r="A8911" s="25"/>
      <c r="B8911" s="25"/>
      <c r="C8911" s="25"/>
      <c r="D8911" s="25"/>
      <c r="E8911" s="25"/>
      <c r="F8911" s="25"/>
      <c r="G8911" s="25"/>
      <c r="H8911" s="25"/>
      <c r="I8911" s="25"/>
      <c r="J8911" s="25"/>
    </row>
    <row r="8912" spans="1:10" ht="14.4">
      <c r="A8912" s="25"/>
      <c r="B8912" s="25"/>
      <c r="C8912" s="25"/>
      <c r="D8912" s="25"/>
      <c r="E8912" s="25"/>
      <c r="F8912" s="25"/>
      <c r="G8912" s="25"/>
      <c r="H8912" s="25"/>
      <c r="I8912" s="25"/>
      <c r="J8912" s="25"/>
    </row>
    <row r="8913" spans="1:10" ht="14.4">
      <c r="A8913" s="25"/>
      <c r="B8913" s="25"/>
      <c r="C8913" s="25"/>
      <c r="D8913" s="25"/>
      <c r="E8913" s="25"/>
      <c r="F8913" s="25"/>
      <c r="G8913" s="25"/>
      <c r="H8913" s="25"/>
      <c r="I8913" s="25"/>
      <c r="J8913" s="25"/>
    </row>
    <row r="8914" spans="1:10" ht="14.4">
      <c r="A8914" s="25"/>
      <c r="B8914" s="25"/>
      <c r="C8914" s="25"/>
      <c r="D8914" s="25"/>
      <c r="E8914" s="25"/>
      <c r="F8914" s="25"/>
      <c r="G8914" s="25"/>
      <c r="H8914" s="25"/>
      <c r="I8914" s="25"/>
      <c r="J8914" s="25"/>
    </row>
    <row r="8915" spans="1:10" ht="14.4">
      <c r="A8915" s="25"/>
      <c r="B8915" s="25"/>
      <c r="C8915" s="25"/>
      <c r="D8915" s="25"/>
      <c r="E8915" s="25"/>
      <c r="F8915" s="25"/>
      <c r="G8915" s="25"/>
      <c r="H8915" s="25"/>
      <c r="I8915" s="25"/>
      <c r="J8915" s="25"/>
    </row>
    <row r="8916" spans="1:10" ht="14.4">
      <c r="A8916" s="25"/>
      <c r="B8916" s="25"/>
      <c r="C8916" s="25"/>
      <c r="D8916" s="25"/>
      <c r="E8916" s="25"/>
      <c r="F8916" s="25"/>
      <c r="G8916" s="25"/>
      <c r="H8916" s="25"/>
      <c r="I8916" s="25"/>
      <c r="J8916" s="25"/>
    </row>
    <row r="8917" spans="1:10" ht="14.4">
      <c r="A8917" s="25"/>
      <c r="B8917" s="25"/>
      <c r="C8917" s="25"/>
      <c r="D8917" s="25"/>
      <c r="E8917" s="25"/>
      <c r="F8917" s="25"/>
      <c r="G8917" s="25"/>
      <c r="H8917" s="25"/>
      <c r="I8917" s="25"/>
      <c r="J8917" s="25"/>
    </row>
    <row r="8918" spans="1:10" ht="14.4">
      <c r="A8918" s="25"/>
      <c r="B8918" s="25"/>
      <c r="C8918" s="25"/>
      <c r="D8918" s="25"/>
      <c r="E8918" s="25"/>
      <c r="F8918" s="25"/>
      <c r="G8918" s="25"/>
      <c r="H8918" s="25"/>
      <c r="I8918" s="25"/>
      <c r="J8918" s="25"/>
    </row>
    <row r="8919" spans="1:10" ht="14.4">
      <c r="A8919" s="25"/>
      <c r="B8919" s="25"/>
      <c r="C8919" s="25"/>
      <c r="D8919" s="25"/>
      <c r="E8919" s="25"/>
      <c r="F8919" s="25"/>
      <c r="G8919" s="25"/>
      <c r="H8919" s="25"/>
      <c r="I8919" s="25"/>
      <c r="J8919" s="25"/>
    </row>
    <row r="8920" spans="1:10" ht="14.4">
      <c r="A8920" s="25"/>
      <c r="B8920" s="25"/>
      <c r="C8920" s="25"/>
      <c r="D8920" s="25"/>
      <c r="E8920" s="25"/>
      <c r="F8920" s="25"/>
      <c r="G8920" s="25"/>
      <c r="H8920" s="25"/>
      <c r="I8920" s="25"/>
      <c r="J8920" s="25"/>
    </row>
    <row r="8921" spans="1:10" ht="14.4">
      <c r="A8921" s="25"/>
      <c r="B8921" s="25"/>
      <c r="C8921" s="25"/>
      <c r="D8921" s="25"/>
      <c r="E8921" s="25"/>
      <c r="F8921" s="25"/>
      <c r="G8921" s="25"/>
      <c r="H8921" s="25"/>
      <c r="I8921" s="25"/>
      <c r="J8921" s="25"/>
    </row>
    <row r="8922" spans="1:10" ht="14.4">
      <c r="A8922" s="25"/>
      <c r="B8922" s="25"/>
      <c r="C8922" s="25"/>
      <c r="D8922" s="25"/>
      <c r="E8922" s="25"/>
      <c r="F8922" s="25"/>
      <c r="G8922" s="25"/>
      <c r="H8922" s="25"/>
      <c r="I8922" s="25"/>
      <c r="J8922" s="25"/>
    </row>
    <row r="8923" spans="1:10" ht="14.4">
      <c r="A8923" s="25"/>
      <c r="B8923" s="25"/>
      <c r="C8923" s="25"/>
      <c r="D8923" s="25"/>
      <c r="E8923" s="25"/>
      <c r="F8923" s="25"/>
      <c r="G8923" s="25"/>
      <c r="H8923" s="25"/>
      <c r="I8923" s="25"/>
      <c r="J8923" s="25"/>
    </row>
    <row r="8924" spans="1:10" ht="14.4">
      <c r="A8924" s="25"/>
      <c r="B8924" s="25"/>
      <c r="C8924" s="25"/>
      <c r="D8924" s="25"/>
      <c r="E8924" s="25"/>
      <c r="F8924" s="25"/>
      <c r="G8924" s="25"/>
      <c r="H8924" s="25"/>
      <c r="I8924" s="25"/>
      <c r="J8924" s="25"/>
    </row>
    <row r="8925" spans="1:10" ht="14.4">
      <c r="A8925" s="25"/>
      <c r="B8925" s="25"/>
      <c r="C8925" s="25"/>
      <c r="D8925" s="25"/>
      <c r="E8925" s="25"/>
      <c r="F8925" s="25"/>
      <c r="G8925" s="25"/>
      <c r="H8925" s="25"/>
      <c r="I8925" s="25"/>
      <c r="J8925" s="25"/>
    </row>
    <row r="8926" spans="1:10" ht="14.4">
      <c r="A8926" s="25"/>
      <c r="B8926" s="25"/>
      <c r="C8926" s="25"/>
      <c r="D8926" s="25"/>
      <c r="E8926" s="25"/>
      <c r="F8926" s="25"/>
      <c r="G8926" s="25"/>
      <c r="H8926" s="25"/>
      <c r="I8926" s="25"/>
      <c r="J8926" s="25"/>
    </row>
    <row r="8927" spans="1:10" ht="14.4">
      <c r="A8927" s="25"/>
      <c r="B8927" s="25"/>
      <c r="C8927" s="25"/>
      <c r="D8927" s="25"/>
      <c r="E8927" s="25"/>
      <c r="F8927" s="25"/>
      <c r="G8927" s="25"/>
      <c r="H8927" s="25"/>
      <c r="I8927" s="25"/>
      <c r="J8927" s="25"/>
    </row>
    <row r="8928" spans="1:10" ht="14.4">
      <c r="A8928" s="25"/>
      <c r="B8928" s="25"/>
      <c r="C8928" s="25"/>
      <c r="D8928" s="25"/>
      <c r="E8928" s="25"/>
      <c r="F8928" s="25"/>
      <c r="G8928" s="25"/>
      <c r="H8928" s="25"/>
      <c r="I8928" s="25"/>
      <c r="J8928" s="25"/>
    </row>
    <row r="8929" spans="1:10" ht="14.4">
      <c r="A8929" s="25"/>
      <c r="B8929" s="25"/>
      <c r="C8929" s="25"/>
      <c r="D8929" s="25"/>
      <c r="E8929" s="25"/>
      <c r="F8929" s="25"/>
      <c r="G8929" s="25"/>
      <c r="H8929" s="25"/>
      <c r="I8929" s="25"/>
      <c r="J8929" s="25"/>
    </row>
    <row r="8930" spans="1:10" ht="14.4">
      <c r="A8930" s="25"/>
      <c r="B8930" s="25"/>
      <c r="C8930" s="25"/>
      <c r="D8930" s="25"/>
      <c r="E8930" s="25"/>
      <c r="F8930" s="25"/>
      <c r="G8930" s="25"/>
      <c r="H8930" s="25"/>
      <c r="I8930" s="25"/>
      <c r="J8930" s="25"/>
    </row>
    <row r="8931" spans="1:10" ht="14.4">
      <c r="A8931" s="25"/>
      <c r="B8931" s="25"/>
      <c r="C8931" s="25"/>
      <c r="D8931" s="25"/>
      <c r="E8931" s="25"/>
      <c r="F8931" s="25"/>
      <c r="G8931" s="25"/>
      <c r="H8931" s="25"/>
      <c r="I8931" s="25"/>
      <c r="J8931" s="25"/>
    </row>
    <row r="8932" spans="1:10" ht="14.4">
      <c r="A8932" s="25"/>
      <c r="B8932" s="25"/>
      <c r="C8932" s="25"/>
      <c r="D8932" s="25"/>
      <c r="E8932" s="25"/>
      <c r="F8932" s="25"/>
      <c r="G8932" s="25"/>
      <c r="H8932" s="25"/>
      <c r="I8932" s="25"/>
      <c r="J8932" s="25"/>
    </row>
    <row r="8933" spans="1:10" ht="14.4">
      <c r="A8933" s="25"/>
      <c r="B8933" s="25"/>
      <c r="C8933" s="25"/>
      <c r="D8933" s="25"/>
      <c r="E8933" s="25"/>
      <c r="F8933" s="25"/>
      <c r="G8933" s="25"/>
      <c r="H8933" s="25"/>
      <c r="I8933" s="25"/>
      <c r="J8933" s="25"/>
    </row>
    <row r="8934" spans="1:10" ht="14.4">
      <c r="A8934" s="25"/>
      <c r="B8934" s="25"/>
      <c r="C8934" s="25"/>
      <c r="D8934" s="25"/>
      <c r="E8934" s="25"/>
      <c r="F8934" s="25"/>
      <c r="G8934" s="25"/>
      <c r="H8934" s="25"/>
      <c r="I8934" s="25"/>
      <c r="J8934" s="25"/>
    </row>
    <row r="8935" spans="1:10" ht="14.4">
      <c r="A8935" s="25"/>
      <c r="B8935" s="25"/>
      <c r="C8935" s="25"/>
      <c r="D8935" s="25"/>
      <c r="E8935" s="25"/>
      <c r="F8935" s="25"/>
      <c r="G8935" s="25"/>
      <c r="H8935" s="25"/>
      <c r="I8935" s="25"/>
      <c r="J8935" s="25"/>
    </row>
    <row r="8936" spans="1:10" ht="14.4">
      <c r="A8936" s="25"/>
      <c r="B8936" s="25"/>
      <c r="C8936" s="25"/>
      <c r="D8936" s="25"/>
      <c r="E8936" s="25"/>
      <c r="F8936" s="25"/>
      <c r="G8936" s="25"/>
      <c r="H8936" s="25"/>
      <c r="I8936" s="25"/>
      <c r="J8936" s="25"/>
    </row>
    <row r="8937" spans="1:10" ht="14.4">
      <c r="A8937" s="25"/>
      <c r="B8937" s="25"/>
      <c r="C8937" s="25"/>
      <c r="D8937" s="25"/>
      <c r="E8937" s="25"/>
      <c r="F8937" s="25"/>
      <c r="G8937" s="25"/>
      <c r="H8937" s="25"/>
      <c r="I8937" s="25"/>
      <c r="J8937" s="25"/>
    </row>
    <row r="8938" spans="1:10" ht="14.4">
      <c r="A8938" s="25"/>
      <c r="B8938" s="25"/>
      <c r="C8938" s="25"/>
      <c r="D8938" s="25"/>
      <c r="E8938" s="25"/>
      <c r="F8938" s="25"/>
      <c r="G8938" s="25"/>
      <c r="H8938" s="25"/>
      <c r="I8938" s="25"/>
      <c r="J8938" s="25"/>
    </row>
    <row r="8939" spans="1:10" ht="14.4">
      <c r="A8939" s="25"/>
      <c r="B8939" s="25"/>
      <c r="C8939" s="25"/>
      <c r="D8939" s="25"/>
      <c r="E8939" s="25"/>
      <c r="F8939" s="25"/>
      <c r="G8939" s="25"/>
      <c r="H8939" s="25"/>
      <c r="I8939" s="25"/>
      <c r="J8939" s="25"/>
    </row>
    <row r="8940" spans="1:10" ht="14.4">
      <c r="A8940" s="25"/>
      <c r="B8940" s="25"/>
      <c r="C8940" s="25"/>
      <c r="D8940" s="25"/>
      <c r="E8940" s="25"/>
      <c r="F8940" s="25"/>
      <c r="G8940" s="25"/>
      <c r="H8940" s="25"/>
      <c r="I8940" s="25"/>
      <c r="J8940" s="25"/>
    </row>
    <row r="8941" spans="1:10" ht="14.4">
      <c r="A8941" s="25"/>
      <c r="B8941" s="25"/>
      <c r="C8941" s="25"/>
      <c r="D8941" s="25"/>
      <c r="E8941" s="25"/>
      <c r="F8941" s="25"/>
      <c r="G8941" s="25"/>
      <c r="H8941" s="25"/>
      <c r="I8941" s="25"/>
      <c r="J8941" s="25"/>
    </row>
    <row r="8942" spans="1:10" ht="14.4">
      <c r="A8942" s="25"/>
      <c r="B8942" s="25"/>
      <c r="C8942" s="25"/>
      <c r="D8942" s="25"/>
      <c r="E8942" s="25"/>
      <c r="F8942" s="25"/>
      <c r="G8942" s="25"/>
      <c r="H8942" s="25"/>
      <c r="I8942" s="25"/>
      <c r="J8942" s="25"/>
    </row>
    <row r="8943" spans="1:10" ht="14.4">
      <c r="A8943" s="25"/>
      <c r="B8943" s="25"/>
      <c r="C8943" s="25"/>
      <c r="D8943" s="25"/>
      <c r="E8943" s="25"/>
      <c r="F8943" s="25"/>
      <c r="G8943" s="25"/>
      <c r="H8943" s="25"/>
      <c r="I8943" s="25"/>
      <c r="J8943" s="25"/>
    </row>
    <row r="8944" spans="1:10" ht="14.4">
      <c r="A8944" s="25"/>
      <c r="B8944" s="25"/>
      <c r="C8944" s="25"/>
      <c r="D8944" s="25"/>
      <c r="E8944" s="25"/>
      <c r="F8944" s="25"/>
      <c r="G8944" s="25"/>
      <c r="H8944" s="25"/>
      <c r="I8944" s="25"/>
      <c r="J8944" s="25"/>
    </row>
    <row r="8945" spans="1:10" ht="14.4">
      <c r="A8945" s="25"/>
      <c r="B8945" s="25"/>
      <c r="C8945" s="25"/>
      <c r="D8945" s="25"/>
      <c r="E8945" s="25"/>
      <c r="F8945" s="25"/>
      <c r="G8945" s="25"/>
      <c r="H8945" s="25"/>
      <c r="I8945" s="25"/>
      <c r="J8945" s="25"/>
    </row>
    <row r="8946" spans="1:10" ht="14.4">
      <c r="A8946" s="25"/>
      <c r="B8946" s="25"/>
      <c r="C8946" s="25"/>
      <c r="D8946" s="25"/>
      <c r="E8946" s="25"/>
      <c r="F8946" s="25"/>
      <c r="G8946" s="25"/>
      <c r="H8946" s="25"/>
      <c r="I8946" s="25"/>
      <c r="J8946" s="25"/>
    </row>
    <row r="8947" spans="1:10" ht="14.4">
      <c r="A8947" s="25"/>
      <c r="B8947" s="25"/>
      <c r="C8947" s="25"/>
      <c r="D8947" s="25"/>
      <c r="E8947" s="25"/>
      <c r="F8947" s="25"/>
      <c r="G8947" s="25"/>
      <c r="H8947" s="25"/>
      <c r="I8947" s="25"/>
      <c r="J8947" s="25"/>
    </row>
    <row r="8948" spans="1:10" ht="14.4">
      <c r="A8948" s="25"/>
      <c r="B8948" s="25"/>
      <c r="C8948" s="25"/>
      <c r="D8948" s="25"/>
      <c r="E8948" s="25"/>
      <c r="F8948" s="25"/>
      <c r="G8948" s="25"/>
      <c r="H8948" s="25"/>
      <c r="I8948" s="25"/>
      <c r="J8948" s="25"/>
    </row>
    <row r="8949" spans="1:10" ht="14.4">
      <c r="A8949" s="25"/>
      <c r="B8949" s="25"/>
      <c r="C8949" s="25"/>
      <c r="D8949" s="25"/>
      <c r="E8949" s="25"/>
      <c r="F8949" s="25"/>
      <c r="G8949" s="25"/>
      <c r="H8949" s="25"/>
      <c r="I8949" s="25"/>
      <c r="J8949" s="25"/>
    </row>
    <row r="8950" spans="1:10" ht="14.4">
      <c r="A8950" s="25"/>
      <c r="B8950" s="25"/>
      <c r="C8950" s="25"/>
      <c r="D8950" s="25"/>
      <c r="E8950" s="25"/>
      <c r="F8950" s="25"/>
      <c r="G8950" s="25"/>
      <c r="H8950" s="25"/>
      <c r="I8950" s="25"/>
      <c r="J8950" s="25"/>
    </row>
    <row r="8951" spans="1:10" ht="14.4">
      <c r="A8951" s="25"/>
      <c r="B8951" s="25"/>
      <c r="C8951" s="25"/>
      <c r="D8951" s="25"/>
      <c r="E8951" s="25"/>
      <c r="F8951" s="25"/>
      <c r="G8951" s="25"/>
      <c r="H8951" s="25"/>
      <c r="I8951" s="25"/>
      <c r="J8951" s="25"/>
    </row>
    <row r="8952" spans="1:10" ht="14.4">
      <c r="A8952" s="25"/>
      <c r="B8952" s="25"/>
      <c r="C8952" s="25"/>
      <c r="D8952" s="25"/>
      <c r="E8952" s="25"/>
      <c r="F8952" s="25"/>
      <c r="G8952" s="25"/>
      <c r="H8952" s="25"/>
      <c r="I8952" s="25"/>
      <c r="J8952" s="25"/>
    </row>
    <row r="8953" spans="1:10" ht="14.4">
      <c r="A8953" s="25"/>
      <c r="B8953" s="25"/>
      <c r="C8953" s="25"/>
      <c r="D8953" s="25"/>
      <c r="E8953" s="25"/>
      <c r="F8953" s="25"/>
      <c r="G8953" s="25"/>
      <c r="H8953" s="25"/>
      <c r="I8953" s="25"/>
      <c r="J8953" s="25"/>
    </row>
    <row r="8954" spans="1:10" ht="14.4">
      <c r="A8954" s="25"/>
      <c r="B8954" s="25"/>
      <c r="C8954" s="25"/>
      <c r="D8954" s="25"/>
      <c r="E8954" s="25"/>
      <c r="F8954" s="25"/>
      <c r="G8954" s="25"/>
      <c r="H8954" s="25"/>
      <c r="I8954" s="25"/>
      <c r="J8954" s="25"/>
    </row>
    <row r="8955" spans="1:10" ht="14.4">
      <c r="A8955" s="25"/>
      <c r="B8955" s="25"/>
      <c r="C8955" s="25"/>
      <c r="D8955" s="25"/>
      <c r="E8955" s="25"/>
      <c r="F8955" s="25"/>
      <c r="G8955" s="25"/>
      <c r="H8955" s="25"/>
      <c r="I8955" s="25"/>
      <c r="J8955" s="25"/>
    </row>
    <row r="8956" spans="1:10" ht="14.4">
      <c r="A8956" s="25"/>
      <c r="B8956" s="25"/>
      <c r="C8956" s="25"/>
      <c r="D8956" s="25"/>
      <c r="E8956" s="25"/>
      <c r="F8956" s="25"/>
      <c r="G8956" s="25"/>
      <c r="H8956" s="25"/>
      <c r="I8956" s="25"/>
      <c r="J8956" s="25"/>
    </row>
    <row r="8957" spans="1:10" ht="14.4">
      <c r="A8957" s="25"/>
      <c r="B8957" s="25"/>
      <c r="C8957" s="25"/>
      <c r="D8957" s="25"/>
      <c r="E8957" s="25"/>
      <c r="F8957" s="25"/>
      <c r="G8957" s="25"/>
      <c r="H8957" s="25"/>
      <c r="I8957" s="25"/>
      <c r="J8957" s="25"/>
    </row>
    <row r="8958" spans="1:10" ht="14.4">
      <c r="A8958" s="25"/>
      <c r="B8958" s="25"/>
      <c r="C8958" s="25"/>
      <c r="D8958" s="25"/>
      <c r="E8958" s="25"/>
      <c r="F8958" s="25"/>
      <c r="G8958" s="25"/>
      <c r="H8958" s="25"/>
      <c r="I8958" s="25"/>
      <c r="J8958" s="25"/>
    </row>
    <row r="8959" spans="1:10" ht="14.4">
      <c r="A8959" s="25"/>
      <c r="B8959" s="25"/>
      <c r="C8959" s="25"/>
      <c r="D8959" s="25"/>
      <c r="E8959" s="25"/>
      <c r="F8959" s="25"/>
      <c r="G8959" s="25"/>
      <c r="H8959" s="25"/>
      <c r="I8959" s="25"/>
      <c r="J8959" s="25"/>
    </row>
    <row r="8960" spans="1:10" ht="14.4">
      <c r="A8960" s="25"/>
      <c r="B8960" s="25"/>
      <c r="C8960" s="25"/>
      <c r="D8960" s="25"/>
      <c r="E8960" s="25"/>
      <c r="F8960" s="25"/>
      <c r="G8960" s="25"/>
      <c r="H8960" s="25"/>
      <c r="I8960" s="25"/>
      <c r="J8960" s="25"/>
    </row>
    <row r="8961" spans="1:10" ht="14.4">
      <c r="A8961" s="25"/>
      <c r="B8961" s="25"/>
      <c r="C8961" s="25"/>
      <c r="D8961" s="25"/>
      <c r="E8961" s="25"/>
      <c r="F8961" s="25"/>
      <c r="G8961" s="25"/>
      <c r="H8961" s="25"/>
      <c r="I8961" s="25"/>
      <c r="J8961" s="25"/>
    </row>
    <row r="8962" spans="1:10" ht="14.4">
      <c r="A8962" s="25"/>
      <c r="B8962" s="25"/>
      <c r="C8962" s="25"/>
      <c r="D8962" s="25"/>
      <c r="E8962" s="25"/>
      <c r="F8962" s="25"/>
      <c r="G8962" s="25"/>
      <c r="H8962" s="25"/>
      <c r="I8962" s="25"/>
      <c r="J8962" s="25"/>
    </row>
    <row r="8963" spans="1:10" ht="14.4">
      <c r="A8963" s="25"/>
      <c r="B8963" s="25"/>
      <c r="C8963" s="25"/>
      <c r="D8963" s="25"/>
      <c r="E8963" s="25"/>
      <c r="F8963" s="25"/>
      <c r="G8963" s="25"/>
      <c r="H8963" s="25"/>
      <c r="I8963" s="25"/>
      <c r="J8963" s="25"/>
    </row>
    <row r="8964" spans="1:10" ht="14.4">
      <c r="A8964" s="25"/>
      <c r="B8964" s="25"/>
      <c r="C8964" s="25"/>
      <c r="D8964" s="25"/>
      <c r="E8964" s="25"/>
      <c r="F8964" s="25"/>
      <c r="G8964" s="25"/>
      <c r="H8964" s="25"/>
      <c r="I8964" s="25"/>
      <c r="J8964" s="25"/>
    </row>
    <row r="8965" spans="1:10" ht="14.4">
      <c r="A8965" s="25"/>
      <c r="B8965" s="25"/>
      <c r="C8965" s="25"/>
      <c r="D8965" s="25"/>
      <c r="E8965" s="25"/>
      <c r="F8965" s="25"/>
      <c r="G8965" s="25"/>
      <c r="H8965" s="25"/>
      <c r="I8965" s="25"/>
      <c r="J8965" s="25"/>
    </row>
    <row r="8966" spans="1:10" ht="14.4">
      <c r="A8966" s="25"/>
      <c r="B8966" s="25"/>
      <c r="C8966" s="25"/>
      <c r="D8966" s="25"/>
      <c r="E8966" s="25"/>
      <c r="F8966" s="25"/>
      <c r="G8966" s="25"/>
      <c r="H8966" s="25"/>
      <c r="I8966" s="25"/>
      <c r="J8966" s="25"/>
    </row>
    <row r="8967" spans="1:10" ht="14.4">
      <c r="A8967" s="25"/>
      <c r="B8967" s="25"/>
      <c r="C8967" s="25"/>
      <c r="D8967" s="25"/>
      <c r="E8967" s="25"/>
      <c r="F8967" s="25"/>
      <c r="G8967" s="25"/>
      <c r="H8967" s="25"/>
      <c r="I8967" s="25"/>
      <c r="J8967" s="25"/>
    </row>
    <row r="8968" spans="1:10" ht="14.4">
      <c r="A8968" s="25"/>
      <c r="B8968" s="25"/>
      <c r="C8968" s="25"/>
      <c r="D8968" s="25"/>
      <c r="E8968" s="25"/>
      <c r="F8968" s="25"/>
      <c r="G8968" s="25"/>
      <c r="H8968" s="25"/>
      <c r="I8968" s="25"/>
      <c r="J8968" s="25"/>
    </row>
    <row r="8969" spans="1:10" ht="14.4">
      <c r="A8969" s="25"/>
      <c r="B8969" s="25"/>
      <c r="C8969" s="25"/>
      <c r="D8969" s="25"/>
      <c r="E8969" s="25"/>
      <c r="F8969" s="25"/>
      <c r="G8969" s="25"/>
      <c r="H8969" s="25"/>
      <c r="I8969" s="25"/>
      <c r="J8969" s="25"/>
    </row>
    <row r="8970" spans="1:10" ht="14.4">
      <c r="A8970" s="25"/>
      <c r="B8970" s="25"/>
      <c r="C8970" s="25"/>
      <c r="D8970" s="25"/>
      <c r="E8970" s="25"/>
      <c r="F8970" s="25"/>
      <c r="G8970" s="25"/>
      <c r="H8970" s="25"/>
      <c r="I8970" s="25"/>
      <c r="J8970" s="25"/>
    </row>
    <row r="8971" spans="1:10" ht="14.4">
      <c r="A8971" s="25"/>
      <c r="B8971" s="25"/>
      <c r="C8971" s="25"/>
      <c r="D8971" s="25"/>
      <c r="E8971" s="25"/>
      <c r="F8971" s="25"/>
      <c r="G8971" s="25"/>
      <c r="H8971" s="25"/>
      <c r="I8971" s="25"/>
      <c r="J8971" s="25"/>
    </row>
    <row r="8972" spans="1:10" ht="14.4">
      <c r="A8972" s="25"/>
      <c r="B8972" s="25"/>
      <c r="C8972" s="25"/>
      <c r="D8972" s="25"/>
      <c r="E8972" s="25"/>
      <c r="F8972" s="25"/>
      <c r="G8972" s="25"/>
      <c r="H8972" s="25"/>
      <c r="I8972" s="25"/>
      <c r="J8972" s="25"/>
    </row>
    <row r="8973" spans="1:10" ht="14.4">
      <c r="A8973" s="25"/>
      <c r="B8973" s="25"/>
      <c r="C8973" s="25"/>
      <c r="D8973" s="25"/>
      <c r="E8973" s="25"/>
      <c r="F8973" s="25"/>
      <c r="G8973" s="25"/>
      <c r="H8973" s="25"/>
      <c r="I8973" s="25"/>
      <c r="J8973" s="25"/>
    </row>
    <row r="8974" spans="1:10" ht="14.4">
      <c r="A8974" s="25"/>
      <c r="B8974" s="25"/>
      <c r="C8974" s="25"/>
      <c r="D8974" s="25"/>
      <c r="E8974" s="25"/>
      <c r="F8974" s="25"/>
      <c r="G8974" s="25"/>
      <c r="H8974" s="25"/>
      <c r="I8974" s="25"/>
      <c r="J8974" s="25"/>
    </row>
    <row r="8975" spans="1:10" ht="14.4">
      <c r="A8975" s="25"/>
      <c r="B8975" s="25"/>
      <c r="C8975" s="25"/>
      <c r="D8975" s="25"/>
      <c r="E8975" s="25"/>
      <c r="F8975" s="25"/>
      <c r="G8975" s="25"/>
      <c r="H8975" s="25"/>
      <c r="I8975" s="25"/>
      <c r="J8975" s="25"/>
    </row>
    <row r="8976" spans="1:10" ht="14.4">
      <c r="A8976" s="25"/>
      <c r="B8976" s="25"/>
      <c r="C8976" s="25"/>
      <c r="D8976" s="25"/>
      <c r="E8976" s="25"/>
      <c r="F8976" s="25"/>
      <c r="G8976" s="25"/>
      <c r="H8976" s="25"/>
      <c r="I8976" s="25"/>
      <c r="J8976" s="25"/>
    </row>
    <row r="8977" spans="1:10" ht="14.4">
      <c r="A8977" s="25"/>
      <c r="B8977" s="25"/>
      <c r="C8977" s="25"/>
      <c r="D8977" s="25"/>
      <c r="E8977" s="25"/>
      <c r="F8977" s="25"/>
      <c r="G8977" s="25"/>
      <c r="H8977" s="25"/>
      <c r="I8977" s="25"/>
      <c r="J8977" s="25"/>
    </row>
    <row r="8978" spans="1:10" ht="14.4">
      <c r="A8978" s="25"/>
      <c r="B8978" s="25"/>
      <c r="C8978" s="25"/>
      <c r="D8978" s="25"/>
      <c r="E8978" s="25"/>
      <c r="F8978" s="25"/>
      <c r="G8978" s="25"/>
      <c r="H8978" s="25"/>
      <c r="I8978" s="25"/>
      <c r="J8978" s="25"/>
    </row>
    <row r="8979" spans="1:10" ht="14.4">
      <c r="A8979" s="25"/>
      <c r="B8979" s="25"/>
      <c r="C8979" s="25"/>
      <c r="D8979" s="25"/>
      <c r="E8979" s="25"/>
      <c r="F8979" s="25"/>
      <c r="G8979" s="25"/>
      <c r="H8979" s="25"/>
      <c r="I8979" s="25"/>
      <c r="J8979" s="25"/>
    </row>
    <row r="8980" spans="1:10" ht="14.4">
      <c r="A8980" s="25"/>
      <c r="B8980" s="25"/>
      <c r="C8980" s="25"/>
      <c r="D8980" s="25"/>
      <c r="E8980" s="25"/>
      <c r="F8980" s="25"/>
      <c r="G8980" s="25"/>
      <c r="H8980" s="25"/>
      <c r="I8980" s="25"/>
      <c r="J8980" s="25"/>
    </row>
    <row r="8981" spans="1:10" ht="14.4">
      <c r="A8981" s="25"/>
      <c r="B8981" s="25"/>
      <c r="C8981" s="25"/>
      <c r="D8981" s="25"/>
      <c r="E8981" s="25"/>
      <c r="F8981" s="25"/>
      <c r="G8981" s="25"/>
      <c r="H8981" s="25"/>
      <c r="I8981" s="25"/>
      <c r="J8981" s="25"/>
    </row>
    <row r="8982" spans="1:10" ht="14.4">
      <c r="A8982" s="25"/>
      <c r="B8982" s="25"/>
      <c r="C8982" s="25"/>
      <c r="D8982" s="25"/>
      <c r="E8982" s="25"/>
      <c r="F8982" s="25"/>
      <c r="G8982" s="25"/>
      <c r="H8982" s="25"/>
      <c r="I8982" s="25"/>
      <c r="J8982" s="25"/>
    </row>
    <row r="8983" spans="1:10" ht="14.4">
      <c r="A8983" s="25"/>
      <c r="B8983" s="25"/>
      <c r="C8983" s="25"/>
      <c r="D8983" s="25"/>
      <c r="E8983" s="25"/>
      <c r="F8983" s="25"/>
      <c r="G8983" s="25"/>
      <c r="H8983" s="25"/>
      <c r="I8983" s="25"/>
      <c r="J8983" s="25"/>
    </row>
    <row r="8984" spans="1:10" ht="14.4">
      <c r="A8984" s="25"/>
      <c r="B8984" s="25"/>
      <c r="C8984" s="25"/>
      <c r="D8984" s="25"/>
      <c r="E8984" s="25"/>
      <c r="F8984" s="25"/>
      <c r="G8984" s="25"/>
      <c r="H8984" s="25"/>
      <c r="I8984" s="25"/>
      <c r="J8984" s="25"/>
    </row>
    <row r="8985" spans="1:10" ht="14.4">
      <c r="A8985" s="25"/>
      <c r="B8985" s="25"/>
      <c r="C8985" s="25"/>
      <c r="D8985" s="25"/>
      <c r="E8985" s="25"/>
      <c r="F8985" s="25"/>
      <c r="G8985" s="25"/>
      <c r="H8985" s="25"/>
      <c r="I8985" s="25"/>
      <c r="J8985" s="25"/>
    </row>
    <row r="8986" spans="1:10" ht="14.4">
      <c r="A8986" s="25"/>
      <c r="B8986" s="25"/>
      <c r="C8986" s="25"/>
      <c r="D8986" s="25"/>
      <c r="E8986" s="25"/>
      <c r="F8986" s="25"/>
      <c r="G8986" s="25"/>
      <c r="H8986" s="25"/>
      <c r="I8986" s="25"/>
      <c r="J8986" s="25"/>
    </row>
    <row r="8987" spans="1:10" ht="14.4">
      <c r="A8987" s="25"/>
      <c r="B8987" s="25"/>
      <c r="C8987" s="25"/>
      <c r="D8987" s="25"/>
      <c r="E8987" s="25"/>
      <c r="F8987" s="25"/>
      <c r="G8987" s="25"/>
      <c r="H8987" s="25"/>
      <c r="I8987" s="25"/>
      <c r="J8987" s="25"/>
    </row>
    <row r="8988" spans="1:10" ht="14.4">
      <c r="A8988" s="25"/>
      <c r="B8988" s="25"/>
      <c r="C8988" s="25"/>
      <c r="D8988" s="25"/>
      <c r="E8988" s="25"/>
      <c r="F8988" s="25"/>
      <c r="G8988" s="25"/>
      <c r="H8988" s="25"/>
      <c r="I8988" s="25"/>
      <c r="J8988" s="25"/>
    </row>
    <row r="8989" spans="1:10" ht="14.4">
      <c r="A8989" s="25"/>
      <c r="B8989" s="25"/>
      <c r="C8989" s="25"/>
      <c r="D8989" s="25"/>
      <c r="E8989" s="25"/>
      <c r="F8989" s="25"/>
      <c r="G8989" s="25"/>
      <c r="H8989" s="25"/>
      <c r="I8989" s="25"/>
      <c r="J8989" s="25"/>
    </row>
    <row r="8990" spans="1:10" ht="14.4">
      <c r="A8990" s="25"/>
      <c r="B8990" s="25"/>
      <c r="C8990" s="25"/>
      <c r="D8990" s="25"/>
      <c r="E8990" s="25"/>
      <c r="F8990" s="25"/>
      <c r="G8990" s="25"/>
      <c r="H8990" s="25"/>
      <c r="I8990" s="25"/>
      <c r="J8990" s="25"/>
    </row>
    <row r="8991" spans="1:10" ht="14.4">
      <c r="A8991" s="25"/>
      <c r="B8991" s="25"/>
      <c r="C8991" s="25"/>
      <c r="D8991" s="25"/>
      <c r="E8991" s="25"/>
      <c r="F8991" s="25"/>
      <c r="G8991" s="25"/>
      <c r="H8991" s="25"/>
      <c r="I8991" s="25"/>
      <c r="J8991" s="25"/>
    </row>
    <row r="8992" spans="1:10" ht="14.4">
      <c r="A8992" s="25"/>
      <c r="B8992" s="25"/>
      <c r="C8992" s="25"/>
      <c r="D8992" s="25"/>
      <c r="E8992" s="25"/>
      <c r="F8992" s="25"/>
      <c r="G8992" s="25"/>
      <c r="H8992" s="25"/>
      <c r="I8992" s="25"/>
      <c r="J8992" s="25"/>
    </row>
    <row r="8993" spans="1:10" ht="14.4">
      <c r="A8993" s="25"/>
      <c r="B8993" s="25"/>
      <c r="C8993" s="25"/>
      <c r="D8993" s="25"/>
      <c r="E8993" s="25"/>
      <c r="F8993" s="25"/>
      <c r="G8993" s="25"/>
      <c r="H8993" s="25"/>
      <c r="I8993" s="25"/>
      <c r="J8993" s="25"/>
    </row>
    <row r="8994" spans="1:10" ht="14.4">
      <c r="A8994" s="25"/>
      <c r="B8994" s="25"/>
      <c r="C8994" s="25"/>
      <c r="D8994" s="25"/>
      <c r="E8994" s="25"/>
      <c r="F8994" s="25"/>
      <c r="G8994" s="25"/>
      <c r="H8994" s="25"/>
      <c r="I8994" s="25"/>
      <c r="J8994" s="25"/>
    </row>
    <row r="8995" spans="1:10" ht="14.4">
      <c r="A8995" s="25"/>
      <c r="B8995" s="25"/>
      <c r="C8995" s="25"/>
      <c r="D8995" s="25"/>
      <c r="E8995" s="25"/>
      <c r="F8995" s="25"/>
      <c r="G8995" s="25"/>
      <c r="H8995" s="25"/>
      <c r="I8995" s="25"/>
      <c r="J8995" s="25"/>
    </row>
    <row r="8996" spans="1:10" ht="14.4">
      <c r="A8996" s="25"/>
      <c r="B8996" s="25"/>
      <c r="C8996" s="25"/>
      <c r="D8996" s="25"/>
      <c r="E8996" s="25"/>
      <c r="F8996" s="25"/>
      <c r="G8996" s="25"/>
      <c r="H8996" s="25"/>
      <c r="I8996" s="25"/>
      <c r="J8996" s="25"/>
    </row>
    <row r="8997" spans="1:10" ht="14.4">
      <c r="A8997" s="25"/>
      <c r="B8997" s="25"/>
      <c r="C8997" s="25"/>
      <c r="D8997" s="25"/>
      <c r="E8997" s="25"/>
      <c r="F8997" s="25"/>
      <c r="G8997" s="25"/>
      <c r="H8997" s="25"/>
      <c r="I8997" s="25"/>
      <c r="J8997" s="25"/>
    </row>
    <row r="8998" spans="1:10" ht="14.4">
      <c r="A8998" s="25"/>
      <c r="B8998" s="25"/>
      <c r="C8998" s="25"/>
      <c r="D8998" s="25"/>
      <c r="E8998" s="25"/>
      <c r="F8998" s="25"/>
      <c r="G8998" s="25"/>
      <c r="H8998" s="25"/>
      <c r="I8998" s="25"/>
      <c r="J8998" s="25"/>
    </row>
    <row r="8999" spans="1:10" ht="14.4">
      <c r="A8999" s="25"/>
      <c r="B8999" s="25"/>
      <c r="C8999" s="25"/>
      <c r="D8999" s="25"/>
      <c r="E8999" s="25"/>
      <c r="F8999" s="25"/>
      <c r="G8999" s="25"/>
      <c r="H8999" s="25"/>
      <c r="I8999" s="25"/>
      <c r="J8999" s="25"/>
    </row>
    <row r="9000" spans="1:10" ht="14.4">
      <c r="A9000" s="25"/>
      <c r="B9000" s="25"/>
      <c r="C9000" s="25"/>
      <c r="D9000" s="25"/>
      <c r="E9000" s="25"/>
      <c r="F9000" s="25"/>
      <c r="G9000" s="25"/>
      <c r="H9000" s="25"/>
      <c r="I9000" s="25"/>
      <c r="J9000" s="25"/>
    </row>
    <row r="9001" spans="1:10" ht="14.4">
      <c r="A9001" s="25"/>
      <c r="B9001" s="25"/>
      <c r="C9001" s="25"/>
      <c r="D9001" s="25"/>
      <c r="E9001" s="25"/>
      <c r="F9001" s="25"/>
      <c r="G9001" s="25"/>
      <c r="H9001" s="25"/>
      <c r="I9001" s="25"/>
      <c r="J9001" s="25"/>
    </row>
    <row r="9002" spans="1:10" ht="14.4">
      <c r="A9002" s="25"/>
      <c r="B9002" s="25"/>
      <c r="C9002" s="25"/>
      <c r="D9002" s="25"/>
      <c r="E9002" s="25"/>
      <c r="F9002" s="25"/>
      <c r="G9002" s="25"/>
      <c r="H9002" s="25"/>
      <c r="I9002" s="25"/>
      <c r="J9002" s="25"/>
    </row>
    <row r="9003" spans="1:10" ht="14.4">
      <c r="A9003" s="25"/>
      <c r="B9003" s="25"/>
      <c r="C9003" s="25"/>
      <c r="D9003" s="25"/>
      <c r="E9003" s="25"/>
      <c r="F9003" s="25"/>
      <c r="G9003" s="25"/>
      <c r="H9003" s="25"/>
      <c r="I9003" s="25"/>
      <c r="J9003" s="25"/>
    </row>
    <row r="9004" spans="1:10" ht="14.4">
      <c r="A9004" s="25"/>
      <c r="B9004" s="25"/>
      <c r="C9004" s="25"/>
      <c r="D9004" s="25"/>
      <c r="E9004" s="25"/>
      <c r="F9004" s="25"/>
      <c r="G9004" s="25"/>
      <c r="H9004" s="25"/>
      <c r="I9004" s="25"/>
      <c r="J9004" s="25"/>
    </row>
    <row r="9005" spans="1:10" ht="14.4">
      <c r="A9005" s="25"/>
      <c r="B9005" s="25"/>
      <c r="C9005" s="25"/>
      <c r="D9005" s="25"/>
      <c r="E9005" s="25"/>
      <c r="F9005" s="25"/>
      <c r="G9005" s="25"/>
      <c r="H9005" s="25"/>
      <c r="I9005" s="25"/>
      <c r="J9005" s="25"/>
    </row>
    <row r="9006" spans="1:10" ht="14.4">
      <c r="A9006" s="25"/>
      <c r="B9006" s="25"/>
      <c r="C9006" s="25"/>
      <c r="D9006" s="25"/>
      <c r="E9006" s="25"/>
      <c r="F9006" s="25"/>
      <c r="G9006" s="25"/>
      <c r="H9006" s="25"/>
      <c r="I9006" s="25"/>
      <c r="J9006" s="25"/>
    </row>
    <row r="9007" spans="1:10" ht="14.4">
      <c r="A9007" s="25"/>
      <c r="B9007" s="25"/>
      <c r="C9007" s="25"/>
      <c r="D9007" s="25"/>
      <c r="E9007" s="25"/>
      <c r="F9007" s="25"/>
      <c r="G9007" s="25"/>
      <c r="H9007" s="25"/>
      <c r="I9007" s="25"/>
      <c r="J9007" s="25"/>
    </row>
    <row r="9008" spans="1:10" ht="14.4">
      <c r="A9008" s="25"/>
      <c r="B9008" s="25"/>
      <c r="C9008" s="25"/>
      <c r="D9008" s="25"/>
      <c r="E9008" s="25"/>
      <c r="F9008" s="25"/>
      <c r="G9008" s="25"/>
      <c r="H9008" s="25"/>
      <c r="I9008" s="25"/>
      <c r="J9008" s="25"/>
    </row>
    <row r="9009" spans="1:10" ht="14.4">
      <c r="A9009" s="25"/>
      <c r="B9009" s="25"/>
      <c r="C9009" s="25"/>
      <c r="D9009" s="25"/>
      <c r="E9009" s="25"/>
      <c r="F9009" s="25"/>
      <c r="G9009" s="25"/>
      <c r="H9009" s="25"/>
      <c r="I9009" s="25"/>
      <c r="J9009" s="25"/>
    </row>
    <row r="9010" spans="1:10" ht="14.4">
      <c r="A9010" s="25"/>
      <c r="B9010" s="25"/>
      <c r="C9010" s="25"/>
      <c r="D9010" s="25"/>
      <c r="E9010" s="25"/>
      <c r="F9010" s="25"/>
      <c r="G9010" s="25"/>
      <c r="H9010" s="25"/>
      <c r="I9010" s="25"/>
      <c r="J9010" s="25"/>
    </row>
    <row r="9011" spans="1:10" ht="14.4">
      <c r="A9011" s="25"/>
      <c r="B9011" s="25"/>
      <c r="C9011" s="25"/>
      <c r="D9011" s="25"/>
      <c r="E9011" s="25"/>
      <c r="F9011" s="25"/>
      <c r="G9011" s="25"/>
      <c r="H9011" s="25"/>
      <c r="I9011" s="25"/>
      <c r="J9011" s="25"/>
    </row>
    <row r="9012" spans="1:10" ht="14.4">
      <c r="A9012" s="25"/>
      <c r="B9012" s="25"/>
      <c r="C9012" s="25"/>
      <c r="D9012" s="25"/>
      <c r="E9012" s="25"/>
      <c r="F9012" s="25"/>
      <c r="G9012" s="25"/>
      <c r="H9012" s="25"/>
      <c r="I9012" s="25"/>
      <c r="J9012" s="25"/>
    </row>
    <row r="9013" spans="1:10" ht="14.4">
      <c r="A9013" s="25"/>
      <c r="B9013" s="25"/>
      <c r="C9013" s="25"/>
      <c r="D9013" s="25"/>
      <c r="E9013" s="25"/>
      <c r="F9013" s="25"/>
      <c r="G9013" s="25"/>
      <c r="H9013" s="25"/>
      <c r="I9013" s="25"/>
      <c r="J9013" s="25"/>
    </row>
    <row r="9014" spans="1:10" ht="14.4">
      <c r="A9014" s="25"/>
      <c r="B9014" s="25"/>
      <c r="C9014" s="25"/>
      <c r="D9014" s="25"/>
      <c r="E9014" s="25"/>
      <c r="F9014" s="25"/>
      <c r="G9014" s="25"/>
      <c r="H9014" s="25"/>
      <c r="I9014" s="25"/>
      <c r="J9014" s="25"/>
    </row>
    <row r="9015" spans="1:10" ht="14.4">
      <c r="A9015" s="25"/>
      <c r="B9015" s="25"/>
      <c r="C9015" s="25"/>
      <c r="D9015" s="25"/>
      <c r="E9015" s="25"/>
      <c r="F9015" s="25"/>
      <c r="G9015" s="25"/>
      <c r="H9015" s="25"/>
      <c r="I9015" s="25"/>
      <c r="J9015" s="25"/>
    </row>
    <row r="9016" spans="1:10" ht="14.4">
      <c r="A9016" s="25"/>
      <c r="B9016" s="25"/>
      <c r="C9016" s="25"/>
      <c r="D9016" s="25"/>
      <c r="E9016" s="25"/>
      <c r="F9016" s="25"/>
      <c r="G9016" s="25"/>
      <c r="H9016" s="25"/>
      <c r="I9016" s="25"/>
      <c r="J9016" s="25"/>
    </row>
    <row r="9017" spans="1:10" ht="14.4">
      <c r="A9017" s="25"/>
      <c r="B9017" s="25"/>
      <c r="C9017" s="25"/>
      <c r="D9017" s="25"/>
      <c r="E9017" s="25"/>
      <c r="F9017" s="25"/>
      <c r="G9017" s="25"/>
      <c r="H9017" s="25"/>
      <c r="I9017" s="25"/>
      <c r="J9017" s="25"/>
    </row>
    <row r="9018" spans="1:10" ht="14.4">
      <c r="A9018" s="25"/>
      <c r="B9018" s="25"/>
      <c r="C9018" s="25"/>
      <c r="D9018" s="25"/>
      <c r="E9018" s="25"/>
      <c r="F9018" s="25"/>
      <c r="G9018" s="25"/>
      <c r="H9018" s="25"/>
      <c r="I9018" s="25"/>
      <c r="J9018" s="25"/>
    </row>
    <row r="9019" spans="1:10" ht="14.4">
      <c r="A9019" s="25"/>
      <c r="B9019" s="25"/>
      <c r="C9019" s="25"/>
      <c r="D9019" s="25"/>
      <c r="E9019" s="25"/>
      <c r="F9019" s="25"/>
      <c r="G9019" s="25"/>
      <c r="H9019" s="25"/>
      <c r="I9019" s="25"/>
      <c r="J9019" s="25"/>
    </row>
    <row r="9020" spans="1:10" ht="14.4">
      <c r="A9020" s="25"/>
      <c r="B9020" s="25"/>
      <c r="C9020" s="25"/>
      <c r="D9020" s="25"/>
      <c r="E9020" s="25"/>
      <c r="F9020" s="25"/>
      <c r="G9020" s="25"/>
      <c r="H9020" s="25"/>
      <c r="I9020" s="25"/>
      <c r="J9020" s="25"/>
    </row>
    <row r="9021" spans="1:10" ht="14.4">
      <c r="A9021" s="25"/>
      <c r="B9021" s="25"/>
      <c r="C9021" s="25"/>
      <c r="D9021" s="25"/>
      <c r="E9021" s="25"/>
      <c r="F9021" s="25"/>
      <c r="G9021" s="25"/>
      <c r="H9021" s="25"/>
      <c r="I9021" s="25"/>
      <c r="J9021" s="25"/>
    </row>
    <row r="9022" spans="1:10" ht="14.4">
      <c r="A9022" s="25"/>
      <c r="B9022" s="25"/>
      <c r="C9022" s="25"/>
      <c r="D9022" s="25"/>
      <c r="E9022" s="25"/>
      <c r="F9022" s="25"/>
      <c r="G9022" s="25"/>
      <c r="H9022" s="25"/>
      <c r="I9022" s="25"/>
      <c r="J9022" s="25"/>
    </row>
    <row r="9023" spans="1:10" ht="14.4">
      <c r="A9023" s="25"/>
      <c r="B9023" s="25"/>
      <c r="C9023" s="25"/>
      <c r="D9023" s="25"/>
      <c r="E9023" s="25"/>
      <c r="F9023" s="25"/>
      <c r="G9023" s="25"/>
      <c r="H9023" s="25"/>
      <c r="I9023" s="25"/>
      <c r="J9023" s="25"/>
    </row>
    <row r="9024" spans="1:10" ht="14.4">
      <c r="A9024" s="25"/>
      <c r="B9024" s="25"/>
      <c r="C9024" s="25"/>
      <c r="D9024" s="25"/>
      <c r="E9024" s="25"/>
      <c r="F9024" s="25"/>
      <c r="G9024" s="25"/>
      <c r="H9024" s="25"/>
      <c r="I9024" s="25"/>
      <c r="J9024" s="25"/>
    </row>
    <row r="9025" spans="1:10" ht="14.4">
      <c r="A9025" s="25"/>
      <c r="B9025" s="25"/>
      <c r="C9025" s="25"/>
      <c r="D9025" s="25"/>
      <c r="E9025" s="25"/>
      <c r="F9025" s="25"/>
      <c r="G9025" s="25"/>
      <c r="H9025" s="25"/>
      <c r="I9025" s="25"/>
      <c r="J9025" s="25"/>
    </row>
    <row r="9026" spans="1:10" ht="14.4">
      <c r="A9026" s="25"/>
      <c r="B9026" s="25"/>
      <c r="C9026" s="25"/>
      <c r="D9026" s="25"/>
      <c r="E9026" s="25"/>
      <c r="F9026" s="25"/>
      <c r="G9026" s="25"/>
      <c r="H9026" s="25"/>
      <c r="I9026" s="25"/>
      <c r="J9026" s="25"/>
    </row>
    <row r="9027" spans="1:10" ht="14.4">
      <c r="A9027" s="25"/>
      <c r="B9027" s="25"/>
      <c r="C9027" s="25"/>
      <c r="D9027" s="25"/>
      <c r="E9027" s="25"/>
      <c r="F9027" s="25"/>
      <c r="G9027" s="25"/>
      <c r="H9027" s="25"/>
      <c r="I9027" s="25"/>
      <c r="J9027" s="25"/>
    </row>
    <row r="9028" spans="1:10" ht="14.4">
      <c r="A9028" s="25"/>
      <c r="B9028" s="25"/>
      <c r="C9028" s="25"/>
      <c r="D9028" s="25"/>
      <c r="E9028" s="25"/>
      <c r="F9028" s="25"/>
      <c r="G9028" s="25"/>
      <c r="H9028" s="25"/>
      <c r="I9028" s="25"/>
      <c r="J9028" s="25"/>
    </row>
    <row r="9029" spans="1:10" ht="14.4">
      <c r="A9029" s="25"/>
      <c r="B9029" s="25"/>
      <c r="C9029" s="25"/>
      <c r="D9029" s="25"/>
      <c r="E9029" s="25"/>
      <c r="F9029" s="25"/>
      <c r="G9029" s="25"/>
      <c r="H9029" s="25"/>
      <c r="I9029" s="25"/>
      <c r="J9029" s="25"/>
    </row>
    <row r="9030" spans="1:10" ht="14.4">
      <c r="A9030" s="25"/>
      <c r="B9030" s="25"/>
      <c r="C9030" s="25"/>
      <c r="D9030" s="25"/>
      <c r="E9030" s="25"/>
      <c r="F9030" s="25"/>
      <c r="G9030" s="25"/>
      <c r="H9030" s="25"/>
      <c r="I9030" s="25"/>
      <c r="J9030" s="25"/>
    </row>
    <row r="9031" spans="1:10" ht="14.4">
      <c r="A9031" s="25"/>
      <c r="B9031" s="25"/>
      <c r="C9031" s="25"/>
      <c r="D9031" s="25"/>
      <c r="E9031" s="25"/>
      <c r="F9031" s="25"/>
      <c r="G9031" s="25"/>
      <c r="H9031" s="25"/>
      <c r="I9031" s="25"/>
      <c r="J9031" s="25"/>
    </row>
    <row r="9032" spans="1:10" ht="14.4">
      <c r="A9032" s="25"/>
      <c r="B9032" s="25"/>
      <c r="C9032" s="25"/>
      <c r="D9032" s="25"/>
      <c r="E9032" s="25"/>
      <c r="F9032" s="25"/>
      <c r="G9032" s="25"/>
      <c r="H9032" s="25"/>
      <c r="I9032" s="25"/>
      <c r="J9032" s="25"/>
    </row>
    <row r="9033" spans="1:10" ht="14.4">
      <c r="A9033" s="25"/>
      <c r="B9033" s="25"/>
      <c r="C9033" s="25"/>
      <c r="D9033" s="25"/>
      <c r="E9033" s="25"/>
      <c r="F9033" s="25"/>
      <c r="G9033" s="25"/>
      <c r="H9033" s="25"/>
      <c r="I9033" s="25"/>
      <c r="J9033" s="25"/>
    </row>
    <row r="9034" spans="1:10" ht="14.4">
      <c r="A9034" s="25"/>
      <c r="B9034" s="25"/>
      <c r="C9034" s="25"/>
      <c r="D9034" s="25"/>
      <c r="E9034" s="25"/>
      <c r="F9034" s="25"/>
      <c r="G9034" s="25"/>
      <c r="H9034" s="25"/>
      <c r="I9034" s="25"/>
      <c r="J9034" s="25"/>
    </row>
    <row r="9035" spans="1:10" ht="14.4">
      <c r="A9035" s="25"/>
      <c r="B9035" s="25"/>
      <c r="C9035" s="25"/>
      <c r="D9035" s="25"/>
      <c r="E9035" s="25"/>
      <c r="F9035" s="25"/>
      <c r="G9035" s="25"/>
      <c r="H9035" s="25"/>
      <c r="I9035" s="25"/>
      <c r="J9035" s="25"/>
    </row>
    <row r="9036" spans="1:10" ht="14.4">
      <c r="A9036" s="25"/>
      <c r="B9036" s="25"/>
      <c r="C9036" s="25"/>
      <c r="D9036" s="25"/>
      <c r="E9036" s="25"/>
      <c r="F9036" s="25"/>
      <c r="G9036" s="25"/>
      <c r="H9036" s="25"/>
      <c r="I9036" s="25"/>
      <c r="J9036" s="25"/>
    </row>
    <row r="9037" spans="1:10" ht="14.4">
      <c r="A9037" s="25"/>
      <c r="B9037" s="25"/>
      <c r="C9037" s="25"/>
      <c r="D9037" s="25"/>
      <c r="E9037" s="25"/>
      <c r="F9037" s="25"/>
      <c r="G9037" s="25"/>
      <c r="H9037" s="25"/>
      <c r="I9037" s="25"/>
      <c r="J9037" s="25"/>
    </row>
    <row r="9038" spans="1:10" ht="14.4">
      <c r="A9038" s="25"/>
      <c r="B9038" s="25"/>
      <c r="C9038" s="25"/>
      <c r="D9038" s="25"/>
      <c r="E9038" s="25"/>
      <c r="F9038" s="25"/>
      <c r="G9038" s="25"/>
      <c r="H9038" s="25"/>
      <c r="I9038" s="25"/>
      <c r="J9038" s="25"/>
    </row>
    <row r="9039" spans="1:10" ht="14.4">
      <c r="A9039" s="25"/>
      <c r="B9039" s="25"/>
      <c r="C9039" s="25"/>
      <c r="D9039" s="25"/>
      <c r="E9039" s="25"/>
      <c r="F9039" s="25"/>
      <c r="G9039" s="25"/>
      <c r="H9039" s="25"/>
      <c r="I9039" s="25"/>
      <c r="J9039" s="25"/>
    </row>
    <row r="9040" spans="1:10" ht="14.4">
      <c r="A9040" s="25"/>
      <c r="B9040" s="25"/>
      <c r="C9040" s="25"/>
      <c r="D9040" s="25"/>
      <c r="E9040" s="25"/>
      <c r="F9040" s="25"/>
      <c r="G9040" s="25"/>
      <c r="H9040" s="25"/>
      <c r="I9040" s="25"/>
      <c r="J9040" s="25"/>
    </row>
    <row r="9041" spans="1:10" ht="14.4">
      <c r="A9041" s="25"/>
      <c r="B9041" s="25"/>
      <c r="C9041" s="25"/>
      <c r="D9041" s="25"/>
      <c r="E9041" s="25"/>
      <c r="F9041" s="25"/>
      <c r="G9041" s="25"/>
      <c r="H9041" s="25"/>
      <c r="I9041" s="25"/>
      <c r="J9041" s="25"/>
    </row>
    <row r="9042" spans="1:10" ht="14.4">
      <c r="A9042" s="25"/>
      <c r="B9042" s="25"/>
      <c r="C9042" s="25"/>
      <c r="D9042" s="25"/>
      <c r="E9042" s="25"/>
      <c r="F9042" s="25"/>
      <c r="G9042" s="25"/>
      <c r="H9042" s="25"/>
      <c r="I9042" s="25"/>
      <c r="J9042" s="25"/>
    </row>
    <row r="9043" spans="1:10" ht="14.4">
      <c r="A9043" s="25"/>
      <c r="B9043" s="25"/>
      <c r="C9043" s="25"/>
      <c r="D9043" s="25"/>
      <c r="E9043" s="25"/>
      <c r="F9043" s="25"/>
      <c r="G9043" s="25"/>
      <c r="H9043" s="25"/>
      <c r="I9043" s="25"/>
      <c r="J9043" s="25"/>
    </row>
    <row r="9044" spans="1:10" ht="14.4">
      <c r="A9044" s="25"/>
      <c r="B9044" s="25"/>
      <c r="C9044" s="25"/>
      <c r="D9044" s="25"/>
      <c r="E9044" s="25"/>
      <c r="F9044" s="25"/>
      <c r="G9044" s="25"/>
      <c r="H9044" s="25"/>
      <c r="I9044" s="25"/>
      <c r="J9044" s="25"/>
    </row>
    <row r="9045" spans="1:10" ht="14.4">
      <c r="A9045" s="25"/>
      <c r="B9045" s="25"/>
      <c r="C9045" s="25"/>
      <c r="D9045" s="25"/>
      <c r="E9045" s="25"/>
      <c r="F9045" s="25"/>
      <c r="G9045" s="25"/>
      <c r="H9045" s="25"/>
      <c r="I9045" s="25"/>
      <c r="J9045" s="25"/>
    </row>
    <row r="9046" spans="1:10" ht="14.4">
      <c r="A9046" s="25"/>
      <c r="B9046" s="25"/>
      <c r="C9046" s="25"/>
      <c r="D9046" s="25"/>
      <c r="E9046" s="25"/>
      <c r="F9046" s="25"/>
      <c r="G9046" s="25"/>
      <c r="H9046" s="25"/>
      <c r="I9046" s="25"/>
      <c r="J9046" s="25"/>
    </row>
    <row r="9047" spans="1:10" ht="14.4">
      <c r="A9047" s="25"/>
      <c r="B9047" s="25"/>
      <c r="C9047" s="25"/>
      <c r="D9047" s="25"/>
      <c r="E9047" s="25"/>
      <c r="F9047" s="25"/>
      <c r="G9047" s="25"/>
      <c r="H9047" s="25"/>
      <c r="I9047" s="25"/>
      <c r="J9047" s="25"/>
    </row>
    <row r="9048" spans="1:10" ht="14.4">
      <c r="A9048" s="25"/>
      <c r="B9048" s="25"/>
      <c r="C9048" s="25"/>
      <c r="D9048" s="25"/>
      <c r="E9048" s="25"/>
      <c r="F9048" s="25"/>
      <c r="G9048" s="25"/>
      <c r="H9048" s="25"/>
      <c r="I9048" s="25"/>
      <c r="J9048" s="25"/>
    </row>
    <row r="9049" spans="1:10" ht="14.4">
      <c r="A9049" s="25"/>
      <c r="B9049" s="25"/>
      <c r="C9049" s="25"/>
      <c r="D9049" s="25"/>
      <c r="E9049" s="25"/>
      <c r="F9049" s="25"/>
      <c r="G9049" s="25"/>
      <c r="H9049" s="25"/>
      <c r="I9049" s="25"/>
      <c r="J9049" s="25"/>
    </row>
    <row r="9050" spans="1:10" ht="14.4">
      <c r="A9050" s="25"/>
      <c r="B9050" s="25"/>
      <c r="C9050" s="25"/>
      <c r="D9050" s="25"/>
      <c r="E9050" s="25"/>
      <c r="F9050" s="25"/>
      <c r="G9050" s="25"/>
      <c r="H9050" s="25"/>
      <c r="I9050" s="25"/>
      <c r="J9050" s="25"/>
    </row>
    <row r="9051" spans="1:10" ht="14.4">
      <c r="A9051" s="25"/>
      <c r="B9051" s="25"/>
      <c r="C9051" s="25"/>
      <c r="D9051" s="25"/>
      <c r="E9051" s="25"/>
      <c r="F9051" s="25"/>
      <c r="G9051" s="25"/>
      <c r="H9051" s="25"/>
      <c r="I9051" s="25"/>
      <c r="J9051" s="25"/>
    </row>
    <row r="9052" spans="1:10" ht="14.4">
      <c r="A9052" s="25"/>
      <c r="B9052" s="25"/>
      <c r="C9052" s="25"/>
      <c r="D9052" s="25"/>
      <c r="E9052" s="25"/>
      <c r="F9052" s="25"/>
      <c r="G9052" s="25"/>
      <c r="H9052" s="25"/>
      <c r="I9052" s="25"/>
      <c r="J9052" s="25"/>
    </row>
    <row r="9053" spans="1:10" ht="14.4">
      <c r="A9053" s="25"/>
      <c r="B9053" s="25"/>
      <c r="C9053" s="25"/>
      <c r="D9053" s="25"/>
      <c r="E9053" s="25"/>
      <c r="F9053" s="25"/>
      <c r="G9053" s="25"/>
      <c r="H9053" s="25"/>
      <c r="I9053" s="25"/>
      <c r="J9053" s="25"/>
    </row>
    <row r="9054" spans="1:10" ht="14.4">
      <c r="A9054" s="25"/>
      <c r="B9054" s="25"/>
      <c r="C9054" s="25"/>
      <c r="D9054" s="25"/>
      <c r="E9054" s="25"/>
      <c r="F9054" s="25"/>
      <c r="G9054" s="25"/>
      <c r="H9054" s="25"/>
      <c r="I9054" s="25"/>
      <c r="J9054" s="25"/>
    </row>
    <row r="9055" spans="1:10" ht="14.4">
      <c r="A9055" s="25"/>
      <c r="B9055" s="25"/>
      <c r="C9055" s="25"/>
      <c r="D9055" s="25"/>
      <c r="E9055" s="25"/>
      <c r="F9055" s="25"/>
      <c r="G9055" s="25"/>
      <c r="H9055" s="25"/>
      <c r="I9055" s="25"/>
      <c r="J9055" s="25"/>
    </row>
    <row r="9056" spans="1:10" ht="14.4">
      <c r="A9056" s="25"/>
      <c r="B9056" s="25"/>
      <c r="C9056" s="25"/>
      <c r="D9056" s="25"/>
      <c r="E9056" s="25"/>
      <c r="F9056" s="25"/>
      <c r="G9056" s="25"/>
      <c r="H9056" s="25"/>
      <c r="I9056" s="25"/>
      <c r="J9056" s="25"/>
    </row>
    <row r="9057" spans="1:10" ht="14.4">
      <c r="A9057" s="25"/>
      <c r="B9057" s="25"/>
      <c r="C9057" s="25"/>
      <c r="D9057" s="25"/>
      <c r="E9057" s="25"/>
      <c r="F9057" s="25"/>
      <c r="G9057" s="25"/>
      <c r="H9057" s="25"/>
      <c r="I9057" s="25"/>
      <c r="J9057" s="25"/>
    </row>
    <row r="9058" spans="1:10" ht="14.4">
      <c r="A9058" s="25"/>
      <c r="B9058" s="25"/>
      <c r="C9058" s="25"/>
      <c r="D9058" s="25"/>
      <c r="E9058" s="25"/>
      <c r="F9058" s="25"/>
      <c r="G9058" s="25"/>
      <c r="H9058" s="25"/>
      <c r="I9058" s="25"/>
      <c r="J9058" s="25"/>
    </row>
    <row r="9059" spans="1:10" ht="14.4">
      <c r="A9059" s="25"/>
      <c r="B9059" s="25"/>
      <c r="C9059" s="25"/>
      <c r="D9059" s="25"/>
      <c r="E9059" s="25"/>
      <c r="F9059" s="25"/>
      <c r="G9059" s="25"/>
      <c r="H9059" s="25"/>
      <c r="I9059" s="25"/>
      <c r="J9059" s="25"/>
    </row>
    <row r="9060" spans="1:10" ht="14.4">
      <c r="A9060" s="25"/>
      <c r="B9060" s="25"/>
      <c r="C9060" s="25"/>
      <c r="D9060" s="25"/>
      <c r="E9060" s="25"/>
      <c r="F9060" s="25"/>
      <c r="G9060" s="25"/>
      <c r="H9060" s="25"/>
      <c r="I9060" s="25"/>
      <c r="J9060" s="25"/>
    </row>
    <row r="9061" spans="1:10" ht="14.4">
      <c r="A9061" s="25"/>
      <c r="B9061" s="25"/>
      <c r="C9061" s="25"/>
      <c r="D9061" s="25"/>
      <c r="E9061" s="25"/>
      <c r="F9061" s="25"/>
      <c r="G9061" s="25"/>
      <c r="H9061" s="25"/>
      <c r="I9061" s="25"/>
      <c r="J9061" s="25"/>
    </row>
    <row r="9062" spans="1:10" ht="14.4">
      <c r="A9062" s="25"/>
      <c r="B9062" s="25"/>
      <c r="C9062" s="25"/>
      <c r="D9062" s="25"/>
      <c r="E9062" s="25"/>
      <c r="F9062" s="25"/>
      <c r="G9062" s="25"/>
      <c r="H9062" s="25"/>
      <c r="I9062" s="25"/>
      <c r="J9062" s="25"/>
    </row>
    <row r="9063" spans="1:10" ht="14.4">
      <c r="A9063" s="25"/>
      <c r="B9063" s="25"/>
      <c r="C9063" s="25"/>
      <c r="D9063" s="25"/>
      <c r="E9063" s="25"/>
      <c r="F9063" s="25"/>
      <c r="G9063" s="25"/>
      <c r="H9063" s="25"/>
      <c r="I9063" s="25"/>
      <c r="J9063" s="25"/>
    </row>
    <row r="9064" spans="1:10" ht="14.4">
      <c r="A9064" s="25"/>
      <c r="B9064" s="25"/>
      <c r="C9064" s="25"/>
      <c r="D9064" s="25"/>
      <c r="E9064" s="25"/>
      <c r="F9064" s="25"/>
      <c r="G9064" s="25"/>
      <c r="H9064" s="25"/>
      <c r="I9064" s="25"/>
      <c r="J9064" s="25"/>
    </row>
    <row r="9065" spans="1:10" ht="14.4">
      <c r="A9065" s="25"/>
      <c r="B9065" s="25"/>
      <c r="C9065" s="25"/>
      <c r="D9065" s="25"/>
      <c r="E9065" s="25"/>
      <c r="F9065" s="25"/>
      <c r="G9065" s="25"/>
      <c r="H9065" s="25"/>
      <c r="I9065" s="25"/>
      <c r="J9065" s="25"/>
    </row>
    <row r="9066" spans="1:10" ht="14.4">
      <c r="A9066" s="25"/>
      <c r="B9066" s="25"/>
      <c r="C9066" s="25"/>
      <c r="D9066" s="25"/>
      <c r="E9066" s="25"/>
      <c r="F9066" s="25"/>
      <c r="G9066" s="25"/>
      <c r="H9066" s="25"/>
      <c r="I9066" s="25"/>
      <c r="J9066" s="25"/>
    </row>
    <row r="9067" spans="1:10" ht="14.4">
      <c r="A9067" s="25"/>
      <c r="B9067" s="25"/>
      <c r="C9067" s="25"/>
      <c r="D9067" s="25"/>
      <c r="E9067" s="25"/>
      <c r="F9067" s="25"/>
      <c r="G9067" s="25"/>
      <c r="H9067" s="25"/>
      <c r="I9067" s="25"/>
      <c r="J9067" s="25"/>
    </row>
    <row r="9068" spans="1:10" ht="14.4">
      <c r="A9068" s="25"/>
      <c r="B9068" s="25"/>
      <c r="C9068" s="25"/>
      <c r="D9068" s="25"/>
      <c r="E9068" s="25"/>
      <c r="F9068" s="25"/>
      <c r="G9068" s="25"/>
      <c r="H9068" s="25"/>
      <c r="I9068" s="25"/>
      <c r="J9068" s="25"/>
    </row>
    <row r="9069" spans="1:10" ht="14.4">
      <c r="A9069" s="25"/>
      <c r="B9069" s="25"/>
      <c r="C9069" s="25"/>
      <c r="D9069" s="25"/>
      <c r="E9069" s="25"/>
      <c r="F9069" s="25"/>
      <c r="G9069" s="25"/>
      <c r="H9069" s="25"/>
      <c r="I9069" s="25"/>
      <c r="J9069" s="25"/>
    </row>
    <row r="9070" spans="1:10" ht="14.4">
      <c r="A9070" s="25"/>
      <c r="B9070" s="25"/>
      <c r="C9070" s="25"/>
      <c r="D9070" s="25"/>
      <c r="E9070" s="25"/>
      <c r="F9070" s="25"/>
      <c r="G9070" s="25"/>
      <c r="H9070" s="25"/>
      <c r="I9070" s="25"/>
      <c r="J9070" s="25"/>
    </row>
    <row r="9071" spans="1:10" ht="14.4">
      <c r="A9071" s="25"/>
      <c r="B9071" s="25"/>
      <c r="C9071" s="25"/>
      <c r="D9071" s="25"/>
      <c r="E9071" s="25"/>
      <c r="F9071" s="25"/>
      <c r="G9071" s="25"/>
      <c r="H9071" s="25"/>
      <c r="I9071" s="25"/>
      <c r="J9071" s="25"/>
    </row>
    <row r="9072" spans="1:10" ht="14.4">
      <c r="A9072" s="25"/>
      <c r="B9072" s="25"/>
      <c r="C9072" s="25"/>
      <c r="D9072" s="25"/>
      <c r="E9072" s="25"/>
      <c r="F9072" s="25"/>
      <c r="G9072" s="25"/>
      <c r="H9072" s="25"/>
      <c r="I9072" s="25"/>
      <c r="J9072" s="25"/>
    </row>
    <row r="9073" spans="1:10" ht="14.4">
      <c r="A9073" s="25"/>
      <c r="B9073" s="25"/>
      <c r="C9073" s="25"/>
      <c r="D9073" s="25"/>
      <c r="E9073" s="25"/>
      <c r="F9073" s="25"/>
      <c r="G9073" s="25"/>
      <c r="H9073" s="25"/>
      <c r="I9073" s="25"/>
      <c r="J9073" s="25"/>
    </row>
    <row r="9074" spans="1:10" ht="14.4">
      <c r="A9074" s="25"/>
      <c r="B9074" s="25"/>
      <c r="C9074" s="25"/>
      <c r="D9074" s="25"/>
      <c r="E9074" s="25"/>
      <c r="F9074" s="25"/>
      <c r="G9074" s="25"/>
      <c r="H9074" s="25"/>
      <c r="I9074" s="25"/>
      <c r="J9074" s="25"/>
    </row>
    <row r="9075" spans="1:10" ht="14.4">
      <c r="A9075" s="25"/>
      <c r="B9075" s="25"/>
      <c r="C9075" s="25"/>
      <c r="D9075" s="25"/>
      <c r="E9075" s="25"/>
      <c r="F9075" s="25"/>
      <c r="G9075" s="25"/>
      <c r="H9075" s="25"/>
      <c r="I9075" s="25"/>
      <c r="J9075" s="25"/>
    </row>
    <row r="9076" spans="1:10" ht="14.4">
      <c r="A9076" s="25"/>
      <c r="B9076" s="25"/>
      <c r="C9076" s="25"/>
      <c r="D9076" s="25"/>
      <c r="E9076" s="25"/>
      <c r="F9076" s="25"/>
      <c r="G9076" s="25"/>
      <c r="H9076" s="25"/>
      <c r="I9076" s="25"/>
      <c r="J9076" s="25"/>
    </row>
    <row r="9077" spans="1:10" ht="14.4">
      <c r="A9077" s="25"/>
      <c r="B9077" s="25"/>
      <c r="C9077" s="25"/>
      <c r="D9077" s="25"/>
      <c r="E9077" s="25"/>
      <c r="F9077" s="25"/>
      <c r="G9077" s="25"/>
      <c r="H9077" s="25"/>
      <c r="I9077" s="25"/>
      <c r="J9077" s="25"/>
    </row>
    <row r="9078" spans="1:10" ht="14.4">
      <c r="A9078" s="25"/>
      <c r="B9078" s="25"/>
      <c r="C9078" s="25"/>
      <c r="D9078" s="25"/>
      <c r="E9078" s="25"/>
      <c r="F9078" s="25"/>
      <c r="G9078" s="25"/>
      <c r="H9078" s="25"/>
      <c r="I9078" s="25"/>
      <c r="J9078" s="25"/>
    </row>
    <row r="9079" spans="1:10" ht="14.4">
      <c r="A9079" s="25"/>
      <c r="B9079" s="25"/>
      <c r="C9079" s="25"/>
      <c r="D9079" s="25"/>
      <c r="E9079" s="25"/>
      <c r="F9079" s="25"/>
      <c r="G9079" s="25"/>
      <c r="H9079" s="25"/>
      <c r="I9079" s="25"/>
      <c r="J9079" s="25"/>
    </row>
    <row r="9080" spans="1:10" ht="14.4">
      <c r="A9080" s="25"/>
      <c r="B9080" s="25"/>
      <c r="C9080" s="25"/>
      <c r="D9080" s="25"/>
      <c r="E9080" s="25"/>
      <c r="F9080" s="25"/>
      <c r="G9080" s="25"/>
      <c r="H9080" s="25"/>
      <c r="I9080" s="25"/>
      <c r="J9080" s="25"/>
    </row>
    <row r="9081" spans="1:10" ht="14.4">
      <c r="A9081" s="25"/>
      <c r="B9081" s="25"/>
      <c r="C9081" s="25"/>
      <c r="D9081" s="25"/>
      <c r="E9081" s="25"/>
      <c r="F9081" s="25"/>
      <c r="G9081" s="25"/>
      <c r="H9081" s="25"/>
      <c r="I9081" s="25"/>
      <c r="J9081" s="25"/>
    </row>
    <row r="9082" spans="1:10" ht="14.4">
      <c r="A9082" s="25"/>
      <c r="B9082" s="25"/>
      <c r="C9082" s="25"/>
      <c r="D9082" s="25"/>
      <c r="E9082" s="25"/>
      <c r="F9082" s="25"/>
      <c r="G9082" s="25"/>
      <c r="H9082" s="25"/>
      <c r="I9082" s="25"/>
      <c r="J9082" s="25"/>
    </row>
    <row r="9083" spans="1:10" ht="14.4">
      <c r="A9083" s="25"/>
      <c r="B9083" s="25"/>
      <c r="C9083" s="25"/>
      <c r="D9083" s="25"/>
      <c r="E9083" s="25"/>
      <c r="F9083" s="25"/>
      <c r="G9083" s="25"/>
      <c r="H9083" s="25"/>
      <c r="I9083" s="25"/>
      <c r="J9083" s="25"/>
    </row>
    <row r="9084" spans="1:10" ht="14.4">
      <c r="A9084" s="25"/>
      <c r="B9084" s="25"/>
      <c r="C9084" s="25"/>
      <c r="D9084" s="25"/>
      <c r="E9084" s="25"/>
      <c r="F9084" s="25"/>
      <c r="G9084" s="25"/>
      <c r="H9084" s="25"/>
      <c r="I9084" s="25"/>
      <c r="J9084" s="25"/>
    </row>
    <row r="9085" spans="1:10" ht="14.4">
      <c r="A9085" s="25"/>
      <c r="B9085" s="25"/>
      <c r="C9085" s="25"/>
      <c r="D9085" s="25"/>
      <c r="E9085" s="25"/>
      <c r="F9085" s="25"/>
      <c r="G9085" s="25"/>
      <c r="H9085" s="25"/>
      <c r="I9085" s="25"/>
      <c r="J9085" s="25"/>
    </row>
    <row r="9086" spans="1:10" ht="14.4">
      <c r="A9086" s="25"/>
      <c r="B9086" s="25"/>
      <c r="C9086" s="25"/>
      <c r="D9086" s="25"/>
      <c r="E9086" s="25"/>
      <c r="F9086" s="25"/>
      <c r="G9086" s="25"/>
      <c r="H9086" s="25"/>
      <c r="I9086" s="25"/>
      <c r="J9086" s="25"/>
    </row>
    <row r="9087" spans="1:10" ht="14.4">
      <c r="A9087" s="25"/>
      <c r="B9087" s="25"/>
      <c r="C9087" s="25"/>
      <c r="D9087" s="25"/>
      <c r="E9087" s="25"/>
      <c r="F9087" s="25"/>
      <c r="G9087" s="25"/>
      <c r="H9087" s="25"/>
      <c r="I9087" s="25"/>
      <c r="J9087" s="25"/>
    </row>
    <row r="9088" spans="1:10" ht="14.4">
      <c r="A9088" s="25"/>
      <c r="B9088" s="25"/>
      <c r="C9088" s="25"/>
      <c r="D9088" s="25"/>
      <c r="E9088" s="25"/>
      <c r="F9088" s="25"/>
      <c r="G9088" s="25"/>
      <c r="H9088" s="25"/>
      <c r="I9088" s="25"/>
      <c r="J9088" s="25"/>
    </row>
    <row r="9089" spans="1:10" ht="14.4">
      <c r="A9089" s="25"/>
      <c r="B9089" s="25"/>
      <c r="C9089" s="25"/>
      <c r="D9089" s="25"/>
      <c r="E9089" s="25"/>
      <c r="F9089" s="25"/>
      <c r="G9089" s="25"/>
      <c r="H9089" s="25"/>
      <c r="I9089" s="25"/>
      <c r="J9089" s="25"/>
    </row>
    <row r="9090" spans="1:10" ht="14.4">
      <c r="A9090" s="25"/>
      <c r="B9090" s="25"/>
      <c r="C9090" s="25"/>
      <c r="D9090" s="25"/>
      <c r="E9090" s="25"/>
      <c r="F9090" s="25"/>
      <c r="G9090" s="25"/>
      <c r="H9090" s="25"/>
      <c r="I9090" s="25"/>
      <c r="J9090" s="25"/>
    </row>
    <row r="9091" spans="1:10" ht="14.4">
      <c r="A9091" s="25"/>
      <c r="B9091" s="25"/>
      <c r="C9091" s="25"/>
      <c r="D9091" s="25"/>
      <c r="E9091" s="25"/>
      <c r="F9091" s="25"/>
      <c r="G9091" s="25"/>
      <c r="H9091" s="25"/>
      <c r="I9091" s="25"/>
      <c r="J9091" s="25"/>
    </row>
    <row r="9092" spans="1:10" ht="14.4">
      <c r="A9092" s="25"/>
      <c r="B9092" s="25"/>
      <c r="C9092" s="25"/>
      <c r="D9092" s="25"/>
      <c r="E9092" s="25"/>
      <c r="F9092" s="25"/>
      <c r="G9092" s="25"/>
      <c r="H9092" s="25"/>
      <c r="I9092" s="25"/>
      <c r="J9092" s="25"/>
    </row>
    <row r="9093" spans="1:10" ht="14.4">
      <c r="A9093" s="25"/>
      <c r="B9093" s="25"/>
      <c r="C9093" s="25"/>
      <c r="D9093" s="25"/>
      <c r="E9093" s="25"/>
      <c r="F9093" s="25"/>
      <c r="G9093" s="25"/>
      <c r="H9093" s="25"/>
      <c r="I9093" s="25"/>
      <c r="J9093" s="25"/>
    </row>
    <row r="9094" spans="1:10" ht="14.4">
      <c r="A9094" s="25"/>
      <c r="B9094" s="25"/>
      <c r="C9094" s="25"/>
      <c r="D9094" s="25"/>
      <c r="E9094" s="25"/>
      <c r="F9094" s="25"/>
      <c r="G9094" s="25"/>
      <c r="H9094" s="25"/>
      <c r="I9094" s="25"/>
      <c r="J9094" s="25"/>
    </row>
    <row r="9095" spans="1:10" ht="14.4">
      <c r="A9095" s="25"/>
      <c r="B9095" s="25"/>
      <c r="C9095" s="25"/>
      <c r="D9095" s="25"/>
      <c r="E9095" s="25"/>
      <c r="F9095" s="25"/>
      <c r="G9095" s="25"/>
      <c r="H9095" s="25"/>
      <c r="I9095" s="25"/>
      <c r="J9095" s="25"/>
    </row>
    <row r="9096" spans="1:10" ht="14.4">
      <c r="A9096" s="25"/>
      <c r="B9096" s="25"/>
      <c r="C9096" s="25"/>
      <c r="D9096" s="25"/>
      <c r="E9096" s="25"/>
      <c r="F9096" s="25"/>
      <c r="G9096" s="25"/>
      <c r="H9096" s="25"/>
      <c r="I9096" s="25"/>
      <c r="J9096" s="25"/>
    </row>
    <row r="9097" spans="1:10" ht="14.4">
      <c r="A9097" s="25"/>
      <c r="B9097" s="25"/>
      <c r="C9097" s="25"/>
      <c r="D9097" s="25"/>
      <c r="E9097" s="25"/>
      <c r="F9097" s="25"/>
      <c r="G9097" s="25"/>
      <c r="H9097" s="25"/>
      <c r="I9097" s="25"/>
      <c r="J9097" s="25"/>
    </row>
    <row r="9098" spans="1:10" ht="14.4">
      <c r="A9098" s="25"/>
      <c r="B9098" s="25"/>
      <c r="C9098" s="25"/>
      <c r="D9098" s="25"/>
      <c r="E9098" s="25"/>
      <c r="F9098" s="25"/>
      <c r="G9098" s="25"/>
      <c r="H9098" s="25"/>
      <c r="I9098" s="25"/>
      <c r="J9098" s="25"/>
    </row>
    <row r="9099" spans="1:10" ht="14.4">
      <c r="A9099" s="25"/>
      <c r="B9099" s="25"/>
      <c r="C9099" s="25"/>
      <c r="D9099" s="25"/>
      <c r="E9099" s="25"/>
      <c r="F9099" s="25"/>
      <c r="G9099" s="25"/>
      <c r="H9099" s="25"/>
      <c r="I9099" s="25"/>
      <c r="J9099" s="25"/>
    </row>
    <row r="9100" spans="1:10" ht="14.4">
      <c r="A9100" s="25"/>
      <c r="B9100" s="25"/>
      <c r="C9100" s="25"/>
      <c r="D9100" s="25"/>
      <c r="E9100" s="25"/>
      <c r="F9100" s="25"/>
      <c r="G9100" s="25"/>
      <c r="H9100" s="25"/>
      <c r="I9100" s="25"/>
      <c r="J9100" s="25"/>
    </row>
    <row r="9101" spans="1:10" ht="14.4">
      <c r="A9101" s="25"/>
      <c r="B9101" s="25"/>
      <c r="C9101" s="25"/>
      <c r="D9101" s="25"/>
      <c r="E9101" s="25"/>
      <c r="F9101" s="25"/>
      <c r="G9101" s="25"/>
      <c r="H9101" s="25"/>
      <c r="I9101" s="25"/>
      <c r="J9101" s="25"/>
    </row>
    <row r="9102" spans="1:10" ht="14.4">
      <c r="A9102" s="25"/>
      <c r="B9102" s="25"/>
      <c r="C9102" s="25"/>
      <c r="D9102" s="25"/>
      <c r="E9102" s="25"/>
      <c r="F9102" s="25"/>
      <c r="G9102" s="25"/>
      <c r="H9102" s="25"/>
      <c r="I9102" s="25"/>
      <c r="J9102" s="25"/>
    </row>
    <row r="9103" spans="1:10" ht="14.4">
      <c r="A9103" s="25"/>
      <c r="B9103" s="25"/>
      <c r="C9103" s="25"/>
      <c r="D9103" s="25"/>
      <c r="E9103" s="25"/>
      <c r="F9103" s="25"/>
      <c r="G9103" s="25"/>
      <c r="H9103" s="25"/>
      <c r="I9103" s="25"/>
      <c r="J9103" s="25"/>
    </row>
    <row r="9104" spans="1:10" ht="14.4">
      <c r="A9104" s="25"/>
      <c r="B9104" s="25"/>
      <c r="C9104" s="25"/>
      <c r="D9104" s="25"/>
      <c r="E9104" s="25"/>
      <c r="F9104" s="25"/>
      <c r="G9104" s="25"/>
      <c r="H9104" s="25"/>
      <c r="I9104" s="25"/>
      <c r="J9104" s="25"/>
    </row>
    <row r="9105" spans="1:10" ht="14.4">
      <c r="A9105" s="25"/>
      <c r="B9105" s="25"/>
      <c r="C9105" s="25"/>
      <c r="D9105" s="25"/>
      <c r="E9105" s="25"/>
      <c r="F9105" s="25"/>
      <c r="G9105" s="25"/>
      <c r="H9105" s="25"/>
      <c r="I9105" s="25"/>
      <c r="J9105" s="25"/>
    </row>
    <row r="9106" spans="1:10" ht="14.4">
      <c r="A9106" s="25"/>
      <c r="B9106" s="25"/>
      <c r="C9106" s="25"/>
      <c r="D9106" s="25"/>
      <c r="E9106" s="25"/>
      <c r="F9106" s="25"/>
      <c r="G9106" s="25"/>
      <c r="H9106" s="25"/>
      <c r="I9106" s="25"/>
      <c r="J9106" s="25"/>
    </row>
    <row r="9107" spans="1:10" ht="14.4">
      <c r="A9107" s="25"/>
      <c r="B9107" s="25"/>
      <c r="C9107" s="25"/>
      <c r="D9107" s="25"/>
      <c r="E9107" s="25"/>
      <c r="F9107" s="25"/>
      <c r="G9107" s="25"/>
      <c r="H9107" s="25"/>
      <c r="I9107" s="25"/>
      <c r="J9107" s="25"/>
    </row>
    <row r="9108" spans="1:10" ht="14.4">
      <c r="A9108" s="25"/>
      <c r="B9108" s="25"/>
      <c r="C9108" s="25"/>
      <c r="D9108" s="25"/>
      <c r="E9108" s="25"/>
      <c r="F9108" s="25"/>
      <c r="G9108" s="25"/>
      <c r="H9108" s="25"/>
      <c r="I9108" s="25"/>
      <c r="J9108" s="25"/>
    </row>
    <row r="9109" spans="1:10" ht="14.4">
      <c r="A9109" s="25"/>
      <c r="B9109" s="25"/>
      <c r="C9109" s="25"/>
      <c r="D9109" s="25"/>
      <c r="E9109" s="25"/>
      <c r="F9109" s="25"/>
      <c r="G9109" s="25"/>
      <c r="H9109" s="25"/>
      <c r="I9109" s="25"/>
      <c r="J9109" s="25"/>
    </row>
    <row r="9110" spans="1:10" ht="14.4">
      <c r="A9110" s="25"/>
      <c r="B9110" s="25"/>
      <c r="C9110" s="25"/>
      <c r="D9110" s="25"/>
      <c r="E9110" s="25"/>
      <c r="F9110" s="25"/>
      <c r="G9110" s="25"/>
      <c r="H9110" s="25"/>
      <c r="I9110" s="25"/>
      <c r="J9110" s="25"/>
    </row>
    <row r="9111" spans="1:10" ht="14.4">
      <c r="A9111" s="25"/>
      <c r="B9111" s="25"/>
      <c r="C9111" s="25"/>
      <c r="D9111" s="25"/>
      <c r="E9111" s="25"/>
      <c r="F9111" s="25"/>
      <c r="G9111" s="25"/>
      <c r="H9111" s="25"/>
      <c r="I9111" s="25"/>
      <c r="J9111" s="25"/>
    </row>
    <row r="9112" spans="1:10" ht="14.4">
      <c r="A9112" s="25"/>
      <c r="B9112" s="25"/>
      <c r="C9112" s="25"/>
      <c r="D9112" s="25"/>
      <c r="E9112" s="25"/>
      <c r="F9112" s="25"/>
      <c r="G9112" s="25"/>
      <c r="H9112" s="25"/>
      <c r="I9112" s="25"/>
      <c r="J9112" s="25"/>
    </row>
    <row r="9113" spans="1:10" ht="14.4">
      <c r="A9113" s="25"/>
      <c r="B9113" s="25"/>
      <c r="C9113" s="25"/>
      <c r="D9113" s="25"/>
      <c r="E9113" s="25"/>
      <c r="F9113" s="25"/>
      <c r="G9113" s="25"/>
      <c r="H9113" s="25"/>
      <c r="I9113" s="25"/>
      <c r="J9113" s="25"/>
    </row>
    <row r="9114" spans="1:10" ht="14.4">
      <c r="A9114" s="25"/>
      <c r="B9114" s="25"/>
      <c r="C9114" s="25"/>
      <c r="D9114" s="25"/>
      <c r="E9114" s="25"/>
      <c r="F9114" s="25"/>
      <c r="G9114" s="25"/>
      <c r="H9114" s="25"/>
      <c r="I9114" s="25"/>
      <c r="J9114" s="25"/>
    </row>
    <row r="9115" spans="1:10" ht="14.4">
      <c r="A9115" s="25"/>
      <c r="B9115" s="25"/>
      <c r="C9115" s="25"/>
      <c r="D9115" s="25"/>
      <c r="E9115" s="25"/>
      <c r="F9115" s="25"/>
      <c r="G9115" s="25"/>
      <c r="H9115" s="25"/>
      <c r="I9115" s="25"/>
      <c r="J9115" s="25"/>
    </row>
    <row r="9116" spans="1:10" ht="14.4">
      <c r="A9116" s="25"/>
      <c r="B9116" s="25"/>
      <c r="C9116" s="25"/>
      <c r="D9116" s="25"/>
      <c r="E9116" s="25"/>
      <c r="F9116" s="25"/>
      <c r="G9116" s="25"/>
      <c r="H9116" s="25"/>
      <c r="I9116" s="25"/>
      <c r="J9116" s="25"/>
    </row>
    <row r="9117" spans="1:10" ht="14.4">
      <c r="A9117" s="25"/>
      <c r="B9117" s="25"/>
      <c r="C9117" s="25"/>
      <c r="D9117" s="25"/>
      <c r="E9117" s="25"/>
      <c r="F9117" s="25"/>
      <c r="G9117" s="25"/>
      <c r="H9117" s="25"/>
      <c r="I9117" s="25"/>
      <c r="J9117" s="25"/>
    </row>
    <row r="9118" spans="1:10" ht="14.4">
      <c r="A9118" s="25"/>
      <c r="B9118" s="25"/>
      <c r="C9118" s="25"/>
      <c r="D9118" s="25"/>
      <c r="E9118" s="25"/>
      <c r="F9118" s="25"/>
      <c r="G9118" s="25"/>
      <c r="H9118" s="25"/>
      <c r="I9118" s="25"/>
      <c r="J9118" s="25"/>
    </row>
    <row r="9119" spans="1:10" ht="14.4">
      <c r="A9119" s="25"/>
      <c r="B9119" s="25"/>
      <c r="C9119" s="25"/>
      <c r="D9119" s="25"/>
      <c r="E9119" s="25"/>
      <c r="F9119" s="25"/>
      <c r="G9119" s="25"/>
      <c r="H9119" s="25"/>
      <c r="I9119" s="25"/>
      <c r="J9119" s="25"/>
    </row>
    <row r="9120" spans="1:10" ht="14.4">
      <c r="A9120" s="25"/>
      <c r="B9120" s="25"/>
      <c r="C9120" s="25"/>
      <c r="D9120" s="25"/>
      <c r="E9120" s="25"/>
      <c r="F9120" s="25"/>
      <c r="G9120" s="25"/>
      <c r="H9120" s="25"/>
      <c r="I9120" s="25"/>
      <c r="J9120" s="25"/>
    </row>
    <row r="9121" spans="1:10" ht="14.4">
      <c r="A9121" s="25"/>
      <c r="B9121" s="25"/>
      <c r="C9121" s="25"/>
      <c r="D9121" s="25"/>
      <c r="E9121" s="25"/>
      <c r="F9121" s="25"/>
      <c r="G9121" s="25"/>
      <c r="H9121" s="25"/>
      <c r="I9121" s="25"/>
      <c r="J9121" s="25"/>
    </row>
    <row r="9122" spans="1:10" ht="14.4">
      <c r="A9122" s="25"/>
      <c r="B9122" s="25"/>
      <c r="C9122" s="25"/>
      <c r="D9122" s="25"/>
      <c r="E9122" s="25"/>
      <c r="F9122" s="25"/>
      <c r="G9122" s="25"/>
      <c r="H9122" s="25"/>
      <c r="I9122" s="25"/>
      <c r="J9122" s="25"/>
    </row>
    <row r="9123" spans="1:10" ht="14.4">
      <c r="A9123" s="25"/>
      <c r="B9123" s="25"/>
      <c r="C9123" s="25"/>
      <c r="D9123" s="25"/>
      <c r="E9123" s="25"/>
      <c r="F9123" s="25"/>
      <c r="G9123" s="25"/>
      <c r="H9123" s="25"/>
      <c r="I9123" s="25"/>
      <c r="J9123" s="25"/>
    </row>
    <row r="9124" spans="1:10" ht="14.4">
      <c r="A9124" s="25"/>
      <c r="B9124" s="25"/>
      <c r="C9124" s="25"/>
      <c r="D9124" s="25"/>
      <c r="E9124" s="25"/>
      <c r="F9124" s="25"/>
      <c r="G9124" s="25"/>
      <c r="H9124" s="25"/>
      <c r="I9124" s="25"/>
      <c r="J9124" s="25"/>
    </row>
    <row r="9125" spans="1:10" ht="14.4">
      <c r="A9125" s="25"/>
      <c r="B9125" s="25"/>
      <c r="C9125" s="25"/>
      <c r="D9125" s="25"/>
      <c r="E9125" s="25"/>
      <c r="F9125" s="25"/>
      <c r="G9125" s="25"/>
      <c r="H9125" s="25"/>
      <c r="I9125" s="25"/>
      <c r="J9125" s="25"/>
    </row>
    <row r="9126" spans="1:10" ht="14.4">
      <c r="A9126" s="25"/>
      <c r="B9126" s="25"/>
      <c r="C9126" s="25"/>
      <c r="D9126" s="25"/>
      <c r="E9126" s="25"/>
      <c r="F9126" s="25"/>
      <c r="G9126" s="25"/>
      <c r="H9126" s="25"/>
      <c r="I9126" s="25"/>
      <c r="J9126" s="25"/>
    </row>
    <row r="9127" spans="1:10" ht="14.4">
      <c r="A9127" s="25"/>
      <c r="B9127" s="25"/>
      <c r="C9127" s="25"/>
      <c r="D9127" s="25"/>
      <c r="E9127" s="25"/>
      <c r="F9127" s="25"/>
      <c r="G9127" s="25"/>
      <c r="H9127" s="25"/>
      <c r="I9127" s="25"/>
      <c r="J9127" s="25"/>
    </row>
    <row r="9128" spans="1:10" ht="14.4">
      <c r="A9128" s="25"/>
      <c r="B9128" s="25"/>
      <c r="C9128" s="25"/>
      <c r="D9128" s="25"/>
      <c r="E9128" s="25"/>
      <c r="F9128" s="25"/>
      <c r="G9128" s="25"/>
      <c r="H9128" s="25"/>
      <c r="I9128" s="25"/>
      <c r="J9128" s="25"/>
    </row>
    <row r="9129" spans="1:10" ht="14.4">
      <c r="A9129" s="25"/>
      <c r="B9129" s="25"/>
      <c r="C9129" s="25"/>
      <c r="D9129" s="25"/>
      <c r="E9129" s="25"/>
      <c r="F9129" s="25"/>
      <c r="G9129" s="25"/>
      <c r="H9129" s="25"/>
      <c r="I9129" s="25"/>
      <c r="J9129" s="25"/>
    </row>
    <row r="9130" spans="1:10" ht="14.4">
      <c r="A9130" s="25"/>
      <c r="B9130" s="25"/>
      <c r="C9130" s="25"/>
      <c r="D9130" s="25"/>
      <c r="E9130" s="25"/>
      <c r="F9130" s="25"/>
      <c r="G9130" s="25"/>
      <c r="H9130" s="25"/>
      <c r="I9130" s="25"/>
      <c r="J9130" s="25"/>
    </row>
    <row r="9131" spans="1:10" ht="14.4">
      <c r="A9131" s="25"/>
      <c r="B9131" s="25"/>
      <c r="C9131" s="25"/>
      <c r="D9131" s="25"/>
      <c r="E9131" s="25"/>
      <c r="F9131" s="25"/>
      <c r="G9131" s="25"/>
      <c r="H9131" s="25"/>
      <c r="I9131" s="25"/>
      <c r="J9131" s="25"/>
    </row>
    <row r="9132" spans="1:10" ht="14.4">
      <c r="A9132" s="25"/>
      <c r="B9132" s="25"/>
      <c r="C9132" s="25"/>
      <c r="D9132" s="25"/>
      <c r="E9132" s="25"/>
      <c r="F9132" s="25"/>
      <c r="G9132" s="25"/>
      <c r="H9132" s="25"/>
      <c r="I9132" s="25"/>
      <c r="J9132" s="25"/>
    </row>
    <row r="9133" spans="1:10" ht="14.4">
      <c r="A9133" s="25"/>
      <c r="B9133" s="25"/>
      <c r="C9133" s="25"/>
      <c r="D9133" s="25"/>
      <c r="E9133" s="25"/>
      <c r="F9133" s="25"/>
      <c r="G9133" s="25"/>
      <c r="H9133" s="25"/>
      <c r="I9133" s="25"/>
      <c r="J9133" s="25"/>
    </row>
    <row r="9134" spans="1:10" ht="14.4">
      <c r="A9134" s="25"/>
      <c r="B9134" s="25"/>
      <c r="C9134" s="25"/>
      <c r="D9134" s="25"/>
      <c r="E9134" s="25"/>
      <c r="F9134" s="25"/>
      <c r="G9134" s="25"/>
      <c r="H9134" s="25"/>
      <c r="I9134" s="25"/>
      <c r="J9134" s="25"/>
    </row>
    <row r="9135" spans="1:10" ht="14.4">
      <c r="A9135" s="25"/>
      <c r="B9135" s="25"/>
      <c r="C9135" s="25"/>
      <c r="D9135" s="25"/>
      <c r="E9135" s="25"/>
      <c r="F9135" s="25"/>
      <c r="G9135" s="25"/>
      <c r="H9135" s="25"/>
      <c r="I9135" s="25"/>
      <c r="J9135" s="25"/>
    </row>
    <row r="9136" spans="1:10" ht="14.4">
      <c r="A9136" s="25"/>
      <c r="B9136" s="25"/>
      <c r="C9136" s="25"/>
      <c r="D9136" s="25"/>
      <c r="E9136" s="25"/>
      <c r="F9136" s="25"/>
      <c r="G9136" s="25"/>
      <c r="H9136" s="25"/>
      <c r="I9136" s="25"/>
      <c r="J9136" s="25"/>
    </row>
    <row r="9137" spans="1:10" ht="14.4">
      <c r="A9137" s="25"/>
      <c r="B9137" s="25"/>
      <c r="C9137" s="25"/>
      <c r="D9137" s="25"/>
      <c r="E9137" s="25"/>
      <c r="F9137" s="25"/>
      <c r="G9137" s="25"/>
      <c r="H9137" s="25"/>
      <c r="I9137" s="25"/>
      <c r="J9137" s="25"/>
    </row>
    <row r="9138" spans="1:10" ht="14.4">
      <c r="A9138" s="25"/>
      <c r="B9138" s="25"/>
      <c r="C9138" s="25"/>
      <c r="D9138" s="25"/>
      <c r="E9138" s="25"/>
      <c r="F9138" s="25"/>
      <c r="G9138" s="25"/>
      <c r="H9138" s="25"/>
      <c r="I9138" s="25"/>
      <c r="J9138" s="25"/>
    </row>
    <row r="9139" spans="1:10" ht="14.4">
      <c r="A9139" s="25"/>
      <c r="B9139" s="25"/>
      <c r="C9139" s="25"/>
      <c r="D9139" s="25"/>
      <c r="E9139" s="25"/>
      <c r="F9139" s="25"/>
      <c r="G9139" s="25"/>
      <c r="H9139" s="25"/>
      <c r="I9139" s="25"/>
      <c r="J9139" s="25"/>
    </row>
    <row r="9140" spans="1:10" ht="14.4">
      <c r="A9140" s="25"/>
      <c r="B9140" s="25"/>
      <c r="C9140" s="25"/>
      <c r="D9140" s="25"/>
      <c r="E9140" s="25"/>
      <c r="F9140" s="25"/>
      <c r="G9140" s="25"/>
      <c r="H9140" s="25"/>
      <c r="I9140" s="25"/>
      <c r="J9140" s="25"/>
    </row>
    <row r="9141" spans="1:10" ht="14.4">
      <c r="A9141" s="25"/>
      <c r="B9141" s="25"/>
      <c r="C9141" s="25"/>
      <c r="D9141" s="25"/>
      <c r="E9141" s="25"/>
      <c r="F9141" s="25"/>
      <c r="G9141" s="25"/>
      <c r="H9141" s="25"/>
      <c r="I9141" s="25"/>
      <c r="J9141" s="25"/>
    </row>
    <row r="9142" spans="1:10" ht="14.4">
      <c r="A9142" s="25"/>
      <c r="B9142" s="25"/>
      <c r="C9142" s="25"/>
      <c r="D9142" s="25"/>
      <c r="E9142" s="25"/>
      <c r="F9142" s="25"/>
      <c r="G9142" s="25"/>
      <c r="H9142" s="25"/>
      <c r="I9142" s="25"/>
      <c r="J9142" s="25"/>
    </row>
    <row r="9143" spans="1:10" ht="14.4">
      <c r="A9143" s="25"/>
      <c r="B9143" s="25"/>
      <c r="C9143" s="25"/>
      <c r="D9143" s="25"/>
      <c r="E9143" s="25"/>
      <c r="F9143" s="25"/>
      <c r="G9143" s="25"/>
      <c r="H9143" s="25"/>
      <c r="I9143" s="25"/>
      <c r="J9143" s="25"/>
    </row>
    <row r="9144" spans="1:10" ht="14.4">
      <c r="A9144" s="25"/>
      <c r="B9144" s="25"/>
      <c r="C9144" s="25"/>
      <c r="D9144" s="25"/>
      <c r="E9144" s="25"/>
      <c r="F9144" s="25"/>
      <c r="G9144" s="25"/>
      <c r="H9144" s="25"/>
      <c r="I9144" s="25"/>
      <c r="J9144" s="25"/>
    </row>
    <row r="9145" spans="1:10" ht="14.4">
      <c r="A9145" s="25"/>
      <c r="B9145" s="25"/>
      <c r="C9145" s="25"/>
      <c r="D9145" s="25"/>
      <c r="E9145" s="25"/>
      <c r="F9145" s="25"/>
      <c r="G9145" s="25"/>
      <c r="H9145" s="25"/>
      <c r="I9145" s="25"/>
      <c r="J9145" s="25"/>
    </row>
    <row r="9146" spans="1:10" ht="14.4">
      <c r="A9146" s="25"/>
      <c r="B9146" s="25"/>
      <c r="C9146" s="25"/>
      <c r="D9146" s="25"/>
      <c r="E9146" s="25"/>
      <c r="F9146" s="25"/>
      <c r="G9146" s="25"/>
      <c r="H9146" s="25"/>
      <c r="I9146" s="25"/>
      <c r="J9146" s="25"/>
    </row>
    <row r="9147" spans="1:10" ht="14.4">
      <c r="A9147" s="25"/>
      <c r="B9147" s="25"/>
      <c r="C9147" s="25"/>
      <c r="D9147" s="25"/>
      <c r="E9147" s="25"/>
      <c r="F9147" s="25"/>
      <c r="G9147" s="25"/>
      <c r="H9147" s="25"/>
      <c r="I9147" s="25"/>
      <c r="J9147" s="25"/>
    </row>
    <row r="9148" spans="1:10" ht="14.4">
      <c r="A9148" s="25"/>
      <c r="B9148" s="25"/>
      <c r="C9148" s="25"/>
      <c r="D9148" s="25"/>
      <c r="E9148" s="25"/>
      <c r="F9148" s="25"/>
      <c r="G9148" s="25"/>
      <c r="H9148" s="25"/>
      <c r="I9148" s="25"/>
      <c r="J9148" s="25"/>
    </row>
    <row r="9149" spans="1:10" ht="14.4">
      <c r="A9149" s="25"/>
      <c r="B9149" s="25"/>
      <c r="C9149" s="25"/>
      <c r="D9149" s="25"/>
      <c r="E9149" s="25"/>
      <c r="F9149" s="25"/>
      <c r="G9149" s="25"/>
      <c r="H9149" s="25"/>
      <c r="I9149" s="25"/>
      <c r="J9149" s="25"/>
    </row>
    <row r="9150" spans="1:10" ht="14.4">
      <c r="A9150" s="25"/>
      <c r="B9150" s="25"/>
      <c r="C9150" s="25"/>
      <c r="D9150" s="25"/>
      <c r="E9150" s="25"/>
      <c r="F9150" s="25"/>
      <c r="G9150" s="25"/>
      <c r="H9150" s="25"/>
      <c r="I9150" s="25"/>
      <c r="J9150" s="25"/>
    </row>
    <row r="9151" spans="1:10" ht="14.4">
      <c r="A9151" s="25"/>
      <c r="B9151" s="25"/>
      <c r="C9151" s="25"/>
      <c r="D9151" s="25"/>
      <c r="E9151" s="25"/>
      <c r="F9151" s="25"/>
      <c r="G9151" s="25"/>
      <c r="H9151" s="25"/>
      <c r="I9151" s="25"/>
      <c r="J9151" s="25"/>
    </row>
    <row r="9152" spans="1:10" ht="14.4">
      <c r="A9152" s="25"/>
      <c r="B9152" s="25"/>
      <c r="C9152" s="25"/>
      <c r="D9152" s="25"/>
      <c r="E9152" s="25"/>
      <c r="F9152" s="25"/>
      <c r="G9152" s="25"/>
      <c r="H9152" s="25"/>
      <c r="I9152" s="25"/>
      <c r="J9152" s="25"/>
    </row>
    <row r="9153" spans="1:10" ht="14.4">
      <c r="A9153" s="25"/>
      <c r="B9153" s="25"/>
      <c r="C9153" s="25"/>
      <c r="D9153" s="25"/>
      <c r="E9153" s="25"/>
      <c r="F9153" s="25"/>
      <c r="G9153" s="25"/>
      <c r="H9153" s="25"/>
      <c r="I9153" s="25"/>
      <c r="J9153" s="25"/>
    </row>
    <row r="9154" spans="1:10" ht="14.4">
      <c r="A9154" s="25"/>
      <c r="B9154" s="25"/>
      <c r="C9154" s="25"/>
      <c r="D9154" s="25"/>
      <c r="E9154" s="25"/>
      <c r="F9154" s="25"/>
      <c r="G9154" s="25"/>
      <c r="H9154" s="25"/>
      <c r="I9154" s="25"/>
      <c r="J9154" s="25"/>
    </row>
    <row r="9155" spans="1:10" ht="14.4">
      <c r="A9155" s="25"/>
      <c r="B9155" s="25"/>
      <c r="C9155" s="25"/>
      <c r="D9155" s="25"/>
      <c r="E9155" s="25"/>
      <c r="F9155" s="25"/>
      <c r="G9155" s="25"/>
      <c r="H9155" s="25"/>
      <c r="I9155" s="25"/>
      <c r="J9155" s="25"/>
    </row>
    <row r="9156" spans="1:10" ht="14.4">
      <c r="A9156" s="25"/>
      <c r="B9156" s="25"/>
      <c r="C9156" s="25"/>
      <c r="D9156" s="25"/>
      <c r="E9156" s="25"/>
      <c r="F9156" s="25"/>
      <c r="G9156" s="25"/>
      <c r="H9156" s="25"/>
      <c r="I9156" s="25"/>
      <c r="J9156" s="25"/>
    </row>
    <row r="9157" spans="1:10" ht="14.4">
      <c r="A9157" s="25"/>
      <c r="B9157" s="25"/>
      <c r="C9157" s="25"/>
      <c r="D9157" s="25"/>
      <c r="E9157" s="25"/>
      <c r="F9157" s="25"/>
      <c r="G9157" s="25"/>
      <c r="H9157" s="25"/>
      <c r="I9157" s="25"/>
      <c r="J9157" s="25"/>
    </row>
    <row r="9158" spans="1:10" ht="14.4">
      <c r="A9158" s="25"/>
      <c r="B9158" s="25"/>
      <c r="C9158" s="25"/>
      <c r="D9158" s="25"/>
      <c r="E9158" s="25"/>
      <c r="F9158" s="25"/>
      <c r="G9158" s="25"/>
      <c r="H9158" s="25"/>
      <c r="I9158" s="25"/>
      <c r="J9158" s="25"/>
    </row>
    <row r="9159" spans="1:10" ht="14.4">
      <c r="A9159" s="25"/>
      <c r="B9159" s="25"/>
      <c r="C9159" s="25"/>
      <c r="D9159" s="25"/>
      <c r="E9159" s="25"/>
      <c r="F9159" s="25"/>
      <c r="G9159" s="25"/>
      <c r="H9159" s="25"/>
      <c r="I9159" s="25"/>
      <c r="J9159" s="25"/>
    </row>
    <row r="9160" spans="1:10" ht="14.4">
      <c r="A9160" s="25"/>
      <c r="B9160" s="25"/>
      <c r="C9160" s="25"/>
      <c r="D9160" s="25"/>
      <c r="E9160" s="25"/>
      <c r="F9160" s="25"/>
      <c r="G9160" s="25"/>
      <c r="H9160" s="25"/>
      <c r="I9160" s="25"/>
      <c r="J9160" s="25"/>
    </row>
    <row r="9161" spans="1:10" ht="14.4">
      <c r="A9161" s="25"/>
      <c r="B9161" s="25"/>
      <c r="C9161" s="25"/>
      <c r="D9161" s="25"/>
      <c r="E9161" s="25"/>
      <c r="F9161" s="25"/>
      <c r="G9161" s="25"/>
      <c r="H9161" s="25"/>
      <c r="I9161" s="25"/>
      <c r="J9161" s="25"/>
    </row>
    <row r="9162" spans="1:10" ht="14.4">
      <c r="A9162" s="25"/>
      <c r="B9162" s="25"/>
      <c r="C9162" s="25"/>
      <c r="D9162" s="25"/>
      <c r="E9162" s="25"/>
      <c r="F9162" s="25"/>
      <c r="G9162" s="25"/>
      <c r="H9162" s="25"/>
      <c r="I9162" s="25"/>
      <c r="J9162" s="25"/>
    </row>
    <row r="9163" spans="1:10" ht="14.4">
      <c r="A9163" s="25"/>
      <c r="B9163" s="25"/>
      <c r="C9163" s="25"/>
      <c r="D9163" s="25"/>
      <c r="E9163" s="25"/>
      <c r="F9163" s="25"/>
      <c r="G9163" s="25"/>
      <c r="H9163" s="25"/>
      <c r="I9163" s="25"/>
      <c r="J9163" s="25"/>
    </row>
    <row r="9164" spans="1:10" ht="14.4">
      <c r="A9164" s="25"/>
      <c r="B9164" s="25"/>
      <c r="C9164" s="25"/>
      <c r="D9164" s="25"/>
      <c r="E9164" s="25"/>
      <c r="F9164" s="25"/>
      <c r="G9164" s="25"/>
      <c r="H9164" s="25"/>
      <c r="I9164" s="25"/>
      <c r="J9164" s="25"/>
    </row>
    <row r="9165" spans="1:10" ht="14.4">
      <c r="A9165" s="25"/>
      <c r="B9165" s="25"/>
      <c r="C9165" s="25"/>
      <c r="D9165" s="25"/>
      <c r="E9165" s="25"/>
      <c r="F9165" s="25"/>
      <c r="G9165" s="25"/>
      <c r="H9165" s="25"/>
      <c r="I9165" s="25"/>
      <c r="J9165" s="25"/>
    </row>
    <row r="9166" spans="1:10" ht="14.4">
      <c r="A9166" s="25"/>
      <c r="B9166" s="25"/>
      <c r="C9166" s="25"/>
      <c r="D9166" s="25"/>
      <c r="E9166" s="25"/>
      <c r="F9166" s="25"/>
      <c r="G9166" s="25"/>
      <c r="H9166" s="25"/>
      <c r="I9166" s="25"/>
      <c r="J9166" s="25"/>
    </row>
    <row r="9167" spans="1:10" ht="14.4">
      <c r="A9167" s="25"/>
      <c r="B9167" s="25"/>
      <c r="C9167" s="25"/>
      <c r="D9167" s="25"/>
      <c r="E9167" s="25"/>
      <c r="F9167" s="25"/>
      <c r="G9167" s="25"/>
      <c r="H9167" s="25"/>
      <c r="I9167" s="25"/>
      <c r="J9167" s="25"/>
    </row>
    <row r="9168" spans="1:10" ht="14.4">
      <c r="A9168" s="25"/>
      <c r="B9168" s="25"/>
      <c r="C9168" s="25"/>
      <c r="D9168" s="25"/>
      <c r="E9168" s="25"/>
      <c r="F9168" s="25"/>
      <c r="G9168" s="25"/>
      <c r="H9168" s="25"/>
      <c r="I9168" s="25"/>
      <c r="J9168" s="25"/>
    </row>
    <row r="9169" spans="1:10" ht="14.4">
      <c r="A9169" s="25"/>
      <c r="B9169" s="25"/>
      <c r="C9169" s="25"/>
      <c r="D9169" s="25"/>
      <c r="E9169" s="25"/>
      <c r="F9169" s="25"/>
      <c r="G9169" s="25"/>
      <c r="H9169" s="25"/>
      <c r="I9169" s="25"/>
      <c r="J9169" s="25"/>
    </row>
    <row r="9170" spans="1:10" ht="14.4">
      <c r="A9170" s="25"/>
      <c r="B9170" s="25"/>
      <c r="C9170" s="25"/>
      <c r="D9170" s="25"/>
      <c r="E9170" s="25"/>
      <c r="F9170" s="25"/>
      <c r="G9170" s="25"/>
      <c r="H9170" s="25"/>
      <c r="I9170" s="25"/>
      <c r="J9170" s="25"/>
    </row>
    <row r="9171" spans="1:10" ht="14.4">
      <c r="A9171" s="25"/>
      <c r="B9171" s="25"/>
      <c r="C9171" s="25"/>
      <c r="D9171" s="25"/>
      <c r="E9171" s="25"/>
      <c r="F9171" s="25"/>
      <c r="G9171" s="25"/>
      <c r="H9171" s="25"/>
      <c r="I9171" s="25"/>
      <c r="J9171" s="25"/>
    </row>
    <row r="9172" spans="1:10" ht="14.4">
      <c r="A9172" s="25"/>
      <c r="B9172" s="25"/>
      <c r="C9172" s="25"/>
      <c r="D9172" s="25"/>
      <c r="E9172" s="25"/>
      <c r="F9172" s="25"/>
      <c r="G9172" s="25"/>
      <c r="H9172" s="25"/>
      <c r="I9172" s="25"/>
      <c r="J9172" s="25"/>
    </row>
    <row r="9173" spans="1:10" ht="14.4">
      <c r="A9173" s="25"/>
      <c r="B9173" s="25"/>
      <c r="C9173" s="25"/>
      <c r="D9173" s="25"/>
      <c r="E9173" s="25"/>
      <c r="F9173" s="25"/>
      <c r="G9173" s="25"/>
      <c r="H9173" s="25"/>
      <c r="I9173" s="25"/>
      <c r="J9173" s="25"/>
    </row>
    <row r="9174" spans="1:10" ht="14.4">
      <c r="A9174" s="25"/>
      <c r="B9174" s="25"/>
      <c r="C9174" s="25"/>
      <c r="D9174" s="25"/>
      <c r="E9174" s="25"/>
      <c r="F9174" s="25"/>
      <c r="G9174" s="25"/>
      <c r="H9174" s="25"/>
      <c r="I9174" s="25"/>
      <c r="J9174" s="25"/>
    </row>
    <row r="9175" spans="1:10" ht="14.4">
      <c r="A9175" s="25"/>
      <c r="B9175" s="25"/>
      <c r="C9175" s="25"/>
      <c r="D9175" s="25"/>
      <c r="E9175" s="25"/>
      <c r="F9175" s="25"/>
      <c r="G9175" s="25"/>
      <c r="H9175" s="25"/>
      <c r="I9175" s="25"/>
      <c r="J9175" s="25"/>
    </row>
    <row r="9176" spans="1:10" ht="14.4">
      <c r="A9176" s="25"/>
      <c r="B9176" s="25"/>
      <c r="C9176" s="25"/>
      <c r="D9176" s="25"/>
      <c r="E9176" s="25"/>
      <c r="F9176" s="25"/>
      <c r="G9176" s="25"/>
      <c r="H9176" s="25"/>
      <c r="I9176" s="25"/>
      <c r="J9176" s="25"/>
    </row>
    <row r="9177" spans="1:10" ht="14.4">
      <c r="A9177" s="25"/>
      <c r="B9177" s="25"/>
      <c r="C9177" s="25"/>
      <c r="D9177" s="25"/>
      <c r="E9177" s="25"/>
      <c r="F9177" s="25"/>
      <c r="G9177" s="25"/>
      <c r="H9177" s="25"/>
      <c r="I9177" s="25"/>
      <c r="J9177" s="25"/>
    </row>
    <row r="9178" spans="1:10" ht="14.4">
      <c r="A9178" s="25"/>
      <c r="B9178" s="25"/>
      <c r="C9178" s="25"/>
      <c r="D9178" s="25"/>
      <c r="E9178" s="25"/>
      <c r="F9178" s="25"/>
      <c r="G9178" s="25"/>
      <c r="H9178" s="25"/>
      <c r="I9178" s="25"/>
      <c r="J9178" s="25"/>
    </row>
    <row r="9179" spans="1:10" ht="14.4">
      <c r="A9179" s="25"/>
      <c r="B9179" s="25"/>
      <c r="C9179" s="25"/>
      <c r="D9179" s="25"/>
      <c r="E9179" s="25"/>
      <c r="F9179" s="25"/>
      <c r="G9179" s="25"/>
      <c r="H9179" s="25"/>
      <c r="I9179" s="25"/>
      <c r="J9179" s="25"/>
    </row>
    <row r="9180" spans="1:10" ht="14.4">
      <c r="A9180" s="25"/>
      <c r="B9180" s="25"/>
      <c r="C9180" s="25"/>
      <c r="D9180" s="25"/>
      <c r="E9180" s="25"/>
      <c r="F9180" s="25"/>
      <c r="G9180" s="25"/>
      <c r="H9180" s="25"/>
      <c r="I9180" s="25"/>
      <c r="J9180" s="25"/>
    </row>
    <row r="9181" spans="1:10" ht="14.4">
      <c r="A9181" s="25"/>
      <c r="B9181" s="25"/>
      <c r="C9181" s="25"/>
      <c r="D9181" s="25"/>
      <c r="E9181" s="25"/>
      <c r="F9181" s="25"/>
      <c r="G9181" s="25"/>
      <c r="H9181" s="25"/>
      <c r="I9181" s="25"/>
      <c r="J9181" s="25"/>
    </row>
    <row r="9182" spans="1:10" ht="14.4">
      <c r="A9182" s="25"/>
      <c r="B9182" s="25"/>
      <c r="C9182" s="25"/>
      <c r="D9182" s="25"/>
      <c r="E9182" s="25"/>
      <c r="F9182" s="25"/>
      <c r="G9182" s="25"/>
      <c r="H9182" s="25"/>
      <c r="I9182" s="25"/>
      <c r="J9182" s="25"/>
    </row>
    <row r="9183" spans="1:10" ht="14.4">
      <c r="A9183" s="25"/>
      <c r="B9183" s="25"/>
      <c r="C9183" s="25"/>
      <c r="D9183" s="25"/>
      <c r="E9183" s="25"/>
      <c r="F9183" s="25"/>
      <c r="G9183" s="25"/>
      <c r="H9183" s="25"/>
      <c r="I9183" s="25"/>
      <c r="J9183" s="25"/>
    </row>
    <row r="9184" spans="1:10" ht="14.4">
      <c r="A9184" s="25"/>
      <c r="B9184" s="25"/>
      <c r="C9184" s="25"/>
      <c r="D9184" s="25"/>
      <c r="E9184" s="25"/>
      <c r="F9184" s="25"/>
      <c r="G9184" s="25"/>
      <c r="H9184" s="25"/>
      <c r="I9184" s="25"/>
      <c r="J9184" s="25"/>
    </row>
    <row r="9185" spans="1:10" ht="14.4">
      <c r="A9185" s="25"/>
      <c r="B9185" s="25"/>
      <c r="C9185" s="25"/>
      <c r="D9185" s="25"/>
      <c r="E9185" s="25"/>
      <c r="F9185" s="25"/>
      <c r="G9185" s="25"/>
      <c r="H9185" s="25"/>
      <c r="I9185" s="25"/>
      <c r="J9185" s="25"/>
    </row>
    <row r="9186" spans="1:10" ht="14.4">
      <c r="A9186" s="25"/>
      <c r="B9186" s="25"/>
      <c r="C9186" s="25"/>
      <c r="D9186" s="25"/>
      <c r="E9186" s="25"/>
      <c r="F9186" s="25"/>
      <c r="G9186" s="25"/>
      <c r="H9186" s="25"/>
      <c r="I9186" s="25"/>
      <c r="J9186" s="25"/>
    </row>
    <row r="9187" spans="1:10" ht="14.4">
      <c r="A9187" s="25"/>
      <c r="B9187" s="25"/>
      <c r="C9187" s="25"/>
      <c r="D9187" s="25"/>
      <c r="E9187" s="25"/>
      <c r="F9187" s="25"/>
      <c r="G9187" s="25"/>
      <c r="H9187" s="25"/>
      <c r="I9187" s="25"/>
      <c r="J9187" s="25"/>
    </row>
    <row r="9188" spans="1:10" ht="14.4">
      <c r="A9188" s="25"/>
      <c r="B9188" s="25"/>
      <c r="C9188" s="25"/>
      <c r="D9188" s="25"/>
      <c r="E9188" s="25"/>
      <c r="F9188" s="25"/>
      <c r="G9188" s="25"/>
      <c r="H9188" s="25"/>
      <c r="I9188" s="25"/>
      <c r="J9188" s="25"/>
    </row>
    <row r="9189" spans="1:10" ht="14.4">
      <c r="A9189" s="25"/>
      <c r="B9189" s="25"/>
      <c r="C9189" s="25"/>
      <c r="D9189" s="25"/>
      <c r="E9189" s="25"/>
      <c r="F9189" s="25"/>
      <c r="G9189" s="25"/>
      <c r="H9189" s="25"/>
      <c r="I9189" s="25"/>
      <c r="J9189" s="25"/>
    </row>
    <row r="9190" spans="1:10" ht="14.4">
      <c r="A9190" s="25"/>
      <c r="B9190" s="25"/>
      <c r="C9190" s="25"/>
      <c r="D9190" s="25"/>
      <c r="E9190" s="25"/>
      <c r="F9190" s="25"/>
      <c r="G9190" s="25"/>
      <c r="H9190" s="25"/>
      <c r="I9190" s="25"/>
      <c r="J9190" s="25"/>
    </row>
    <row r="9191" spans="1:10" ht="14.4">
      <c r="A9191" s="25"/>
      <c r="B9191" s="25"/>
      <c r="C9191" s="25"/>
      <c r="D9191" s="25"/>
      <c r="E9191" s="25"/>
      <c r="F9191" s="25"/>
      <c r="G9191" s="25"/>
      <c r="H9191" s="25"/>
      <c r="I9191" s="25"/>
      <c r="J9191" s="25"/>
    </row>
    <row r="9192" spans="1:10" ht="14.4">
      <c r="A9192" s="25"/>
      <c r="B9192" s="25"/>
      <c r="C9192" s="25"/>
      <c r="D9192" s="25"/>
      <c r="E9192" s="25"/>
      <c r="F9192" s="25"/>
      <c r="G9192" s="25"/>
      <c r="H9192" s="25"/>
      <c r="I9192" s="25"/>
      <c r="J9192" s="25"/>
    </row>
    <row r="9193" spans="1:10" ht="14.4">
      <c r="A9193" s="25"/>
      <c r="B9193" s="25"/>
      <c r="C9193" s="25"/>
      <c r="D9193" s="25"/>
      <c r="E9193" s="25"/>
      <c r="F9193" s="25"/>
      <c r="G9193" s="25"/>
      <c r="H9193" s="25"/>
      <c r="I9193" s="25"/>
      <c r="J9193" s="25"/>
    </row>
    <row r="9194" spans="1:10" ht="14.4">
      <c r="A9194" s="25"/>
      <c r="B9194" s="25"/>
      <c r="C9194" s="25"/>
      <c r="D9194" s="25"/>
      <c r="E9194" s="25"/>
      <c r="F9194" s="25"/>
      <c r="G9194" s="25"/>
      <c r="H9194" s="25"/>
      <c r="I9194" s="25"/>
      <c r="J9194" s="25"/>
    </row>
    <row r="9195" spans="1:10" ht="14.4">
      <c r="A9195" s="25"/>
      <c r="B9195" s="25"/>
      <c r="C9195" s="25"/>
      <c r="D9195" s="25"/>
      <c r="E9195" s="25"/>
      <c r="F9195" s="25"/>
      <c r="G9195" s="25"/>
      <c r="H9195" s="25"/>
      <c r="I9195" s="25"/>
      <c r="J9195" s="25"/>
    </row>
    <row r="9196" spans="1:10" ht="14.4">
      <c r="A9196" s="25"/>
      <c r="B9196" s="25"/>
      <c r="C9196" s="25"/>
      <c r="D9196" s="25"/>
      <c r="E9196" s="25"/>
      <c r="F9196" s="25"/>
      <c r="G9196" s="25"/>
      <c r="H9196" s="25"/>
      <c r="I9196" s="25"/>
      <c r="J9196" s="25"/>
    </row>
    <row r="9197" spans="1:10" ht="14.4">
      <c r="A9197" s="25"/>
      <c r="B9197" s="25"/>
      <c r="C9197" s="25"/>
      <c r="D9197" s="25"/>
      <c r="E9197" s="25"/>
      <c r="F9197" s="25"/>
      <c r="G9197" s="25"/>
      <c r="H9197" s="25"/>
      <c r="I9197" s="25"/>
      <c r="J9197" s="25"/>
    </row>
    <row r="9198" spans="1:10" ht="14.4">
      <c r="A9198" s="25"/>
      <c r="B9198" s="25"/>
      <c r="C9198" s="25"/>
      <c r="D9198" s="25"/>
      <c r="E9198" s="25"/>
      <c r="F9198" s="25"/>
      <c r="G9198" s="25"/>
      <c r="H9198" s="25"/>
      <c r="I9198" s="25"/>
      <c r="J9198" s="25"/>
    </row>
    <row r="9199" spans="1:10" ht="14.4">
      <c r="A9199" s="25"/>
      <c r="B9199" s="25"/>
      <c r="C9199" s="25"/>
      <c r="D9199" s="25"/>
      <c r="E9199" s="25"/>
      <c r="F9199" s="25"/>
      <c r="G9199" s="25"/>
      <c r="H9199" s="25"/>
      <c r="I9199" s="25"/>
      <c r="J9199" s="25"/>
    </row>
    <row r="9200" spans="1:10" ht="14.4">
      <c r="A9200" s="25"/>
      <c r="B9200" s="25"/>
      <c r="C9200" s="25"/>
      <c r="D9200" s="25"/>
      <c r="E9200" s="25"/>
      <c r="F9200" s="25"/>
      <c r="G9200" s="25"/>
      <c r="H9200" s="25"/>
      <c r="I9200" s="25"/>
      <c r="J9200" s="25"/>
    </row>
    <row r="9201" spans="1:10" ht="14.4">
      <c r="A9201" s="25"/>
      <c r="B9201" s="25"/>
      <c r="C9201" s="25"/>
      <c r="D9201" s="25"/>
      <c r="E9201" s="25"/>
      <c r="F9201" s="25"/>
      <c r="G9201" s="25"/>
      <c r="H9201" s="25"/>
      <c r="I9201" s="25"/>
      <c r="J9201" s="25"/>
    </row>
    <row r="9202" spans="1:10" ht="14.4">
      <c r="A9202" s="25"/>
      <c r="B9202" s="25"/>
      <c r="C9202" s="25"/>
      <c r="D9202" s="25"/>
      <c r="E9202" s="25"/>
      <c r="F9202" s="25"/>
      <c r="G9202" s="25"/>
      <c r="H9202" s="25"/>
      <c r="I9202" s="25"/>
      <c r="J9202" s="25"/>
    </row>
    <row r="9203" spans="1:10" ht="14.4">
      <c r="A9203" s="25"/>
      <c r="B9203" s="25"/>
      <c r="C9203" s="25"/>
      <c r="D9203" s="25"/>
      <c r="E9203" s="25"/>
      <c r="F9203" s="25"/>
      <c r="G9203" s="25"/>
      <c r="H9203" s="25"/>
      <c r="I9203" s="25"/>
      <c r="J9203" s="25"/>
    </row>
    <row r="9204" spans="1:10" ht="14.4">
      <c r="A9204" s="25"/>
      <c r="B9204" s="25"/>
      <c r="C9204" s="25"/>
      <c r="D9204" s="25"/>
      <c r="E9204" s="25"/>
      <c r="F9204" s="25"/>
      <c r="G9204" s="25"/>
      <c r="H9204" s="25"/>
      <c r="I9204" s="25"/>
      <c r="J9204" s="25"/>
    </row>
    <row r="9205" spans="1:10" ht="14.4">
      <c r="A9205" s="25"/>
      <c r="B9205" s="25"/>
      <c r="C9205" s="25"/>
      <c r="D9205" s="25"/>
      <c r="E9205" s="25"/>
      <c r="F9205" s="25"/>
      <c r="G9205" s="25"/>
      <c r="H9205" s="25"/>
      <c r="I9205" s="25"/>
      <c r="J9205" s="25"/>
    </row>
    <row r="9206" spans="1:10" ht="14.4">
      <c r="A9206" s="25"/>
      <c r="B9206" s="25"/>
      <c r="C9206" s="25"/>
      <c r="D9206" s="25"/>
      <c r="E9206" s="25"/>
      <c r="F9206" s="25"/>
      <c r="G9206" s="25"/>
      <c r="H9206" s="25"/>
      <c r="I9206" s="25"/>
      <c r="J9206" s="25"/>
    </row>
    <row r="9207" spans="1:10" ht="14.4">
      <c r="A9207" s="25"/>
      <c r="B9207" s="25"/>
      <c r="C9207" s="25"/>
      <c r="D9207" s="25"/>
      <c r="E9207" s="25"/>
      <c r="F9207" s="25"/>
      <c r="G9207" s="25"/>
      <c r="H9207" s="25"/>
      <c r="I9207" s="25"/>
      <c r="J9207" s="25"/>
    </row>
    <row r="9208" spans="1:10" ht="14.4">
      <c r="A9208" s="25"/>
      <c r="B9208" s="25"/>
      <c r="C9208" s="25"/>
      <c r="D9208" s="25"/>
      <c r="E9208" s="25"/>
      <c r="F9208" s="25"/>
      <c r="G9208" s="25"/>
      <c r="H9208" s="25"/>
      <c r="I9208" s="25"/>
      <c r="J9208" s="25"/>
    </row>
    <row r="9209" spans="1:10" ht="14.4">
      <c r="A9209" s="25"/>
      <c r="B9209" s="25"/>
      <c r="C9209" s="25"/>
      <c r="D9209" s="25"/>
      <c r="E9209" s="25"/>
      <c r="F9209" s="25"/>
      <c r="G9209" s="25"/>
      <c r="H9209" s="25"/>
      <c r="I9209" s="25"/>
      <c r="J9209" s="25"/>
    </row>
    <row r="9210" spans="1:10" ht="14.4">
      <c r="A9210" s="25"/>
      <c r="B9210" s="25"/>
      <c r="C9210" s="25"/>
      <c r="D9210" s="25"/>
      <c r="E9210" s="25"/>
      <c r="F9210" s="25"/>
      <c r="G9210" s="25"/>
      <c r="H9210" s="25"/>
      <c r="I9210" s="25"/>
      <c r="J9210" s="25"/>
    </row>
    <row r="9211" spans="1:10" ht="14.4">
      <c r="A9211" s="25"/>
      <c r="B9211" s="25"/>
      <c r="C9211" s="25"/>
      <c r="D9211" s="25"/>
      <c r="E9211" s="25"/>
      <c r="F9211" s="25"/>
      <c r="G9211" s="25"/>
      <c r="H9211" s="25"/>
      <c r="I9211" s="25"/>
      <c r="J9211" s="25"/>
    </row>
    <row r="9212" spans="1:10" ht="14.4">
      <c r="A9212" s="25"/>
      <c r="B9212" s="25"/>
      <c r="C9212" s="25"/>
      <c r="D9212" s="25"/>
      <c r="E9212" s="25"/>
      <c r="F9212" s="25"/>
      <c r="G9212" s="25"/>
      <c r="H9212" s="25"/>
      <c r="I9212" s="25"/>
      <c r="J9212" s="25"/>
    </row>
    <row r="9213" spans="1:10" ht="14.4">
      <c r="A9213" s="25"/>
      <c r="B9213" s="25"/>
      <c r="C9213" s="25"/>
      <c r="D9213" s="25"/>
      <c r="E9213" s="25"/>
      <c r="F9213" s="25"/>
      <c r="G9213" s="25"/>
      <c r="H9213" s="25"/>
      <c r="I9213" s="25"/>
      <c r="J9213" s="25"/>
    </row>
    <row r="9214" spans="1:10" ht="14.4">
      <c r="A9214" s="25"/>
      <c r="B9214" s="25"/>
      <c r="C9214" s="25"/>
      <c r="D9214" s="25"/>
      <c r="E9214" s="25"/>
      <c r="F9214" s="25"/>
      <c r="G9214" s="25"/>
      <c r="H9214" s="25"/>
      <c r="I9214" s="25"/>
      <c r="J9214" s="25"/>
    </row>
    <row r="9215" spans="1:10" ht="14.4">
      <c r="A9215" s="25"/>
      <c r="B9215" s="25"/>
      <c r="C9215" s="25"/>
      <c r="D9215" s="25"/>
      <c r="E9215" s="25"/>
      <c r="F9215" s="25"/>
      <c r="G9215" s="25"/>
      <c r="H9215" s="25"/>
      <c r="I9215" s="25"/>
      <c r="J9215" s="25"/>
    </row>
    <row r="9216" spans="1:10" ht="14.4">
      <c r="A9216" s="25"/>
      <c r="B9216" s="25"/>
      <c r="C9216" s="25"/>
      <c r="D9216" s="25"/>
      <c r="E9216" s="25"/>
      <c r="F9216" s="25"/>
      <c r="G9216" s="25"/>
      <c r="H9216" s="25"/>
      <c r="I9216" s="25"/>
      <c r="J9216" s="25"/>
    </row>
    <row r="9217" spans="1:10" ht="14.4">
      <c r="A9217" s="25"/>
      <c r="B9217" s="25"/>
      <c r="C9217" s="25"/>
      <c r="D9217" s="25"/>
      <c r="E9217" s="25"/>
      <c r="F9217" s="25"/>
      <c r="G9217" s="25"/>
      <c r="H9217" s="25"/>
      <c r="I9217" s="25"/>
      <c r="J9217" s="25"/>
    </row>
    <row r="9218" spans="1:10" ht="14.4">
      <c r="A9218" s="25"/>
      <c r="B9218" s="25"/>
      <c r="C9218" s="25"/>
      <c r="D9218" s="25"/>
      <c r="E9218" s="25"/>
      <c r="F9218" s="25"/>
      <c r="G9218" s="25"/>
      <c r="H9218" s="25"/>
      <c r="I9218" s="25"/>
      <c r="J9218" s="25"/>
    </row>
    <row r="9219" spans="1:10" ht="14.4">
      <c r="A9219" s="25"/>
      <c r="B9219" s="25"/>
      <c r="C9219" s="25"/>
      <c r="D9219" s="25"/>
      <c r="E9219" s="25"/>
      <c r="F9219" s="25"/>
      <c r="G9219" s="25"/>
      <c r="H9219" s="25"/>
      <c r="I9219" s="25"/>
      <c r="J9219" s="25"/>
    </row>
    <row r="9220" spans="1:10" ht="14.4">
      <c r="A9220" s="25"/>
      <c r="B9220" s="25"/>
      <c r="C9220" s="25"/>
      <c r="D9220" s="25"/>
      <c r="E9220" s="25"/>
      <c r="F9220" s="25"/>
      <c r="G9220" s="25"/>
      <c r="H9220" s="25"/>
      <c r="I9220" s="25"/>
      <c r="J9220" s="25"/>
    </row>
    <row r="9221" spans="1:10" ht="14.4">
      <c r="A9221" s="25"/>
      <c r="B9221" s="25"/>
      <c r="C9221" s="25"/>
      <c r="D9221" s="25"/>
      <c r="E9221" s="25"/>
      <c r="F9221" s="25"/>
      <c r="G9221" s="25"/>
      <c r="H9221" s="25"/>
      <c r="I9221" s="25"/>
      <c r="J9221" s="25"/>
    </row>
    <row r="9222" spans="1:10" ht="14.4">
      <c r="A9222" s="25"/>
      <c r="B9222" s="25"/>
      <c r="C9222" s="25"/>
      <c r="D9222" s="25"/>
      <c r="E9222" s="25"/>
      <c r="F9222" s="25"/>
      <c r="G9222" s="25"/>
      <c r="H9222" s="25"/>
      <c r="I9222" s="25"/>
      <c r="J9222" s="25"/>
    </row>
    <row r="9223" spans="1:10" ht="14.4">
      <c r="A9223" s="25"/>
      <c r="B9223" s="25"/>
      <c r="C9223" s="25"/>
      <c r="D9223" s="25"/>
      <c r="E9223" s="25"/>
      <c r="F9223" s="25"/>
      <c r="G9223" s="25"/>
      <c r="H9223" s="25"/>
      <c r="I9223" s="25"/>
      <c r="J9223" s="25"/>
    </row>
    <row r="9224" spans="1:10" ht="14.4">
      <c r="A9224" s="25"/>
      <c r="B9224" s="25"/>
      <c r="C9224" s="25"/>
      <c r="D9224" s="25"/>
      <c r="E9224" s="25"/>
      <c r="F9224" s="25"/>
      <c r="G9224" s="25"/>
      <c r="H9224" s="25"/>
      <c r="I9224" s="25"/>
      <c r="J9224" s="25"/>
    </row>
    <row r="9225" spans="1:10" ht="14.4">
      <c r="A9225" s="25"/>
      <c r="B9225" s="25"/>
      <c r="C9225" s="25"/>
      <c r="D9225" s="25"/>
      <c r="E9225" s="25"/>
      <c r="F9225" s="25"/>
      <c r="G9225" s="25"/>
      <c r="H9225" s="25"/>
      <c r="I9225" s="25"/>
      <c r="J9225" s="25"/>
    </row>
    <row r="9226" spans="1:10" ht="14.4">
      <c r="A9226" s="25"/>
      <c r="B9226" s="25"/>
      <c r="C9226" s="25"/>
      <c r="D9226" s="25"/>
      <c r="E9226" s="25"/>
      <c r="F9226" s="25"/>
      <c r="G9226" s="25"/>
      <c r="H9226" s="25"/>
      <c r="I9226" s="25"/>
      <c r="J9226" s="25"/>
    </row>
    <row r="9227" spans="1:10" ht="14.4">
      <c r="A9227" s="25"/>
      <c r="B9227" s="25"/>
      <c r="C9227" s="25"/>
      <c r="D9227" s="25"/>
      <c r="E9227" s="25"/>
      <c r="F9227" s="25"/>
      <c r="G9227" s="25"/>
      <c r="H9227" s="25"/>
      <c r="I9227" s="25"/>
      <c r="J9227" s="25"/>
    </row>
    <row r="9228" spans="1:10" ht="14.4">
      <c r="A9228" s="25"/>
      <c r="B9228" s="25"/>
      <c r="C9228" s="25"/>
      <c r="D9228" s="25"/>
      <c r="E9228" s="25"/>
      <c r="F9228" s="25"/>
      <c r="G9228" s="25"/>
      <c r="H9228" s="25"/>
      <c r="I9228" s="25"/>
      <c r="J9228" s="25"/>
    </row>
    <row r="9229" spans="1:10" ht="14.4">
      <c r="A9229" s="25"/>
      <c r="B9229" s="25"/>
      <c r="C9229" s="25"/>
      <c r="D9229" s="25"/>
      <c r="E9229" s="25"/>
      <c r="F9229" s="25"/>
      <c r="G9229" s="25"/>
      <c r="H9229" s="25"/>
      <c r="I9229" s="25"/>
      <c r="J9229" s="25"/>
    </row>
    <row r="9230" spans="1:10" ht="14.4">
      <c r="A9230" s="25"/>
      <c r="B9230" s="25"/>
      <c r="C9230" s="25"/>
      <c r="D9230" s="25"/>
      <c r="E9230" s="25"/>
      <c r="F9230" s="25"/>
      <c r="G9230" s="25"/>
      <c r="H9230" s="25"/>
      <c r="I9230" s="25"/>
      <c r="J9230" s="25"/>
    </row>
    <row r="9231" spans="1:10" ht="14.4">
      <c r="A9231" s="25"/>
      <c r="B9231" s="25"/>
      <c r="C9231" s="25"/>
      <c r="D9231" s="25"/>
      <c r="E9231" s="25"/>
      <c r="F9231" s="25"/>
      <c r="G9231" s="25"/>
      <c r="H9231" s="25"/>
      <c r="I9231" s="25"/>
      <c r="J9231" s="25"/>
    </row>
    <row r="9232" spans="1:10" ht="14.4">
      <c r="A9232" s="25"/>
      <c r="B9232" s="25"/>
      <c r="C9232" s="25"/>
      <c r="D9232" s="25"/>
      <c r="E9232" s="25"/>
      <c r="F9232" s="25"/>
      <c r="G9232" s="25"/>
      <c r="H9232" s="25"/>
      <c r="I9232" s="25"/>
      <c r="J9232" s="25"/>
    </row>
    <row r="9233" spans="1:10" ht="14.4">
      <c r="A9233" s="25"/>
      <c r="B9233" s="25"/>
      <c r="C9233" s="25"/>
      <c r="D9233" s="25"/>
      <c r="E9233" s="25"/>
      <c r="F9233" s="25"/>
      <c r="G9233" s="25"/>
      <c r="H9233" s="25"/>
      <c r="I9233" s="25"/>
      <c r="J9233" s="25"/>
    </row>
    <row r="9234" spans="1:10" ht="14.4">
      <c r="A9234" s="25"/>
      <c r="B9234" s="25"/>
      <c r="C9234" s="25"/>
      <c r="D9234" s="25"/>
      <c r="E9234" s="25"/>
      <c r="F9234" s="25"/>
      <c r="G9234" s="25"/>
      <c r="H9234" s="25"/>
      <c r="I9234" s="25"/>
      <c r="J9234" s="25"/>
    </row>
    <row r="9235" spans="1:10" ht="14.4">
      <c r="A9235" s="25"/>
      <c r="B9235" s="25"/>
      <c r="C9235" s="25"/>
      <c r="D9235" s="25"/>
      <c r="E9235" s="25"/>
      <c r="F9235" s="25"/>
      <c r="G9235" s="25"/>
      <c r="H9235" s="25"/>
      <c r="I9235" s="25"/>
      <c r="J9235" s="25"/>
    </row>
    <row r="9236" spans="1:10" ht="14.4">
      <c r="A9236" s="25"/>
      <c r="B9236" s="25"/>
      <c r="C9236" s="25"/>
      <c r="D9236" s="25"/>
      <c r="E9236" s="25"/>
      <c r="F9236" s="25"/>
      <c r="G9236" s="25"/>
      <c r="H9236" s="25"/>
      <c r="I9236" s="25"/>
      <c r="J9236" s="25"/>
    </row>
    <row r="9237" spans="1:10" ht="14.4">
      <c r="A9237" s="25"/>
      <c r="B9237" s="25"/>
      <c r="C9237" s="25"/>
      <c r="D9237" s="25"/>
      <c r="E9237" s="25"/>
      <c r="F9237" s="25"/>
      <c r="G9237" s="25"/>
      <c r="H9237" s="25"/>
      <c r="I9237" s="25"/>
      <c r="J9237" s="25"/>
    </row>
    <row r="9238" spans="1:10" ht="14.4">
      <c r="A9238" s="25"/>
      <c r="B9238" s="25"/>
      <c r="C9238" s="25"/>
      <c r="D9238" s="25"/>
      <c r="E9238" s="25"/>
      <c r="F9238" s="25"/>
      <c r="G9238" s="25"/>
      <c r="H9238" s="25"/>
      <c r="I9238" s="25"/>
      <c r="J9238" s="25"/>
    </row>
    <row r="9239" spans="1:10" ht="14.4">
      <c r="A9239" s="25"/>
      <c r="B9239" s="25"/>
      <c r="C9239" s="25"/>
      <c r="D9239" s="25"/>
      <c r="E9239" s="25"/>
      <c r="F9239" s="25"/>
      <c r="G9239" s="25"/>
      <c r="H9239" s="25"/>
      <c r="I9239" s="25"/>
      <c r="J9239" s="25"/>
    </row>
    <row r="9240" spans="1:10" ht="14.4">
      <c r="A9240" s="25"/>
      <c r="B9240" s="25"/>
      <c r="C9240" s="25"/>
      <c r="D9240" s="25"/>
      <c r="E9240" s="25"/>
      <c r="F9240" s="25"/>
      <c r="G9240" s="25"/>
      <c r="H9240" s="25"/>
      <c r="I9240" s="25"/>
      <c r="J9240" s="25"/>
    </row>
    <row r="9241" spans="1:10" ht="14.4">
      <c r="A9241" s="25"/>
      <c r="B9241" s="25"/>
      <c r="C9241" s="25"/>
      <c r="D9241" s="25"/>
      <c r="E9241" s="25"/>
      <c r="F9241" s="25"/>
      <c r="G9241" s="25"/>
      <c r="H9241" s="25"/>
      <c r="I9241" s="25"/>
      <c r="J9241" s="25"/>
    </row>
    <row r="9242" spans="1:10" ht="14.4">
      <c r="A9242" s="25"/>
      <c r="B9242" s="25"/>
      <c r="C9242" s="25"/>
      <c r="D9242" s="25"/>
      <c r="E9242" s="25"/>
      <c r="F9242" s="25"/>
      <c r="G9242" s="25"/>
      <c r="H9242" s="25"/>
      <c r="I9242" s="25"/>
      <c r="J9242" s="25"/>
    </row>
    <row r="9243" spans="1:10" ht="14.4">
      <c r="A9243" s="25"/>
      <c r="B9243" s="25"/>
      <c r="C9243" s="25"/>
      <c r="D9243" s="25"/>
      <c r="E9243" s="25"/>
      <c r="F9243" s="25"/>
      <c r="G9243" s="25"/>
      <c r="H9243" s="25"/>
      <c r="I9243" s="25"/>
      <c r="J9243" s="25"/>
    </row>
    <row r="9244" spans="1:10" ht="14.4">
      <c r="A9244" s="25"/>
      <c r="B9244" s="25"/>
      <c r="C9244" s="25"/>
      <c r="D9244" s="25"/>
      <c r="E9244" s="25"/>
      <c r="F9244" s="25"/>
      <c r="G9244" s="25"/>
      <c r="H9244" s="25"/>
      <c r="I9244" s="25"/>
      <c r="J9244" s="25"/>
    </row>
    <row r="9245" spans="1:10" ht="14.4">
      <c r="A9245" s="25"/>
      <c r="B9245" s="25"/>
      <c r="C9245" s="25"/>
      <c r="D9245" s="25"/>
      <c r="E9245" s="25"/>
      <c r="F9245" s="25"/>
      <c r="G9245" s="25"/>
      <c r="H9245" s="25"/>
      <c r="I9245" s="25"/>
      <c r="J9245" s="25"/>
    </row>
    <row r="9246" spans="1:10" ht="14.4">
      <c r="A9246" s="25"/>
      <c r="B9246" s="25"/>
      <c r="C9246" s="25"/>
      <c r="D9246" s="25"/>
      <c r="E9246" s="25"/>
      <c r="F9246" s="25"/>
      <c r="G9246" s="25"/>
      <c r="H9246" s="25"/>
      <c r="I9246" s="25"/>
      <c r="J9246" s="25"/>
    </row>
    <row r="9247" spans="1:10" ht="14.4">
      <c r="A9247" s="25"/>
      <c r="B9247" s="25"/>
      <c r="C9247" s="25"/>
      <c r="D9247" s="25"/>
      <c r="E9247" s="25"/>
      <c r="F9247" s="25"/>
      <c r="G9247" s="25"/>
      <c r="H9247" s="25"/>
      <c r="I9247" s="25"/>
      <c r="J9247" s="25"/>
    </row>
    <row r="9248" spans="1:10" ht="14.4">
      <c r="A9248" s="25"/>
      <c r="B9248" s="25"/>
      <c r="C9248" s="25"/>
      <c r="D9248" s="25"/>
      <c r="E9248" s="25"/>
      <c r="F9248" s="25"/>
      <c r="G9248" s="25"/>
      <c r="H9248" s="25"/>
      <c r="I9248" s="25"/>
      <c r="J9248" s="25"/>
    </row>
    <row r="9249" spans="1:10" ht="14.4">
      <c r="A9249" s="25"/>
      <c r="B9249" s="25"/>
      <c r="C9249" s="25"/>
      <c r="D9249" s="25"/>
      <c r="E9249" s="25"/>
      <c r="F9249" s="25"/>
      <c r="G9249" s="25"/>
      <c r="H9249" s="25"/>
      <c r="I9249" s="25"/>
      <c r="J9249" s="25"/>
    </row>
    <row r="9250" spans="1:10" ht="14.4">
      <c r="A9250" s="25"/>
      <c r="B9250" s="25"/>
      <c r="C9250" s="25"/>
      <c r="D9250" s="25"/>
      <c r="E9250" s="25"/>
      <c r="F9250" s="25"/>
      <c r="G9250" s="25"/>
      <c r="H9250" s="25"/>
      <c r="I9250" s="25"/>
      <c r="J9250" s="25"/>
    </row>
    <row r="9251" spans="1:10" ht="14.4">
      <c r="A9251" s="25"/>
      <c r="B9251" s="25"/>
      <c r="C9251" s="25"/>
      <c r="D9251" s="25"/>
      <c r="E9251" s="25"/>
      <c r="F9251" s="25"/>
      <c r="G9251" s="25"/>
      <c r="H9251" s="25"/>
      <c r="I9251" s="25"/>
      <c r="J9251" s="25"/>
    </row>
    <row r="9252" spans="1:10" ht="14.4">
      <c r="A9252" s="25"/>
      <c r="B9252" s="25"/>
      <c r="C9252" s="25"/>
      <c r="D9252" s="25"/>
      <c r="E9252" s="25"/>
      <c r="F9252" s="25"/>
      <c r="G9252" s="25"/>
      <c r="H9252" s="25"/>
      <c r="I9252" s="25"/>
      <c r="J9252" s="25"/>
    </row>
    <row r="9253" spans="1:10" ht="14.4">
      <c r="A9253" s="25"/>
      <c r="B9253" s="25"/>
      <c r="C9253" s="25"/>
      <c r="D9253" s="25"/>
      <c r="E9253" s="25"/>
      <c r="F9253" s="25"/>
      <c r="G9253" s="25"/>
      <c r="H9253" s="25"/>
      <c r="I9253" s="25"/>
      <c r="J9253" s="25"/>
    </row>
    <row r="9254" spans="1:10" ht="14.4">
      <c r="A9254" s="25"/>
      <c r="B9254" s="25"/>
      <c r="C9254" s="25"/>
      <c r="D9254" s="25"/>
      <c r="E9254" s="25"/>
      <c r="F9254" s="25"/>
      <c r="G9254" s="25"/>
      <c r="H9254" s="25"/>
      <c r="I9254" s="25"/>
      <c r="J9254" s="25"/>
    </row>
    <row r="9255" spans="1:10" ht="14.4">
      <c r="A9255" s="25"/>
      <c r="B9255" s="25"/>
      <c r="C9255" s="25"/>
      <c r="D9255" s="25"/>
      <c r="E9255" s="25"/>
      <c r="F9255" s="25"/>
      <c r="G9255" s="25"/>
      <c r="H9255" s="25"/>
      <c r="I9255" s="25"/>
      <c r="J9255" s="25"/>
    </row>
    <row r="9256" spans="1:10" ht="14.4">
      <c r="A9256" s="25"/>
      <c r="B9256" s="25"/>
      <c r="C9256" s="25"/>
      <c r="D9256" s="25"/>
      <c r="E9256" s="25"/>
      <c r="F9256" s="25"/>
      <c r="G9256" s="25"/>
      <c r="H9256" s="25"/>
      <c r="I9256" s="25"/>
      <c r="J9256" s="25"/>
    </row>
    <row r="9257" spans="1:10" ht="14.4">
      <c r="A9257" s="25"/>
      <c r="B9257" s="25"/>
      <c r="C9257" s="25"/>
      <c r="D9257" s="25"/>
      <c r="E9257" s="25"/>
      <c r="F9257" s="25"/>
      <c r="G9257" s="25"/>
      <c r="H9257" s="25"/>
      <c r="I9257" s="25"/>
      <c r="J9257" s="25"/>
    </row>
    <row r="9258" spans="1:10" ht="14.4">
      <c r="A9258" s="25"/>
      <c r="B9258" s="25"/>
      <c r="C9258" s="25"/>
      <c r="D9258" s="25"/>
      <c r="E9258" s="25"/>
      <c r="F9258" s="25"/>
      <c r="G9258" s="25"/>
      <c r="H9258" s="25"/>
      <c r="I9258" s="25"/>
      <c r="J9258" s="25"/>
    </row>
    <row r="9259" spans="1:10" ht="14.4">
      <c r="A9259" s="25"/>
      <c r="B9259" s="25"/>
      <c r="C9259" s="25"/>
      <c r="D9259" s="25"/>
      <c r="E9259" s="25"/>
      <c r="F9259" s="25"/>
      <c r="G9259" s="25"/>
      <c r="H9259" s="25"/>
      <c r="I9259" s="25"/>
      <c r="J9259" s="25"/>
    </row>
    <row r="9260" spans="1:10" ht="14.4">
      <c r="A9260" s="25"/>
      <c r="B9260" s="25"/>
      <c r="C9260" s="25"/>
      <c r="D9260" s="25"/>
      <c r="E9260" s="25"/>
      <c r="F9260" s="25"/>
      <c r="G9260" s="25"/>
      <c r="H9260" s="25"/>
      <c r="I9260" s="25"/>
      <c r="J9260" s="25"/>
    </row>
    <row r="9261" spans="1:10" ht="14.4">
      <c r="A9261" s="25"/>
      <c r="B9261" s="25"/>
      <c r="C9261" s="25"/>
      <c r="D9261" s="25"/>
      <c r="E9261" s="25"/>
      <c r="F9261" s="25"/>
      <c r="G9261" s="25"/>
      <c r="H9261" s="25"/>
      <c r="I9261" s="25"/>
      <c r="J9261" s="25"/>
    </row>
    <row r="9262" spans="1:10" ht="14.4">
      <c r="A9262" s="25"/>
      <c r="B9262" s="25"/>
      <c r="C9262" s="25"/>
      <c r="D9262" s="25"/>
      <c r="E9262" s="25"/>
      <c r="F9262" s="25"/>
      <c r="G9262" s="25"/>
      <c r="H9262" s="25"/>
      <c r="I9262" s="25"/>
      <c r="J9262" s="25"/>
    </row>
    <row r="9263" spans="1:10" ht="14.4">
      <c r="A9263" s="25"/>
      <c r="B9263" s="25"/>
      <c r="C9263" s="25"/>
      <c r="D9263" s="25"/>
      <c r="E9263" s="25"/>
      <c r="F9263" s="25"/>
      <c r="G9263" s="25"/>
      <c r="H9263" s="25"/>
      <c r="I9263" s="25"/>
      <c r="J9263" s="25"/>
    </row>
    <row r="9264" spans="1:10" ht="14.4">
      <c r="A9264" s="25"/>
      <c r="B9264" s="25"/>
      <c r="C9264" s="25"/>
      <c r="D9264" s="25"/>
      <c r="E9264" s="25"/>
      <c r="F9264" s="25"/>
      <c r="G9264" s="25"/>
      <c r="H9264" s="25"/>
      <c r="I9264" s="25"/>
      <c r="J9264" s="25"/>
    </row>
    <row r="9265" spans="1:10" ht="14.4">
      <c r="A9265" s="25"/>
      <c r="B9265" s="25"/>
      <c r="C9265" s="25"/>
      <c r="D9265" s="25"/>
      <c r="E9265" s="25"/>
      <c r="F9265" s="25"/>
      <c r="G9265" s="25"/>
      <c r="H9265" s="25"/>
      <c r="I9265" s="25"/>
      <c r="J9265" s="25"/>
    </row>
    <row r="9266" spans="1:10" ht="14.4">
      <c r="A9266" s="25"/>
      <c r="B9266" s="25"/>
      <c r="C9266" s="25"/>
      <c r="D9266" s="25"/>
      <c r="E9266" s="25"/>
      <c r="F9266" s="25"/>
      <c r="G9266" s="25"/>
      <c r="H9266" s="25"/>
      <c r="I9266" s="25"/>
      <c r="J9266" s="25"/>
    </row>
    <row r="9267" spans="1:10" ht="14.4">
      <c r="A9267" s="25"/>
      <c r="B9267" s="25"/>
      <c r="C9267" s="25"/>
      <c r="D9267" s="25"/>
      <c r="E9267" s="25"/>
      <c r="F9267" s="25"/>
      <c r="G9267" s="25"/>
      <c r="H9267" s="25"/>
      <c r="I9267" s="25"/>
      <c r="J9267" s="25"/>
    </row>
    <row r="9268" spans="1:10" ht="14.4">
      <c r="A9268" s="25"/>
      <c r="B9268" s="25"/>
      <c r="C9268" s="25"/>
      <c r="D9268" s="25"/>
      <c r="E9268" s="25"/>
      <c r="F9268" s="25"/>
      <c r="G9268" s="25"/>
      <c r="H9268" s="25"/>
      <c r="I9268" s="25"/>
      <c r="J9268" s="25"/>
    </row>
    <row r="9269" spans="1:10" ht="14.4">
      <c r="A9269" s="25"/>
      <c r="B9269" s="25"/>
      <c r="C9269" s="25"/>
      <c r="D9269" s="25"/>
      <c r="E9269" s="25"/>
      <c r="F9269" s="25"/>
      <c r="G9269" s="25"/>
      <c r="H9269" s="25"/>
      <c r="I9269" s="25"/>
      <c r="J9269" s="25"/>
    </row>
    <row r="9270" spans="1:10" ht="14.4">
      <c r="A9270" s="25"/>
      <c r="B9270" s="25"/>
      <c r="C9270" s="25"/>
      <c r="D9270" s="25"/>
      <c r="E9270" s="25"/>
      <c r="F9270" s="25"/>
      <c r="G9270" s="25"/>
      <c r="H9270" s="25"/>
      <c r="I9270" s="25"/>
      <c r="J9270" s="25"/>
    </row>
    <row r="9271" spans="1:10" ht="14.4">
      <c r="A9271" s="25"/>
      <c r="B9271" s="25"/>
      <c r="C9271" s="25"/>
      <c r="D9271" s="25"/>
      <c r="E9271" s="25"/>
      <c r="F9271" s="25"/>
      <c r="G9271" s="25"/>
      <c r="H9271" s="25"/>
      <c r="I9271" s="25"/>
      <c r="J9271" s="25"/>
    </row>
    <row r="9272" spans="1:10" ht="14.4">
      <c r="A9272" s="25"/>
      <c r="B9272" s="25"/>
      <c r="C9272" s="25"/>
      <c r="D9272" s="25"/>
      <c r="E9272" s="25"/>
      <c r="F9272" s="25"/>
      <c r="G9272" s="25"/>
      <c r="H9272" s="25"/>
      <c r="I9272" s="25"/>
      <c r="J9272" s="25"/>
    </row>
    <row r="9273" spans="1:10" ht="14.4">
      <c r="A9273" s="25"/>
      <c r="B9273" s="25"/>
      <c r="C9273" s="25"/>
      <c r="D9273" s="25"/>
      <c r="E9273" s="25"/>
      <c r="F9273" s="25"/>
      <c r="G9273" s="25"/>
      <c r="H9273" s="25"/>
      <c r="I9273" s="25"/>
      <c r="J9273" s="25"/>
    </row>
    <row r="9274" spans="1:10" ht="14.4">
      <c r="A9274" s="25"/>
      <c r="B9274" s="25"/>
      <c r="C9274" s="25"/>
      <c r="D9274" s="25"/>
      <c r="E9274" s="25"/>
      <c r="F9274" s="25"/>
      <c r="G9274" s="25"/>
      <c r="H9274" s="25"/>
      <c r="I9274" s="25"/>
      <c r="J9274" s="25"/>
    </row>
    <row r="9275" spans="1:10" ht="14.4">
      <c r="A9275" s="25"/>
      <c r="B9275" s="25"/>
      <c r="C9275" s="25"/>
      <c r="D9275" s="25"/>
      <c r="E9275" s="25"/>
      <c r="F9275" s="25"/>
      <c r="G9275" s="25"/>
      <c r="H9275" s="25"/>
      <c r="I9275" s="25"/>
      <c r="J9275" s="25"/>
    </row>
    <row r="9276" spans="1:10" ht="14.4">
      <c r="A9276" s="25"/>
      <c r="B9276" s="25"/>
      <c r="C9276" s="25"/>
      <c r="D9276" s="25"/>
      <c r="E9276" s="25"/>
      <c r="F9276" s="25"/>
      <c r="G9276" s="25"/>
      <c r="H9276" s="25"/>
      <c r="I9276" s="25"/>
      <c r="J9276" s="25"/>
    </row>
    <row r="9277" spans="1:10" ht="14.4">
      <c r="A9277" s="25"/>
      <c r="B9277" s="25"/>
      <c r="C9277" s="25"/>
      <c r="D9277" s="25"/>
      <c r="E9277" s="25"/>
      <c r="F9277" s="25"/>
      <c r="G9277" s="25"/>
      <c r="H9277" s="25"/>
      <c r="I9277" s="25"/>
      <c r="J9277" s="25"/>
    </row>
    <row r="9278" spans="1:10" ht="14.4">
      <c r="A9278" s="25"/>
      <c r="B9278" s="25"/>
      <c r="C9278" s="25"/>
      <c r="D9278" s="25"/>
      <c r="E9278" s="25"/>
      <c r="F9278" s="25"/>
      <c r="G9278" s="25"/>
      <c r="H9278" s="25"/>
      <c r="I9278" s="25"/>
      <c r="J9278" s="25"/>
    </row>
    <row r="9279" spans="1:10" ht="14.4">
      <c r="A9279" s="25"/>
      <c r="B9279" s="25"/>
      <c r="C9279" s="25"/>
      <c r="D9279" s="25"/>
      <c r="E9279" s="25"/>
      <c r="F9279" s="25"/>
      <c r="G9279" s="25"/>
      <c r="H9279" s="25"/>
      <c r="I9279" s="25"/>
      <c r="J9279" s="25"/>
    </row>
    <row r="9280" spans="1:10" ht="14.4">
      <c r="A9280" s="25"/>
      <c r="B9280" s="25"/>
      <c r="C9280" s="25"/>
      <c r="D9280" s="25"/>
      <c r="E9280" s="25"/>
      <c r="F9280" s="25"/>
      <c r="G9280" s="25"/>
      <c r="H9280" s="25"/>
      <c r="I9280" s="25"/>
      <c r="J9280" s="25"/>
    </row>
    <row r="9281" spans="1:10" ht="14.4">
      <c r="A9281" s="25"/>
      <c r="B9281" s="25"/>
      <c r="C9281" s="25"/>
      <c r="D9281" s="25"/>
      <c r="E9281" s="25"/>
      <c r="F9281" s="25"/>
      <c r="G9281" s="25"/>
      <c r="H9281" s="25"/>
      <c r="I9281" s="25"/>
      <c r="J9281" s="25"/>
    </row>
    <row r="9282" spans="1:10" ht="14.4">
      <c r="A9282" s="25"/>
      <c r="B9282" s="25"/>
      <c r="C9282" s="25"/>
      <c r="D9282" s="25"/>
      <c r="E9282" s="25"/>
      <c r="F9282" s="25"/>
      <c r="G9282" s="25"/>
      <c r="H9282" s="25"/>
      <c r="I9282" s="25"/>
      <c r="J9282" s="25"/>
    </row>
    <row r="9283" spans="1:10" ht="14.4">
      <c r="A9283" s="25"/>
      <c r="B9283" s="25"/>
      <c r="C9283" s="25"/>
      <c r="D9283" s="25"/>
      <c r="E9283" s="25"/>
      <c r="F9283" s="25"/>
      <c r="G9283" s="25"/>
      <c r="H9283" s="25"/>
      <c r="I9283" s="25"/>
      <c r="J9283" s="25"/>
    </row>
    <row r="9284" spans="1:10" ht="14.4">
      <c r="A9284" s="25"/>
      <c r="B9284" s="25"/>
      <c r="C9284" s="25"/>
      <c r="D9284" s="25"/>
      <c r="E9284" s="25"/>
      <c r="F9284" s="25"/>
      <c r="G9284" s="25"/>
      <c r="H9284" s="25"/>
      <c r="I9284" s="25"/>
      <c r="J9284" s="25"/>
    </row>
    <row r="9285" spans="1:10" ht="14.4">
      <c r="A9285" s="25"/>
      <c r="B9285" s="25"/>
      <c r="C9285" s="25"/>
      <c r="D9285" s="25"/>
      <c r="E9285" s="25"/>
      <c r="F9285" s="25"/>
      <c r="G9285" s="25"/>
      <c r="H9285" s="25"/>
      <c r="I9285" s="25"/>
      <c r="J9285" s="25"/>
    </row>
    <row r="9286" spans="1:10" ht="14.4">
      <c r="A9286" s="25"/>
      <c r="B9286" s="25"/>
      <c r="C9286" s="25"/>
      <c r="D9286" s="25"/>
      <c r="E9286" s="25"/>
      <c r="F9286" s="25"/>
      <c r="G9286" s="25"/>
      <c r="H9286" s="25"/>
      <c r="I9286" s="25"/>
      <c r="J9286" s="25"/>
    </row>
    <row r="9287" spans="1:10" ht="14.4">
      <c r="A9287" s="25"/>
      <c r="B9287" s="25"/>
      <c r="C9287" s="25"/>
      <c r="D9287" s="25"/>
      <c r="E9287" s="25"/>
      <c r="F9287" s="25"/>
      <c r="G9287" s="25"/>
      <c r="H9287" s="25"/>
      <c r="I9287" s="25"/>
      <c r="J9287" s="25"/>
    </row>
    <row r="9288" spans="1:10" ht="14.4">
      <c r="A9288" s="25"/>
      <c r="B9288" s="25"/>
      <c r="C9288" s="25"/>
      <c r="D9288" s="25"/>
      <c r="E9288" s="25"/>
      <c r="F9288" s="25"/>
      <c r="G9288" s="25"/>
      <c r="H9288" s="25"/>
      <c r="I9288" s="25"/>
      <c r="J9288" s="25"/>
    </row>
    <row r="9289" spans="1:10" ht="14.4">
      <c r="A9289" s="25"/>
      <c r="B9289" s="25"/>
      <c r="C9289" s="25"/>
      <c r="D9289" s="25"/>
      <c r="E9289" s="25"/>
      <c r="F9289" s="25"/>
      <c r="G9289" s="25"/>
      <c r="H9289" s="25"/>
      <c r="I9289" s="25"/>
      <c r="J9289" s="25"/>
    </row>
    <row r="9290" spans="1:10" ht="14.4">
      <c r="A9290" s="25"/>
      <c r="B9290" s="25"/>
      <c r="C9290" s="25"/>
      <c r="D9290" s="25"/>
      <c r="E9290" s="25"/>
      <c r="F9290" s="25"/>
      <c r="G9290" s="25"/>
      <c r="H9290" s="25"/>
      <c r="I9290" s="25"/>
      <c r="J9290" s="25"/>
    </row>
    <row r="9291" spans="1:10" ht="14.4">
      <c r="A9291" s="25"/>
      <c r="B9291" s="25"/>
      <c r="C9291" s="25"/>
      <c r="D9291" s="25"/>
      <c r="E9291" s="25"/>
      <c r="F9291" s="25"/>
      <c r="G9291" s="25"/>
      <c r="H9291" s="25"/>
      <c r="I9291" s="25"/>
      <c r="J9291" s="25"/>
    </row>
    <row r="9292" spans="1:10" ht="14.4">
      <c r="A9292" s="25"/>
      <c r="B9292" s="25"/>
      <c r="C9292" s="25"/>
      <c r="D9292" s="25"/>
      <c r="E9292" s="25"/>
      <c r="F9292" s="25"/>
      <c r="G9292" s="25"/>
      <c r="H9292" s="25"/>
      <c r="I9292" s="25"/>
      <c r="J9292" s="25"/>
    </row>
    <row r="9293" spans="1:10" ht="14.4">
      <c r="A9293" s="25"/>
      <c r="B9293" s="25"/>
      <c r="C9293" s="25"/>
      <c r="D9293" s="25"/>
      <c r="E9293" s="25"/>
      <c r="F9293" s="25"/>
      <c r="G9293" s="25"/>
      <c r="H9293" s="25"/>
      <c r="I9293" s="25"/>
      <c r="J9293" s="25"/>
    </row>
    <row r="9294" spans="1:10" ht="14.4">
      <c r="A9294" s="25"/>
      <c r="B9294" s="25"/>
      <c r="C9294" s="25"/>
      <c r="D9294" s="25"/>
      <c r="E9294" s="25"/>
      <c r="F9294" s="25"/>
      <c r="G9294" s="25"/>
      <c r="H9294" s="25"/>
      <c r="I9294" s="25"/>
      <c r="J9294" s="25"/>
    </row>
    <row r="9295" spans="1:10" ht="14.4">
      <c r="A9295" s="25"/>
      <c r="B9295" s="25"/>
      <c r="C9295" s="25"/>
      <c r="D9295" s="25"/>
      <c r="E9295" s="25"/>
      <c r="F9295" s="25"/>
      <c r="G9295" s="25"/>
      <c r="H9295" s="25"/>
      <c r="I9295" s="25"/>
      <c r="J9295" s="25"/>
    </row>
    <row r="9296" spans="1:10" ht="14.4">
      <c r="A9296" s="25"/>
      <c r="B9296" s="25"/>
      <c r="C9296" s="25"/>
      <c r="D9296" s="25"/>
      <c r="E9296" s="25"/>
      <c r="F9296" s="25"/>
      <c r="G9296" s="25"/>
      <c r="H9296" s="25"/>
      <c r="I9296" s="25"/>
      <c r="J9296" s="25"/>
    </row>
    <row r="9297" spans="1:10" ht="14.4">
      <c r="A9297" s="25"/>
      <c r="B9297" s="25"/>
      <c r="C9297" s="25"/>
      <c r="D9297" s="25"/>
      <c r="E9297" s="25"/>
      <c r="F9297" s="25"/>
      <c r="G9297" s="25"/>
      <c r="H9297" s="25"/>
      <c r="I9297" s="25"/>
      <c r="J9297" s="25"/>
    </row>
    <row r="9298" spans="1:10" ht="14.4">
      <c r="A9298" s="25"/>
      <c r="B9298" s="25"/>
      <c r="C9298" s="25"/>
      <c r="D9298" s="25"/>
      <c r="E9298" s="25"/>
      <c r="F9298" s="25"/>
      <c r="G9298" s="25"/>
      <c r="H9298" s="25"/>
      <c r="I9298" s="25"/>
      <c r="J9298" s="25"/>
    </row>
    <row r="9299" spans="1:10" ht="14.4">
      <c r="A9299" s="25"/>
      <c r="B9299" s="25"/>
      <c r="C9299" s="25"/>
      <c r="D9299" s="25"/>
      <c r="E9299" s="25"/>
      <c r="F9299" s="25"/>
      <c r="G9299" s="25"/>
      <c r="H9299" s="25"/>
      <c r="I9299" s="25"/>
      <c r="J9299" s="25"/>
    </row>
    <row r="9300" spans="1:10" ht="14.4">
      <c r="A9300" s="25"/>
      <c r="B9300" s="25"/>
      <c r="C9300" s="25"/>
      <c r="D9300" s="25"/>
      <c r="E9300" s="25"/>
      <c r="F9300" s="25"/>
      <c r="G9300" s="25"/>
      <c r="H9300" s="25"/>
      <c r="I9300" s="25"/>
      <c r="J9300" s="25"/>
    </row>
    <row r="9301" spans="1:10" ht="14.4">
      <c r="A9301" s="25"/>
      <c r="B9301" s="25"/>
      <c r="C9301" s="25"/>
      <c r="D9301" s="25"/>
      <c r="E9301" s="25"/>
      <c r="F9301" s="25"/>
      <c r="G9301" s="25"/>
      <c r="H9301" s="25"/>
      <c r="I9301" s="25"/>
      <c r="J9301" s="25"/>
    </row>
    <row r="9302" spans="1:10" ht="14.4">
      <c r="A9302" s="25"/>
      <c r="B9302" s="25"/>
      <c r="C9302" s="25"/>
      <c r="D9302" s="25"/>
      <c r="E9302" s="25"/>
      <c r="F9302" s="25"/>
      <c r="G9302" s="25"/>
      <c r="H9302" s="25"/>
      <c r="I9302" s="25"/>
      <c r="J9302" s="25"/>
    </row>
    <row r="9303" spans="1:10" ht="14.4">
      <c r="A9303" s="25"/>
      <c r="B9303" s="25"/>
      <c r="C9303" s="25"/>
      <c r="D9303" s="25"/>
      <c r="E9303" s="25"/>
      <c r="F9303" s="25"/>
      <c r="G9303" s="25"/>
      <c r="H9303" s="25"/>
      <c r="I9303" s="25"/>
      <c r="J9303" s="25"/>
    </row>
    <row r="9304" spans="1:10" ht="14.4">
      <c r="A9304" s="25"/>
      <c r="B9304" s="25"/>
      <c r="C9304" s="25"/>
      <c r="D9304" s="25"/>
      <c r="E9304" s="25"/>
      <c r="F9304" s="25"/>
      <c r="G9304" s="25"/>
      <c r="H9304" s="25"/>
      <c r="I9304" s="25"/>
      <c r="J9304" s="25"/>
    </row>
    <row r="9305" spans="1:10" ht="14.4">
      <c r="A9305" s="25"/>
      <c r="B9305" s="25"/>
      <c r="C9305" s="25"/>
      <c r="D9305" s="25"/>
      <c r="E9305" s="25"/>
      <c r="F9305" s="25"/>
      <c r="G9305" s="25"/>
      <c r="H9305" s="25"/>
      <c r="I9305" s="25"/>
      <c r="J9305" s="25"/>
    </row>
    <row r="9306" spans="1:10" ht="14.4">
      <c r="A9306" s="25"/>
      <c r="B9306" s="25"/>
      <c r="C9306" s="25"/>
      <c r="D9306" s="25"/>
      <c r="E9306" s="25"/>
      <c r="F9306" s="25"/>
      <c r="G9306" s="25"/>
      <c r="H9306" s="25"/>
      <c r="I9306" s="25"/>
      <c r="J9306" s="25"/>
    </row>
    <row r="9307" spans="1:10" ht="14.4">
      <c r="A9307" s="25"/>
      <c r="B9307" s="25"/>
      <c r="C9307" s="25"/>
      <c r="D9307" s="25"/>
      <c r="E9307" s="25"/>
      <c r="F9307" s="25"/>
      <c r="G9307" s="25"/>
      <c r="H9307" s="25"/>
      <c r="I9307" s="25"/>
      <c r="J9307" s="25"/>
    </row>
    <row r="9308" spans="1:10" ht="14.4">
      <c r="A9308" s="25"/>
      <c r="B9308" s="25"/>
      <c r="C9308" s="25"/>
      <c r="D9308" s="25"/>
      <c r="E9308" s="25"/>
      <c r="F9308" s="25"/>
      <c r="G9308" s="25"/>
      <c r="H9308" s="25"/>
      <c r="I9308" s="25"/>
      <c r="J9308" s="25"/>
    </row>
    <row r="9309" spans="1:10" ht="14.4">
      <c r="A9309" s="25"/>
      <c r="B9309" s="25"/>
      <c r="C9309" s="25"/>
      <c r="D9309" s="25"/>
      <c r="E9309" s="25"/>
      <c r="F9309" s="25"/>
      <c r="G9309" s="25"/>
      <c r="H9309" s="25"/>
      <c r="I9309" s="25"/>
      <c r="J9309" s="25"/>
    </row>
    <row r="9310" spans="1:10" ht="14.4">
      <c r="A9310" s="25"/>
      <c r="B9310" s="25"/>
      <c r="C9310" s="25"/>
      <c r="D9310" s="25"/>
      <c r="E9310" s="25"/>
      <c r="F9310" s="25"/>
      <c r="G9310" s="25"/>
      <c r="H9310" s="25"/>
      <c r="I9310" s="25"/>
      <c r="J9310" s="25"/>
    </row>
    <row r="9311" spans="1:10" ht="14.4">
      <c r="A9311" s="25"/>
      <c r="B9311" s="25"/>
      <c r="C9311" s="25"/>
      <c r="D9311" s="25"/>
      <c r="E9311" s="25"/>
      <c r="F9311" s="25"/>
      <c r="G9311" s="25"/>
      <c r="H9311" s="25"/>
      <c r="I9311" s="25"/>
      <c r="J9311" s="25"/>
    </row>
    <row r="9312" spans="1:10" ht="14.4">
      <c r="A9312" s="25"/>
      <c r="B9312" s="25"/>
      <c r="C9312" s="25"/>
      <c r="D9312" s="25"/>
      <c r="E9312" s="25"/>
      <c r="F9312" s="25"/>
      <c r="G9312" s="25"/>
      <c r="H9312" s="25"/>
      <c r="I9312" s="25"/>
      <c r="J9312" s="25"/>
    </row>
    <row r="9313" spans="1:10" ht="14.4">
      <c r="A9313" s="25"/>
      <c r="B9313" s="25"/>
      <c r="C9313" s="25"/>
      <c r="D9313" s="25"/>
      <c r="E9313" s="25"/>
      <c r="F9313" s="25"/>
      <c r="G9313" s="25"/>
      <c r="H9313" s="25"/>
      <c r="I9313" s="25"/>
      <c r="J9313" s="25"/>
    </row>
    <row r="9314" spans="1:10" ht="14.4">
      <c r="A9314" s="25"/>
      <c r="B9314" s="25"/>
      <c r="C9314" s="25"/>
      <c r="D9314" s="25"/>
      <c r="E9314" s="25"/>
      <c r="F9314" s="25"/>
      <c r="G9314" s="25"/>
      <c r="H9314" s="25"/>
      <c r="I9314" s="25"/>
      <c r="J9314" s="25"/>
    </row>
    <row r="9315" spans="1:10" ht="14.4">
      <c r="A9315" s="25"/>
      <c r="B9315" s="25"/>
      <c r="C9315" s="25"/>
      <c r="D9315" s="25"/>
      <c r="E9315" s="25"/>
      <c r="F9315" s="25"/>
      <c r="G9315" s="25"/>
      <c r="H9315" s="25"/>
      <c r="I9315" s="25"/>
      <c r="J9315" s="25"/>
    </row>
    <row r="9316" spans="1:10" ht="14.4">
      <c r="A9316" s="25"/>
      <c r="B9316" s="25"/>
      <c r="C9316" s="25"/>
      <c r="D9316" s="25"/>
      <c r="E9316" s="25"/>
      <c r="F9316" s="25"/>
      <c r="G9316" s="25"/>
      <c r="H9316" s="25"/>
      <c r="I9316" s="25"/>
      <c r="J9316" s="25"/>
    </row>
    <row r="9317" spans="1:10" ht="14.4">
      <c r="A9317" s="25"/>
      <c r="B9317" s="25"/>
      <c r="C9317" s="25"/>
      <c r="D9317" s="25"/>
      <c r="E9317" s="25"/>
      <c r="F9317" s="25"/>
      <c r="G9317" s="25"/>
      <c r="H9317" s="25"/>
      <c r="I9317" s="25"/>
      <c r="J9317" s="25"/>
    </row>
    <row r="9318" spans="1:10" ht="14.4">
      <c r="A9318" s="25"/>
      <c r="B9318" s="25"/>
      <c r="C9318" s="25"/>
      <c r="D9318" s="25"/>
      <c r="E9318" s="25"/>
      <c r="F9318" s="25"/>
      <c r="G9318" s="25"/>
      <c r="H9318" s="25"/>
      <c r="I9318" s="25"/>
      <c r="J9318" s="25"/>
    </row>
    <row r="9319" spans="1:10" ht="14.4">
      <c r="A9319" s="25"/>
      <c r="B9319" s="25"/>
      <c r="C9319" s="25"/>
      <c r="D9319" s="25"/>
      <c r="E9319" s="25"/>
      <c r="F9319" s="25"/>
      <c r="G9319" s="25"/>
      <c r="H9319" s="25"/>
      <c r="I9319" s="25"/>
      <c r="J9319" s="25"/>
    </row>
    <row r="9320" spans="1:10" ht="14.4">
      <c r="A9320" s="25"/>
      <c r="B9320" s="25"/>
      <c r="C9320" s="25"/>
      <c r="D9320" s="25"/>
      <c r="E9320" s="25"/>
      <c r="F9320" s="25"/>
      <c r="G9320" s="25"/>
      <c r="H9320" s="25"/>
      <c r="I9320" s="25"/>
      <c r="J9320" s="25"/>
    </row>
    <row r="9321" spans="1:10" ht="14.4">
      <c r="A9321" s="25"/>
      <c r="B9321" s="25"/>
      <c r="C9321" s="25"/>
      <c r="D9321" s="25"/>
      <c r="E9321" s="25"/>
      <c r="F9321" s="25"/>
      <c r="G9321" s="25"/>
      <c r="H9321" s="25"/>
      <c r="I9321" s="25"/>
      <c r="J9321" s="25"/>
    </row>
    <row r="9322" spans="1:10" ht="14.4">
      <c r="A9322" s="25"/>
      <c r="B9322" s="25"/>
      <c r="C9322" s="25"/>
      <c r="D9322" s="25"/>
      <c r="E9322" s="25"/>
      <c r="F9322" s="25"/>
      <c r="G9322" s="25"/>
      <c r="H9322" s="25"/>
      <c r="I9322" s="25"/>
      <c r="J9322" s="25"/>
    </row>
    <row r="9323" spans="1:10" ht="14.4">
      <c r="A9323" s="25"/>
      <c r="B9323" s="25"/>
      <c r="C9323" s="25"/>
      <c r="D9323" s="25"/>
      <c r="E9323" s="25"/>
      <c r="F9323" s="25"/>
      <c r="G9323" s="25"/>
      <c r="H9323" s="25"/>
      <c r="I9323" s="25"/>
      <c r="J9323" s="25"/>
    </row>
    <row r="9324" spans="1:10" ht="14.4">
      <c r="A9324" s="25"/>
      <c r="B9324" s="25"/>
      <c r="C9324" s="25"/>
      <c r="D9324" s="25"/>
      <c r="E9324" s="25"/>
      <c r="F9324" s="25"/>
      <c r="G9324" s="25"/>
      <c r="H9324" s="25"/>
      <c r="I9324" s="25"/>
      <c r="J9324" s="25"/>
    </row>
    <row r="9325" spans="1:10" ht="14.4">
      <c r="A9325" s="25"/>
      <c r="B9325" s="25"/>
      <c r="C9325" s="25"/>
      <c r="D9325" s="25"/>
      <c r="E9325" s="25"/>
      <c r="F9325" s="25"/>
      <c r="G9325" s="25"/>
      <c r="H9325" s="25"/>
      <c r="I9325" s="25"/>
      <c r="J9325" s="25"/>
    </row>
    <row r="9326" spans="1:10" ht="14.4">
      <c r="A9326" s="25"/>
      <c r="B9326" s="25"/>
      <c r="C9326" s="25"/>
      <c r="D9326" s="25"/>
      <c r="E9326" s="25"/>
      <c r="F9326" s="25"/>
      <c r="G9326" s="25"/>
      <c r="H9326" s="25"/>
      <c r="I9326" s="25"/>
      <c r="J9326" s="25"/>
    </row>
    <row r="9327" spans="1:10" ht="14.4">
      <c r="A9327" s="25"/>
      <c r="B9327" s="25"/>
      <c r="C9327" s="25"/>
      <c r="D9327" s="25"/>
      <c r="E9327" s="25"/>
      <c r="F9327" s="25"/>
      <c r="G9327" s="25"/>
      <c r="H9327" s="25"/>
      <c r="I9327" s="25"/>
      <c r="J9327" s="25"/>
    </row>
    <row r="9328" spans="1:10" ht="14.4">
      <c r="A9328" s="25"/>
      <c r="B9328" s="25"/>
      <c r="C9328" s="25"/>
      <c r="D9328" s="25"/>
      <c r="E9328" s="25"/>
      <c r="F9328" s="25"/>
      <c r="G9328" s="25"/>
      <c r="H9328" s="25"/>
      <c r="I9328" s="25"/>
      <c r="J9328" s="25"/>
    </row>
    <row r="9329" spans="1:10" ht="14.4">
      <c r="A9329" s="25"/>
      <c r="B9329" s="25"/>
      <c r="C9329" s="25"/>
      <c r="D9329" s="25"/>
      <c r="E9329" s="25"/>
      <c r="F9329" s="25"/>
      <c r="G9329" s="25"/>
      <c r="H9329" s="25"/>
      <c r="I9329" s="25"/>
      <c r="J9329" s="25"/>
    </row>
    <row r="9330" spans="1:10" ht="14.4">
      <c r="A9330" s="25"/>
      <c r="B9330" s="25"/>
      <c r="C9330" s="25"/>
      <c r="D9330" s="25"/>
      <c r="E9330" s="25"/>
      <c r="F9330" s="25"/>
      <c r="G9330" s="25"/>
      <c r="H9330" s="25"/>
      <c r="I9330" s="25"/>
      <c r="J9330" s="25"/>
    </row>
    <row r="9331" spans="1:10" ht="14.4">
      <c r="A9331" s="25"/>
      <c r="B9331" s="25"/>
      <c r="C9331" s="25"/>
      <c r="D9331" s="25"/>
      <c r="E9331" s="25"/>
      <c r="F9331" s="25"/>
      <c r="G9331" s="25"/>
      <c r="H9331" s="25"/>
      <c r="I9331" s="25"/>
      <c r="J9331" s="25"/>
    </row>
    <row r="9332" spans="1:10" ht="14.4">
      <c r="A9332" s="25"/>
      <c r="B9332" s="25"/>
      <c r="C9332" s="25"/>
      <c r="D9332" s="25"/>
      <c r="E9332" s="25"/>
      <c r="F9332" s="25"/>
      <c r="G9332" s="25"/>
      <c r="H9332" s="25"/>
      <c r="I9332" s="25"/>
      <c r="J9332" s="25"/>
    </row>
    <row r="9333" spans="1:10" ht="14.4">
      <c r="A9333" s="25"/>
      <c r="B9333" s="25"/>
      <c r="C9333" s="25"/>
      <c r="D9333" s="25"/>
      <c r="E9333" s="25"/>
      <c r="F9333" s="25"/>
      <c r="G9333" s="25"/>
      <c r="H9333" s="25"/>
      <c r="I9333" s="25"/>
      <c r="J9333" s="25"/>
    </row>
    <row r="9334" spans="1:10" ht="14.4">
      <c r="A9334" s="25"/>
      <c r="B9334" s="25"/>
      <c r="C9334" s="25"/>
      <c r="D9334" s="25"/>
      <c r="E9334" s="25"/>
      <c r="F9334" s="25"/>
      <c r="G9334" s="25"/>
      <c r="H9334" s="25"/>
      <c r="I9334" s="25"/>
      <c r="J9334" s="25"/>
    </row>
    <row r="9335" spans="1:10" ht="14.4">
      <c r="A9335" s="25"/>
      <c r="B9335" s="25"/>
      <c r="C9335" s="25"/>
      <c r="D9335" s="25"/>
      <c r="E9335" s="25"/>
      <c r="F9335" s="25"/>
      <c r="G9335" s="25"/>
      <c r="H9335" s="25"/>
      <c r="I9335" s="25"/>
      <c r="J9335" s="25"/>
    </row>
    <row r="9336" spans="1:10" ht="14.4">
      <c r="A9336" s="25"/>
      <c r="B9336" s="25"/>
      <c r="C9336" s="25"/>
      <c r="D9336" s="25"/>
      <c r="E9336" s="25"/>
      <c r="F9336" s="25"/>
      <c r="G9336" s="25"/>
      <c r="H9336" s="25"/>
      <c r="I9336" s="25"/>
      <c r="J9336" s="25"/>
    </row>
    <row r="9337" spans="1:10" ht="14.4">
      <c r="A9337" s="25"/>
      <c r="B9337" s="25"/>
      <c r="C9337" s="25"/>
      <c r="D9337" s="25"/>
      <c r="E9337" s="25"/>
      <c r="F9337" s="25"/>
      <c r="G9337" s="25"/>
      <c r="H9337" s="25"/>
      <c r="I9337" s="25"/>
      <c r="J9337" s="25"/>
    </row>
    <row r="9338" spans="1:10" ht="14.4">
      <c r="A9338" s="25"/>
      <c r="B9338" s="25"/>
      <c r="C9338" s="25"/>
      <c r="D9338" s="25"/>
      <c r="E9338" s="25"/>
      <c r="F9338" s="25"/>
      <c r="G9338" s="25"/>
      <c r="H9338" s="25"/>
      <c r="I9338" s="25"/>
      <c r="J9338" s="25"/>
    </row>
    <row r="9339" spans="1:10" ht="14.4">
      <c r="A9339" s="25"/>
      <c r="B9339" s="25"/>
      <c r="C9339" s="25"/>
      <c r="D9339" s="25"/>
      <c r="E9339" s="25"/>
      <c r="F9339" s="25"/>
      <c r="G9339" s="25"/>
      <c r="H9339" s="25"/>
      <c r="I9339" s="25"/>
      <c r="J9339" s="25"/>
    </row>
    <row r="9340" spans="1:10" ht="14.4">
      <c r="A9340" s="25"/>
      <c r="B9340" s="25"/>
      <c r="C9340" s="25"/>
      <c r="D9340" s="25"/>
      <c r="E9340" s="25"/>
      <c r="F9340" s="25"/>
      <c r="G9340" s="25"/>
      <c r="H9340" s="25"/>
      <c r="I9340" s="25"/>
      <c r="J9340" s="25"/>
    </row>
    <row r="9341" spans="1:10" ht="14.4">
      <c r="A9341" s="25"/>
      <c r="B9341" s="25"/>
      <c r="C9341" s="25"/>
      <c r="D9341" s="25"/>
      <c r="E9341" s="25"/>
      <c r="F9341" s="25"/>
      <c r="G9341" s="25"/>
      <c r="H9341" s="25"/>
      <c r="I9341" s="25"/>
      <c r="J9341" s="25"/>
    </row>
    <row r="9342" spans="1:10" ht="14.4">
      <c r="A9342" s="25"/>
      <c r="B9342" s="25"/>
      <c r="C9342" s="25"/>
      <c r="D9342" s="25"/>
      <c r="E9342" s="25"/>
      <c r="F9342" s="25"/>
      <c r="G9342" s="25"/>
      <c r="H9342" s="25"/>
      <c r="I9342" s="25"/>
      <c r="J9342" s="25"/>
    </row>
    <row r="9343" spans="1:10" ht="14.4">
      <c r="A9343" s="25"/>
      <c r="B9343" s="25"/>
      <c r="C9343" s="25"/>
      <c r="D9343" s="25"/>
      <c r="E9343" s="25"/>
      <c r="F9343" s="25"/>
      <c r="G9343" s="25"/>
      <c r="H9343" s="25"/>
      <c r="I9343" s="25"/>
      <c r="J9343" s="25"/>
    </row>
    <row r="9344" spans="1:10" ht="14.4">
      <c r="A9344" s="25"/>
      <c r="B9344" s="25"/>
      <c r="C9344" s="25"/>
      <c r="D9344" s="25"/>
      <c r="E9344" s="25"/>
      <c r="F9344" s="25"/>
      <c r="G9344" s="25"/>
      <c r="H9344" s="25"/>
      <c r="I9344" s="25"/>
      <c r="J9344" s="25"/>
    </row>
    <row r="9345" spans="1:10" ht="14.4">
      <c r="A9345" s="25"/>
      <c r="B9345" s="25"/>
      <c r="C9345" s="25"/>
      <c r="D9345" s="25"/>
      <c r="E9345" s="25"/>
      <c r="F9345" s="25"/>
      <c r="G9345" s="25"/>
      <c r="H9345" s="25"/>
      <c r="I9345" s="25"/>
      <c r="J9345" s="25"/>
    </row>
    <row r="9346" spans="1:10" ht="14.4">
      <c r="A9346" s="25"/>
      <c r="B9346" s="25"/>
      <c r="C9346" s="25"/>
      <c r="D9346" s="25"/>
      <c r="E9346" s="25"/>
      <c r="F9346" s="25"/>
      <c r="G9346" s="25"/>
      <c r="H9346" s="25"/>
      <c r="I9346" s="25"/>
      <c r="J9346" s="25"/>
    </row>
    <row r="9347" spans="1:10" ht="14.4">
      <c r="A9347" s="25"/>
      <c r="B9347" s="25"/>
      <c r="C9347" s="25"/>
      <c r="D9347" s="25"/>
      <c r="E9347" s="25"/>
      <c r="F9347" s="25"/>
      <c r="G9347" s="25"/>
      <c r="H9347" s="25"/>
      <c r="I9347" s="25"/>
      <c r="J9347" s="25"/>
    </row>
    <row r="9348" spans="1:10" ht="14.4">
      <c r="A9348" s="25"/>
      <c r="B9348" s="25"/>
      <c r="C9348" s="25"/>
      <c r="D9348" s="25"/>
      <c r="E9348" s="25"/>
      <c r="F9348" s="25"/>
      <c r="G9348" s="25"/>
      <c r="H9348" s="25"/>
      <c r="I9348" s="25"/>
      <c r="J9348" s="25"/>
    </row>
    <row r="9349" spans="1:10" ht="14.4">
      <c r="A9349" s="25"/>
      <c r="B9349" s="25"/>
      <c r="C9349" s="25"/>
      <c r="D9349" s="25"/>
      <c r="E9349" s="25"/>
      <c r="F9349" s="25"/>
      <c r="G9349" s="25"/>
      <c r="H9349" s="25"/>
      <c r="I9349" s="25"/>
      <c r="J9349" s="25"/>
    </row>
    <row r="9350" spans="1:10" ht="14.4">
      <c r="A9350" s="25"/>
      <c r="B9350" s="25"/>
      <c r="C9350" s="25"/>
      <c r="D9350" s="25"/>
      <c r="E9350" s="25"/>
      <c r="F9350" s="25"/>
      <c r="G9350" s="25"/>
      <c r="H9350" s="25"/>
      <c r="I9350" s="25"/>
      <c r="J9350" s="25"/>
    </row>
    <row r="9351" spans="1:10" ht="14.4">
      <c r="A9351" s="25"/>
      <c r="B9351" s="25"/>
      <c r="C9351" s="25"/>
      <c r="D9351" s="25"/>
      <c r="E9351" s="25"/>
      <c r="F9351" s="25"/>
      <c r="G9351" s="25"/>
      <c r="H9351" s="25"/>
      <c r="I9351" s="25"/>
      <c r="J9351" s="25"/>
    </row>
    <row r="9352" spans="1:10" ht="14.4">
      <c r="A9352" s="25"/>
      <c r="B9352" s="25"/>
      <c r="C9352" s="25"/>
      <c r="D9352" s="25"/>
      <c r="E9352" s="25"/>
      <c r="F9352" s="25"/>
      <c r="G9352" s="25"/>
      <c r="H9352" s="25"/>
      <c r="I9352" s="25"/>
      <c r="J9352" s="25"/>
    </row>
    <row r="9353" spans="1:10" ht="14.4">
      <c r="A9353" s="25"/>
      <c r="B9353" s="25"/>
      <c r="C9353" s="25"/>
      <c r="D9353" s="25"/>
      <c r="E9353" s="25"/>
      <c r="F9353" s="25"/>
      <c r="G9353" s="25"/>
      <c r="H9353" s="25"/>
      <c r="I9353" s="25"/>
      <c r="J9353" s="25"/>
    </row>
    <row r="9354" spans="1:10" ht="14.4">
      <c r="A9354" s="25"/>
      <c r="B9354" s="25"/>
      <c r="C9354" s="25"/>
      <c r="D9354" s="25"/>
      <c r="E9354" s="25"/>
      <c r="F9354" s="25"/>
      <c r="G9354" s="25"/>
      <c r="H9354" s="25"/>
      <c r="I9354" s="25"/>
      <c r="J9354" s="25"/>
    </row>
    <row r="9355" spans="1:10" ht="14.4">
      <c r="A9355" s="25"/>
      <c r="B9355" s="25"/>
      <c r="C9355" s="25"/>
      <c r="D9355" s="25"/>
      <c r="E9355" s="25"/>
      <c r="F9355" s="25"/>
      <c r="G9355" s="25"/>
      <c r="H9355" s="25"/>
      <c r="I9355" s="25"/>
      <c r="J9355" s="25"/>
    </row>
    <row r="9356" spans="1:10" ht="14.4">
      <c r="A9356" s="25"/>
      <c r="B9356" s="25"/>
      <c r="C9356" s="25"/>
      <c r="D9356" s="25"/>
      <c r="E9356" s="25"/>
      <c r="F9356" s="25"/>
      <c r="G9356" s="25"/>
      <c r="H9356" s="25"/>
      <c r="I9356" s="25"/>
      <c r="J9356" s="25"/>
    </row>
    <row r="9357" spans="1:10" ht="14.4">
      <c r="A9357" s="25"/>
      <c r="B9357" s="25"/>
      <c r="C9357" s="25"/>
      <c r="D9357" s="25"/>
      <c r="E9357" s="25"/>
      <c r="F9357" s="25"/>
      <c r="G9357" s="25"/>
      <c r="H9357" s="25"/>
      <c r="I9357" s="25"/>
      <c r="J9357" s="25"/>
    </row>
    <row r="9358" spans="1:10" ht="14.4">
      <c r="A9358" s="25"/>
      <c r="B9358" s="25"/>
      <c r="C9358" s="25"/>
      <c r="D9358" s="25"/>
      <c r="E9358" s="25"/>
      <c r="F9358" s="25"/>
      <c r="G9358" s="25"/>
      <c r="H9358" s="25"/>
      <c r="I9358" s="25"/>
      <c r="J9358" s="25"/>
    </row>
    <row r="9359" spans="1:10" ht="14.4">
      <c r="A9359" s="25"/>
      <c r="B9359" s="25"/>
      <c r="C9359" s="25"/>
      <c r="D9359" s="25"/>
      <c r="E9359" s="25"/>
      <c r="F9359" s="25"/>
      <c r="G9359" s="25"/>
      <c r="H9359" s="25"/>
      <c r="I9359" s="25"/>
      <c r="J9359" s="25"/>
    </row>
    <row r="9360" spans="1:10" ht="14.4">
      <c r="A9360" s="25"/>
      <c r="B9360" s="25"/>
      <c r="C9360" s="25"/>
      <c r="D9360" s="25"/>
      <c r="E9360" s="25"/>
      <c r="F9360" s="25"/>
      <c r="G9360" s="25"/>
      <c r="H9360" s="25"/>
      <c r="I9360" s="25"/>
      <c r="J9360" s="25"/>
    </row>
    <row r="9361" spans="1:10" ht="14.4">
      <c r="A9361" s="25"/>
      <c r="B9361" s="25"/>
      <c r="C9361" s="25"/>
      <c r="D9361" s="25"/>
      <c r="E9361" s="25"/>
      <c r="F9361" s="25"/>
      <c r="G9361" s="25"/>
      <c r="H9361" s="25"/>
      <c r="I9361" s="25"/>
      <c r="J9361" s="25"/>
    </row>
    <row r="9362" spans="1:10" ht="14.4">
      <c r="A9362" s="25"/>
      <c r="B9362" s="25"/>
      <c r="C9362" s="25"/>
      <c r="D9362" s="25"/>
      <c r="E9362" s="25"/>
      <c r="F9362" s="25"/>
      <c r="G9362" s="25"/>
      <c r="H9362" s="25"/>
      <c r="I9362" s="25"/>
      <c r="J9362" s="25"/>
    </row>
    <row r="9363" spans="1:10" ht="14.4">
      <c r="A9363" s="25"/>
      <c r="B9363" s="25"/>
      <c r="C9363" s="25"/>
      <c r="D9363" s="25"/>
      <c r="E9363" s="25"/>
      <c r="F9363" s="25"/>
      <c r="G9363" s="25"/>
      <c r="H9363" s="25"/>
      <c r="I9363" s="25"/>
      <c r="J9363" s="25"/>
    </row>
    <row r="9364" spans="1:10" ht="14.4">
      <c r="A9364" s="25"/>
      <c r="B9364" s="25"/>
      <c r="C9364" s="25"/>
      <c r="D9364" s="25"/>
      <c r="E9364" s="25"/>
      <c r="F9364" s="25"/>
      <c r="G9364" s="25"/>
      <c r="H9364" s="25"/>
      <c r="I9364" s="25"/>
      <c r="J9364" s="25"/>
    </row>
    <row r="9365" spans="1:10" ht="14.4">
      <c r="A9365" s="25"/>
      <c r="B9365" s="25"/>
      <c r="C9365" s="25"/>
      <c r="D9365" s="25"/>
      <c r="E9365" s="25"/>
      <c r="F9365" s="25"/>
      <c r="G9365" s="25"/>
      <c r="H9365" s="25"/>
      <c r="I9365" s="25"/>
      <c r="J9365" s="25"/>
    </row>
    <row r="9366" spans="1:10" ht="14.4">
      <c r="A9366" s="25"/>
      <c r="B9366" s="25"/>
      <c r="C9366" s="25"/>
      <c r="D9366" s="25"/>
      <c r="E9366" s="25"/>
      <c r="F9366" s="25"/>
      <c r="G9366" s="25"/>
      <c r="H9366" s="25"/>
      <c r="I9366" s="25"/>
      <c r="J9366" s="25"/>
    </row>
    <row r="9367" spans="1:10" ht="14.4">
      <c r="A9367" s="25"/>
      <c r="B9367" s="25"/>
      <c r="C9367" s="25"/>
      <c r="D9367" s="25"/>
      <c r="E9367" s="25"/>
      <c r="F9367" s="25"/>
      <c r="G9367" s="25"/>
      <c r="H9367" s="25"/>
      <c r="I9367" s="25"/>
      <c r="J9367" s="25"/>
    </row>
    <row r="9368" spans="1:10" ht="14.4">
      <c r="A9368" s="25"/>
      <c r="B9368" s="25"/>
      <c r="C9368" s="25"/>
      <c r="D9368" s="25"/>
      <c r="E9368" s="25"/>
      <c r="F9368" s="25"/>
      <c r="G9368" s="25"/>
      <c r="H9368" s="25"/>
      <c r="I9368" s="25"/>
      <c r="J9368" s="25"/>
    </row>
    <row r="9369" spans="1:10" ht="14.4">
      <c r="A9369" s="25"/>
      <c r="B9369" s="25"/>
      <c r="C9369" s="25"/>
      <c r="D9369" s="25"/>
      <c r="E9369" s="25"/>
      <c r="F9369" s="25"/>
      <c r="G9369" s="25"/>
      <c r="H9369" s="25"/>
      <c r="I9369" s="25"/>
      <c r="J9369" s="25"/>
    </row>
    <row r="9370" spans="1:10" ht="14.4">
      <c r="A9370" s="25"/>
      <c r="B9370" s="25"/>
      <c r="C9370" s="25"/>
      <c r="D9370" s="25"/>
      <c r="E9370" s="25"/>
      <c r="F9370" s="25"/>
      <c r="G9370" s="25"/>
      <c r="H9370" s="25"/>
      <c r="I9370" s="25"/>
      <c r="J9370" s="25"/>
    </row>
    <row r="9371" spans="1:10" ht="14.4">
      <c r="A9371" s="25"/>
      <c r="B9371" s="25"/>
      <c r="C9371" s="25"/>
      <c r="D9371" s="25"/>
      <c r="E9371" s="25"/>
      <c r="F9371" s="25"/>
      <c r="G9371" s="25"/>
      <c r="H9371" s="25"/>
      <c r="I9371" s="25"/>
      <c r="J9371" s="25"/>
    </row>
    <row r="9372" spans="1:10" ht="14.4">
      <c r="A9372" s="25"/>
      <c r="B9372" s="25"/>
      <c r="C9372" s="25"/>
      <c r="D9372" s="25"/>
      <c r="E9372" s="25"/>
      <c r="F9372" s="25"/>
      <c r="G9372" s="25"/>
      <c r="H9372" s="25"/>
      <c r="I9372" s="25"/>
      <c r="J9372" s="25"/>
    </row>
    <row r="9373" spans="1:10" ht="14.4">
      <c r="A9373" s="25"/>
      <c r="B9373" s="25"/>
      <c r="C9373" s="25"/>
      <c r="D9373" s="25"/>
      <c r="E9373" s="25"/>
      <c r="F9373" s="25"/>
      <c r="G9373" s="25"/>
      <c r="H9373" s="25"/>
      <c r="I9373" s="25"/>
      <c r="J9373" s="25"/>
    </row>
    <row r="9374" spans="1:10" ht="14.4">
      <c r="A9374" s="25"/>
      <c r="B9374" s="25"/>
      <c r="C9374" s="25"/>
      <c r="D9374" s="25"/>
      <c r="E9374" s="25"/>
      <c r="F9374" s="25"/>
      <c r="G9374" s="25"/>
      <c r="H9374" s="25"/>
      <c r="I9374" s="25"/>
      <c r="J9374" s="25"/>
    </row>
    <row r="9375" spans="1:10" ht="14.4">
      <c r="A9375" s="25"/>
      <c r="B9375" s="25"/>
      <c r="C9375" s="25"/>
      <c r="D9375" s="25"/>
      <c r="E9375" s="25"/>
      <c r="F9375" s="25"/>
      <c r="G9375" s="25"/>
      <c r="H9375" s="25"/>
      <c r="I9375" s="25"/>
      <c r="J9375" s="25"/>
    </row>
    <row r="9376" spans="1:10" ht="14.4">
      <c r="A9376" s="25"/>
      <c r="B9376" s="25"/>
      <c r="C9376" s="25"/>
      <c r="D9376" s="25"/>
      <c r="E9376" s="25"/>
      <c r="F9376" s="25"/>
      <c r="G9376" s="25"/>
      <c r="H9376" s="25"/>
      <c r="I9376" s="25"/>
      <c r="J9376" s="25"/>
    </row>
    <row r="9377" spans="1:10" ht="14.4">
      <c r="A9377" s="25"/>
      <c r="B9377" s="25"/>
      <c r="C9377" s="25"/>
      <c r="D9377" s="25"/>
      <c r="E9377" s="25"/>
      <c r="F9377" s="25"/>
      <c r="G9377" s="25"/>
      <c r="H9377" s="25"/>
      <c r="I9377" s="25"/>
      <c r="J9377" s="25"/>
    </row>
    <row r="9378" spans="1:10" ht="14.4">
      <c r="A9378" s="25"/>
      <c r="B9378" s="25"/>
      <c r="C9378" s="25"/>
      <c r="D9378" s="25"/>
      <c r="E9378" s="25"/>
      <c r="F9378" s="25"/>
      <c r="G9378" s="25"/>
      <c r="H9378" s="25"/>
      <c r="I9378" s="25"/>
      <c r="J9378" s="25"/>
    </row>
    <row r="9379" spans="1:10" ht="14.4">
      <c r="A9379" s="25"/>
      <c r="B9379" s="25"/>
      <c r="C9379" s="25"/>
      <c r="D9379" s="25"/>
      <c r="E9379" s="25"/>
      <c r="F9379" s="25"/>
      <c r="G9379" s="25"/>
      <c r="H9379" s="25"/>
      <c r="I9379" s="25"/>
      <c r="J9379" s="25"/>
    </row>
    <row r="9380" spans="1:10" ht="14.4">
      <c r="A9380" s="25"/>
      <c r="B9380" s="25"/>
      <c r="C9380" s="25"/>
      <c r="D9380" s="25"/>
      <c r="E9380" s="25"/>
      <c r="F9380" s="25"/>
      <c r="G9380" s="25"/>
      <c r="H9380" s="25"/>
      <c r="I9380" s="25"/>
      <c r="J9380" s="25"/>
    </row>
    <row r="9381" spans="1:10" ht="14.4">
      <c r="A9381" s="25"/>
      <c r="B9381" s="25"/>
      <c r="C9381" s="25"/>
      <c r="D9381" s="25"/>
      <c r="E9381" s="25"/>
      <c r="F9381" s="25"/>
      <c r="G9381" s="25"/>
      <c r="H9381" s="25"/>
      <c r="I9381" s="25"/>
      <c r="J9381" s="25"/>
    </row>
    <row r="9382" spans="1:10" ht="14.4">
      <c r="A9382" s="25"/>
      <c r="B9382" s="25"/>
      <c r="C9382" s="25"/>
      <c r="D9382" s="25"/>
      <c r="E9382" s="25"/>
      <c r="F9382" s="25"/>
      <c r="G9382" s="25"/>
      <c r="H9382" s="25"/>
      <c r="I9382" s="25"/>
      <c r="J9382" s="25"/>
    </row>
    <row r="9383" spans="1:10" ht="14.4">
      <c r="A9383" s="25"/>
      <c r="B9383" s="25"/>
      <c r="C9383" s="25"/>
      <c r="D9383" s="25"/>
      <c r="E9383" s="25"/>
      <c r="F9383" s="25"/>
      <c r="G9383" s="25"/>
      <c r="H9383" s="25"/>
      <c r="I9383" s="25"/>
      <c r="J9383" s="25"/>
    </row>
    <row r="9384" spans="1:10" ht="14.4">
      <c r="A9384" s="25"/>
      <c r="B9384" s="25"/>
      <c r="C9384" s="25"/>
      <c r="D9384" s="25"/>
      <c r="E9384" s="25"/>
      <c r="F9384" s="25"/>
      <c r="G9384" s="25"/>
      <c r="H9384" s="25"/>
      <c r="I9384" s="25"/>
      <c r="J9384" s="25"/>
    </row>
    <row r="9385" spans="1:10" ht="14.4">
      <c r="A9385" s="25"/>
      <c r="B9385" s="25"/>
      <c r="C9385" s="25"/>
      <c r="D9385" s="25"/>
      <c r="E9385" s="25"/>
      <c r="F9385" s="25"/>
      <c r="G9385" s="25"/>
      <c r="H9385" s="25"/>
      <c r="I9385" s="25"/>
      <c r="J9385" s="25"/>
    </row>
    <row r="9386" spans="1:10" ht="14.4">
      <c r="A9386" s="25"/>
      <c r="B9386" s="25"/>
      <c r="C9386" s="25"/>
      <c r="D9386" s="25"/>
      <c r="E9386" s="25"/>
      <c r="F9386" s="25"/>
      <c r="G9386" s="25"/>
      <c r="H9386" s="25"/>
      <c r="I9386" s="25"/>
      <c r="J9386" s="25"/>
    </row>
    <row r="9387" spans="1:10" ht="14.4">
      <c r="A9387" s="25"/>
      <c r="B9387" s="25"/>
      <c r="C9387" s="25"/>
      <c r="D9387" s="25"/>
      <c r="E9387" s="25"/>
      <c r="F9387" s="25"/>
      <c r="G9387" s="25"/>
      <c r="H9387" s="25"/>
      <c r="I9387" s="25"/>
      <c r="J9387" s="25"/>
    </row>
    <row r="9388" spans="1:10" ht="14.4">
      <c r="A9388" s="25"/>
      <c r="B9388" s="25"/>
      <c r="C9388" s="25"/>
      <c r="D9388" s="25"/>
      <c r="E9388" s="25"/>
      <c r="F9388" s="25"/>
      <c r="G9388" s="25"/>
      <c r="H9388" s="25"/>
      <c r="I9388" s="25"/>
      <c r="J9388" s="25"/>
    </row>
    <row r="9389" spans="1:10" ht="14.4">
      <c r="A9389" s="25"/>
      <c r="B9389" s="25"/>
      <c r="C9389" s="25"/>
      <c r="D9389" s="25"/>
      <c r="E9389" s="25"/>
      <c r="F9389" s="25"/>
      <c r="G9389" s="25"/>
      <c r="H9389" s="25"/>
      <c r="I9389" s="25"/>
      <c r="J9389" s="25"/>
    </row>
    <row r="9390" spans="1:10" ht="14.4">
      <c r="A9390" s="25"/>
      <c r="B9390" s="25"/>
      <c r="C9390" s="25"/>
      <c r="D9390" s="25"/>
      <c r="E9390" s="25"/>
      <c r="F9390" s="25"/>
      <c r="G9390" s="25"/>
      <c r="H9390" s="25"/>
      <c r="I9390" s="25"/>
      <c r="J9390" s="25"/>
    </row>
    <row r="9391" spans="1:10" ht="14.4">
      <c r="A9391" s="25"/>
      <c r="B9391" s="25"/>
      <c r="C9391" s="25"/>
      <c r="D9391" s="25"/>
      <c r="E9391" s="25"/>
      <c r="F9391" s="25"/>
      <c r="G9391" s="25"/>
      <c r="H9391" s="25"/>
      <c r="I9391" s="25"/>
      <c r="J9391" s="25"/>
    </row>
    <row r="9392" spans="1:10" ht="14.4">
      <c r="A9392" s="25"/>
      <c r="B9392" s="25"/>
      <c r="C9392" s="25"/>
      <c r="D9392" s="25"/>
      <c r="E9392" s="25"/>
      <c r="F9392" s="25"/>
      <c r="G9392" s="25"/>
      <c r="H9392" s="25"/>
      <c r="I9392" s="25"/>
      <c r="J9392" s="25"/>
    </row>
    <row r="9393" spans="1:10" ht="14.4">
      <c r="A9393" s="25"/>
      <c r="B9393" s="25"/>
      <c r="C9393" s="25"/>
      <c r="D9393" s="25"/>
      <c r="E9393" s="25"/>
      <c r="F9393" s="25"/>
      <c r="G9393" s="25"/>
      <c r="H9393" s="25"/>
      <c r="I9393" s="25"/>
      <c r="J9393" s="25"/>
    </row>
    <row r="9394" spans="1:10" ht="14.4">
      <c r="A9394" s="25"/>
      <c r="B9394" s="25"/>
      <c r="C9394" s="25"/>
      <c r="D9394" s="25"/>
      <c r="E9394" s="25"/>
      <c r="F9394" s="25"/>
      <c r="G9394" s="25"/>
      <c r="H9394" s="25"/>
      <c r="I9394" s="25"/>
      <c r="J9394" s="25"/>
    </row>
    <row r="9395" spans="1:10" ht="14.4">
      <c r="A9395" s="25"/>
      <c r="B9395" s="25"/>
      <c r="C9395" s="25"/>
      <c r="D9395" s="25"/>
      <c r="E9395" s="25"/>
      <c r="F9395" s="25"/>
      <c r="G9395" s="25"/>
      <c r="H9395" s="25"/>
      <c r="I9395" s="25"/>
      <c r="J9395" s="25"/>
    </row>
    <row r="9396" spans="1:10" ht="14.4">
      <c r="A9396" s="25"/>
      <c r="B9396" s="25"/>
      <c r="C9396" s="25"/>
      <c r="D9396" s="25"/>
      <c r="E9396" s="25"/>
      <c r="F9396" s="25"/>
      <c r="G9396" s="25"/>
      <c r="H9396" s="25"/>
      <c r="I9396" s="25"/>
      <c r="J9396" s="25"/>
    </row>
    <row r="9397" spans="1:10" ht="14.4">
      <c r="A9397" s="25"/>
      <c r="B9397" s="25"/>
      <c r="C9397" s="25"/>
      <c r="D9397" s="25"/>
      <c r="E9397" s="25"/>
      <c r="F9397" s="25"/>
      <c r="G9397" s="25"/>
      <c r="H9397" s="25"/>
      <c r="I9397" s="25"/>
      <c r="J9397" s="25"/>
    </row>
    <row r="9398" spans="1:10" ht="14.4">
      <c r="A9398" s="25"/>
      <c r="B9398" s="25"/>
      <c r="C9398" s="25"/>
      <c r="D9398" s="25"/>
      <c r="E9398" s="25"/>
      <c r="F9398" s="25"/>
      <c r="G9398" s="25"/>
      <c r="H9398" s="25"/>
      <c r="I9398" s="25"/>
      <c r="J9398" s="25"/>
    </row>
    <row r="9399" spans="1:10" ht="14.4">
      <c r="A9399" s="25"/>
      <c r="B9399" s="25"/>
      <c r="C9399" s="25"/>
      <c r="D9399" s="25"/>
      <c r="E9399" s="25"/>
      <c r="F9399" s="25"/>
      <c r="G9399" s="25"/>
      <c r="H9399" s="25"/>
      <c r="I9399" s="25"/>
      <c r="J9399" s="25"/>
    </row>
    <row r="9400" spans="1:10" ht="14.4">
      <c r="A9400" s="25"/>
      <c r="B9400" s="25"/>
      <c r="C9400" s="25"/>
      <c r="D9400" s="25"/>
      <c r="E9400" s="25"/>
      <c r="F9400" s="25"/>
      <c r="G9400" s="25"/>
      <c r="H9400" s="25"/>
      <c r="I9400" s="25"/>
      <c r="J9400" s="25"/>
    </row>
    <row r="9401" spans="1:10" ht="14.4">
      <c r="A9401" s="25"/>
      <c r="B9401" s="25"/>
      <c r="C9401" s="25"/>
      <c r="D9401" s="25"/>
      <c r="E9401" s="25"/>
      <c r="F9401" s="25"/>
      <c r="G9401" s="25"/>
      <c r="H9401" s="25"/>
      <c r="I9401" s="25"/>
      <c r="J9401" s="25"/>
    </row>
    <row r="9402" spans="1:10" ht="14.4">
      <c r="A9402" s="25"/>
      <c r="B9402" s="25"/>
      <c r="C9402" s="25"/>
      <c r="D9402" s="25"/>
      <c r="E9402" s="25"/>
      <c r="F9402" s="25"/>
      <c r="G9402" s="25"/>
      <c r="H9402" s="25"/>
      <c r="I9402" s="25"/>
      <c r="J9402" s="25"/>
    </row>
    <row r="9403" spans="1:10" ht="14.4">
      <c r="A9403" s="25"/>
      <c r="B9403" s="25"/>
      <c r="C9403" s="25"/>
      <c r="D9403" s="25"/>
      <c r="E9403" s="25"/>
      <c r="F9403" s="25"/>
      <c r="G9403" s="25"/>
      <c r="H9403" s="25"/>
      <c r="I9403" s="25"/>
      <c r="J9403" s="25"/>
    </row>
    <row r="9404" spans="1:10" ht="14.4">
      <c r="A9404" s="25"/>
      <c r="B9404" s="25"/>
      <c r="C9404" s="25"/>
      <c r="D9404" s="25"/>
      <c r="E9404" s="25"/>
      <c r="F9404" s="25"/>
      <c r="G9404" s="25"/>
      <c r="H9404" s="25"/>
      <c r="I9404" s="25"/>
      <c r="J9404" s="25"/>
    </row>
    <row r="9405" spans="1:10" ht="14.4">
      <c r="A9405" s="25"/>
      <c r="B9405" s="25"/>
      <c r="C9405" s="25"/>
      <c r="D9405" s="25"/>
      <c r="E9405" s="25"/>
      <c r="F9405" s="25"/>
      <c r="G9405" s="25"/>
      <c r="H9405" s="25"/>
      <c r="I9405" s="25"/>
      <c r="J9405" s="25"/>
    </row>
    <row r="9406" spans="1:10" ht="14.4">
      <c r="A9406" s="25"/>
      <c r="B9406" s="25"/>
      <c r="C9406" s="25"/>
      <c r="D9406" s="25"/>
      <c r="E9406" s="25"/>
      <c r="F9406" s="25"/>
      <c r="G9406" s="25"/>
      <c r="H9406" s="25"/>
      <c r="I9406" s="25"/>
      <c r="J9406" s="25"/>
    </row>
    <row r="9407" spans="1:10" ht="14.4">
      <c r="A9407" s="25"/>
      <c r="B9407" s="25"/>
      <c r="C9407" s="25"/>
      <c r="D9407" s="25"/>
      <c r="E9407" s="25"/>
      <c r="F9407" s="25"/>
      <c r="G9407" s="25"/>
      <c r="H9407" s="25"/>
      <c r="I9407" s="25"/>
      <c r="J9407" s="25"/>
    </row>
    <row r="9408" spans="1:10" ht="14.4">
      <c r="A9408" s="25"/>
      <c r="B9408" s="25"/>
      <c r="C9408" s="25"/>
      <c r="D9408" s="25"/>
      <c r="E9408" s="25"/>
      <c r="F9408" s="25"/>
      <c r="G9408" s="25"/>
      <c r="H9408" s="25"/>
      <c r="I9408" s="25"/>
      <c r="J9408" s="25"/>
    </row>
    <row r="9409" spans="1:10" ht="14.4">
      <c r="A9409" s="25"/>
      <c r="B9409" s="25"/>
      <c r="C9409" s="25"/>
      <c r="D9409" s="25"/>
      <c r="E9409" s="25"/>
      <c r="F9409" s="25"/>
      <c r="G9409" s="25"/>
      <c r="H9409" s="25"/>
      <c r="I9409" s="25"/>
      <c r="J9409" s="25"/>
    </row>
    <row r="9410" spans="1:10" ht="14.4">
      <c r="A9410" s="25"/>
      <c r="B9410" s="25"/>
      <c r="C9410" s="25"/>
      <c r="D9410" s="25"/>
      <c r="E9410" s="25"/>
      <c r="F9410" s="25"/>
      <c r="G9410" s="25"/>
      <c r="H9410" s="25"/>
      <c r="I9410" s="25"/>
      <c r="J9410" s="25"/>
    </row>
    <row r="9411" spans="1:10" ht="14.4">
      <c r="A9411" s="25"/>
      <c r="B9411" s="25"/>
      <c r="C9411" s="25"/>
      <c r="D9411" s="25"/>
      <c r="E9411" s="25"/>
      <c r="F9411" s="25"/>
      <c r="G9411" s="25"/>
      <c r="H9411" s="25"/>
      <c r="I9411" s="25"/>
      <c r="J9411" s="25"/>
    </row>
    <row r="9412" spans="1:10" ht="14.4">
      <c r="A9412" s="25"/>
      <c r="B9412" s="25"/>
      <c r="C9412" s="25"/>
      <c r="D9412" s="25"/>
      <c r="E9412" s="25"/>
      <c r="F9412" s="25"/>
      <c r="G9412" s="25"/>
      <c r="H9412" s="25"/>
      <c r="I9412" s="25"/>
      <c r="J9412" s="25"/>
    </row>
    <row r="9413" spans="1:10" ht="14.4">
      <c r="A9413" s="25"/>
      <c r="B9413" s="25"/>
      <c r="C9413" s="25"/>
      <c r="D9413" s="25"/>
      <c r="E9413" s="25"/>
      <c r="F9413" s="25"/>
      <c r="G9413" s="25"/>
      <c r="H9413" s="25"/>
      <c r="I9413" s="25"/>
      <c r="J9413" s="25"/>
    </row>
    <row r="9414" spans="1:10" ht="14.4">
      <c r="A9414" s="25"/>
      <c r="B9414" s="25"/>
      <c r="C9414" s="25"/>
      <c r="D9414" s="25"/>
      <c r="E9414" s="25"/>
      <c r="F9414" s="25"/>
      <c r="G9414" s="25"/>
      <c r="H9414" s="25"/>
      <c r="I9414" s="25"/>
      <c r="J9414" s="25"/>
    </row>
    <row r="9415" spans="1:10" ht="14.4">
      <c r="A9415" s="25"/>
      <c r="B9415" s="25"/>
      <c r="C9415" s="25"/>
      <c r="D9415" s="25"/>
      <c r="E9415" s="25"/>
      <c r="F9415" s="25"/>
      <c r="G9415" s="25"/>
      <c r="H9415" s="25"/>
      <c r="I9415" s="25"/>
      <c r="J9415" s="25"/>
    </row>
    <row r="9416" spans="1:10" ht="14.4">
      <c r="A9416" s="25"/>
      <c r="B9416" s="25"/>
      <c r="C9416" s="25"/>
      <c r="D9416" s="25"/>
      <c r="E9416" s="25"/>
      <c r="F9416" s="25"/>
      <c r="G9416" s="25"/>
      <c r="H9416" s="25"/>
      <c r="I9416" s="25"/>
      <c r="J9416" s="25"/>
    </row>
    <row r="9417" spans="1:10" ht="14.4">
      <c r="A9417" s="25"/>
      <c r="B9417" s="25"/>
      <c r="C9417" s="25"/>
      <c r="D9417" s="25"/>
      <c r="E9417" s="25"/>
      <c r="F9417" s="25"/>
      <c r="G9417" s="25"/>
      <c r="H9417" s="25"/>
      <c r="I9417" s="25"/>
      <c r="J9417" s="25"/>
    </row>
    <row r="9418" spans="1:10" ht="14.4">
      <c r="A9418" s="25"/>
      <c r="B9418" s="25"/>
      <c r="C9418" s="25"/>
      <c r="D9418" s="25"/>
      <c r="E9418" s="25"/>
      <c r="F9418" s="25"/>
      <c r="G9418" s="25"/>
      <c r="H9418" s="25"/>
      <c r="I9418" s="25"/>
      <c r="J9418" s="25"/>
    </row>
    <row r="9419" spans="1:10" ht="14.4">
      <c r="A9419" s="25"/>
      <c r="B9419" s="25"/>
      <c r="C9419" s="25"/>
      <c r="D9419" s="25"/>
      <c r="E9419" s="25"/>
      <c r="F9419" s="25"/>
      <c r="G9419" s="25"/>
      <c r="H9419" s="25"/>
      <c r="I9419" s="25"/>
      <c r="J9419" s="25"/>
    </row>
    <row r="9420" spans="1:10" ht="14.4">
      <c r="A9420" s="25"/>
      <c r="B9420" s="25"/>
      <c r="C9420" s="25"/>
      <c r="D9420" s="25"/>
      <c r="E9420" s="25"/>
      <c r="F9420" s="25"/>
      <c r="G9420" s="25"/>
      <c r="H9420" s="25"/>
      <c r="I9420" s="25"/>
      <c r="J9420" s="25"/>
    </row>
    <row r="9421" spans="1:10" ht="14.4">
      <c r="A9421" s="25"/>
      <c r="B9421" s="25"/>
      <c r="C9421" s="25"/>
      <c r="D9421" s="25"/>
      <c r="E9421" s="25"/>
      <c r="F9421" s="25"/>
      <c r="G9421" s="25"/>
      <c r="H9421" s="25"/>
      <c r="I9421" s="25"/>
      <c r="J9421" s="25"/>
    </row>
    <row r="9422" spans="1:10" ht="14.4">
      <c r="A9422" s="25"/>
      <c r="B9422" s="25"/>
      <c r="C9422" s="25"/>
      <c r="D9422" s="25"/>
      <c r="E9422" s="25"/>
      <c r="F9422" s="25"/>
      <c r="G9422" s="25"/>
      <c r="H9422" s="25"/>
      <c r="I9422" s="25"/>
      <c r="J9422" s="25"/>
    </row>
    <row r="9423" spans="1:10" ht="14.4">
      <c r="A9423" s="25"/>
      <c r="B9423" s="25"/>
      <c r="C9423" s="25"/>
      <c r="D9423" s="25"/>
      <c r="E9423" s="25"/>
      <c r="F9423" s="25"/>
      <c r="G9423" s="25"/>
      <c r="H9423" s="25"/>
      <c r="I9423" s="25"/>
      <c r="J9423" s="25"/>
    </row>
    <row r="9424" spans="1:10" ht="14.4">
      <c r="A9424" s="25"/>
      <c r="B9424" s="25"/>
      <c r="C9424" s="25"/>
      <c r="D9424" s="25"/>
      <c r="E9424" s="25"/>
      <c r="F9424" s="25"/>
      <c r="G9424" s="25"/>
      <c r="H9424" s="25"/>
      <c r="I9424" s="25"/>
      <c r="J9424" s="25"/>
    </row>
    <row r="9425" spans="1:10" ht="14.4">
      <c r="A9425" s="25"/>
      <c r="B9425" s="25"/>
      <c r="C9425" s="25"/>
      <c r="D9425" s="25"/>
      <c r="E9425" s="25"/>
      <c r="F9425" s="25"/>
      <c r="G9425" s="25"/>
      <c r="H9425" s="25"/>
      <c r="I9425" s="25"/>
      <c r="J9425" s="25"/>
    </row>
    <row r="9426" spans="1:10" ht="14.4">
      <c r="A9426" s="25"/>
      <c r="B9426" s="25"/>
      <c r="C9426" s="25"/>
      <c r="D9426" s="25"/>
      <c r="E9426" s="25"/>
      <c r="F9426" s="25"/>
      <c r="G9426" s="25"/>
      <c r="H9426" s="25"/>
      <c r="I9426" s="25"/>
      <c r="J9426" s="25"/>
    </row>
    <row r="9427" spans="1:10" ht="14.4">
      <c r="A9427" s="25"/>
      <c r="B9427" s="25"/>
      <c r="C9427" s="25"/>
      <c r="D9427" s="25"/>
      <c r="E9427" s="25"/>
      <c r="F9427" s="25"/>
      <c r="G9427" s="25"/>
      <c r="H9427" s="25"/>
      <c r="I9427" s="25"/>
      <c r="J9427" s="25"/>
    </row>
    <row r="9428" spans="1:10" ht="14.4">
      <c r="A9428" s="25"/>
      <c r="B9428" s="25"/>
      <c r="C9428" s="25"/>
      <c r="D9428" s="25"/>
      <c r="E9428" s="25"/>
      <c r="F9428" s="25"/>
      <c r="G9428" s="25"/>
      <c r="H9428" s="25"/>
      <c r="I9428" s="25"/>
      <c r="J9428" s="25"/>
    </row>
    <row r="9429" spans="1:10" ht="14.4">
      <c r="A9429" s="25"/>
      <c r="B9429" s="25"/>
      <c r="C9429" s="25"/>
      <c r="D9429" s="25"/>
      <c r="E9429" s="25"/>
      <c r="F9429" s="25"/>
      <c r="G9429" s="25"/>
      <c r="H9429" s="25"/>
      <c r="I9429" s="25"/>
      <c r="J9429" s="25"/>
    </row>
    <row r="9430" spans="1:10" ht="14.4">
      <c r="A9430" s="25"/>
      <c r="B9430" s="25"/>
      <c r="C9430" s="25"/>
      <c r="D9430" s="25"/>
      <c r="E9430" s="25"/>
      <c r="F9430" s="25"/>
      <c r="G9430" s="25"/>
      <c r="H9430" s="25"/>
      <c r="I9430" s="25"/>
      <c r="J9430" s="25"/>
    </row>
    <row r="9431" spans="1:10" ht="14.4">
      <c r="A9431" s="25"/>
      <c r="B9431" s="25"/>
      <c r="C9431" s="25"/>
      <c r="D9431" s="25"/>
      <c r="E9431" s="25"/>
      <c r="F9431" s="25"/>
      <c r="G9431" s="25"/>
      <c r="H9431" s="25"/>
      <c r="I9431" s="25"/>
      <c r="J9431" s="25"/>
    </row>
    <row r="9432" spans="1:10" ht="14.4">
      <c r="A9432" s="25"/>
      <c r="B9432" s="25"/>
      <c r="C9432" s="25"/>
      <c r="D9432" s="25"/>
      <c r="E9432" s="25"/>
      <c r="F9432" s="25"/>
      <c r="G9432" s="25"/>
      <c r="H9432" s="25"/>
      <c r="I9432" s="25"/>
      <c r="J9432" s="25"/>
    </row>
    <row r="9433" spans="1:10" ht="14.4">
      <c r="A9433" s="25"/>
      <c r="B9433" s="25"/>
      <c r="C9433" s="25"/>
      <c r="D9433" s="25"/>
      <c r="E9433" s="25"/>
      <c r="F9433" s="25"/>
      <c r="G9433" s="25"/>
      <c r="H9433" s="25"/>
      <c r="I9433" s="25"/>
      <c r="J9433" s="25"/>
    </row>
    <row r="9434" spans="1:10" ht="14.4">
      <c r="A9434" s="25"/>
      <c r="B9434" s="25"/>
      <c r="C9434" s="25"/>
      <c r="D9434" s="25"/>
      <c r="E9434" s="25"/>
      <c r="F9434" s="25"/>
      <c r="G9434" s="25"/>
      <c r="H9434" s="25"/>
      <c r="I9434" s="25"/>
      <c r="J9434" s="25"/>
    </row>
    <row r="9435" spans="1:10" ht="14.4">
      <c r="A9435" s="25"/>
      <c r="B9435" s="25"/>
      <c r="C9435" s="25"/>
      <c r="D9435" s="25"/>
      <c r="E9435" s="25"/>
      <c r="F9435" s="25"/>
      <c r="G9435" s="25"/>
      <c r="H9435" s="25"/>
      <c r="I9435" s="25"/>
      <c r="J9435" s="25"/>
    </row>
    <row r="9436" spans="1:10" ht="14.4">
      <c r="A9436" s="25"/>
      <c r="B9436" s="25"/>
      <c r="C9436" s="25"/>
      <c r="D9436" s="25"/>
      <c r="E9436" s="25"/>
      <c r="F9436" s="25"/>
      <c r="G9436" s="25"/>
      <c r="H9436" s="25"/>
      <c r="I9436" s="25"/>
      <c r="J9436" s="25"/>
    </row>
    <row r="9437" spans="1:10" ht="14.4">
      <c r="A9437" s="25"/>
      <c r="B9437" s="25"/>
      <c r="C9437" s="25"/>
      <c r="D9437" s="25"/>
      <c r="E9437" s="25"/>
      <c r="F9437" s="25"/>
      <c r="G9437" s="25"/>
      <c r="H9437" s="25"/>
      <c r="I9437" s="25"/>
      <c r="J9437" s="25"/>
    </row>
    <row r="9438" spans="1:10" ht="14.4">
      <c r="A9438" s="25"/>
      <c r="B9438" s="25"/>
      <c r="C9438" s="25"/>
      <c r="D9438" s="25"/>
      <c r="E9438" s="25"/>
      <c r="F9438" s="25"/>
      <c r="G9438" s="25"/>
      <c r="H9438" s="25"/>
      <c r="I9438" s="25"/>
      <c r="J9438" s="25"/>
    </row>
    <row r="9439" spans="1:10" ht="14.4">
      <c r="A9439" s="25"/>
      <c r="B9439" s="25"/>
      <c r="C9439" s="25"/>
      <c r="D9439" s="25"/>
      <c r="E9439" s="25"/>
      <c r="F9439" s="25"/>
      <c r="G9439" s="25"/>
      <c r="H9439" s="25"/>
      <c r="I9439" s="25"/>
      <c r="J9439" s="25"/>
    </row>
    <row r="9440" spans="1:10" ht="14.4">
      <c r="A9440" s="25"/>
      <c r="B9440" s="25"/>
      <c r="C9440" s="25"/>
      <c r="D9440" s="25"/>
      <c r="E9440" s="25"/>
      <c r="F9440" s="25"/>
      <c r="G9440" s="25"/>
      <c r="H9440" s="25"/>
      <c r="I9440" s="25"/>
      <c r="J9440" s="25"/>
    </row>
    <row r="9441" spans="1:10" ht="14.4">
      <c r="A9441" s="25"/>
      <c r="B9441" s="25"/>
      <c r="C9441" s="25"/>
      <c r="D9441" s="25"/>
      <c r="E9441" s="25"/>
      <c r="F9441" s="25"/>
      <c r="G9441" s="25"/>
      <c r="H9441" s="25"/>
      <c r="I9441" s="25"/>
      <c r="J9441" s="25"/>
    </row>
    <row r="9442" spans="1:10" ht="14.4">
      <c r="A9442" s="25"/>
      <c r="B9442" s="25"/>
      <c r="C9442" s="25"/>
      <c r="D9442" s="25"/>
      <c r="E9442" s="25"/>
      <c r="F9442" s="25"/>
      <c r="G9442" s="25"/>
      <c r="H9442" s="25"/>
      <c r="I9442" s="25"/>
      <c r="J9442" s="25"/>
    </row>
    <row r="9443" spans="1:10" ht="14.4">
      <c r="A9443" s="25"/>
      <c r="B9443" s="25"/>
      <c r="C9443" s="25"/>
      <c r="D9443" s="25"/>
      <c r="E9443" s="25"/>
      <c r="F9443" s="25"/>
      <c r="G9443" s="25"/>
      <c r="H9443" s="25"/>
      <c r="I9443" s="25"/>
      <c r="J9443" s="25"/>
    </row>
    <row r="9444" spans="1:10" ht="14.4">
      <c r="A9444" s="25"/>
      <c r="B9444" s="25"/>
      <c r="C9444" s="25"/>
      <c r="D9444" s="25"/>
      <c r="E9444" s="25"/>
      <c r="F9444" s="25"/>
      <c r="G9444" s="25"/>
      <c r="H9444" s="25"/>
      <c r="I9444" s="25"/>
      <c r="J9444" s="25"/>
    </row>
    <row r="9445" spans="1:10" ht="14.4">
      <c r="A9445" s="25"/>
      <c r="B9445" s="25"/>
      <c r="C9445" s="25"/>
      <c r="D9445" s="25"/>
      <c r="E9445" s="25"/>
      <c r="F9445" s="25"/>
      <c r="G9445" s="25"/>
      <c r="H9445" s="25"/>
      <c r="I9445" s="25"/>
      <c r="J9445" s="25"/>
    </row>
    <row r="9446" spans="1:10" ht="14.4">
      <c r="A9446" s="25"/>
      <c r="B9446" s="25"/>
      <c r="C9446" s="25"/>
      <c r="D9446" s="25"/>
      <c r="E9446" s="25"/>
      <c r="F9446" s="25"/>
      <c r="G9446" s="25"/>
      <c r="H9446" s="25"/>
      <c r="I9446" s="25"/>
      <c r="J9446" s="25"/>
    </row>
    <row r="9447" spans="1:10" ht="14.4">
      <c r="A9447" s="25"/>
      <c r="B9447" s="25"/>
      <c r="C9447" s="25"/>
      <c r="D9447" s="25"/>
      <c r="E9447" s="25"/>
      <c r="F9447" s="25"/>
      <c r="G9447" s="25"/>
      <c r="H9447" s="25"/>
      <c r="I9447" s="25"/>
      <c r="J9447" s="25"/>
    </row>
    <row r="9448" spans="1:10" ht="14.4">
      <c r="A9448" s="25"/>
      <c r="B9448" s="25"/>
      <c r="C9448" s="25"/>
      <c r="D9448" s="25"/>
      <c r="E9448" s="25"/>
      <c r="F9448" s="25"/>
      <c r="G9448" s="25"/>
      <c r="H9448" s="25"/>
      <c r="I9448" s="25"/>
      <c r="J9448" s="25"/>
    </row>
    <row r="9449" spans="1:10" ht="14.4">
      <c r="A9449" s="25"/>
      <c r="B9449" s="25"/>
      <c r="C9449" s="25"/>
      <c r="D9449" s="25"/>
      <c r="E9449" s="25"/>
      <c r="F9449" s="25"/>
      <c r="G9449" s="25"/>
      <c r="H9449" s="25"/>
      <c r="I9449" s="25"/>
      <c r="J9449" s="25"/>
    </row>
    <row r="9450" spans="1:10" ht="14.4">
      <c r="A9450" s="25"/>
      <c r="B9450" s="25"/>
      <c r="C9450" s="25"/>
      <c r="D9450" s="25"/>
      <c r="E9450" s="25"/>
      <c r="F9450" s="25"/>
      <c r="G9450" s="25"/>
      <c r="H9450" s="25"/>
      <c r="I9450" s="25"/>
      <c r="J9450" s="25"/>
    </row>
    <row r="9451" spans="1:10" ht="14.4">
      <c r="A9451" s="25"/>
      <c r="B9451" s="25"/>
      <c r="C9451" s="25"/>
      <c r="D9451" s="25"/>
      <c r="E9451" s="25"/>
      <c r="F9451" s="25"/>
      <c r="G9451" s="25"/>
      <c r="H9451" s="25"/>
      <c r="I9451" s="25"/>
      <c r="J9451" s="25"/>
    </row>
    <row r="9452" spans="1:10" ht="14.4">
      <c r="A9452" s="25"/>
      <c r="B9452" s="25"/>
      <c r="C9452" s="25"/>
      <c r="D9452" s="25"/>
      <c r="E9452" s="25"/>
      <c r="F9452" s="25"/>
      <c r="G9452" s="25"/>
      <c r="H9452" s="25"/>
      <c r="I9452" s="25"/>
      <c r="J9452" s="25"/>
    </row>
    <row r="9453" spans="1:10" ht="14.4">
      <c r="A9453" s="25"/>
      <c r="B9453" s="25"/>
      <c r="C9453" s="25"/>
      <c r="D9453" s="25"/>
      <c r="E9453" s="25"/>
      <c r="F9453" s="25"/>
      <c r="G9453" s="25"/>
      <c r="H9453" s="25"/>
      <c r="I9453" s="25"/>
      <c r="J9453" s="25"/>
    </row>
    <row r="9454" spans="1:10" ht="14.4">
      <c r="A9454" s="25"/>
      <c r="B9454" s="25"/>
      <c r="C9454" s="25"/>
      <c r="D9454" s="25"/>
      <c r="E9454" s="25"/>
      <c r="F9454" s="25"/>
      <c r="G9454" s="25"/>
      <c r="H9454" s="25"/>
      <c r="I9454" s="25"/>
      <c r="J9454" s="25"/>
    </row>
    <row r="9455" spans="1:10" ht="14.4">
      <c r="A9455" s="25"/>
      <c r="B9455" s="25"/>
      <c r="C9455" s="25"/>
      <c r="D9455" s="25"/>
      <c r="E9455" s="25"/>
      <c r="F9455" s="25"/>
      <c r="G9455" s="25"/>
      <c r="H9455" s="25"/>
      <c r="I9455" s="25"/>
      <c r="J9455" s="25"/>
    </row>
    <row r="9456" spans="1:10" ht="14.4">
      <c r="A9456" s="25"/>
      <c r="B9456" s="25"/>
      <c r="C9456" s="25"/>
      <c r="D9456" s="25"/>
      <c r="E9456" s="25"/>
      <c r="F9456" s="25"/>
      <c r="G9456" s="25"/>
      <c r="H9456" s="25"/>
      <c r="I9456" s="25"/>
      <c r="J9456" s="25"/>
    </row>
    <row r="9457" spans="1:10" ht="14.4">
      <c r="A9457" s="25"/>
      <c r="B9457" s="25"/>
      <c r="C9457" s="25"/>
      <c r="D9457" s="25"/>
      <c r="E9457" s="25"/>
      <c r="F9457" s="25"/>
      <c r="G9457" s="25"/>
      <c r="H9457" s="25"/>
      <c r="I9457" s="25"/>
      <c r="J9457" s="25"/>
    </row>
    <row r="9458" spans="1:10" ht="14.4">
      <c r="A9458" s="25"/>
      <c r="B9458" s="25"/>
      <c r="C9458" s="25"/>
      <c r="D9458" s="25"/>
      <c r="E9458" s="25"/>
      <c r="F9458" s="25"/>
      <c r="G9458" s="25"/>
      <c r="H9458" s="25"/>
      <c r="I9458" s="25"/>
      <c r="J9458" s="25"/>
    </row>
    <row r="9459" spans="1:10" ht="14.4">
      <c r="A9459" s="25"/>
      <c r="B9459" s="25"/>
      <c r="C9459" s="25"/>
      <c r="D9459" s="25"/>
      <c r="E9459" s="25"/>
      <c r="F9459" s="25"/>
      <c r="G9459" s="25"/>
      <c r="H9459" s="25"/>
      <c r="I9459" s="25"/>
      <c r="J9459" s="25"/>
    </row>
    <row r="9460" spans="1:10" ht="14.4">
      <c r="A9460" s="25"/>
      <c r="B9460" s="25"/>
      <c r="C9460" s="25"/>
      <c r="D9460" s="25"/>
      <c r="E9460" s="25"/>
      <c r="F9460" s="25"/>
      <c r="G9460" s="25"/>
      <c r="H9460" s="25"/>
      <c r="I9460" s="25"/>
      <c r="J9460" s="25"/>
    </row>
    <row r="9461" spans="1:10" ht="14.4">
      <c r="A9461" s="25"/>
      <c r="B9461" s="25"/>
      <c r="C9461" s="25"/>
      <c r="D9461" s="25"/>
      <c r="E9461" s="25"/>
      <c r="F9461" s="25"/>
      <c r="G9461" s="25"/>
      <c r="H9461" s="25"/>
      <c r="I9461" s="25"/>
      <c r="J9461" s="25"/>
    </row>
    <row r="9462" spans="1:10" ht="14.4">
      <c r="A9462" s="25"/>
      <c r="B9462" s="25"/>
      <c r="C9462" s="25"/>
      <c r="D9462" s="25"/>
      <c r="E9462" s="25"/>
      <c r="F9462" s="25"/>
      <c r="G9462" s="25"/>
      <c r="H9462" s="25"/>
      <c r="I9462" s="25"/>
      <c r="J9462" s="25"/>
    </row>
    <row r="9463" spans="1:10" ht="14.4">
      <c r="A9463" s="25"/>
      <c r="B9463" s="25"/>
      <c r="C9463" s="25"/>
      <c r="D9463" s="25"/>
      <c r="E9463" s="25"/>
      <c r="F9463" s="25"/>
      <c r="G9463" s="25"/>
      <c r="H9463" s="25"/>
      <c r="I9463" s="25"/>
      <c r="J9463" s="25"/>
    </row>
    <row r="9464" spans="1:10" ht="14.4">
      <c r="A9464" s="25"/>
      <c r="B9464" s="25"/>
      <c r="C9464" s="25"/>
      <c r="D9464" s="25"/>
      <c r="E9464" s="25"/>
      <c r="F9464" s="25"/>
      <c r="G9464" s="25"/>
      <c r="H9464" s="25"/>
      <c r="I9464" s="25"/>
      <c r="J9464" s="25"/>
    </row>
    <row r="9465" spans="1:10" ht="14.4">
      <c r="A9465" s="25"/>
      <c r="B9465" s="25"/>
      <c r="C9465" s="25"/>
      <c r="D9465" s="25"/>
      <c r="E9465" s="25"/>
      <c r="F9465" s="25"/>
      <c r="G9465" s="25"/>
      <c r="H9465" s="25"/>
      <c r="I9465" s="25"/>
      <c r="J9465" s="25"/>
    </row>
    <row r="9466" spans="1:10" ht="14.4">
      <c r="A9466" s="25"/>
      <c r="B9466" s="25"/>
      <c r="C9466" s="25"/>
      <c r="D9466" s="25"/>
      <c r="E9466" s="25"/>
      <c r="F9466" s="25"/>
      <c r="G9466" s="25"/>
      <c r="H9466" s="25"/>
      <c r="I9466" s="25"/>
      <c r="J9466" s="25"/>
    </row>
    <row r="9467" spans="1:10" ht="14.4">
      <c r="A9467" s="25"/>
      <c r="B9467" s="25"/>
      <c r="C9467" s="25"/>
      <c r="D9467" s="25"/>
      <c r="E9467" s="25"/>
      <c r="F9467" s="25"/>
      <c r="G9467" s="25"/>
      <c r="H9467" s="25"/>
      <c r="I9467" s="25"/>
      <c r="J9467" s="25"/>
    </row>
    <row r="9468" spans="1:10" ht="14.4">
      <c r="A9468" s="25"/>
      <c r="B9468" s="25"/>
      <c r="C9468" s="25"/>
      <c r="D9468" s="25"/>
      <c r="E9468" s="25"/>
      <c r="F9468" s="25"/>
      <c r="G9468" s="25"/>
      <c r="H9468" s="25"/>
      <c r="I9468" s="25"/>
      <c r="J9468" s="25"/>
    </row>
    <row r="9469" spans="1:10" ht="14.4">
      <c r="A9469" s="25"/>
      <c r="B9469" s="25"/>
      <c r="C9469" s="25"/>
      <c r="D9469" s="25"/>
      <c r="E9469" s="25"/>
      <c r="F9469" s="25"/>
      <c r="G9469" s="25"/>
      <c r="H9469" s="25"/>
      <c r="I9469" s="25"/>
      <c r="J9469" s="25"/>
    </row>
    <row r="9470" spans="1:10" ht="14.4">
      <c r="A9470" s="25"/>
      <c r="B9470" s="25"/>
      <c r="C9470" s="25"/>
      <c r="D9470" s="25"/>
      <c r="E9470" s="25"/>
      <c r="F9470" s="25"/>
      <c r="G9470" s="25"/>
      <c r="H9470" s="25"/>
      <c r="I9470" s="25"/>
      <c r="J9470" s="25"/>
    </row>
    <row r="9471" spans="1:10" ht="14.4">
      <c r="A9471" s="25"/>
      <c r="B9471" s="25"/>
      <c r="C9471" s="25"/>
      <c r="D9471" s="25"/>
      <c r="E9471" s="25"/>
      <c r="F9471" s="25"/>
      <c r="G9471" s="25"/>
      <c r="H9471" s="25"/>
      <c r="I9471" s="25"/>
      <c r="J9471" s="25"/>
    </row>
    <row r="9472" spans="1:10" ht="14.4">
      <c r="A9472" s="25"/>
      <c r="B9472" s="25"/>
      <c r="C9472" s="25"/>
      <c r="D9472" s="25"/>
      <c r="E9472" s="25"/>
      <c r="F9472" s="25"/>
      <c r="G9472" s="25"/>
      <c r="H9472" s="25"/>
      <c r="I9472" s="25"/>
      <c r="J9472" s="25"/>
    </row>
    <row r="9473" spans="1:10" ht="14.4">
      <c r="A9473" s="25"/>
      <c r="B9473" s="25"/>
      <c r="C9473" s="25"/>
      <c r="D9473" s="25"/>
      <c r="E9473" s="25"/>
      <c r="F9473" s="25"/>
      <c r="G9473" s="25"/>
      <c r="H9473" s="25"/>
      <c r="I9473" s="25"/>
      <c r="J9473" s="25"/>
    </row>
    <row r="9474" spans="1:10" ht="14.4">
      <c r="A9474" s="25"/>
      <c r="B9474" s="25"/>
      <c r="C9474" s="25"/>
      <c r="D9474" s="25"/>
      <c r="E9474" s="25"/>
      <c r="F9474" s="25"/>
      <c r="G9474" s="25"/>
      <c r="H9474" s="25"/>
      <c r="I9474" s="25"/>
      <c r="J9474" s="25"/>
    </row>
    <row r="9475" spans="1:10" ht="14.4">
      <c r="A9475" s="25"/>
      <c r="B9475" s="25"/>
      <c r="C9475" s="25"/>
      <c r="D9475" s="25"/>
      <c r="E9475" s="25"/>
      <c r="F9475" s="25"/>
      <c r="G9475" s="25"/>
      <c r="H9475" s="25"/>
      <c r="I9475" s="25"/>
      <c r="J9475" s="25"/>
    </row>
    <row r="9476" spans="1:10" ht="14.4">
      <c r="A9476" s="25"/>
      <c r="B9476" s="25"/>
      <c r="C9476" s="25"/>
      <c r="D9476" s="25"/>
      <c r="E9476" s="25"/>
      <c r="F9476" s="25"/>
      <c r="G9476" s="25"/>
      <c r="H9476" s="25"/>
      <c r="I9476" s="25"/>
      <c r="J9476" s="25"/>
    </row>
    <row r="9477" spans="1:10" ht="14.4">
      <c r="A9477" s="25"/>
      <c r="B9477" s="25"/>
      <c r="C9477" s="25"/>
      <c r="D9477" s="25"/>
      <c r="E9477" s="25"/>
      <c r="F9477" s="25"/>
      <c r="G9477" s="25"/>
      <c r="H9477" s="25"/>
      <c r="I9477" s="25"/>
      <c r="J9477" s="25"/>
    </row>
    <row r="9478" spans="1:10" ht="14.4">
      <c r="A9478" s="25"/>
      <c r="B9478" s="25"/>
      <c r="C9478" s="25"/>
      <c r="D9478" s="25"/>
      <c r="E9478" s="25"/>
      <c r="F9478" s="25"/>
      <c r="G9478" s="25"/>
      <c r="H9478" s="25"/>
      <c r="I9478" s="25"/>
      <c r="J9478" s="25"/>
    </row>
    <row r="9479" spans="1:10" ht="14.4">
      <c r="A9479" s="25"/>
      <c r="B9479" s="25"/>
      <c r="C9479" s="25"/>
      <c r="D9479" s="25"/>
      <c r="E9479" s="25"/>
      <c r="F9479" s="25"/>
      <c r="G9479" s="25"/>
      <c r="H9479" s="25"/>
      <c r="I9479" s="25"/>
      <c r="J9479" s="25"/>
    </row>
    <row r="9480" spans="1:10" ht="14.4">
      <c r="A9480" s="25"/>
      <c r="B9480" s="25"/>
      <c r="C9480" s="25"/>
      <c r="D9480" s="25"/>
      <c r="E9480" s="25"/>
      <c r="F9480" s="25"/>
      <c r="G9480" s="25"/>
      <c r="H9480" s="25"/>
      <c r="I9480" s="25"/>
      <c r="J9480" s="25"/>
    </row>
    <row r="9481" spans="1:10" ht="14.4">
      <c r="A9481" s="25"/>
      <c r="B9481" s="25"/>
      <c r="C9481" s="25"/>
      <c r="D9481" s="25"/>
      <c r="E9481" s="25"/>
      <c r="F9481" s="25"/>
      <c r="G9481" s="25"/>
      <c r="H9481" s="25"/>
      <c r="I9481" s="25"/>
      <c r="J9481" s="25"/>
    </row>
    <row r="9482" spans="1:10" ht="14.4">
      <c r="A9482" s="25"/>
      <c r="B9482" s="25"/>
      <c r="C9482" s="25"/>
      <c r="D9482" s="25"/>
      <c r="E9482" s="25"/>
      <c r="F9482" s="25"/>
      <c r="G9482" s="25"/>
      <c r="H9482" s="25"/>
      <c r="I9482" s="25"/>
      <c r="J9482" s="25"/>
    </row>
    <row r="9483" spans="1:10" ht="14.4">
      <c r="A9483" s="25"/>
      <c r="B9483" s="25"/>
      <c r="C9483" s="25"/>
      <c r="D9483" s="25"/>
      <c r="E9483" s="25"/>
      <c r="F9483" s="25"/>
      <c r="G9483" s="25"/>
      <c r="H9483" s="25"/>
      <c r="I9483" s="25"/>
      <c r="J9483" s="25"/>
    </row>
    <row r="9484" spans="1:10" ht="14.4">
      <c r="A9484" s="25"/>
      <c r="B9484" s="25"/>
      <c r="C9484" s="25"/>
      <c r="D9484" s="25"/>
      <c r="E9484" s="25"/>
      <c r="F9484" s="25"/>
      <c r="G9484" s="25"/>
      <c r="H9484" s="25"/>
      <c r="I9484" s="25"/>
      <c r="J9484" s="25"/>
    </row>
    <row r="9485" spans="1:10" ht="14.4">
      <c r="A9485" s="25"/>
      <c r="B9485" s="25"/>
      <c r="C9485" s="25"/>
      <c r="D9485" s="25"/>
      <c r="E9485" s="25"/>
      <c r="F9485" s="25"/>
      <c r="G9485" s="25"/>
      <c r="H9485" s="25"/>
      <c r="I9485" s="25"/>
      <c r="J9485" s="25"/>
    </row>
    <row r="9486" spans="1:10" ht="14.4">
      <c r="A9486" s="25"/>
      <c r="B9486" s="25"/>
      <c r="C9486" s="25"/>
      <c r="D9486" s="25"/>
      <c r="E9486" s="25"/>
      <c r="F9486" s="25"/>
      <c r="G9486" s="25"/>
      <c r="H9486" s="25"/>
      <c r="I9486" s="25"/>
      <c r="J9486" s="25"/>
    </row>
    <row r="9487" spans="1:10" ht="14.4">
      <c r="A9487" s="25"/>
      <c r="B9487" s="25"/>
      <c r="C9487" s="25"/>
      <c r="D9487" s="25"/>
      <c r="E9487" s="25"/>
      <c r="F9487" s="25"/>
      <c r="G9487" s="25"/>
      <c r="H9487" s="25"/>
      <c r="I9487" s="25"/>
      <c r="J9487" s="25"/>
    </row>
    <row r="9488" spans="1:10" ht="14.4">
      <c r="A9488" s="25"/>
      <c r="B9488" s="25"/>
      <c r="C9488" s="25"/>
      <c r="D9488" s="25"/>
      <c r="E9488" s="25"/>
      <c r="F9488" s="25"/>
      <c r="G9488" s="25"/>
      <c r="H9488" s="25"/>
      <c r="I9488" s="25"/>
      <c r="J9488" s="25"/>
    </row>
    <row r="9489" spans="1:10" ht="14.4">
      <c r="A9489" s="25"/>
      <c r="B9489" s="25"/>
      <c r="C9489" s="25"/>
      <c r="D9489" s="25"/>
      <c r="E9489" s="25"/>
      <c r="F9489" s="25"/>
      <c r="G9489" s="25"/>
      <c r="H9489" s="25"/>
      <c r="I9489" s="25"/>
      <c r="J9489" s="25"/>
    </row>
    <row r="9490" spans="1:10" ht="14.4">
      <c r="A9490" s="25"/>
      <c r="B9490" s="25"/>
      <c r="C9490" s="25"/>
      <c r="D9490" s="25"/>
      <c r="E9490" s="25"/>
      <c r="F9490" s="25"/>
      <c r="G9490" s="25"/>
      <c r="H9490" s="25"/>
      <c r="I9490" s="25"/>
      <c r="J9490" s="25"/>
    </row>
    <row r="9491" spans="1:10" ht="14.4">
      <c r="A9491" s="25"/>
      <c r="B9491" s="25"/>
      <c r="C9491" s="25"/>
      <c r="D9491" s="25"/>
      <c r="E9491" s="25"/>
      <c r="F9491" s="25"/>
      <c r="G9491" s="25"/>
      <c r="H9491" s="25"/>
      <c r="I9491" s="25"/>
      <c r="J9491" s="25"/>
    </row>
    <row r="9492" spans="1:10" ht="14.4">
      <c r="A9492" s="25"/>
      <c r="B9492" s="25"/>
      <c r="C9492" s="25"/>
      <c r="D9492" s="25"/>
      <c r="E9492" s="25"/>
      <c r="F9492" s="25"/>
      <c r="G9492" s="25"/>
      <c r="H9492" s="25"/>
      <c r="I9492" s="25"/>
      <c r="J9492" s="25"/>
    </row>
    <row r="9493" spans="1:10" ht="14.4">
      <c r="A9493" s="25"/>
      <c r="B9493" s="25"/>
      <c r="C9493" s="25"/>
      <c r="D9493" s="25"/>
      <c r="E9493" s="25"/>
      <c r="F9493" s="25"/>
      <c r="G9493" s="25"/>
      <c r="H9493" s="25"/>
      <c r="I9493" s="25"/>
      <c r="J9493" s="25"/>
    </row>
    <row r="9494" spans="1:10" ht="14.4">
      <c r="A9494" s="25"/>
      <c r="B9494" s="25"/>
      <c r="C9494" s="25"/>
      <c r="D9494" s="25"/>
      <c r="E9494" s="25"/>
      <c r="F9494" s="25"/>
      <c r="G9494" s="25"/>
      <c r="H9494" s="25"/>
      <c r="I9494" s="25"/>
      <c r="J9494" s="25"/>
    </row>
    <row r="9495" spans="1:10" ht="14.4">
      <c r="A9495" s="25"/>
      <c r="B9495" s="25"/>
      <c r="C9495" s="25"/>
      <c r="D9495" s="25"/>
      <c r="E9495" s="25"/>
      <c r="F9495" s="25"/>
      <c r="G9495" s="25"/>
      <c r="H9495" s="25"/>
      <c r="I9495" s="25"/>
      <c r="J9495" s="25"/>
    </row>
    <row r="9496" spans="1:10" ht="14.4">
      <c r="A9496" s="25"/>
      <c r="B9496" s="25"/>
      <c r="C9496" s="25"/>
      <c r="D9496" s="25"/>
      <c r="E9496" s="25"/>
      <c r="F9496" s="25"/>
      <c r="G9496" s="25"/>
      <c r="H9496" s="25"/>
      <c r="I9496" s="25"/>
      <c r="J9496" s="25"/>
    </row>
    <row r="9497" spans="1:10" ht="14.4">
      <c r="A9497" s="25"/>
      <c r="B9497" s="25"/>
      <c r="C9497" s="25"/>
      <c r="D9497" s="25"/>
      <c r="E9497" s="25"/>
      <c r="F9497" s="25"/>
      <c r="G9497" s="25"/>
      <c r="H9497" s="25"/>
      <c r="I9497" s="25"/>
      <c r="J9497" s="25"/>
    </row>
    <row r="9498" spans="1:10" ht="14.4">
      <c r="A9498" s="25"/>
      <c r="B9498" s="25"/>
      <c r="C9498" s="25"/>
      <c r="D9498" s="25"/>
      <c r="E9498" s="25"/>
      <c r="F9498" s="25"/>
      <c r="G9498" s="25"/>
      <c r="H9498" s="25"/>
      <c r="I9498" s="25"/>
      <c r="J9498" s="25"/>
    </row>
    <row r="9499" spans="1:10" ht="14.4">
      <c r="A9499" s="25"/>
      <c r="B9499" s="25"/>
      <c r="C9499" s="25"/>
      <c r="D9499" s="25"/>
      <c r="E9499" s="25"/>
      <c r="F9499" s="25"/>
      <c r="G9499" s="25"/>
      <c r="H9499" s="25"/>
      <c r="I9499" s="25"/>
      <c r="J9499" s="25"/>
    </row>
    <row r="9500" spans="1:10" ht="14.4">
      <c r="A9500" s="25"/>
      <c r="B9500" s="25"/>
      <c r="C9500" s="25"/>
      <c r="D9500" s="25"/>
      <c r="E9500" s="25"/>
      <c r="F9500" s="25"/>
      <c r="G9500" s="25"/>
      <c r="H9500" s="25"/>
      <c r="I9500" s="25"/>
      <c r="J9500" s="25"/>
    </row>
    <row r="9501" spans="1:10" ht="14.4">
      <c r="A9501" s="25"/>
      <c r="B9501" s="25"/>
      <c r="C9501" s="25"/>
      <c r="D9501" s="25"/>
      <c r="E9501" s="25"/>
      <c r="F9501" s="25"/>
      <c r="G9501" s="25"/>
      <c r="H9501" s="25"/>
      <c r="I9501" s="25"/>
      <c r="J9501" s="25"/>
    </row>
    <row r="9502" spans="1:10" ht="14.4">
      <c r="A9502" s="25"/>
      <c r="B9502" s="25"/>
      <c r="C9502" s="25"/>
      <c r="D9502" s="25"/>
      <c r="E9502" s="25"/>
      <c r="F9502" s="25"/>
      <c r="G9502" s="25"/>
      <c r="H9502" s="25"/>
      <c r="I9502" s="25"/>
      <c r="J9502" s="25"/>
    </row>
    <row r="9503" spans="1:10" ht="14.4">
      <c r="A9503" s="25"/>
      <c r="B9503" s="25"/>
      <c r="C9503" s="25"/>
      <c r="D9503" s="25"/>
      <c r="E9503" s="25"/>
      <c r="F9503" s="25"/>
      <c r="G9503" s="25"/>
      <c r="H9503" s="25"/>
      <c r="I9503" s="25"/>
      <c r="J9503" s="25"/>
    </row>
    <row r="9504" spans="1:10" ht="14.4">
      <c r="A9504" s="25"/>
      <c r="B9504" s="25"/>
      <c r="C9504" s="25"/>
      <c r="D9504" s="25"/>
      <c r="E9504" s="25"/>
      <c r="F9504" s="25"/>
      <c r="G9504" s="25"/>
      <c r="H9504" s="25"/>
      <c r="I9504" s="25"/>
      <c r="J9504" s="25"/>
    </row>
    <row r="9505" spans="1:10" ht="14.4">
      <c r="A9505" s="25"/>
      <c r="B9505" s="25"/>
      <c r="C9505" s="25"/>
      <c r="D9505" s="25"/>
      <c r="E9505" s="25"/>
      <c r="F9505" s="25"/>
      <c r="G9505" s="25"/>
      <c r="H9505" s="25"/>
      <c r="I9505" s="25"/>
      <c r="J9505" s="25"/>
    </row>
    <row r="9506" spans="1:10" ht="14.4">
      <c r="A9506" s="25"/>
      <c r="B9506" s="25"/>
      <c r="C9506" s="25"/>
      <c r="D9506" s="25"/>
      <c r="E9506" s="25"/>
      <c r="F9506" s="25"/>
      <c r="G9506" s="25"/>
      <c r="H9506" s="25"/>
      <c r="I9506" s="25"/>
      <c r="J9506" s="25"/>
    </row>
    <row r="9507" spans="1:10" ht="14.4">
      <c r="A9507" s="25"/>
      <c r="B9507" s="25"/>
      <c r="C9507" s="25"/>
      <c r="D9507" s="25"/>
      <c r="E9507" s="25"/>
      <c r="F9507" s="25"/>
      <c r="G9507" s="25"/>
      <c r="H9507" s="25"/>
      <c r="I9507" s="25"/>
      <c r="J9507" s="25"/>
    </row>
    <row r="9508" spans="1:10" ht="14.4">
      <c r="A9508" s="25"/>
      <c r="B9508" s="25"/>
      <c r="C9508" s="25"/>
      <c r="D9508" s="25"/>
      <c r="E9508" s="25"/>
      <c r="F9508" s="25"/>
      <c r="G9508" s="25"/>
      <c r="H9508" s="25"/>
      <c r="I9508" s="25"/>
      <c r="J9508" s="25"/>
    </row>
    <row r="9509" spans="1:10" ht="14.4">
      <c r="A9509" s="25"/>
      <c r="B9509" s="25"/>
      <c r="C9509" s="25"/>
      <c r="D9509" s="25"/>
      <c r="E9509" s="25"/>
      <c r="F9509" s="25"/>
      <c r="G9509" s="25"/>
      <c r="H9509" s="25"/>
      <c r="I9509" s="25"/>
      <c r="J9509" s="25"/>
    </row>
    <row r="9510" spans="1:10" ht="14.4">
      <c r="A9510" s="25"/>
      <c r="B9510" s="25"/>
      <c r="C9510" s="25"/>
      <c r="D9510" s="25"/>
      <c r="E9510" s="25"/>
      <c r="F9510" s="25"/>
      <c r="G9510" s="25"/>
      <c r="H9510" s="25"/>
      <c r="I9510" s="25"/>
      <c r="J9510" s="25"/>
    </row>
    <row r="9511" spans="1:10" ht="14.4">
      <c r="A9511" s="25"/>
      <c r="B9511" s="25"/>
      <c r="C9511" s="25"/>
      <c r="D9511" s="25"/>
      <c r="E9511" s="25"/>
      <c r="F9511" s="25"/>
      <c r="G9511" s="25"/>
      <c r="H9511" s="25"/>
      <c r="I9511" s="25"/>
      <c r="J9511" s="25"/>
    </row>
    <row r="9512" spans="1:10" ht="14.4">
      <c r="A9512" s="25"/>
      <c r="B9512" s="25"/>
      <c r="C9512" s="25"/>
      <c r="D9512" s="25"/>
      <c r="E9512" s="25"/>
      <c r="F9512" s="25"/>
      <c r="G9512" s="25"/>
      <c r="H9512" s="25"/>
      <c r="I9512" s="25"/>
      <c r="J9512" s="25"/>
    </row>
    <row r="9513" spans="1:10" ht="14.4">
      <c r="A9513" s="25"/>
      <c r="B9513" s="25"/>
      <c r="C9513" s="25"/>
      <c r="D9513" s="25"/>
      <c r="E9513" s="25"/>
      <c r="F9513" s="25"/>
      <c r="G9513" s="25"/>
      <c r="H9513" s="25"/>
      <c r="I9513" s="25"/>
      <c r="J9513" s="25"/>
    </row>
    <row r="9514" spans="1:10" ht="14.4">
      <c r="A9514" s="25"/>
      <c r="B9514" s="25"/>
      <c r="C9514" s="25"/>
      <c r="D9514" s="25"/>
      <c r="E9514" s="25"/>
      <c r="F9514" s="25"/>
      <c r="G9514" s="25"/>
      <c r="H9514" s="25"/>
      <c r="I9514" s="25"/>
      <c r="J9514" s="25"/>
    </row>
    <row r="9515" spans="1:10" ht="14.4">
      <c r="A9515" s="25"/>
      <c r="B9515" s="25"/>
      <c r="C9515" s="25"/>
      <c r="D9515" s="25"/>
      <c r="E9515" s="25"/>
      <c r="F9515" s="25"/>
      <c r="G9515" s="25"/>
      <c r="H9515" s="25"/>
      <c r="I9515" s="25"/>
      <c r="J9515" s="25"/>
    </row>
    <row r="9516" spans="1:10" ht="14.4">
      <c r="A9516" s="25"/>
      <c r="B9516" s="25"/>
      <c r="C9516" s="25"/>
      <c r="D9516" s="25"/>
      <c r="E9516" s="25"/>
      <c r="F9516" s="25"/>
      <c r="G9516" s="25"/>
      <c r="H9516" s="25"/>
      <c r="I9516" s="25"/>
      <c r="J9516" s="25"/>
    </row>
    <row r="9517" spans="1:10" ht="14.4">
      <c r="A9517" s="25"/>
      <c r="B9517" s="25"/>
      <c r="C9517" s="25"/>
      <c r="D9517" s="25"/>
      <c r="E9517" s="25"/>
      <c r="F9517" s="25"/>
      <c r="G9517" s="25"/>
      <c r="H9517" s="25"/>
      <c r="I9517" s="25"/>
      <c r="J9517" s="25"/>
    </row>
    <row r="9518" spans="1:10" ht="14.4">
      <c r="A9518" s="25"/>
      <c r="B9518" s="25"/>
      <c r="C9518" s="25"/>
      <c r="D9518" s="25"/>
      <c r="E9518" s="25"/>
      <c r="F9518" s="25"/>
      <c r="G9518" s="25"/>
      <c r="H9518" s="25"/>
      <c r="I9518" s="25"/>
      <c r="J9518" s="25"/>
    </row>
    <row r="9519" spans="1:10" ht="14.4">
      <c r="A9519" s="25"/>
      <c r="B9519" s="25"/>
      <c r="C9519" s="25"/>
      <c r="D9519" s="25"/>
      <c r="E9519" s="25"/>
      <c r="F9519" s="25"/>
      <c r="G9519" s="25"/>
      <c r="H9519" s="25"/>
      <c r="I9519" s="25"/>
      <c r="J9519" s="25"/>
    </row>
    <row r="9520" spans="1:10" ht="14.4">
      <c r="A9520" s="25"/>
      <c r="B9520" s="25"/>
      <c r="C9520" s="25"/>
      <c r="D9520" s="25"/>
      <c r="E9520" s="25"/>
      <c r="F9520" s="25"/>
      <c r="G9520" s="25"/>
      <c r="H9520" s="25"/>
      <c r="I9520" s="25"/>
      <c r="J9520" s="25"/>
    </row>
    <row r="9521" spans="1:10" ht="14.4">
      <c r="A9521" s="25"/>
      <c r="B9521" s="25"/>
      <c r="C9521" s="25"/>
      <c r="D9521" s="25"/>
      <c r="E9521" s="25"/>
      <c r="F9521" s="25"/>
      <c r="G9521" s="25"/>
      <c r="H9521" s="25"/>
      <c r="I9521" s="25"/>
      <c r="J9521" s="25"/>
    </row>
    <row r="9522" spans="1:10" ht="14.4">
      <c r="A9522" s="25"/>
      <c r="B9522" s="25"/>
      <c r="C9522" s="25"/>
      <c r="D9522" s="25"/>
      <c r="E9522" s="25"/>
      <c r="F9522" s="25"/>
      <c r="G9522" s="25"/>
      <c r="H9522" s="25"/>
      <c r="I9522" s="25"/>
      <c r="J9522" s="25"/>
    </row>
    <row r="9523" spans="1:10" ht="14.4">
      <c r="A9523" s="25"/>
      <c r="B9523" s="25"/>
      <c r="C9523" s="25"/>
      <c r="D9523" s="25"/>
      <c r="E9523" s="25"/>
      <c r="F9523" s="25"/>
      <c r="G9523" s="25"/>
      <c r="H9523" s="25"/>
      <c r="I9523" s="25"/>
      <c r="J9523" s="25"/>
    </row>
    <row r="9524" spans="1:10" ht="14.4">
      <c r="A9524" s="25"/>
      <c r="B9524" s="25"/>
      <c r="C9524" s="25"/>
      <c r="D9524" s="25"/>
      <c r="E9524" s="25"/>
      <c r="F9524" s="25"/>
      <c r="G9524" s="25"/>
      <c r="H9524" s="25"/>
      <c r="I9524" s="25"/>
      <c r="J9524" s="25"/>
    </row>
    <row r="9525" spans="1:10" ht="14.4">
      <c r="A9525" s="25"/>
      <c r="B9525" s="25"/>
      <c r="C9525" s="25"/>
      <c r="D9525" s="25"/>
      <c r="E9525" s="25"/>
      <c r="F9525" s="25"/>
      <c r="G9525" s="25"/>
      <c r="H9525" s="25"/>
      <c r="I9525" s="25"/>
      <c r="J9525" s="25"/>
    </row>
    <row r="9526" spans="1:10" ht="14.4">
      <c r="A9526" s="25"/>
      <c r="B9526" s="25"/>
      <c r="C9526" s="25"/>
      <c r="D9526" s="25"/>
      <c r="E9526" s="25"/>
      <c r="F9526" s="25"/>
      <c r="G9526" s="25"/>
      <c r="H9526" s="25"/>
      <c r="I9526" s="25"/>
      <c r="J9526" s="25"/>
    </row>
    <row r="9527" spans="1:10" ht="14.4">
      <c r="A9527" s="25"/>
      <c r="B9527" s="25"/>
      <c r="C9527" s="25"/>
      <c r="D9527" s="25"/>
      <c r="E9527" s="25"/>
      <c r="F9527" s="25"/>
      <c r="G9527" s="25"/>
      <c r="H9527" s="25"/>
      <c r="I9527" s="25"/>
      <c r="J9527" s="25"/>
    </row>
    <row r="9528" spans="1:10" ht="14.4">
      <c r="A9528" s="25"/>
      <c r="B9528" s="25"/>
      <c r="C9528" s="25"/>
      <c r="D9528" s="25"/>
      <c r="E9528" s="25"/>
      <c r="F9528" s="25"/>
      <c r="G9528" s="25"/>
      <c r="H9528" s="25"/>
      <c r="I9528" s="25"/>
      <c r="J9528" s="25"/>
    </row>
    <row r="9529" spans="1:10" ht="14.4">
      <c r="A9529" s="25"/>
      <c r="B9529" s="25"/>
      <c r="C9529" s="25"/>
      <c r="D9529" s="25"/>
      <c r="E9529" s="25"/>
      <c r="F9529" s="25"/>
      <c r="G9529" s="25"/>
      <c r="H9529" s="25"/>
      <c r="I9529" s="25"/>
      <c r="J9529" s="25"/>
    </row>
    <row r="9530" spans="1:10" ht="14.4">
      <c r="A9530" s="25"/>
      <c r="B9530" s="25"/>
      <c r="C9530" s="25"/>
      <c r="D9530" s="25"/>
      <c r="E9530" s="25"/>
      <c r="F9530" s="25"/>
      <c r="G9530" s="25"/>
      <c r="H9530" s="25"/>
      <c r="I9530" s="25"/>
      <c r="J9530" s="25"/>
    </row>
    <row r="9531" spans="1:10" ht="14.4">
      <c r="A9531" s="25"/>
      <c r="B9531" s="25"/>
      <c r="C9531" s="25"/>
      <c r="D9531" s="25"/>
      <c r="E9531" s="25"/>
      <c r="F9531" s="25"/>
      <c r="G9531" s="25"/>
      <c r="H9531" s="25"/>
      <c r="I9531" s="25"/>
      <c r="J9531" s="25"/>
    </row>
    <row r="9532" spans="1:10" ht="14.4">
      <c r="A9532" s="25"/>
      <c r="B9532" s="25"/>
      <c r="C9532" s="25"/>
      <c r="D9532" s="25"/>
      <c r="E9532" s="25"/>
      <c r="F9532" s="25"/>
      <c r="G9532" s="25"/>
      <c r="H9532" s="25"/>
      <c r="I9532" s="25"/>
      <c r="J9532" s="25"/>
    </row>
    <row r="9533" spans="1:10" ht="14.4">
      <c r="A9533" s="25"/>
      <c r="B9533" s="25"/>
      <c r="C9533" s="25"/>
      <c r="D9533" s="25"/>
      <c r="E9533" s="25"/>
      <c r="F9533" s="25"/>
      <c r="G9533" s="25"/>
      <c r="H9533" s="25"/>
      <c r="I9533" s="25"/>
      <c r="J9533" s="25"/>
    </row>
    <row r="9534" spans="1:10" ht="14.4">
      <c r="A9534" s="25"/>
      <c r="B9534" s="25"/>
      <c r="C9534" s="25"/>
      <c r="D9534" s="25"/>
      <c r="E9534" s="25"/>
      <c r="F9534" s="25"/>
      <c r="G9534" s="25"/>
      <c r="H9534" s="25"/>
      <c r="I9534" s="25"/>
      <c r="J9534" s="25"/>
    </row>
    <row r="9535" spans="1:10" ht="14.4">
      <c r="A9535" s="25"/>
      <c r="B9535" s="25"/>
      <c r="C9535" s="25"/>
      <c r="D9535" s="25"/>
      <c r="E9535" s="25"/>
      <c r="F9535" s="25"/>
      <c r="G9535" s="25"/>
      <c r="H9535" s="25"/>
      <c r="I9535" s="25"/>
      <c r="J9535" s="25"/>
    </row>
    <row r="9536" spans="1:10" ht="14.4">
      <c r="A9536" s="25"/>
      <c r="B9536" s="25"/>
      <c r="C9536" s="25"/>
      <c r="D9536" s="25"/>
      <c r="E9536" s="25"/>
      <c r="F9536" s="25"/>
      <c r="G9536" s="25"/>
      <c r="H9536" s="25"/>
      <c r="I9536" s="25"/>
      <c r="J9536" s="25"/>
    </row>
    <row r="9537" spans="1:10" ht="14.4">
      <c r="A9537" s="25"/>
      <c r="B9537" s="25"/>
      <c r="C9537" s="25"/>
      <c r="D9537" s="25"/>
      <c r="E9537" s="25"/>
      <c r="F9537" s="25"/>
      <c r="G9537" s="25"/>
      <c r="H9537" s="25"/>
      <c r="I9537" s="25"/>
      <c r="J9537" s="25"/>
    </row>
    <row r="9538" spans="1:10" ht="14.4">
      <c r="A9538" s="25"/>
      <c r="B9538" s="25"/>
      <c r="C9538" s="25"/>
      <c r="D9538" s="25"/>
      <c r="E9538" s="25"/>
      <c r="F9538" s="25"/>
      <c r="G9538" s="25"/>
      <c r="H9538" s="25"/>
      <c r="I9538" s="25"/>
      <c r="J9538" s="25"/>
    </row>
    <row r="9539" spans="1:10" ht="14.4">
      <c r="A9539" s="25"/>
      <c r="B9539" s="25"/>
      <c r="C9539" s="25"/>
      <c r="D9539" s="25"/>
      <c r="E9539" s="25"/>
      <c r="F9539" s="25"/>
      <c r="G9539" s="25"/>
      <c r="H9539" s="25"/>
      <c r="I9539" s="25"/>
      <c r="J9539" s="25"/>
    </row>
    <row r="9540" spans="1:10" ht="14.4">
      <c r="A9540" s="25"/>
      <c r="B9540" s="25"/>
      <c r="C9540" s="25"/>
      <c r="D9540" s="25"/>
      <c r="E9540" s="25"/>
      <c r="F9540" s="25"/>
      <c r="G9540" s="25"/>
      <c r="H9540" s="25"/>
      <c r="I9540" s="25"/>
      <c r="J9540" s="25"/>
    </row>
    <row r="9541" spans="1:10" ht="14.4">
      <c r="A9541" s="25"/>
      <c r="B9541" s="25"/>
      <c r="C9541" s="25"/>
      <c r="D9541" s="25"/>
      <c r="E9541" s="25"/>
      <c r="F9541" s="25"/>
      <c r="G9541" s="25"/>
      <c r="H9541" s="25"/>
      <c r="I9541" s="25"/>
      <c r="J9541" s="25"/>
    </row>
    <row r="9542" spans="1:10" ht="14.4">
      <c r="A9542" s="25"/>
      <c r="B9542" s="25"/>
      <c r="C9542" s="25"/>
      <c r="D9542" s="25"/>
      <c r="E9542" s="25"/>
      <c r="F9542" s="25"/>
      <c r="G9542" s="25"/>
      <c r="H9542" s="25"/>
      <c r="I9542" s="25"/>
      <c r="J9542" s="25"/>
    </row>
    <row r="9543" spans="1:10" ht="14.4">
      <c r="A9543" s="25"/>
      <c r="B9543" s="25"/>
      <c r="C9543" s="25"/>
      <c r="D9543" s="25"/>
      <c r="E9543" s="25"/>
      <c r="F9543" s="25"/>
      <c r="G9543" s="25"/>
      <c r="H9543" s="25"/>
      <c r="I9543" s="25"/>
      <c r="J9543" s="25"/>
    </row>
    <row r="9544" spans="1:10" ht="14.4">
      <c r="A9544" s="25"/>
      <c r="B9544" s="25"/>
      <c r="C9544" s="25"/>
      <c r="D9544" s="25"/>
      <c r="E9544" s="25"/>
      <c r="F9544" s="25"/>
      <c r="G9544" s="25"/>
      <c r="H9544" s="25"/>
      <c r="I9544" s="25"/>
      <c r="J9544" s="25"/>
    </row>
    <row r="9545" spans="1:10" ht="14.4">
      <c r="A9545" s="25"/>
      <c r="B9545" s="25"/>
      <c r="C9545" s="25"/>
      <c r="D9545" s="25"/>
      <c r="E9545" s="25"/>
      <c r="F9545" s="25"/>
      <c r="G9545" s="25"/>
      <c r="H9545" s="25"/>
      <c r="I9545" s="25"/>
      <c r="J9545" s="25"/>
    </row>
    <row r="9546" spans="1:10" ht="14.4">
      <c r="A9546" s="25"/>
      <c r="B9546" s="25"/>
      <c r="C9546" s="25"/>
      <c r="D9546" s="25"/>
      <c r="E9546" s="25"/>
      <c r="F9546" s="25"/>
      <c r="G9546" s="25"/>
      <c r="H9546" s="25"/>
      <c r="I9546" s="25"/>
      <c r="J9546" s="25"/>
    </row>
    <row r="9547" spans="1:10" ht="14.4">
      <c r="A9547" s="25"/>
      <c r="B9547" s="25"/>
      <c r="C9547" s="25"/>
      <c r="D9547" s="25"/>
      <c r="E9547" s="25"/>
      <c r="F9547" s="25"/>
      <c r="G9547" s="25"/>
      <c r="H9547" s="25"/>
      <c r="I9547" s="25"/>
      <c r="J9547" s="25"/>
    </row>
    <row r="9548" spans="1:10" ht="14.4">
      <c r="A9548" s="25"/>
      <c r="B9548" s="25"/>
      <c r="C9548" s="25"/>
      <c r="D9548" s="25"/>
      <c r="E9548" s="25"/>
      <c r="F9548" s="25"/>
      <c r="G9548" s="25"/>
      <c r="H9548" s="25"/>
      <c r="I9548" s="25"/>
      <c r="J9548" s="25"/>
    </row>
    <row r="9549" spans="1:10" ht="14.4">
      <c r="A9549" s="25"/>
      <c r="B9549" s="25"/>
      <c r="C9549" s="25"/>
      <c r="D9549" s="25"/>
      <c r="E9549" s="25"/>
      <c r="F9549" s="25"/>
      <c r="G9549" s="25"/>
      <c r="H9549" s="25"/>
      <c r="I9549" s="25"/>
      <c r="J9549" s="25"/>
    </row>
    <row r="9550" spans="1:10" ht="14.4">
      <c r="A9550" s="25"/>
      <c r="B9550" s="25"/>
      <c r="C9550" s="25"/>
      <c r="D9550" s="25"/>
      <c r="E9550" s="25"/>
      <c r="F9550" s="25"/>
      <c r="G9550" s="25"/>
      <c r="H9550" s="25"/>
      <c r="I9550" s="25"/>
      <c r="J9550" s="25"/>
    </row>
    <row r="9551" spans="1:10" ht="14.4">
      <c r="A9551" s="25"/>
      <c r="B9551" s="25"/>
      <c r="C9551" s="25"/>
      <c r="D9551" s="25"/>
      <c r="E9551" s="25"/>
      <c r="F9551" s="25"/>
      <c r="G9551" s="25"/>
      <c r="H9551" s="25"/>
      <c r="I9551" s="25"/>
      <c r="J9551" s="25"/>
    </row>
    <row r="9552" spans="1:10" ht="14.4">
      <c r="A9552" s="25"/>
      <c r="B9552" s="25"/>
      <c r="C9552" s="25"/>
      <c r="D9552" s="25"/>
      <c r="E9552" s="25"/>
      <c r="F9552" s="25"/>
      <c r="G9552" s="25"/>
      <c r="H9552" s="25"/>
      <c r="I9552" s="25"/>
      <c r="J9552" s="25"/>
    </row>
    <row r="9553" spans="1:10" ht="14.4">
      <c r="A9553" s="25"/>
      <c r="B9553" s="25"/>
      <c r="C9553" s="25"/>
      <c r="D9553" s="25"/>
      <c r="E9553" s="25"/>
      <c r="F9553" s="25"/>
      <c r="G9553" s="25"/>
      <c r="H9553" s="25"/>
      <c r="I9553" s="25"/>
      <c r="J9553" s="25"/>
    </row>
    <row r="9554" spans="1:10" ht="14.4">
      <c r="A9554" s="25"/>
      <c r="B9554" s="25"/>
      <c r="C9554" s="25"/>
      <c r="D9554" s="25"/>
      <c r="E9554" s="25"/>
      <c r="F9554" s="25"/>
      <c r="G9554" s="25"/>
      <c r="H9554" s="25"/>
      <c r="I9554" s="25"/>
      <c r="J9554" s="25"/>
    </row>
    <row r="9555" spans="1:10" ht="14.4">
      <c r="A9555" s="25"/>
      <c r="B9555" s="25"/>
      <c r="C9555" s="25"/>
      <c r="D9555" s="25"/>
      <c r="E9555" s="25"/>
      <c r="F9555" s="25"/>
      <c r="G9555" s="25"/>
      <c r="H9555" s="25"/>
      <c r="I9555" s="25"/>
      <c r="J9555" s="25"/>
    </row>
    <row r="9556" spans="1:10" ht="14.4">
      <c r="A9556" s="25"/>
      <c r="B9556" s="25"/>
      <c r="C9556" s="25"/>
      <c r="D9556" s="25"/>
      <c r="E9556" s="25"/>
      <c r="F9556" s="25"/>
      <c r="G9556" s="25"/>
      <c r="H9556" s="25"/>
      <c r="I9556" s="25"/>
      <c r="J9556" s="25"/>
    </row>
    <row r="9557" spans="1:10" ht="14.4">
      <c r="A9557" s="25"/>
      <c r="B9557" s="25"/>
      <c r="C9557" s="25"/>
      <c r="D9557" s="25"/>
      <c r="E9557" s="25"/>
      <c r="F9557" s="25"/>
      <c r="G9557" s="25"/>
      <c r="H9557" s="25"/>
      <c r="I9557" s="25"/>
      <c r="J9557" s="25"/>
    </row>
    <row r="9558" spans="1:10" ht="14.4">
      <c r="A9558" s="25"/>
      <c r="B9558" s="25"/>
      <c r="C9558" s="25"/>
      <c r="D9558" s="25"/>
      <c r="E9558" s="25"/>
      <c r="F9558" s="25"/>
      <c r="G9558" s="25"/>
      <c r="H9558" s="25"/>
      <c r="I9558" s="25"/>
      <c r="J9558" s="25"/>
    </row>
    <row r="9559" spans="1:10" ht="14.4">
      <c r="A9559" s="25"/>
      <c r="B9559" s="25"/>
      <c r="C9559" s="25"/>
      <c r="D9559" s="25"/>
      <c r="E9559" s="25"/>
      <c r="F9559" s="25"/>
      <c r="G9559" s="25"/>
      <c r="H9559" s="25"/>
      <c r="I9559" s="25"/>
      <c r="J9559" s="25"/>
    </row>
    <row r="9560" spans="1:10" ht="14.4">
      <c r="A9560" s="25"/>
      <c r="B9560" s="25"/>
      <c r="C9560" s="25"/>
      <c r="D9560" s="25"/>
      <c r="E9560" s="25"/>
      <c r="F9560" s="25"/>
      <c r="G9560" s="25"/>
      <c r="H9560" s="25"/>
      <c r="I9560" s="25"/>
      <c r="J9560" s="25"/>
    </row>
    <row r="9561" spans="1:10" ht="14.4">
      <c r="A9561" s="25"/>
      <c r="B9561" s="25"/>
      <c r="C9561" s="25"/>
      <c r="D9561" s="25"/>
      <c r="E9561" s="25"/>
      <c r="F9561" s="25"/>
      <c r="G9561" s="25"/>
      <c r="H9561" s="25"/>
      <c r="I9561" s="25"/>
      <c r="J9561" s="25"/>
    </row>
    <row r="9562" spans="1:10" ht="14.4">
      <c r="A9562" s="25"/>
      <c r="B9562" s="25"/>
      <c r="C9562" s="25"/>
      <c r="D9562" s="25"/>
      <c r="E9562" s="25"/>
      <c r="F9562" s="25"/>
      <c r="G9562" s="25"/>
      <c r="H9562" s="25"/>
      <c r="I9562" s="25"/>
      <c r="J9562" s="25"/>
    </row>
    <row r="9563" spans="1:10" ht="14.4">
      <c r="A9563" s="25"/>
      <c r="B9563" s="25"/>
      <c r="C9563" s="25"/>
      <c r="D9563" s="25"/>
      <c r="E9563" s="25"/>
      <c r="F9563" s="25"/>
      <c r="G9563" s="25"/>
      <c r="H9563" s="25"/>
      <c r="I9563" s="25"/>
      <c r="J9563" s="25"/>
    </row>
    <row r="9564" spans="1:10" ht="14.4">
      <c r="A9564" s="25"/>
      <c r="B9564" s="25"/>
      <c r="C9564" s="25"/>
      <c r="D9564" s="25"/>
      <c r="E9564" s="25"/>
      <c r="F9564" s="25"/>
      <c r="G9564" s="25"/>
      <c r="H9564" s="25"/>
      <c r="I9564" s="25"/>
      <c r="J9564" s="25"/>
    </row>
    <row r="9565" spans="1:10" ht="14.4">
      <c r="A9565" s="25"/>
      <c r="B9565" s="25"/>
      <c r="C9565" s="25"/>
      <c r="D9565" s="25"/>
      <c r="E9565" s="25"/>
      <c r="F9565" s="25"/>
      <c r="G9565" s="25"/>
      <c r="H9565" s="25"/>
      <c r="I9565" s="25"/>
      <c r="J9565" s="25"/>
    </row>
    <row r="9566" spans="1:10" ht="14.4">
      <c r="A9566" s="25"/>
      <c r="B9566" s="25"/>
      <c r="C9566" s="25"/>
      <c r="D9566" s="25"/>
      <c r="E9566" s="25"/>
      <c r="F9566" s="25"/>
      <c r="G9566" s="25"/>
      <c r="H9566" s="25"/>
      <c r="I9566" s="25"/>
      <c r="J9566" s="25"/>
    </row>
    <row r="9567" spans="1:10" ht="14.4">
      <c r="A9567" s="25"/>
      <c r="B9567" s="25"/>
      <c r="C9567" s="25"/>
      <c r="D9567" s="25"/>
      <c r="E9567" s="25"/>
      <c r="F9567" s="25"/>
      <c r="G9567" s="25"/>
      <c r="H9567" s="25"/>
      <c r="I9567" s="25"/>
      <c r="J9567" s="25"/>
    </row>
    <row r="9568" spans="1:10" ht="14.4">
      <c r="A9568" s="25"/>
      <c r="B9568" s="25"/>
      <c r="C9568" s="25"/>
      <c r="D9568" s="25"/>
      <c r="E9568" s="25"/>
      <c r="F9568" s="25"/>
      <c r="G9568" s="25"/>
      <c r="H9568" s="25"/>
      <c r="I9568" s="25"/>
      <c r="J9568" s="25"/>
    </row>
    <row r="9569" spans="1:10" ht="14.4">
      <c r="A9569" s="25"/>
      <c r="B9569" s="25"/>
      <c r="C9569" s="25"/>
      <c r="D9569" s="25"/>
      <c r="E9569" s="25"/>
      <c r="F9569" s="25"/>
      <c r="G9569" s="25"/>
      <c r="H9569" s="25"/>
      <c r="I9569" s="25"/>
      <c r="J9569" s="25"/>
    </row>
    <row r="9570" spans="1:10" ht="14.4">
      <c r="A9570" s="25"/>
      <c r="B9570" s="25"/>
      <c r="C9570" s="25"/>
      <c r="D9570" s="25"/>
      <c r="E9570" s="25"/>
      <c r="F9570" s="25"/>
      <c r="G9570" s="25"/>
      <c r="H9570" s="25"/>
      <c r="I9570" s="25"/>
      <c r="J9570" s="25"/>
    </row>
    <row r="9571" spans="1:10" ht="14.4">
      <c r="A9571" s="25"/>
      <c r="B9571" s="25"/>
      <c r="C9571" s="25"/>
      <c r="D9571" s="25"/>
      <c r="E9571" s="25"/>
      <c r="F9571" s="25"/>
      <c r="G9571" s="25"/>
      <c r="H9571" s="25"/>
      <c r="I9571" s="25"/>
      <c r="J9571" s="25"/>
    </row>
    <row r="9572" spans="1:10" ht="14.4">
      <c r="A9572" s="25"/>
      <c r="B9572" s="25"/>
      <c r="C9572" s="25"/>
      <c r="D9572" s="25"/>
      <c r="E9572" s="25"/>
      <c r="F9572" s="25"/>
      <c r="G9572" s="25"/>
      <c r="H9572" s="25"/>
      <c r="I9572" s="25"/>
      <c r="J9572" s="25"/>
    </row>
    <row r="9573" spans="1:10" ht="14.4">
      <c r="A9573" s="25"/>
      <c r="B9573" s="25"/>
      <c r="C9573" s="25"/>
      <c r="D9573" s="25"/>
      <c r="E9573" s="25"/>
      <c r="F9573" s="25"/>
      <c r="G9573" s="25"/>
      <c r="H9573" s="25"/>
      <c r="I9573" s="25"/>
      <c r="J9573" s="25"/>
    </row>
    <row r="9574" spans="1:10" ht="14.4">
      <c r="A9574" s="25"/>
      <c r="B9574" s="25"/>
      <c r="C9574" s="25"/>
      <c r="D9574" s="25"/>
      <c r="E9574" s="25"/>
      <c r="F9574" s="25"/>
      <c r="G9574" s="25"/>
      <c r="H9574" s="25"/>
      <c r="I9574" s="25"/>
      <c r="J9574" s="25"/>
    </row>
    <row r="9575" spans="1:10" ht="14.4">
      <c r="A9575" s="25"/>
      <c r="B9575" s="25"/>
      <c r="C9575" s="25"/>
      <c r="D9575" s="25"/>
      <c r="E9575" s="25"/>
      <c r="F9575" s="25"/>
      <c r="G9575" s="25"/>
      <c r="H9575" s="25"/>
      <c r="I9575" s="25"/>
      <c r="J9575" s="25"/>
    </row>
    <row r="9576" spans="1:10" ht="14.4">
      <c r="A9576" s="25"/>
      <c r="B9576" s="25"/>
      <c r="C9576" s="25"/>
      <c r="D9576" s="25"/>
      <c r="E9576" s="25"/>
      <c r="F9576" s="25"/>
      <c r="G9576" s="25"/>
      <c r="H9576" s="25"/>
      <c r="I9576" s="25"/>
      <c r="J9576" s="25"/>
    </row>
    <row r="9577" spans="1:10" ht="14.4">
      <c r="A9577" s="25"/>
      <c r="B9577" s="25"/>
      <c r="C9577" s="25"/>
      <c r="D9577" s="25"/>
      <c r="E9577" s="25"/>
      <c r="F9577" s="25"/>
      <c r="G9577" s="25"/>
      <c r="H9577" s="25"/>
      <c r="I9577" s="25"/>
      <c r="J9577" s="25"/>
    </row>
    <row r="9578" spans="1:10" ht="14.4">
      <c r="A9578" s="25"/>
      <c r="B9578" s="25"/>
      <c r="C9578" s="25"/>
      <c r="D9578" s="25"/>
      <c r="E9578" s="25"/>
      <c r="F9578" s="25"/>
      <c r="G9578" s="25"/>
      <c r="H9578" s="25"/>
      <c r="I9578" s="25"/>
      <c r="J9578" s="25"/>
    </row>
    <row r="9579" spans="1:10" ht="14.4">
      <c r="A9579" s="25"/>
      <c r="B9579" s="25"/>
      <c r="C9579" s="25"/>
      <c r="D9579" s="25"/>
      <c r="E9579" s="25"/>
      <c r="F9579" s="25"/>
      <c r="G9579" s="25"/>
      <c r="H9579" s="25"/>
      <c r="I9579" s="25"/>
      <c r="J9579" s="25"/>
    </row>
    <row r="9580" spans="1:10" ht="14.4">
      <c r="A9580" s="25"/>
      <c r="B9580" s="25"/>
      <c r="C9580" s="25"/>
      <c r="D9580" s="25"/>
      <c r="E9580" s="25"/>
      <c r="F9580" s="25"/>
      <c r="G9580" s="25"/>
      <c r="H9580" s="25"/>
      <c r="I9580" s="25"/>
      <c r="J9580" s="25"/>
    </row>
    <row r="9581" spans="1:10" ht="14.4">
      <c r="A9581" s="25"/>
      <c r="B9581" s="25"/>
      <c r="C9581" s="25"/>
      <c r="D9581" s="25"/>
      <c r="E9581" s="25"/>
      <c r="F9581" s="25"/>
      <c r="G9581" s="25"/>
      <c r="H9581" s="25"/>
      <c r="I9581" s="25"/>
      <c r="J9581" s="25"/>
    </row>
    <row r="9582" spans="1:10" ht="14.4">
      <c r="A9582" s="25"/>
      <c r="B9582" s="25"/>
      <c r="C9582" s="25"/>
      <c r="D9582" s="25"/>
      <c r="E9582" s="25"/>
      <c r="F9582" s="25"/>
      <c r="G9582" s="25"/>
      <c r="H9582" s="25"/>
      <c r="I9582" s="25"/>
      <c r="J9582" s="25"/>
    </row>
    <row r="9583" spans="1:10" ht="14.4">
      <c r="A9583" s="25"/>
      <c r="B9583" s="25"/>
      <c r="C9583" s="25"/>
      <c r="D9583" s="25"/>
      <c r="E9583" s="25"/>
      <c r="F9583" s="25"/>
      <c r="G9583" s="25"/>
      <c r="H9583" s="25"/>
      <c r="I9583" s="25"/>
      <c r="J9583" s="25"/>
    </row>
    <row r="9584" spans="1:10" ht="14.4">
      <c r="A9584" s="25"/>
      <c r="B9584" s="25"/>
      <c r="C9584" s="25"/>
      <c r="D9584" s="25"/>
      <c r="E9584" s="25"/>
      <c r="F9584" s="25"/>
      <c r="G9584" s="25"/>
      <c r="H9584" s="25"/>
      <c r="I9584" s="25"/>
      <c r="J9584" s="25"/>
    </row>
    <row r="9585" spans="1:10" ht="14.4">
      <c r="A9585" s="25"/>
      <c r="B9585" s="25"/>
      <c r="C9585" s="25"/>
      <c r="D9585" s="25"/>
      <c r="E9585" s="25"/>
      <c r="F9585" s="25"/>
      <c r="G9585" s="25"/>
      <c r="H9585" s="25"/>
      <c r="I9585" s="25"/>
      <c r="J9585" s="25"/>
    </row>
    <row r="9586" spans="1:10" ht="14.4">
      <c r="A9586" s="25"/>
      <c r="B9586" s="25"/>
      <c r="C9586" s="25"/>
      <c r="D9586" s="25"/>
      <c r="E9586" s="25"/>
      <c r="F9586" s="25"/>
      <c r="G9586" s="25"/>
      <c r="H9586" s="25"/>
      <c r="I9586" s="25"/>
      <c r="J9586" s="25"/>
    </row>
    <row r="9587" spans="1:10" ht="14.4">
      <c r="A9587" s="25"/>
      <c r="B9587" s="25"/>
      <c r="C9587" s="25"/>
      <c r="D9587" s="25"/>
      <c r="E9587" s="25"/>
      <c r="F9587" s="25"/>
      <c r="G9587" s="25"/>
      <c r="H9587" s="25"/>
      <c r="I9587" s="25"/>
      <c r="J9587" s="25"/>
    </row>
    <row r="9588" spans="1:10" ht="14.4">
      <c r="A9588" s="25"/>
      <c r="B9588" s="25"/>
      <c r="C9588" s="25"/>
      <c r="D9588" s="25"/>
      <c r="E9588" s="25"/>
      <c r="F9588" s="25"/>
      <c r="G9588" s="25"/>
      <c r="H9588" s="25"/>
      <c r="I9588" s="25"/>
      <c r="J9588" s="25"/>
    </row>
    <row r="9589" spans="1:10" ht="14.4">
      <c r="A9589" s="25"/>
      <c r="B9589" s="25"/>
      <c r="C9589" s="25"/>
      <c r="D9589" s="25"/>
      <c r="E9589" s="25"/>
      <c r="F9589" s="25"/>
      <c r="G9589" s="25"/>
      <c r="H9589" s="25"/>
      <c r="I9589" s="25"/>
      <c r="J9589" s="25"/>
    </row>
    <row r="9590" spans="1:10" ht="14.4">
      <c r="A9590" s="25"/>
      <c r="B9590" s="25"/>
      <c r="C9590" s="25"/>
      <c r="D9590" s="25"/>
      <c r="E9590" s="25"/>
      <c r="F9590" s="25"/>
      <c r="G9590" s="25"/>
      <c r="H9590" s="25"/>
      <c r="I9590" s="25"/>
      <c r="J9590" s="25"/>
    </row>
    <row r="9591" spans="1:10" ht="14.4">
      <c r="A9591" s="25"/>
      <c r="B9591" s="25"/>
      <c r="C9591" s="25"/>
      <c r="D9591" s="25"/>
      <c r="E9591" s="25"/>
      <c r="F9591" s="25"/>
      <c r="G9591" s="25"/>
      <c r="H9591" s="25"/>
      <c r="I9591" s="25"/>
      <c r="J9591" s="25"/>
    </row>
    <row r="9592" spans="1:10" ht="14.4">
      <c r="A9592" s="25"/>
      <c r="B9592" s="25"/>
      <c r="C9592" s="25"/>
      <c r="D9592" s="25"/>
      <c r="E9592" s="25"/>
      <c r="F9592" s="25"/>
      <c r="G9592" s="25"/>
      <c r="H9592" s="25"/>
      <c r="I9592" s="25"/>
      <c r="J9592" s="25"/>
    </row>
    <row r="9593" spans="1:10" ht="14.4">
      <c r="A9593" s="25"/>
      <c r="B9593" s="25"/>
      <c r="C9593" s="25"/>
      <c r="D9593" s="25"/>
      <c r="E9593" s="25"/>
      <c r="F9593" s="25"/>
      <c r="G9593" s="25"/>
      <c r="H9593" s="25"/>
      <c r="I9593" s="25"/>
      <c r="J9593" s="25"/>
    </row>
    <row r="9594" spans="1:10" ht="14.4">
      <c r="A9594" s="25"/>
      <c r="B9594" s="25"/>
      <c r="C9594" s="25"/>
      <c r="D9594" s="25"/>
      <c r="E9594" s="25"/>
      <c r="F9594" s="25"/>
      <c r="G9594" s="25"/>
      <c r="H9594" s="25"/>
      <c r="I9594" s="25"/>
      <c r="J9594" s="25"/>
    </row>
    <row r="9595" spans="1:10" ht="14.4">
      <c r="A9595" s="25"/>
      <c r="B9595" s="25"/>
      <c r="C9595" s="25"/>
      <c r="D9595" s="25"/>
      <c r="E9595" s="25"/>
      <c r="F9595" s="25"/>
      <c r="G9595" s="25"/>
      <c r="H9595" s="25"/>
      <c r="I9595" s="25"/>
      <c r="J9595" s="25"/>
    </row>
    <row r="9596" spans="1:10" ht="14.4">
      <c r="A9596" s="25"/>
      <c r="B9596" s="25"/>
      <c r="C9596" s="25"/>
      <c r="D9596" s="25"/>
      <c r="E9596" s="25"/>
      <c r="F9596" s="25"/>
      <c r="G9596" s="25"/>
      <c r="H9596" s="25"/>
      <c r="I9596" s="25"/>
      <c r="J9596" s="25"/>
    </row>
    <row r="9597" spans="1:10" ht="14.4">
      <c r="A9597" s="25"/>
      <c r="B9597" s="25"/>
      <c r="C9597" s="25"/>
      <c r="D9597" s="25"/>
      <c r="E9597" s="25"/>
      <c r="F9597" s="25"/>
      <c r="G9597" s="25"/>
      <c r="H9597" s="25"/>
      <c r="I9597" s="25"/>
      <c r="J9597" s="25"/>
    </row>
    <row r="9598" spans="1:10" ht="14.4">
      <c r="A9598" s="25"/>
      <c r="B9598" s="25"/>
      <c r="C9598" s="25"/>
      <c r="D9598" s="25"/>
      <c r="E9598" s="25"/>
      <c r="F9598" s="25"/>
      <c r="G9598" s="25"/>
      <c r="H9598" s="25"/>
      <c r="I9598" s="25"/>
      <c r="J9598" s="25"/>
    </row>
    <row r="9599" spans="1:10" ht="14.4">
      <c r="A9599" s="25"/>
      <c r="B9599" s="25"/>
      <c r="C9599" s="25"/>
      <c r="D9599" s="25"/>
      <c r="E9599" s="25"/>
      <c r="F9599" s="25"/>
      <c r="G9599" s="25"/>
      <c r="H9599" s="25"/>
      <c r="I9599" s="25"/>
      <c r="J9599" s="25"/>
    </row>
    <row r="9600" spans="1:10" ht="14.4">
      <c r="A9600" s="25"/>
      <c r="B9600" s="25"/>
      <c r="C9600" s="25"/>
      <c r="D9600" s="25"/>
      <c r="E9600" s="25"/>
      <c r="F9600" s="25"/>
      <c r="G9600" s="25"/>
      <c r="H9600" s="25"/>
      <c r="I9600" s="25"/>
      <c r="J9600" s="25"/>
    </row>
    <row r="9601" spans="1:10" ht="14.4">
      <c r="A9601" s="25"/>
      <c r="B9601" s="25"/>
      <c r="C9601" s="25"/>
      <c r="D9601" s="25"/>
      <c r="E9601" s="25"/>
      <c r="F9601" s="25"/>
      <c r="G9601" s="25"/>
      <c r="H9601" s="25"/>
      <c r="I9601" s="25"/>
      <c r="J9601" s="25"/>
    </row>
    <row r="9602" spans="1:10" ht="14.4">
      <c r="A9602" s="25"/>
      <c r="B9602" s="25"/>
      <c r="C9602" s="25"/>
      <c r="D9602" s="25"/>
      <c r="E9602" s="25"/>
      <c r="F9602" s="25"/>
      <c r="G9602" s="25"/>
      <c r="H9602" s="25"/>
      <c r="I9602" s="25"/>
      <c r="J9602" s="25"/>
    </row>
    <row r="9603" spans="1:10" ht="14.4">
      <c r="A9603" s="25"/>
      <c r="B9603" s="25"/>
      <c r="C9603" s="25"/>
      <c r="D9603" s="25"/>
      <c r="E9603" s="25"/>
      <c r="F9603" s="25"/>
      <c r="G9603" s="25"/>
      <c r="H9603" s="25"/>
      <c r="I9603" s="25"/>
      <c r="J9603" s="25"/>
    </row>
    <row r="9604" spans="1:10" ht="14.4">
      <c r="A9604" s="25"/>
      <c r="B9604" s="25"/>
      <c r="C9604" s="25"/>
      <c r="D9604" s="25"/>
      <c r="E9604" s="25"/>
      <c r="F9604" s="25"/>
      <c r="G9604" s="25"/>
      <c r="H9604" s="25"/>
      <c r="I9604" s="25"/>
      <c r="J9604" s="25"/>
    </row>
    <row r="9605" spans="1:10" ht="14.4">
      <c r="A9605" s="25"/>
      <c r="B9605" s="25"/>
      <c r="C9605" s="25"/>
      <c r="D9605" s="25"/>
      <c r="E9605" s="25"/>
      <c r="F9605" s="25"/>
      <c r="G9605" s="25"/>
      <c r="H9605" s="25"/>
      <c r="I9605" s="25"/>
      <c r="J9605" s="25"/>
    </row>
    <row r="9606" spans="1:10" ht="14.4">
      <c r="A9606" s="25"/>
      <c r="B9606" s="25"/>
      <c r="C9606" s="25"/>
      <c r="D9606" s="25"/>
      <c r="E9606" s="25"/>
      <c r="F9606" s="25"/>
      <c r="G9606" s="25"/>
      <c r="H9606" s="25"/>
      <c r="I9606" s="25"/>
      <c r="J9606" s="25"/>
    </row>
    <row r="9607" spans="1:10" ht="14.4">
      <c r="A9607" s="25"/>
      <c r="B9607" s="25"/>
      <c r="C9607" s="25"/>
      <c r="D9607" s="25"/>
      <c r="E9607" s="25"/>
      <c r="F9607" s="25"/>
      <c r="G9607" s="25"/>
      <c r="H9607" s="25"/>
      <c r="I9607" s="25"/>
      <c r="J9607" s="25"/>
    </row>
    <row r="9608" spans="1:10" ht="14.4">
      <c r="A9608" s="25"/>
      <c r="B9608" s="25"/>
      <c r="C9608" s="25"/>
      <c r="D9608" s="25"/>
      <c r="E9608" s="25"/>
      <c r="F9608" s="25"/>
      <c r="G9608" s="25"/>
      <c r="H9608" s="25"/>
      <c r="I9608" s="25"/>
      <c r="J9608" s="25"/>
    </row>
    <row r="9609" spans="1:10" ht="14.4">
      <c r="A9609" s="25"/>
      <c r="B9609" s="25"/>
      <c r="C9609" s="25"/>
      <c r="D9609" s="25"/>
      <c r="E9609" s="25"/>
      <c r="F9609" s="25"/>
      <c r="G9609" s="25"/>
      <c r="H9609" s="25"/>
      <c r="I9609" s="25"/>
      <c r="J9609" s="25"/>
    </row>
    <row r="9610" spans="1:10" ht="14.4">
      <c r="A9610" s="25"/>
      <c r="B9610" s="25"/>
      <c r="C9610" s="25"/>
      <c r="D9610" s="25"/>
      <c r="E9610" s="25"/>
      <c r="F9610" s="25"/>
      <c r="G9610" s="25"/>
      <c r="H9610" s="25"/>
      <c r="I9610" s="25"/>
      <c r="J9610" s="25"/>
    </row>
    <row r="9611" spans="1:10" ht="14.4">
      <c r="A9611" s="25"/>
      <c r="B9611" s="25"/>
      <c r="C9611" s="25"/>
      <c r="D9611" s="25"/>
      <c r="E9611" s="25"/>
      <c r="F9611" s="25"/>
      <c r="G9611" s="25"/>
      <c r="H9611" s="25"/>
      <c r="I9611" s="25"/>
      <c r="J9611" s="25"/>
    </row>
    <row r="9612" spans="1:10" ht="14.4">
      <c r="A9612" s="25"/>
      <c r="B9612" s="25"/>
      <c r="C9612" s="25"/>
      <c r="D9612" s="25"/>
      <c r="E9612" s="25"/>
      <c r="F9612" s="25"/>
      <c r="G9612" s="25"/>
      <c r="H9612" s="25"/>
      <c r="I9612" s="25"/>
      <c r="J9612" s="25"/>
    </row>
    <row r="9613" spans="1:10" ht="14.4">
      <c r="A9613" s="25"/>
      <c r="B9613" s="25"/>
      <c r="C9613" s="25"/>
      <c r="D9613" s="25"/>
      <c r="E9613" s="25"/>
      <c r="F9613" s="25"/>
      <c r="G9613" s="25"/>
      <c r="H9613" s="25"/>
      <c r="I9613" s="25"/>
      <c r="J9613" s="25"/>
    </row>
    <row r="9614" spans="1:10" ht="14.4">
      <c r="A9614" s="25"/>
      <c r="B9614" s="25"/>
      <c r="C9614" s="25"/>
      <c r="D9614" s="25"/>
      <c r="E9614" s="25"/>
      <c r="F9614" s="25"/>
      <c r="G9614" s="25"/>
      <c r="H9614" s="25"/>
      <c r="I9614" s="25"/>
      <c r="J9614" s="25"/>
    </row>
    <row r="9615" spans="1:10" ht="14.4">
      <c r="A9615" s="25"/>
      <c r="B9615" s="25"/>
      <c r="C9615" s="25"/>
      <c r="D9615" s="25"/>
      <c r="E9615" s="25"/>
      <c r="F9615" s="25"/>
      <c r="G9615" s="25"/>
      <c r="H9615" s="25"/>
      <c r="I9615" s="25"/>
      <c r="J9615" s="25"/>
    </row>
    <row r="9616" spans="1:10" ht="14.4">
      <c r="A9616" s="25"/>
      <c r="B9616" s="25"/>
      <c r="C9616" s="25"/>
      <c r="D9616" s="25"/>
      <c r="E9616" s="25"/>
      <c r="F9616" s="25"/>
      <c r="G9616" s="25"/>
      <c r="H9616" s="25"/>
      <c r="I9616" s="25"/>
      <c r="J9616" s="25"/>
    </row>
    <row r="9617" spans="1:10" ht="14.4">
      <c r="A9617" s="25"/>
      <c r="B9617" s="25"/>
      <c r="C9617" s="25"/>
      <c r="D9617" s="25"/>
      <c r="E9617" s="25"/>
      <c r="F9617" s="25"/>
      <c r="G9617" s="25"/>
      <c r="H9617" s="25"/>
      <c r="I9617" s="25"/>
      <c r="J9617" s="25"/>
    </row>
    <row r="9618" spans="1:10" ht="14.4">
      <c r="A9618" s="25"/>
      <c r="B9618" s="25"/>
      <c r="C9618" s="25"/>
      <c r="D9618" s="25"/>
      <c r="E9618" s="25"/>
      <c r="F9618" s="25"/>
      <c r="G9618" s="25"/>
      <c r="H9618" s="25"/>
      <c r="I9618" s="25"/>
      <c r="J9618" s="25"/>
    </row>
    <row r="9619" spans="1:10" ht="14.4">
      <c r="A9619" s="25"/>
      <c r="B9619" s="25"/>
      <c r="C9619" s="25"/>
      <c r="D9619" s="25"/>
      <c r="E9619" s="25"/>
      <c r="F9619" s="25"/>
      <c r="G9619" s="25"/>
      <c r="H9619" s="25"/>
      <c r="I9619" s="25"/>
      <c r="J9619" s="25"/>
    </row>
    <row r="9620" spans="1:10" ht="14.4">
      <c r="A9620" s="25"/>
      <c r="B9620" s="25"/>
      <c r="C9620" s="25"/>
      <c r="D9620" s="25"/>
      <c r="E9620" s="25"/>
      <c r="F9620" s="25"/>
      <c r="G9620" s="25"/>
      <c r="H9620" s="25"/>
      <c r="I9620" s="25"/>
      <c r="J9620" s="25"/>
    </row>
    <row r="9621" spans="1:10" ht="14.4">
      <c r="A9621" s="25"/>
      <c r="B9621" s="25"/>
      <c r="C9621" s="25"/>
      <c r="D9621" s="25"/>
      <c r="E9621" s="25"/>
      <c r="F9621" s="25"/>
      <c r="G9621" s="25"/>
      <c r="H9621" s="25"/>
      <c r="I9621" s="25"/>
      <c r="J9621" s="25"/>
    </row>
    <row r="9622" spans="1:10" ht="14.4">
      <c r="A9622" s="25"/>
      <c r="B9622" s="25"/>
      <c r="C9622" s="25"/>
      <c r="D9622" s="25"/>
      <c r="E9622" s="25"/>
      <c r="F9622" s="25"/>
      <c r="G9622" s="25"/>
      <c r="H9622" s="25"/>
      <c r="I9622" s="25"/>
      <c r="J9622" s="25"/>
    </row>
    <row r="9623" spans="1:10" ht="14.4">
      <c r="A9623" s="25"/>
      <c r="B9623" s="25"/>
      <c r="C9623" s="25"/>
      <c r="D9623" s="25"/>
      <c r="E9623" s="25"/>
      <c r="F9623" s="25"/>
      <c r="G9623" s="25"/>
      <c r="H9623" s="25"/>
      <c r="I9623" s="25"/>
      <c r="J9623" s="25"/>
    </row>
    <row r="9624" spans="1:10" ht="14.4">
      <c r="A9624" s="25"/>
      <c r="B9624" s="25"/>
      <c r="C9624" s="25"/>
      <c r="D9624" s="25"/>
      <c r="E9624" s="25"/>
      <c r="F9624" s="25"/>
      <c r="G9624" s="25"/>
      <c r="H9624" s="25"/>
      <c r="I9624" s="25"/>
      <c r="J9624" s="25"/>
    </row>
    <row r="9625" spans="1:10" ht="14.4">
      <c r="A9625" s="25"/>
      <c r="B9625" s="25"/>
      <c r="C9625" s="25"/>
      <c r="D9625" s="25"/>
      <c r="E9625" s="25"/>
      <c r="F9625" s="25"/>
      <c r="G9625" s="25"/>
      <c r="H9625" s="25"/>
      <c r="I9625" s="25"/>
      <c r="J9625" s="25"/>
    </row>
    <row r="9626" spans="1:10" ht="14.4">
      <c r="A9626" s="25"/>
      <c r="B9626" s="25"/>
      <c r="C9626" s="25"/>
      <c r="D9626" s="25"/>
      <c r="E9626" s="25"/>
      <c r="F9626" s="25"/>
      <c r="G9626" s="25"/>
      <c r="H9626" s="25"/>
      <c r="I9626" s="25"/>
      <c r="J9626" s="25"/>
    </row>
    <row r="9627" spans="1:10" ht="14.4">
      <c r="A9627" s="25"/>
      <c r="B9627" s="25"/>
      <c r="C9627" s="25"/>
      <c r="D9627" s="25"/>
      <c r="E9627" s="25"/>
      <c r="F9627" s="25"/>
      <c r="G9627" s="25"/>
      <c r="H9627" s="25"/>
      <c r="I9627" s="25"/>
      <c r="J9627" s="25"/>
    </row>
    <row r="9628" spans="1:10" ht="14.4">
      <c r="A9628" s="25"/>
      <c r="B9628" s="25"/>
      <c r="C9628" s="25"/>
      <c r="D9628" s="25"/>
      <c r="E9628" s="25"/>
      <c r="F9628" s="25"/>
      <c r="G9628" s="25"/>
      <c r="H9628" s="25"/>
      <c r="I9628" s="25"/>
      <c r="J9628" s="25"/>
    </row>
    <row r="9629" spans="1:10" ht="14.4">
      <c r="A9629" s="25"/>
      <c r="B9629" s="25"/>
      <c r="C9629" s="25"/>
      <c r="D9629" s="25"/>
      <c r="E9629" s="25"/>
      <c r="F9629" s="25"/>
      <c r="G9629" s="25"/>
      <c r="H9629" s="25"/>
      <c r="I9629" s="25"/>
      <c r="J9629" s="25"/>
    </row>
    <row r="9630" spans="1:10" ht="14.4">
      <c r="A9630" s="25"/>
      <c r="B9630" s="25"/>
      <c r="C9630" s="25"/>
      <c r="D9630" s="25"/>
      <c r="E9630" s="25"/>
      <c r="F9630" s="25"/>
      <c r="G9630" s="25"/>
      <c r="H9630" s="25"/>
      <c r="I9630" s="25"/>
      <c r="J9630" s="25"/>
    </row>
    <row r="9631" spans="1:10" ht="14.4">
      <c r="A9631" s="25"/>
      <c r="B9631" s="25"/>
      <c r="C9631" s="25"/>
      <c r="D9631" s="25"/>
      <c r="E9631" s="25"/>
      <c r="F9631" s="25"/>
      <c r="G9631" s="25"/>
      <c r="H9631" s="25"/>
      <c r="I9631" s="25"/>
      <c r="J9631" s="25"/>
    </row>
    <row r="9632" spans="1:10" ht="14.4">
      <c r="A9632" s="25"/>
      <c r="B9632" s="25"/>
      <c r="C9632" s="25"/>
      <c r="D9632" s="25"/>
      <c r="E9632" s="25"/>
      <c r="F9632" s="25"/>
      <c r="G9632" s="25"/>
      <c r="H9632" s="25"/>
      <c r="I9632" s="25"/>
      <c r="J9632" s="25"/>
    </row>
    <row r="9633" spans="1:10" ht="14.4">
      <c r="A9633" s="25"/>
      <c r="B9633" s="25"/>
      <c r="C9633" s="25"/>
      <c r="D9633" s="25"/>
      <c r="E9633" s="25"/>
      <c r="F9633" s="25"/>
      <c r="G9633" s="25"/>
      <c r="H9633" s="25"/>
      <c r="I9633" s="25"/>
      <c r="J9633" s="25"/>
    </row>
    <row r="9634" spans="1:10" ht="14.4">
      <c r="A9634" s="25"/>
      <c r="B9634" s="25"/>
      <c r="C9634" s="25"/>
      <c r="D9634" s="25"/>
      <c r="E9634" s="25"/>
      <c r="F9634" s="25"/>
      <c r="G9634" s="25"/>
      <c r="H9634" s="25"/>
      <c r="I9634" s="25"/>
      <c r="J9634" s="25"/>
    </row>
    <row r="9635" spans="1:10" ht="14.4">
      <c r="A9635" s="25"/>
      <c r="B9635" s="25"/>
      <c r="C9635" s="25"/>
      <c r="D9635" s="25"/>
      <c r="E9635" s="25"/>
      <c r="F9635" s="25"/>
      <c r="G9635" s="25"/>
      <c r="H9635" s="25"/>
      <c r="I9635" s="25"/>
      <c r="J9635" s="25"/>
    </row>
    <row r="9636" spans="1:10" ht="14.4">
      <c r="A9636" s="25"/>
      <c r="B9636" s="25"/>
      <c r="C9636" s="25"/>
      <c r="D9636" s="25"/>
      <c r="E9636" s="25"/>
      <c r="F9636" s="25"/>
      <c r="G9636" s="25"/>
      <c r="H9636" s="25"/>
      <c r="I9636" s="25"/>
      <c r="J9636" s="25"/>
    </row>
    <row r="9637" spans="1:10" ht="14.4">
      <c r="A9637" s="25"/>
      <c r="B9637" s="25"/>
      <c r="C9637" s="25"/>
      <c r="D9637" s="25"/>
      <c r="E9637" s="25"/>
      <c r="F9637" s="25"/>
      <c r="G9637" s="25"/>
      <c r="H9637" s="25"/>
      <c r="I9637" s="25"/>
      <c r="J9637" s="25"/>
    </row>
    <row r="9638" spans="1:10" ht="14.4">
      <c r="A9638" s="25"/>
      <c r="B9638" s="25"/>
      <c r="C9638" s="25"/>
      <c r="D9638" s="25"/>
      <c r="E9638" s="25"/>
      <c r="F9638" s="25"/>
      <c r="G9638" s="25"/>
      <c r="H9638" s="25"/>
      <c r="I9638" s="25"/>
      <c r="J9638" s="25"/>
    </row>
    <row r="9639" spans="1:10" ht="14.4">
      <c r="A9639" s="25"/>
      <c r="B9639" s="25"/>
      <c r="C9639" s="25"/>
      <c r="D9639" s="25"/>
      <c r="E9639" s="25"/>
      <c r="F9639" s="25"/>
      <c r="G9639" s="25"/>
      <c r="H9639" s="25"/>
      <c r="I9639" s="25"/>
      <c r="J9639" s="25"/>
    </row>
    <row r="9640" spans="1:10" ht="14.4">
      <c r="A9640" s="25"/>
      <c r="B9640" s="25"/>
      <c r="C9640" s="25"/>
      <c r="D9640" s="25"/>
      <c r="E9640" s="25"/>
      <c r="F9640" s="25"/>
      <c r="G9640" s="25"/>
      <c r="H9640" s="25"/>
      <c r="I9640" s="25"/>
      <c r="J9640" s="25"/>
    </row>
    <row r="9641" spans="1:10" ht="14.4">
      <c r="A9641" s="25"/>
      <c r="B9641" s="25"/>
      <c r="C9641" s="25"/>
      <c r="D9641" s="25"/>
      <c r="E9641" s="25"/>
      <c r="F9641" s="25"/>
      <c r="G9641" s="25"/>
      <c r="H9641" s="25"/>
      <c r="I9641" s="25"/>
      <c r="J9641" s="25"/>
    </row>
    <row r="9642" spans="1:10" ht="14.4">
      <c r="A9642" s="25"/>
      <c r="B9642" s="25"/>
      <c r="C9642" s="25"/>
      <c r="D9642" s="25"/>
      <c r="E9642" s="25"/>
      <c r="F9642" s="25"/>
      <c r="G9642" s="25"/>
      <c r="H9642" s="25"/>
      <c r="I9642" s="25"/>
      <c r="J9642" s="25"/>
    </row>
    <row r="9643" spans="1:10" ht="14.4">
      <c r="A9643" s="25"/>
      <c r="B9643" s="25"/>
      <c r="C9643" s="25"/>
      <c r="D9643" s="25"/>
      <c r="E9643" s="25"/>
      <c r="F9643" s="25"/>
      <c r="G9643" s="25"/>
      <c r="H9643" s="25"/>
      <c r="I9643" s="25"/>
      <c r="J9643" s="25"/>
    </row>
    <row r="9644" spans="1:10" ht="14.4">
      <c r="A9644" s="25"/>
      <c r="B9644" s="25"/>
      <c r="C9644" s="25"/>
      <c r="D9644" s="25"/>
      <c r="E9644" s="25"/>
      <c r="F9644" s="25"/>
      <c r="G9644" s="25"/>
      <c r="H9644" s="25"/>
      <c r="I9644" s="25"/>
      <c r="J9644" s="25"/>
    </row>
    <row r="9645" spans="1:10" ht="14.4">
      <c r="A9645" s="25"/>
      <c r="B9645" s="25"/>
      <c r="C9645" s="25"/>
      <c r="D9645" s="25"/>
      <c r="E9645" s="25"/>
      <c r="F9645" s="25"/>
      <c r="G9645" s="25"/>
      <c r="H9645" s="25"/>
      <c r="I9645" s="25"/>
      <c r="J9645" s="25"/>
    </row>
    <row r="9646" spans="1:10" ht="14.4">
      <c r="A9646" s="25"/>
      <c r="B9646" s="25"/>
      <c r="C9646" s="25"/>
      <c r="D9646" s="25"/>
      <c r="E9646" s="25"/>
      <c r="F9646" s="25"/>
      <c r="G9646" s="25"/>
      <c r="H9646" s="25"/>
      <c r="I9646" s="25"/>
      <c r="J9646" s="25"/>
    </row>
    <row r="9647" spans="1:10" ht="14.4">
      <c r="A9647" s="25"/>
      <c r="B9647" s="25"/>
      <c r="C9647" s="25"/>
      <c r="D9647" s="25"/>
      <c r="E9647" s="25"/>
      <c r="F9647" s="25"/>
      <c r="G9647" s="25"/>
      <c r="H9647" s="25"/>
      <c r="I9647" s="25"/>
      <c r="J9647" s="25"/>
    </row>
    <row r="9648" spans="1:10" ht="14.4">
      <c r="A9648" s="25"/>
      <c r="B9648" s="25"/>
      <c r="C9648" s="25"/>
      <c r="D9648" s="25"/>
      <c r="E9648" s="25"/>
      <c r="F9648" s="25"/>
      <c r="G9648" s="25"/>
      <c r="H9648" s="25"/>
      <c r="I9648" s="25"/>
      <c r="J9648" s="25"/>
    </row>
    <row r="9649" spans="1:10" ht="14.4">
      <c r="A9649" s="25"/>
      <c r="B9649" s="25"/>
      <c r="C9649" s="25"/>
      <c r="D9649" s="25"/>
      <c r="E9649" s="25"/>
      <c r="F9649" s="25"/>
      <c r="G9649" s="25"/>
      <c r="H9649" s="25"/>
      <c r="I9649" s="25"/>
      <c r="J9649" s="25"/>
    </row>
    <row r="9650" spans="1:10" ht="14.4">
      <c r="A9650" s="25"/>
      <c r="B9650" s="25"/>
      <c r="C9650" s="25"/>
      <c r="D9650" s="25"/>
      <c r="E9650" s="25"/>
      <c r="F9650" s="25"/>
      <c r="G9650" s="25"/>
      <c r="H9650" s="25"/>
      <c r="I9650" s="25"/>
      <c r="J9650" s="25"/>
    </row>
    <row r="9651" spans="1:10" ht="14.4">
      <c r="A9651" s="25"/>
      <c r="B9651" s="25"/>
      <c r="C9651" s="25"/>
      <c r="D9651" s="25"/>
      <c r="E9651" s="25"/>
      <c r="F9651" s="25"/>
      <c r="G9651" s="25"/>
      <c r="H9651" s="25"/>
      <c r="I9651" s="25"/>
      <c r="J9651" s="25"/>
    </row>
    <row r="9652" spans="1:10" ht="14.4">
      <c r="A9652" s="25"/>
      <c r="B9652" s="25"/>
      <c r="C9652" s="25"/>
      <c r="D9652" s="25"/>
      <c r="E9652" s="25"/>
      <c r="F9652" s="25"/>
      <c r="G9652" s="25"/>
      <c r="H9652" s="25"/>
      <c r="I9652" s="25"/>
      <c r="J9652" s="25"/>
    </row>
    <row r="9653" spans="1:10" ht="14.4">
      <c r="A9653" s="25"/>
      <c r="B9653" s="25"/>
      <c r="C9653" s="25"/>
      <c r="D9653" s="25"/>
      <c r="E9653" s="25"/>
      <c r="F9653" s="25"/>
      <c r="G9653" s="25"/>
      <c r="H9653" s="25"/>
      <c r="I9653" s="25"/>
      <c r="J9653" s="25"/>
    </row>
    <row r="9654" spans="1:10" ht="14.4">
      <c r="A9654" s="25"/>
      <c r="B9654" s="25"/>
      <c r="C9654" s="25"/>
      <c r="D9654" s="25"/>
      <c r="E9654" s="25"/>
      <c r="F9654" s="25"/>
      <c r="G9654" s="25"/>
      <c r="H9654" s="25"/>
      <c r="I9654" s="25"/>
      <c r="J9654" s="25"/>
    </row>
    <row r="9655" spans="1:10" ht="14.4">
      <c r="A9655" s="25"/>
      <c r="B9655" s="25"/>
      <c r="C9655" s="25"/>
      <c r="D9655" s="25"/>
      <c r="E9655" s="25"/>
      <c r="F9655" s="25"/>
      <c r="G9655" s="25"/>
      <c r="H9655" s="25"/>
      <c r="I9655" s="25"/>
      <c r="J9655" s="25"/>
    </row>
    <row r="9656" spans="1:10" ht="14.4">
      <c r="A9656" s="25"/>
      <c r="B9656" s="25"/>
      <c r="C9656" s="25"/>
      <c r="D9656" s="25"/>
      <c r="E9656" s="25"/>
      <c r="F9656" s="25"/>
      <c r="G9656" s="25"/>
      <c r="H9656" s="25"/>
      <c r="I9656" s="25"/>
      <c r="J9656" s="25"/>
    </row>
    <row r="9657" spans="1:10" ht="14.4">
      <c r="A9657" s="25"/>
      <c r="B9657" s="25"/>
      <c r="C9657" s="25"/>
      <c r="D9657" s="25"/>
      <c r="E9657" s="25"/>
      <c r="F9657" s="25"/>
      <c r="G9657" s="25"/>
      <c r="H9657" s="25"/>
      <c r="I9657" s="25"/>
      <c r="J9657" s="25"/>
    </row>
    <row r="9658" spans="1:10" ht="14.4">
      <c r="A9658" s="25"/>
      <c r="B9658" s="25"/>
      <c r="C9658" s="25"/>
      <c r="D9658" s="25"/>
      <c r="E9658" s="25"/>
      <c r="F9658" s="25"/>
      <c r="G9658" s="25"/>
      <c r="H9658" s="25"/>
      <c r="I9658" s="25"/>
      <c r="J9658" s="25"/>
    </row>
    <row r="9659" spans="1:10" ht="14.4">
      <c r="A9659" s="25"/>
      <c r="B9659" s="25"/>
      <c r="C9659" s="25"/>
      <c r="D9659" s="25"/>
      <c r="E9659" s="25"/>
      <c r="F9659" s="25"/>
      <c r="G9659" s="25"/>
      <c r="H9659" s="25"/>
      <c r="I9659" s="25"/>
      <c r="J9659" s="25"/>
    </row>
    <row r="9660" spans="1:10" ht="14.4">
      <c r="A9660" s="25"/>
      <c r="B9660" s="25"/>
      <c r="C9660" s="25"/>
      <c r="D9660" s="25"/>
      <c r="E9660" s="25"/>
      <c r="F9660" s="25"/>
      <c r="G9660" s="25"/>
      <c r="H9660" s="25"/>
      <c r="I9660" s="25"/>
      <c r="J9660" s="25"/>
    </row>
    <row r="9661" spans="1:10" ht="14.4">
      <c r="A9661" s="25"/>
      <c r="B9661" s="25"/>
      <c r="C9661" s="25"/>
      <c r="D9661" s="25"/>
      <c r="E9661" s="25"/>
      <c r="F9661" s="25"/>
      <c r="G9661" s="25"/>
      <c r="H9661" s="25"/>
      <c r="I9661" s="25"/>
      <c r="J9661" s="25"/>
    </row>
    <row r="9662" spans="1:10" ht="14.4">
      <c r="A9662" s="25"/>
      <c r="B9662" s="25"/>
      <c r="C9662" s="25"/>
      <c r="D9662" s="25"/>
      <c r="E9662" s="25"/>
      <c r="F9662" s="25"/>
      <c r="G9662" s="25"/>
      <c r="H9662" s="25"/>
      <c r="I9662" s="25"/>
      <c r="J9662" s="25"/>
    </row>
    <row r="9663" spans="1:10" ht="14.4">
      <c r="A9663" s="25"/>
      <c r="B9663" s="25"/>
      <c r="C9663" s="25"/>
      <c r="D9663" s="25"/>
      <c r="E9663" s="25"/>
      <c r="F9663" s="25"/>
      <c r="G9663" s="25"/>
      <c r="H9663" s="25"/>
      <c r="I9663" s="25"/>
      <c r="J9663" s="25"/>
    </row>
    <row r="9664" spans="1:10" ht="14.4">
      <c r="A9664" s="25"/>
      <c r="B9664" s="25"/>
      <c r="C9664" s="25"/>
      <c r="D9664" s="25"/>
      <c r="E9664" s="25"/>
      <c r="F9664" s="25"/>
      <c r="G9664" s="25"/>
      <c r="H9664" s="25"/>
      <c r="I9664" s="25"/>
      <c r="J9664" s="25"/>
    </row>
    <row r="9665" spans="1:10" ht="14.4">
      <c r="A9665" s="25"/>
      <c r="B9665" s="25"/>
      <c r="C9665" s="25"/>
      <c r="D9665" s="25"/>
      <c r="E9665" s="25"/>
      <c r="F9665" s="25"/>
      <c r="G9665" s="25"/>
      <c r="H9665" s="25"/>
      <c r="I9665" s="25"/>
      <c r="J9665" s="25"/>
    </row>
    <row r="9666" spans="1:10" ht="14.4">
      <c r="A9666" s="25"/>
      <c r="B9666" s="25"/>
      <c r="C9666" s="25"/>
      <c r="D9666" s="25"/>
      <c r="E9666" s="25"/>
      <c r="F9666" s="25"/>
      <c r="G9666" s="25"/>
      <c r="H9666" s="25"/>
      <c r="I9666" s="25"/>
      <c r="J9666" s="25"/>
    </row>
    <row r="9667" spans="1:10" ht="14.4">
      <c r="A9667" s="25"/>
      <c r="B9667" s="25"/>
      <c r="C9667" s="25"/>
      <c r="D9667" s="25"/>
      <c r="E9667" s="25"/>
      <c r="F9667" s="25"/>
      <c r="G9667" s="25"/>
      <c r="H9667" s="25"/>
      <c r="I9667" s="25"/>
      <c r="J9667" s="25"/>
    </row>
    <row r="9668" spans="1:10" ht="14.4">
      <c r="A9668" s="25"/>
      <c r="B9668" s="25"/>
      <c r="C9668" s="25"/>
      <c r="D9668" s="25"/>
      <c r="E9668" s="25"/>
      <c r="F9668" s="25"/>
      <c r="G9668" s="25"/>
      <c r="H9668" s="25"/>
      <c r="I9668" s="25"/>
      <c r="J9668" s="25"/>
    </row>
    <row r="9669" spans="1:10" ht="14.4">
      <c r="A9669" s="25"/>
      <c r="B9669" s="25"/>
      <c r="C9669" s="25"/>
      <c r="D9669" s="25"/>
      <c r="E9669" s="25"/>
      <c r="F9669" s="25"/>
      <c r="G9669" s="25"/>
      <c r="H9669" s="25"/>
      <c r="I9669" s="25"/>
      <c r="J9669" s="25"/>
    </row>
    <row r="9670" spans="1:10" ht="14.4">
      <c r="A9670" s="25"/>
      <c r="B9670" s="25"/>
      <c r="C9670" s="25"/>
      <c r="D9670" s="25"/>
      <c r="E9670" s="25"/>
      <c r="F9670" s="25"/>
      <c r="G9670" s="25"/>
      <c r="H9670" s="25"/>
      <c r="I9670" s="25"/>
      <c r="J9670" s="25"/>
    </row>
    <row r="9671" spans="1:10" ht="14.4">
      <c r="A9671" s="25"/>
      <c r="B9671" s="25"/>
      <c r="C9671" s="25"/>
      <c r="D9671" s="25"/>
      <c r="E9671" s="25"/>
      <c r="F9671" s="25"/>
      <c r="G9671" s="25"/>
      <c r="H9671" s="25"/>
      <c r="I9671" s="25"/>
      <c r="J9671" s="25"/>
    </row>
    <row r="9672" spans="1:10" ht="14.4">
      <c r="A9672" s="25"/>
      <c r="B9672" s="25"/>
      <c r="C9672" s="25"/>
      <c r="D9672" s="25"/>
      <c r="E9672" s="25"/>
      <c r="F9672" s="25"/>
      <c r="G9672" s="25"/>
      <c r="H9672" s="25"/>
      <c r="I9672" s="25"/>
      <c r="J9672" s="25"/>
    </row>
    <row r="9673" spans="1:10" ht="14.4">
      <c r="A9673" s="25"/>
      <c r="B9673" s="25"/>
      <c r="C9673" s="25"/>
      <c r="D9673" s="25"/>
      <c r="E9673" s="25"/>
      <c r="F9673" s="25"/>
      <c r="G9673" s="25"/>
      <c r="H9673" s="25"/>
      <c r="I9673" s="25"/>
      <c r="J9673" s="25"/>
    </row>
    <row r="9674" spans="1:10" ht="14.4">
      <c r="A9674" s="25"/>
      <c r="B9674" s="25"/>
      <c r="C9674" s="25"/>
      <c r="D9674" s="25"/>
      <c r="E9674" s="25"/>
      <c r="F9674" s="25"/>
      <c r="G9674" s="25"/>
      <c r="H9674" s="25"/>
      <c r="I9674" s="25"/>
      <c r="J9674" s="25"/>
    </row>
    <row r="9675" spans="1:10" ht="14.4">
      <c r="A9675" s="25"/>
      <c r="B9675" s="25"/>
      <c r="C9675" s="25"/>
      <c r="D9675" s="25"/>
      <c r="E9675" s="25"/>
      <c r="F9675" s="25"/>
      <c r="G9675" s="25"/>
      <c r="H9675" s="25"/>
      <c r="I9675" s="25"/>
      <c r="J9675" s="25"/>
    </row>
    <row r="9676" spans="1:10" ht="14.4">
      <c r="A9676" s="25"/>
      <c r="B9676" s="25"/>
      <c r="C9676" s="25"/>
      <c r="D9676" s="25"/>
      <c r="E9676" s="25"/>
      <c r="F9676" s="25"/>
      <c r="G9676" s="25"/>
      <c r="H9676" s="25"/>
      <c r="I9676" s="25"/>
      <c r="J9676" s="25"/>
    </row>
    <row r="9677" spans="1:10" ht="14.4">
      <c r="A9677" s="25"/>
      <c r="B9677" s="25"/>
      <c r="C9677" s="25"/>
      <c r="D9677" s="25"/>
      <c r="E9677" s="25"/>
      <c r="F9677" s="25"/>
      <c r="G9677" s="25"/>
      <c r="H9677" s="25"/>
      <c r="I9677" s="25"/>
      <c r="J9677" s="25"/>
    </row>
    <row r="9678" spans="1:10" ht="14.4">
      <c r="A9678" s="25"/>
      <c r="B9678" s="25"/>
      <c r="C9678" s="25"/>
      <c r="D9678" s="25"/>
      <c r="E9678" s="25"/>
      <c r="F9678" s="25"/>
      <c r="G9678" s="25"/>
      <c r="H9678" s="25"/>
      <c r="I9678" s="25"/>
      <c r="J9678" s="25"/>
    </row>
    <row r="9679" spans="1:10" ht="14.4">
      <c r="A9679" s="25"/>
      <c r="B9679" s="25"/>
      <c r="C9679" s="25"/>
      <c r="D9679" s="25"/>
      <c r="E9679" s="25"/>
      <c r="F9679" s="25"/>
      <c r="G9679" s="25"/>
      <c r="H9679" s="25"/>
      <c r="I9679" s="25"/>
      <c r="J9679" s="25"/>
    </row>
    <row r="9680" spans="1:10" ht="14.4">
      <c r="A9680" s="25"/>
      <c r="B9680" s="25"/>
      <c r="C9680" s="25"/>
      <c r="D9680" s="25"/>
      <c r="E9680" s="25"/>
      <c r="F9680" s="25"/>
      <c r="G9680" s="25"/>
      <c r="H9680" s="25"/>
      <c r="I9680" s="25"/>
      <c r="J9680" s="25"/>
    </row>
    <row r="9681" spans="1:10" ht="14.4">
      <c r="A9681" s="25"/>
      <c r="B9681" s="25"/>
      <c r="C9681" s="25"/>
      <c r="D9681" s="25"/>
      <c r="E9681" s="25"/>
      <c r="F9681" s="25"/>
      <c r="G9681" s="25"/>
      <c r="H9681" s="25"/>
      <c r="I9681" s="25"/>
      <c r="J9681" s="25"/>
    </row>
    <row r="9682" spans="1:10" ht="14.4">
      <c r="A9682" s="25"/>
      <c r="B9682" s="25"/>
      <c r="C9682" s="25"/>
      <c r="D9682" s="25"/>
      <c r="E9682" s="25"/>
      <c r="F9682" s="25"/>
      <c r="G9682" s="25"/>
      <c r="H9682" s="25"/>
      <c r="I9682" s="25"/>
      <c r="J9682" s="25"/>
    </row>
    <row r="9683" spans="1:10" ht="14.4">
      <c r="A9683" s="25"/>
      <c r="B9683" s="25"/>
      <c r="C9683" s="25"/>
      <c r="D9683" s="25"/>
      <c r="E9683" s="25"/>
      <c r="F9683" s="25"/>
      <c r="G9683" s="25"/>
      <c r="H9683" s="25"/>
      <c r="I9683" s="25"/>
      <c r="J9683" s="25"/>
    </row>
    <row r="9684" spans="1:10" ht="14.4">
      <c r="A9684" s="25"/>
      <c r="B9684" s="25"/>
      <c r="C9684" s="25"/>
      <c r="D9684" s="25"/>
      <c r="E9684" s="25"/>
      <c r="F9684" s="25"/>
      <c r="G9684" s="25"/>
      <c r="H9684" s="25"/>
      <c r="I9684" s="25"/>
      <c r="J9684" s="25"/>
    </row>
    <row r="9685" spans="1:10" ht="14.4">
      <c r="A9685" s="25"/>
      <c r="B9685" s="25"/>
      <c r="C9685" s="25"/>
      <c r="D9685" s="25"/>
      <c r="E9685" s="25"/>
      <c r="F9685" s="25"/>
      <c r="G9685" s="25"/>
      <c r="H9685" s="25"/>
      <c r="I9685" s="25"/>
      <c r="J9685" s="25"/>
    </row>
    <row r="9686" spans="1:10" ht="14.4">
      <c r="A9686" s="25"/>
      <c r="B9686" s="25"/>
      <c r="C9686" s="25"/>
      <c r="D9686" s="25"/>
      <c r="E9686" s="25"/>
      <c r="F9686" s="25"/>
      <c r="G9686" s="25"/>
      <c r="H9686" s="25"/>
      <c r="I9686" s="25"/>
      <c r="J9686" s="25"/>
    </row>
    <row r="9687" spans="1:10" ht="14.4">
      <c r="A9687" s="25"/>
      <c r="B9687" s="25"/>
      <c r="C9687" s="25"/>
      <c r="D9687" s="25"/>
      <c r="E9687" s="25"/>
      <c r="F9687" s="25"/>
      <c r="G9687" s="25"/>
      <c r="H9687" s="25"/>
      <c r="I9687" s="25"/>
      <c r="J9687" s="25"/>
    </row>
    <row r="9688" spans="1:10" ht="14.4">
      <c r="A9688" s="25"/>
      <c r="B9688" s="25"/>
      <c r="C9688" s="25"/>
      <c r="D9688" s="25"/>
      <c r="E9688" s="25"/>
      <c r="F9688" s="25"/>
      <c r="G9688" s="25"/>
      <c r="H9688" s="25"/>
      <c r="I9688" s="25"/>
      <c r="J9688" s="25"/>
    </row>
    <row r="9689" spans="1:10" ht="14.4">
      <c r="A9689" s="25"/>
      <c r="B9689" s="25"/>
      <c r="C9689" s="25"/>
      <c r="D9689" s="25"/>
      <c r="E9689" s="25"/>
      <c r="F9689" s="25"/>
      <c r="G9689" s="25"/>
      <c r="H9689" s="25"/>
      <c r="I9689" s="25"/>
      <c r="J9689" s="25"/>
    </row>
    <row r="9690" spans="1:10" ht="14.4">
      <c r="A9690" s="25"/>
      <c r="B9690" s="25"/>
      <c r="C9690" s="25"/>
      <c r="D9690" s="25"/>
      <c r="E9690" s="25"/>
      <c r="F9690" s="25"/>
      <c r="G9690" s="25"/>
      <c r="H9690" s="25"/>
      <c r="I9690" s="25"/>
      <c r="J9690" s="25"/>
    </row>
    <row r="9691" spans="1:10" ht="14.4">
      <c r="A9691" s="25"/>
      <c r="B9691" s="25"/>
      <c r="C9691" s="25"/>
      <c r="D9691" s="25"/>
      <c r="E9691" s="25"/>
      <c r="F9691" s="25"/>
      <c r="G9691" s="25"/>
      <c r="H9691" s="25"/>
      <c r="I9691" s="25"/>
      <c r="J9691" s="25"/>
    </row>
    <row r="9692" spans="1:10" ht="14.4">
      <c r="A9692" s="25"/>
      <c r="B9692" s="25"/>
      <c r="C9692" s="25"/>
      <c r="D9692" s="25"/>
      <c r="E9692" s="25"/>
      <c r="F9692" s="25"/>
      <c r="G9692" s="25"/>
      <c r="H9692" s="25"/>
      <c r="I9692" s="25"/>
      <c r="J9692" s="25"/>
    </row>
    <row r="9693" spans="1:10" ht="14.4">
      <c r="A9693" s="25"/>
      <c r="B9693" s="25"/>
      <c r="C9693" s="25"/>
      <c r="D9693" s="25"/>
      <c r="E9693" s="25"/>
      <c r="F9693" s="25"/>
      <c r="G9693" s="25"/>
      <c r="H9693" s="25"/>
      <c r="I9693" s="25"/>
      <c r="J9693" s="25"/>
    </row>
    <row r="9694" spans="1:10" ht="14.4">
      <c r="A9694" s="25"/>
      <c r="B9694" s="25"/>
      <c r="C9694" s="25"/>
      <c r="D9694" s="25"/>
      <c r="E9694" s="25"/>
      <c r="F9694" s="25"/>
      <c r="G9694" s="25"/>
      <c r="H9694" s="25"/>
      <c r="I9694" s="25"/>
      <c r="J9694" s="25"/>
    </row>
    <row r="9695" spans="1:10" ht="14.4">
      <c r="A9695" s="25"/>
      <c r="B9695" s="25"/>
      <c r="C9695" s="25"/>
      <c r="D9695" s="25"/>
      <c r="E9695" s="25"/>
      <c r="F9695" s="25"/>
      <c r="G9695" s="25"/>
      <c r="H9695" s="25"/>
      <c r="I9695" s="25"/>
      <c r="J9695" s="25"/>
    </row>
    <row r="9696" spans="1:10" ht="14.4">
      <c r="A9696" s="25"/>
      <c r="B9696" s="25"/>
      <c r="C9696" s="25"/>
      <c r="D9696" s="25"/>
      <c r="E9696" s="25"/>
      <c r="F9696" s="25"/>
      <c r="G9696" s="25"/>
      <c r="H9696" s="25"/>
      <c r="I9696" s="25"/>
      <c r="J9696" s="25"/>
    </row>
    <row r="9697" spans="1:10" ht="14.4">
      <c r="A9697" s="25"/>
      <c r="B9697" s="25"/>
      <c r="C9697" s="25"/>
      <c r="D9697" s="25"/>
      <c r="E9697" s="25"/>
      <c r="F9697" s="25"/>
      <c r="G9697" s="25"/>
      <c r="H9697" s="25"/>
      <c r="I9697" s="25"/>
      <c r="J9697" s="25"/>
    </row>
    <row r="9698" spans="1:10" ht="14.4">
      <c r="A9698" s="25"/>
      <c r="B9698" s="25"/>
      <c r="C9698" s="25"/>
      <c r="D9698" s="25"/>
      <c r="E9698" s="25"/>
      <c r="F9698" s="25"/>
      <c r="G9698" s="25"/>
      <c r="H9698" s="25"/>
      <c r="I9698" s="25"/>
      <c r="J9698" s="25"/>
    </row>
    <row r="9699" spans="1:10" ht="14.4">
      <c r="A9699" s="25"/>
      <c r="B9699" s="25"/>
      <c r="C9699" s="25"/>
      <c r="D9699" s="25"/>
      <c r="E9699" s="25"/>
      <c r="F9699" s="25"/>
      <c r="G9699" s="25"/>
      <c r="H9699" s="25"/>
      <c r="I9699" s="25"/>
      <c r="J9699" s="25"/>
    </row>
    <row r="9700" spans="1:10" ht="14.4">
      <c r="A9700" s="25"/>
      <c r="B9700" s="25"/>
      <c r="C9700" s="25"/>
      <c r="D9700" s="25"/>
      <c r="E9700" s="25"/>
      <c r="F9700" s="25"/>
      <c r="G9700" s="25"/>
      <c r="H9700" s="25"/>
      <c r="I9700" s="25"/>
      <c r="J9700" s="25"/>
    </row>
    <row r="9701" spans="1:10" ht="14.4">
      <c r="A9701" s="25"/>
      <c r="B9701" s="25"/>
      <c r="C9701" s="25"/>
      <c r="D9701" s="25"/>
      <c r="E9701" s="25"/>
      <c r="F9701" s="25"/>
      <c r="G9701" s="25"/>
      <c r="H9701" s="25"/>
      <c r="I9701" s="25"/>
      <c r="J9701" s="25"/>
    </row>
    <row r="9702" spans="1:10" ht="14.4">
      <c r="A9702" s="25"/>
      <c r="B9702" s="25"/>
      <c r="C9702" s="25"/>
      <c r="D9702" s="25"/>
      <c r="E9702" s="25"/>
      <c r="F9702" s="25"/>
      <c r="G9702" s="25"/>
      <c r="H9702" s="25"/>
      <c r="I9702" s="25"/>
      <c r="J9702" s="25"/>
    </row>
    <row r="9703" spans="1:10" ht="14.4">
      <c r="A9703" s="25"/>
      <c r="B9703" s="25"/>
      <c r="C9703" s="25"/>
      <c r="D9703" s="25"/>
      <c r="E9703" s="25"/>
      <c r="F9703" s="25"/>
      <c r="G9703" s="25"/>
      <c r="H9703" s="25"/>
      <c r="I9703" s="25"/>
      <c r="J9703" s="25"/>
    </row>
    <row r="9704" spans="1:10" ht="14.4">
      <c r="A9704" s="25"/>
      <c r="B9704" s="25"/>
      <c r="C9704" s="25"/>
      <c r="D9704" s="25"/>
      <c r="E9704" s="25"/>
      <c r="F9704" s="25"/>
      <c r="G9704" s="25"/>
      <c r="H9704" s="25"/>
      <c r="I9704" s="25"/>
      <c r="J9704" s="25"/>
    </row>
    <row r="9705" spans="1:10" ht="14.4">
      <c r="A9705" s="25"/>
      <c r="B9705" s="25"/>
      <c r="C9705" s="25"/>
      <c r="D9705" s="25"/>
      <c r="E9705" s="25"/>
      <c r="F9705" s="25"/>
      <c r="G9705" s="25"/>
      <c r="H9705" s="25"/>
      <c r="I9705" s="25"/>
      <c r="J9705" s="25"/>
    </row>
    <row r="9706" spans="1:10" ht="14.4">
      <c r="A9706" s="25"/>
      <c r="B9706" s="25"/>
      <c r="C9706" s="25"/>
      <c r="D9706" s="25"/>
      <c r="E9706" s="25"/>
      <c r="F9706" s="25"/>
      <c r="G9706" s="25"/>
      <c r="H9706" s="25"/>
      <c r="I9706" s="25"/>
      <c r="J9706" s="25"/>
    </row>
    <row r="9707" spans="1:10" ht="14.4">
      <c r="A9707" s="25"/>
      <c r="B9707" s="25"/>
      <c r="C9707" s="25"/>
      <c r="D9707" s="25"/>
      <c r="E9707" s="25"/>
      <c r="F9707" s="25"/>
      <c r="G9707" s="25"/>
      <c r="H9707" s="25"/>
      <c r="I9707" s="25"/>
      <c r="J9707" s="25"/>
    </row>
    <row r="9708" spans="1:10" ht="14.4">
      <c r="A9708" s="25"/>
      <c r="B9708" s="25"/>
      <c r="C9708" s="25"/>
      <c r="D9708" s="25"/>
      <c r="E9708" s="25"/>
      <c r="F9708" s="25"/>
      <c r="G9708" s="25"/>
      <c r="H9708" s="25"/>
      <c r="I9708" s="25"/>
      <c r="J9708" s="25"/>
    </row>
    <row r="9709" spans="1:10" ht="14.4">
      <c r="A9709" s="25"/>
      <c r="B9709" s="25"/>
      <c r="C9709" s="25"/>
      <c r="D9709" s="25"/>
      <c r="E9709" s="25"/>
      <c r="F9709" s="25"/>
      <c r="G9709" s="25"/>
      <c r="H9709" s="25"/>
      <c r="I9709" s="25"/>
      <c r="J9709" s="25"/>
    </row>
    <row r="9710" spans="1:10" ht="14.4">
      <c r="A9710" s="25"/>
      <c r="B9710" s="25"/>
      <c r="C9710" s="25"/>
      <c r="D9710" s="25"/>
      <c r="E9710" s="25"/>
      <c r="F9710" s="25"/>
      <c r="G9710" s="25"/>
      <c r="H9710" s="25"/>
      <c r="I9710" s="25"/>
      <c r="J9710" s="25"/>
    </row>
    <row r="9711" spans="1:10" ht="14.4">
      <c r="A9711" s="25"/>
      <c r="B9711" s="25"/>
      <c r="C9711" s="25"/>
      <c r="D9711" s="25"/>
      <c r="E9711" s="25"/>
      <c r="F9711" s="25"/>
      <c r="G9711" s="25"/>
      <c r="H9711" s="25"/>
      <c r="I9711" s="25"/>
      <c r="J9711" s="25"/>
    </row>
    <row r="9712" spans="1:10" ht="14.4">
      <c r="A9712" s="25"/>
      <c r="B9712" s="25"/>
      <c r="C9712" s="25"/>
      <c r="D9712" s="25"/>
      <c r="E9712" s="25"/>
      <c r="F9712" s="25"/>
      <c r="G9712" s="25"/>
      <c r="H9712" s="25"/>
      <c r="I9712" s="25"/>
      <c r="J9712" s="25"/>
    </row>
    <row r="9713" spans="1:10" ht="14.4">
      <c r="A9713" s="25"/>
      <c r="B9713" s="25"/>
      <c r="C9713" s="25"/>
      <c r="D9713" s="25"/>
      <c r="E9713" s="25"/>
      <c r="F9713" s="25"/>
      <c r="G9713" s="25"/>
      <c r="H9713" s="25"/>
      <c r="I9713" s="25"/>
      <c r="J9713" s="25"/>
    </row>
    <row r="9714" spans="1:10" ht="14.4">
      <c r="A9714" s="25"/>
      <c r="B9714" s="25"/>
      <c r="C9714" s="25"/>
      <c r="D9714" s="25"/>
      <c r="E9714" s="25"/>
      <c r="F9714" s="25"/>
      <c r="G9714" s="25"/>
      <c r="H9714" s="25"/>
      <c r="I9714" s="25"/>
      <c r="J9714" s="25"/>
    </row>
    <row r="9715" spans="1:10" ht="14.4">
      <c r="A9715" s="25"/>
      <c r="B9715" s="25"/>
      <c r="C9715" s="25"/>
      <c r="D9715" s="25"/>
      <c r="E9715" s="25"/>
      <c r="F9715" s="25"/>
      <c r="G9715" s="25"/>
      <c r="H9715" s="25"/>
      <c r="I9715" s="25"/>
      <c r="J9715" s="25"/>
    </row>
    <row r="9716" spans="1:10" ht="14.4">
      <c r="A9716" s="25"/>
      <c r="B9716" s="25"/>
      <c r="C9716" s="25"/>
      <c r="D9716" s="25"/>
      <c r="E9716" s="25"/>
      <c r="F9716" s="25"/>
      <c r="G9716" s="25"/>
      <c r="H9716" s="25"/>
      <c r="I9716" s="25"/>
      <c r="J9716" s="25"/>
    </row>
    <row r="9717" spans="1:10" ht="14.4">
      <c r="A9717" s="25"/>
      <c r="B9717" s="25"/>
      <c r="C9717" s="25"/>
      <c r="D9717" s="25"/>
      <c r="E9717" s="25"/>
      <c r="F9717" s="25"/>
      <c r="G9717" s="25"/>
      <c r="H9717" s="25"/>
      <c r="I9717" s="25"/>
      <c r="J9717" s="25"/>
    </row>
    <row r="9718" spans="1:10" ht="14.4">
      <c r="A9718" s="25"/>
      <c r="B9718" s="25"/>
      <c r="C9718" s="25"/>
      <c r="D9718" s="25"/>
      <c r="E9718" s="25"/>
      <c r="F9718" s="25"/>
      <c r="G9718" s="25"/>
      <c r="H9718" s="25"/>
      <c r="I9718" s="25"/>
      <c r="J9718" s="25"/>
    </row>
    <row r="9719" spans="1:10" ht="14.4">
      <c r="A9719" s="25"/>
      <c r="B9719" s="25"/>
      <c r="C9719" s="25"/>
      <c r="D9719" s="25"/>
      <c r="E9719" s="25"/>
      <c r="F9719" s="25"/>
      <c r="G9719" s="25"/>
      <c r="H9719" s="25"/>
      <c r="I9719" s="25"/>
      <c r="J9719" s="25"/>
    </row>
    <row r="9720" spans="1:10" ht="14.4">
      <c r="A9720" s="25"/>
      <c r="B9720" s="25"/>
      <c r="C9720" s="25"/>
      <c r="D9720" s="25"/>
      <c r="E9720" s="25"/>
      <c r="F9720" s="25"/>
      <c r="G9720" s="25"/>
      <c r="H9720" s="25"/>
      <c r="I9720" s="25"/>
      <c r="J9720" s="25"/>
    </row>
    <row r="9721" spans="1:10" ht="14.4">
      <c r="A9721" s="25"/>
      <c r="B9721" s="25"/>
      <c r="C9721" s="25"/>
      <c r="D9721" s="25"/>
      <c r="E9721" s="25"/>
      <c r="F9721" s="25"/>
      <c r="G9721" s="25"/>
      <c r="H9721" s="25"/>
      <c r="I9721" s="25"/>
      <c r="J9721" s="25"/>
    </row>
    <row r="9722" spans="1:10" ht="14.4">
      <c r="A9722" s="25"/>
      <c r="B9722" s="25"/>
      <c r="C9722" s="25"/>
      <c r="D9722" s="25"/>
      <c r="E9722" s="25"/>
      <c r="F9722" s="25"/>
      <c r="G9722" s="25"/>
      <c r="H9722" s="25"/>
      <c r="I9722" s="25"/>
      <c r="J9722" s="25"/>
    </row>
    <row r="9723" spans="1:10" ht="14.4">
      <c r="A9723" s="25"/>
      <c r="B9723" s="25"/>
      <c r="C9723" s="25"/>
      <c r="D9723" s="25"/>
      <c r="E9723" s="25"/>
      <c r="F9723" s="25"/>
      <c r="G9723" s="25"/>
      <c r="H9723" s="25"/>
      <c r="I9723" s="25"/>
      <c r="J9723" s="25"/>
    </row>
    <row r="9724" spans="1:10" ht="14.4">
      <c r="A9724" s="25"/>
      <c r="B9724" s="25"/>
      <c r="C9724" s="25"/>
      <c r="D9724" s="25"/>
      <c r="E9724" s="25"/>
      <c r="F9724" s="25"/>
      <c r="G9724" s="25"/>
      <c r="H9724" s="25"/>
      <c r="I9724" s="25"/>
      <c r="J9724" s="25"/>
    </row>
    <row r="9725" spans="1:10" ht="14.4">
      <c r="A9725" s="25"/>
      <c r="B9725" s="25"/>
      <c r="C9725" s="25"/>
      <c r="D9725" s="25"/>
      <c r="E9725" s="25"/>
      <c r="F9725" s="25"/>
      <c r="G9725" s="25"/>
      <c r="H9725" s="25"/>
      <c r="I9725" s="25"/>
      <c r="J9725" s="25"/>
    </row>
    <row r="9726" spans="1:10" ht="14.4">
      <c r="A9726" s="25"/>
      <c r="B9726" s="25"/>
      <c r="C9726" s="25"/>
      <c r="D9726" s="25"/>
      <c r="E9726" s="25"/>
      <c r="F9726" s="25"/>
      <c r="G9726" s="25"/>
      <c r="H9726" s="25"/>
      <c r="I9726" s="25"/>
      <c r="J9726" s="25"/>
    </row>
    <row r="9727" spans="1:10" ht="14.4">
      <c r="A9727" s="25"/>
      <c r="B9727" s="25"/>
      <c r="C9727" s="25"/>
      <c r="D9727" s="25"/>
      <c r="E9727" s="25"/>
      <c r="F9727" s="25"/>
      <c r="G9727" s="25"/>
      <c r="H9727" s="25"/>
      <c r="I9727" s="25"/>
      <c r="J9727" s="25"/>
    </row>
    <row r="9728" spans="1:10" ht="14.4">
      <c r="A9728" s="25"/>
      <c r="B9728" s="25"/>
      <c r="C9728" s="25"/>
      <c r="D9728" s="25"/>
      <c r="E9728" s="25"/>
      <c r="F9728" s="25"/>
      <c r="G9728" s="25"/>
      <c r="H9728" s="25"/>
      <c r="I9728" s="25"/>
      <c r="J9728" s="25"/>
    </row>
    <row r="9729" spans="1:10" ht="14.4">
      <c r="A9729" s="25"/>
      <c r="B9729" s="25"/>
      <c r="C9729" s="25"/>
      <c r="D9729" s="25"/>
      <c r="E9729" s="25"/>
      <c r="F9729" s="25"/>
      <c r="G9729" s="25"/>
      <c r="H9729" s="25"/>
      <c r="I9729" s="25"/>
      <c r="J9729" s="25"/>
    </row>
    <row r="9730" spans="1:10" ht="14.4">
      <c r="A9730" s="25"/>
      <c r="B9730" s="25"/>
      <c r="C9730" s="25"/>
      <c r="D9730" s="25"/>
      <c r="E9730" s="25"/>
      <c r="F9730" s="25"/>
      <c r="G9730" s="25"/>
      <c r="H9730" s="25"/>
      <c r="I9730" s="25"/>
      <c r="J9730" s="25"/>
    </row>
    <row r="9731" spans="1:10" ht="14.4">
      <c r="A9731" s="25"/>
      <c r="B9731" s="25"/>
      <c r="C9731" s="25"/>
      <c r="D9731" s="25"/>
      <c r="E9731" s="25"/>
      <c r="F9731" s="25"/>
      <c r="G9731" s="25"/>
      <c r="H9731" s="25"/>
      <c r="I9731" s="25"/>
      <c r="J9731" s="25"/>
    </row>
    <row r="9732" spans="1:10" ht="14.4">
      <c r="A9732" s="25"/>
      <c r="B9732" s="25"/>
      <c r="C9732" s="25"/>
      <c r="D9732" s="25"/>
      <c r="E9732" s="25"/>
      <c r="F9732" s="25"/>
      <c r="G9732" s="25"/>
      <c r="H9732" s="25"/>
      <c r="I9732" s="25"/>
      <c r="J9732" s="25"/>
    </row>
    <row r="9733" spans="1:10" ht="14.4">
      <c r="A9733" s="25"/>
      <c r="B9733" s="25"/>
      <c r="C9733" s="25"/>
      <c r="D9733" s="25"/>
      <c r="E9733" s="25"/>
      <c r="F9733" s="25"/>
      <c r="G9733" s="25"/>
      <c r="H9733" s="25"/>
      <c r="I9733" s="25"/>
      <c r="J9733" s="25"/>
    </row>
    <row r="9734" spans="1:10" ht="14.4">
      <c r="A9734" s="25"/>
      <c r="B9734" s="25"/>
      <c r="C9734" s="25"/>
      <c r="D9734" s="25"/>
      <c r="E9734" s="25"/>
      <c r="F9734" s="25"/>
      <c r="G9734" s="25"/>
      <c r="H9734" s="25"/>
      <c r="I9734" s="25"/>
      <c r="J9734" s="25"/>
    </row>
    <row r="9735" spans="1:10" ht="14.4">
      <c r="A9735" s="25"/>
      <c r="B9735" s="25"/>
      <c r="C9735" s="25"/>
      <c r="D9735" s="25"/>
      <c r="E9735" s="25"/>
      <c r="F9735" s="25"/>
      <c r="G9735" s="25"/>
      <c r="H9735" s="25"/>
      <c r="I9735" s="25"/>
      <c r="J9735" s="25"/>
    </row>
    <row r="9736" spans="1:10" ht="14.4">
      <c r="A9736" s="25"/>
      <c r="B9736" s="25"/>
      <c r="C9736" s="25"/>
      <c r="D9736" s="25"/>
      <c r="E9736" s="25"/>
      <c r="F9736" s="25"/>
      <c r="G9736" s="25"/>
      <c r="H9736" s="25"/>
      <c r="I9736" s="25"/>
      <c r="J9736" s="25"/>
    </row>
    <row r="9737" spans="1:10" ht="14.4">
      <c r="A9737" s="25"/>
      <c r="B9737" s="25"/>
      <c r="C9737" s="25"/>
      <c r="D9737" s="25"/>
      <c r="E9737" s="25"/>
      <c r="F9737" s="25"/>
      <c r="G9737" s="25"/>
      <c r="H9737" s="25"/>
      <c r="I9737" s="25"/>
      <c r="J9737" s="25"/>
    </row>
    <row r="9738" spans="1:10" ht="14.4">
      <c r="A9738" s="25"/>
      <c r="B9738" s="25"/>
      <c r="C9738" s="25"/>
      <c r="D9738" s="25"/>
      <c r="E9738" s="25"/>
      <c r="F9738" s="25"/>
      <c r="G9738" s="25"/>
      <c r="H9738" s="25"/>
      <c r="I9738" s="25"/>
      <c r="J9738" s="25"/>
    </row>
    <row r="9739" spans="1:10" ht="14.4">
      <c r="A9739" s="25"/>
      <c r="B9739" s="25"/>
      <c r="C9739" s="25"/>
      <c r="D9739" s="25"/>
      <c r="E9739" s="25"/>
      <c r="F9739" s="25"/>
      <c r="G9739" s="25"/>
      <c r="H9739" s="25"/>
      <c r="I9739" s="25"/>
      <c r="J9739" s="25"/>
    </row>
    <row r="9740" spans="1:10" ht="14.4">
      <c r="A9740" s="25"/>
      <c r="B9740" s="25"/>
      <c r="C9740" s="25"/>
      <c r="D9740" s="25"/>
      <c r="E9740" s="25"/>
      <c r="F9740" s="25"/>
      <c r="G9740" s="25"/>
      <c r="H9740" s="25"/>
      <c r="I9740" s="25"/>
      <c r="J9740" s="25"/>
    </row>
    <row r="9741" spans="1:10" ht="14.4">
      <c r="A9741" s="25"/>
      <c r="B9741" s="25"/>
      <c r="C9741" s="25"/>
      <c r="D9741" s="25"/>
      <c r="E9741" s="25"/>
      <c r="F9741" s="25"/>
      <c r="G9741" s="25"/>
      <c r="H9741" s="25"/>
      <c r="I9741" s="25"/>
      <c r="J9741" s="25"/>
    </row>
    <row r="9742" spans="1:10" ht="14.4">
      <c r="A9742" s="25"/>
      <c r="B9742" s="25"/>
      <c r="C9742" s="25"/>
      <c r="D9742" s="25"/>
      <c r="E9742" s="25"/>
      <c r="F9742" s="25"/>
      <c r="G9742" s="25"/>
      <c r="H9742" s="25"/>
      <c r="I9742" s="25"/>
      <c r="J9742" s="25"/>
    </row>
    <row r="9743" spans="1:10" ht="14.4">
      <c r="A9743" s="25"/>
      <c r="B9743" s="25"/>
      <c r="C9743" s="25"/>
      <c r="D9743" s="25"/>
      <c r="E9743" s="25"/>
      <c r="F9743" s="25"/>
      <c r="G9743" s="25"/>
      <c r="H9743" s="25"/>
      <c r="I9743" s="25"/>
      <c r="J9743" s="25"/>
    </row>
    <row r="9744" spans="1:10" ht="14.4">
      <c r="A9744" s="25"/>
      <c r="B9744" s="25"/>
      <c r="C9744" s="25"/>
      <c r="D9744" s="25"/>
      <c r="E9744" s="25"/>
      <c r="F9744" s="25"/>
      <c r="G9744" s="25"/>
      <c r="H9744" s="25"/>
      <c r="I9744" s="25"/>
      <c r="J9744" s="25"/>
    </row>
    <row r="9745" spans="1:10" ht="14.4">
      <c r="A9745" s="25"/>
      <c r="B9745" s="25"/>
      <c r="C9745" s="25"/>
      <c r="D9745" s="25"/>
      <c r="E9745" s="25"/>
      <c r="F9745" s="25"/>
      <c r="G9745" s="25"/>
      <c r="H9745" s="25"/>
      <c r="I9745" s="25"/>
      <c r="J9745" s="25"/>
    </row>
    <row r="9746" spans="1:10" ht="14.4">
      <c r="A9746" s="25"/>
      <c r="B9746" s="25"/>
      <c r="C9746" s="25"/>
      <c r="D9746" s="25"/>
      <c r="E9746" s="25"/>
      <c r="F9746" s="25"/>
      <c r="G9746" s="25"/>
      <c r="H9746" s="25"/>
      <c r="I9746" s="25"/>
      <c r="J9746" s="25"/>
    </row>
    <row r="9747" spans="1:10" ht="14.4">
      <c r="A9747" s="25"/>
      <c r="B9747" s="25"/>
      <c r="C9747" s="25"/>
      <c r="D9747" s="25"/>
      <c r="E9747" s="25"/>
      <c r="F9747" s="25"/>
      <c r="G9747" s="25"/>
      <c r="H9747" s="25"/>
      <c r="I9747" s="25"/>
      <c r="J9747" s="25"/>
    </row>
    <row r="9748" spans="1:10" ht="14.4">
      <c r="A9748" s="25"/>
      <c r="B9748" s="25"/>
      <c r="C9748" s="25"/>
      <c r="D9748" s="25"/>
      <c r="E9748" s="25"/>
      <c r="F9748" s="25"/>
      <c r="G9748" s="25"/>
      <c r="H9748" s="25"/>
      <c r="I9748" s="25"/>
      <c r="J9748" s="25"/>
    </row>
    <row r="9749" spans="1:10" ht="14.4">
      <c r="A9749" s="25"/>
      <c r="B9749" s="25"/>
      <c r="C9749" s="25"/>
      <c r="D9749" s="25"/>
      <c r="E9749" s="25"/>
      <c r="F9749" s="25"/>
      <c r="G9749" s="25"/>
      <c r="H9749" s="25"/>
      <c r="I9749" s="25"/>
      <c r="J9749" s="25"/>
    </row>
    <row r="9750" spans="1:10" ht="14.4">
      <c r="A9750" s="25"/>
      <c r="B9750" s="25"/>
      <c r="C9750" s="25"/>
      <c r="D9750" s="25"/>
      <c r="E9750" s="25"/>
      <c r="F9750" s="25"/>
      <c r="G9750" s="25"/>
      <c r="H9750" s="25"/>
      <c r="I9750" s="25"/>
      <c r="J9750" s="25"/>
    </row>
    <row r="9751" spans="1:10" ht="14.4">
      <c r="A9751" s="25"/>
      <c r="B9751" s="25"/>
      <c r="C9751" s="25"/>
      <c r="D9751" s="25"/>
      <c r="E9751" s="25"/>
      <c r="F9751" s="25"/>
      <c r="G9751" s="25"/>
      <c r="H9751" s="25"/>
      <c r="I9751" s="25"/>
      <c r="J9751" s="25"/>
    </row>
    <row r="9752" spans="1:10" ht="14.4">
      <c r="A9752" s="25"/>
      <c r="B9752" s="25"/>
      <c r="C9752" s="25"/>
      <c r="D9752" s="25"/>
      <c r="E9752" s="25"/>
      <c r="F9752" s="25"/>
      <c r="G9752" s="25"/>
      <c r="H9752" s="25"/>
      <c r="I9752" s="25"/>
      <c r="J9752" s="25"/>
    </row>
    <row r="9753" spans="1:10" ht="14.4">
      <c r="A9753" s="25"/>
      <c r="B9753" s="25"/>
      <c r="C9753" s="25"/>
      <c r="D9753" s="25"/>
      <c r="E9753" s="25"/>
      <c r="F9753" s="25"/>
      <c r="G9753" s="25"/>
      <c r="H9753" s="25"/>
      <c r="I9753" s="25"/>
      <c r="J9753" s="25"/>
    </row>
    <row r="9754" spans="1:10" ht="14.4">
      <c r="A9754" s="25"/>
      <c r="B9754" s="25"/>
      <c r="C9754" s="25"/>
      <c r="D9754" s="25"/>
      <c r="E9754" s="25"/>
      <c r="F9754" s="25"/>
      <c r="G9754" s="25"/>
      <c r="H9754" s="25"/>
      <c r="I9754" s="25"/>
      <c r="J9754" s="25"/>
    </row>
    <row r="9755" spans="1:10" ht="14.4">
      <c r="A9755" s="25"/>
      <c r="B9755" s="25"/>
      <c r="C9755" s="25"/>
      <c r="D9755" s="25"/>
      <c r="E9755" s="25"/>
      <c r="F9755" s="25"/>
      <c r="G9755" s="25"/>
      <c r="H9755" s="25"/>
      <c r="I9755" s="25"/>
      <c r="J9755" s="25"/>
    </row>
    <row r="9756" spans="1:10" ht="14.4">
      <c r="A9756" s="25"/>
      <c r="B9756" s="25"/>
      <c r="C9756" s="25"/>
      <c r="D9756" s="25"/>
      <c r="E9756" s="25"/>
      <c r="F9756" s="25"/>
      <c r="G9756" s="25"/>
      <c r="H9756" s="25"/>
      <c r="I9756" s="25"/>
      <c r="J9756" s="25"/>
    </row>
    <row r="9757" spans="1:10" ht="14.4">
      <c r="A9757" s="25"/>
      <c r="B9757" s="25"/>
      <c r="C9757" s="25"/>
      <c r="D9757" s="25"/>
      <c r="E9757" s="25"/>
      <c r="F9757" s="25"/>
      <c r="G9757" s="25"/>
      <c r="H9757" s="25"/>
      <c r="I9757" s="25"/>
      <c r="J9757" s="25"/>
    </row>
    <row r="9758" spans="1:10" ht="14.4">
      <c r="A9758" s="25"/>
      <c r="B9758" s="25"/>
      <c r="C9758" s="25"/>
      <c r="D9758" s="25"/>
      <c r="E9758" s="25"/>
      <c r="F9758" s="25"/>
      <c r="G9758" s="25"/>
      <c r="H9758" s="25"/>
      <c r="I9758" s="25"/>
      <c r="J9758" s="25"/>
    </row>
    <row r="9759" spans="1:10" ht="14.4">
      <c r="A9759" s="25"/>
      <c r="B9759" s="25"/>
      <c r="C9759" s="25"/>
      <c r="D9759" s="25"/>
      <c r="E9759" s="25"/>
      <c r="F9759" s="25"/>
      <c r="G9759" s="25"/>
      <c r="H9759" s="25"/>
      <c r="I9759" s="25"/>
      <c r="J9759" s="25"/>
    </row>
    <row r="9760" spans="1:10" ht="14.4">
      <c r="A9760" s="25"/>
      <c r="B9760" s="25"/>
      <c r="C9760" s="25"/>
      <c r="D9760" s="25"/>
      <c r="E9760" s="25"/>
      <c r="F9760" s="25"/>
      <c r="G9760" s="25"/>
      <c r="H9760" s="25"/>
      <c r="I9760" s="25"/>
      <c r="J9760" s="25"/>
    </row>
    <row r="9761" spans="1:10" ht="14.4">
      <c r="A9761" s="25"/>
      <c r="B9761" s="25"/>
      <c r="C9761" s="25"/>
      <c r="D9761" s="25"/>
      <c r="E9761" s="25"/>
      <c r="F9761" s="25"/>
      <c r="G9761" s="25"/>
      <c r="H9761" s="25"/>
      <c r="I9761" s="25"/>
      <c r="J9761" s="25"/>
    </row>
    <row r="9762" spans="1:10" ht="14.4">
      <c r="A9762" s="25"/>
      <c r="B9762" s="25"/>
      <c r="C9762" s="25"/>
      <c r="D9762" s="25"/>
      <c r="E9762" s="25"/>
      <c r="F9762" s="25"/>
      <c r="G9762" s="25"/>
      <c r="H9762" s="25"/>
      <c r="I9762" s="25"/>
      <c r="J9762" s="25"/>
    </row>
    <row r="9763" spans="1:10" ht="14.4">
      <c r="A9763" s="25"/>
      <c r="B9763" s="25"/>
      <c r="C9763" s="25"/>
      <c r="D9763" s="25"/>
      <c r="E9763" s="25"/>
      <c r="F9763" s="25"/>
      <c r="G9763" s="25"/>
      <c r="H9763" s="25"/>
      <c r="I9763" s="25"/>
      <c r="J9763" s="25"/>
    </row>
    <row r="9764" spans="1:10" ht="14.4">
      <c r="A9764" s="25"/>
      <c r="B9764" s="25"/>
      <c r="C9764" s="25"/>
      <c r="D9764" s="25"/>
      <c r="E9764" s="25"/>
      <c r="F9764" s="25"/>
      <c r="G9764" s="25"/>
      <c r="H9764" s="25"/>
      <c r="I9764" s="25"/>
      <c r="J9764" s="25"/>
    </row>
    <row r="9765" spans="1:10" ht="14.4">
      <c r="A9765" s="25"/>
      <c r="B9765" s="25"/>
      <c r="C9765" s="25"/>
      <c r="D9765" s="25"/>
      <c r="E9765" s="25"/>
      <c r="F9765" s="25"/>
      <c r="G9765" s="25"/>
      <c r="H9765" s="25"/>
      <c r="I9765" s="25"/>
      <c r="J9765" s="25"/>
    </row>
    <row r="9766" spans="1:10" ht="14.4">
      <c r="A9766" s="25"/>
      <c r="B9766" s="25"/>
      <c r="C9766" s="25"/>
      <c r="D9766" s="25"/>
      <c r="E9766" s="25"/>
      <c r="F9766" s="25"/>
      <c r="G9766" s="25"/>
      <c r="H9766" s="25"/>
      <c r="I9766" s="25"/>
      <c r="J9766" s="25"/>
    </row>
    <row r="9767" spans="1:10" ht="14.4">
      <c r="A9767" s="25"/>
      <c r="B9767" s="25"/>
      <c r="C9767" s="25"/>
      <c r="D9767" s="25"/>
      <c r="E9767" s="25"/>
      <c r="F9767" s="25"/>
      <c r="G9767" s="25"/>
      <c r="H9767" s="25"/>
      <c r="I9767" s="25"/>
      <c r="J9767" s="25"/>
    </row>
    <row r="9768" spans="1:10" ht="14.4">
      <c r="A9768" s="25"/>
      <c r="B9768" s="25"/>
      <c r="C9768" s="25"/>
      <c r="D9768" s="25"/>
      <c r="E9768" s="25"/>
      <c r="F9768" s="25"/>
      <c r="G9768" s="25"/>
      <c r="H9768" s="25"/>
      <c r="I9768" s="25"/>
      <c r="J9768" s="25"/>
    </row>
    <row r="9769" spans="1:10" ht="14.4">
      <c r="A9769" s="25"/>
      <c r="B9769" s="25"/>
      <c r="C9769" s="25"/>
      <c r="D9769" s="25"/>
      <c r="E9769" s="25"/>
      <c r="F9769" s="25"/>
      <c r="G9769" s="25"/>
      <c r="H9769" s="25"/>
      <c r="I9769" s="25"/>
      <c r="J9769" s="25"/>
    </row>
    <row r="9770" spans="1:10" ht="14.4">
      <c r="A9770" s="25"/>
      <c r="B9770" s="25"/>
      <c r="C9770" s="25"/>
      <c r="D9770" s="25"/>
      <c r="E9770" s="25"/>
      <c r="F9770" s="25"/>
      <c r="G9770" s="25"/>
      <c r="H9770" s="25"/>
      <c r="I9770" s="25"/>
      <c r="J9770" s="25"/>
    </row>
    <row r="9771" spans="1:10" ht="14.4">
      <c r="A9771" s="25"/>
      <c r="B9771" s="25"/>
      <c r="C9771" s="25"/>
      <c r="D9771" s="25"/>
      <c r="E9771" s="25"/>
      <c r="F9771" s="25"/>
      <c r="G9771" s="25"/>
      <c r="H9771" s="25"/>
      <c r="I9771" s="25"/>
      <c r="J9771" s="25"/>
    </row>
    <row r="9772" spans="1:10" ht="14.4">
      <c r="A9772" s="25"/>
      <c r="B9772" s="25"/>
      <c r="C9772" s="25"/>
      <c r="D9772" s="25"/>
      <c r="E9772" s="25"/>
      <c r="F9772" s="25"/>
      <c r="G9772" s="25"/>
      <c r="H9772" s="25"/>
      <c r="I9772" s="25"/>
      <c r="J9772" s="25"/>
    </row>
    <row r="9773" spans="1:10" ht="14.4">
      <c r="A9773" s="25"/>
      <c r="B9773" s="25"/>
      <c r="C9773" s="25"/>
      <c r="D9773" s="25"/>
      <c r="E9773" s="25"/>
      <c r="F9773" s="25"/>
      <c r="G9773" s="25"/>
      <c r="H9773" s="25"/>
      <c r="I9773" s="25"/>
      <c r="J9773" s="25"/>
    </row>
    <row r="9774" spans="1:10" ht="14.4">
      <c r="A9774" s="25"/>
      <c r="B9774" s="25"/>
      <c r="C9774" s="25"/>
      <c r="D9774" s="25"/>
      <c r="E9774" s="25"/>
      <c r="F9774" s="25"/>
      <c r="G9774" s="25"/>
      <c r="H9774" s="25"/>
      <c r="I9774" s="25"/>
      <c r="J9774" s="25"/>
    </row>
    <row r="9775" spans="1:10" ht="14.4">
      <c r="A9775" s="25"/>
      <c r="B9775" s="25"/>
      <c r="C9775" s="25"/>
      <c r="D9775" s="25"/>
      <c r="E9775" s="25"/>
      <c r="F9775" s="25"/>
      <c r="G9775" s="25"/>
      <c r="H9775" s="25"/>
      <c r="I9775" s="25"/>
      <c r="J9775" s="25"/>
    </row>
    <row r="9776" spans="1:10" ht="14.4">
      <c r="A9776" s="25"/>
      <c r="B9776" s="25"/>
      <c r="C9776" s="25"/>
      <c r="D9776" s="25"/>
      <c r="E9776" s="25"/>
      <c r="F9776" s="25"/>
      <c r="G9776" s="25"/>
      <c r="H9776" s="25"/>
      <c r="I9776" s="25"/>
      <c r="J9776" s="25"/>
    </row>
    <row r="9777" spans="1:10" ht="14.4">
      <c r="A9777" s="25"/>
      <c r="B9777" s="25"/>
      <c r="C9777" s="25"/>
      <c r="D9777" s="25"/>
      <c r="E9777" s="25"/>
      <c r="F9777" s="25"/>
      <c r="G9777" s="25"/>
      <c r="H9777" s="25"/>
      <c r="I9777" s="25"/>
      <c r="J9777" s="25"/>
    </row>
    <row r="9778" spans="1:10" ht="14.4">
      <c r="A9778" s="25"/>
      <c r="B9778" s="25"/>
      <c r="C9778" s="25"/>
      <c r="D9778" s="25"/>
      <c r="E9778" s="25"/>
      <c r="F9778" s="25"/>
      <c r="G9778" s="25"/>
      <c r="H9778" s="25"/>
      <c r="I9778" s="25"/>
      <c r="J9778" s="25"/>
    </row>
    <row r="9779" spans="1:10" ht="14.4">
      <c r="A9779" s="25"/>
      <c r="B9779" s="25"/>
      <c r="C9779" s="25"/>
      <c r="D9779" s="25"/>
      <c r="E9779" s="25"/>
      <c r="F9779" s="25"/>
      <c r="G9779" s="25"/>
      <c r="H9779" s="25"/>
      <c r="I9779" s="25"/>
      <c r="J9779" s="25"/>
    </row>
    <row r="9780" spans="1:10" ht="14.4">
      <c r="A9780" s="25"/>
      <c r="B9780" s="25"/>
      <c r="C9780" s="25"/>
      <c r="D9780" s="25"/>
      <c r="E9780" s="25"/>
      <c r="F9780" s="25"/>
      <c r="G9780" s="25"/>
      <c r="H9780" s="25"/>
      <c r="I9780" s="25"/>
      <c r="J9780" s="25"/>
    </row>
    <row r="9781" spans="1:10" ht="14.4">
      <c r="A9781" s="25"/>
      <c r="B9781" s="25"/>
      <c r="C9781" s="25"/>
      <c r="D9781" s="25"/>
      <c r="E9781" s="25"/>
      <c r="F9781" s="25"/>
      <c r="G9781" s="25"/>
      <c r="H9781" s="25"/>
      <c r="I9781" s="25"/>
      <c r="J9781" s="25"/>
    </row>
    <row r="9782" spans="1:10" ht="14.4">
      <c r="A9782" s="25"/>
      <c r="B9782" s="25"/>
      <c r="C9782" s="25"/>
      <c r="D9782" s="25"/>
      <c r="E9782" s="25"/>
      <c r="F9782" s="25"/>
      <c r="G9782" s="25"/>
      <c r="H9782" s="25"/>
      <c r="I9782" s="25"/>
      <c r="J9782" s="25"/>
    </row>
    <row r="9783" spans="1:10" ht="14.4">
      <c r="A9783" s="25"/>
      <c r="B9783" s="25"/>
      <c r="C9783" s="25"/>
      <c r="D9783" s="25"/>
      <c r="E9783" s="25"/>
      <c r="F9783" s="25"/>
      <c r="G9783" s="25"/>
      <c r="H9783" s="25"/>
      <c r="I9783" s="25"/>
      <c r="J9783" s="25"/>
    </row>
    <row r="9784" spans="1:10" ht="14.4">
      <c r="A9784" s="25"/>
      <c r="B9784" s="25"/>
      <c r="C9784" s="25"/>
      <c r="D9784" s="25"/>
      <c r="E9784" s="25"/>
      <c r="F9784" s="25"/>
      <c r="G9784" s="25"/>
      <c r="H9784" s="25"/>
      <c r="I9784" s="25"/>
      <c r="J9784" s="25"/>
    </row>
    <row r="9785" spans="1:10" ht="14.4">
      <c r="A9785" s="25"/>
      <c r="B9785" s="25"/>
      <c r="C9785" s="25"/>
      <c r="D9785" s="25"/>
      <c r="E9785" s="25"/>
      <c r="F9785" s="25"/>
      <c r="G9785" s="25"/>
      <c r="H9785" s="25"/>
      <c r="I9785" s="25"/>
      <c r="J9785" s="25"/>
    </row>
    <row r="9786" spans="1:10" ht="14.4">
      <c r="A9786" s="25"/>
      <c r="B9786" s="25"/>
      <c r="C9786" s="25"/>
      <c r="D9786" s="25"/>
      <c r="E9786" s="25"/>
      <c r="F9786" s="25"/>
      <c r="G9786" s="25"/>
      <c r="H9786" s="25"/>
      <c r="I9786" s="25"/>
      <c r="J9786" s="25"/>
    </row>
    <row r="9787" spans="1:10" ht="14.4">
      <c r="A9787" s="25"/>
      <c r="B9787" s="25"/>
      <c r="C9787" s="25"/>
      <c r="D9787" s="25"/>
      <c r="E9787" s="25"/>
      <c r="F9787" s="25"/>
      <c r="G9787" s="25"/>
      <c r="H9787" s="25"/>
      <c r="I9787" s="25"/>
      <c r="J9787" s="25"/>
    </row>
    <row r="9788" spans="1:10" ht="14.4">
      <c r="A9788" s="25"/>
      <c r="B9788" s="25"/>
      <c r="C9788" s="25"/>
      <c r="D9788" s="25"/>
      <c r="E9788" s="25"/>
      <c r="F9788" s="25"/>
      <c r="G9788" s="25"/>
      <c r="H9788" s="25"/>
      <c r="I9788" s="25"/>
      <c r="J9788" s="25"/>
    </row>
    <row r="9789" spans="1:10" ht="14.4">
      <c r="A9789" s="25"/>
      <c r="B9789" s="25"/>
      <c r="C9789" s="25"/>
      <c r="D9789" s="25"/>
      <c r="E9789" s="25"/>
      <c r="F9789" s="25"/>
      <c r="G9789" s="25"/>
      <c r="H9789" s="25"/>
      <c r="I9789" s="25"/>
      <c r="J9789" s="25"/>
    </row>
    <row r="9790" spans="1:10" ht="14.4">
      <c r="A9790" s="25"/>
      <c r="B9790" s="25"/>
      <c r="C9790" s="25"/>
      <c r="D9790" s="25"/>
      <c r="E9790" s="25"/>
      <c r="F9790" s="25"/>
      <c r="G9790" s="25"/>
      <c r="H9790" s="25"/>
      <c r="I9790" s="25"/>
      <c r="J9790" s="25"/>
    </row>
    <row r="9791" spans="1:10" ht="14.4">
      <c r="A9791" s="25"/>
      <c r="B9791" s="25"/>
      <c r="C9791" s="25"/>
      <c r="D9791" s="25"/>
      <c r="E9791" s="25"/>
      <c r="F9791" s="25"/>
      <c r="G9791" s="25"/>
      <c r="H9791" s="25"/>
      <c r="I9791" s="25"/>
      <c r="J9791" s="25"/>
    </row>
    <row r="9792" spans="1:10" ht="14.4">
      <c r="A9792" s="25"/>
      <c r="B9792" s="25"/>
      <c r="C9792" s="25"/>
      <c r="D9792" s="25"/>
      <c r="E9792" s="25"/>
      <c r="F9792" s="25"/>
      <c r="G9792" s="25"/>
      <c r="H9792" s="25"/>
      <c r="I9792" s="25"/>
      <c r="J9792" s="25"/>
    </row>
    <row r="9793" spans="1:10" ht="14.4">
      <c r="A9793" s="25"/>
      <c r="B9793" s="25"/>
      <c r="C9793" s="25"/>
      <c r="D9793" s="25"/>
      <c r="E9793" s="25"/>
      <c r="F9793" s="25"/>
      <c r="G9793" s="25"/>
      <c r="H9793" s="25"/>
      <c r="I9793" s="25"/>
      <c r="J9793" s="25"/>
    </row>
    <row r="9794" spans="1:10" ht="14.4">
      <c r="A9794" s="25"/>
      <c r="B9794" s="25"/>
      <c r="C9794" s="25"/>
      <c r="D9794" s="25"/>
      <c r="E9794" s="25"/>
      <c r="F9794" s="25"/>
      <c r="G9794" s="25"/>
      <c r="H9794" s="25"/>
      <c r="I9794" s="25"/>
      <c r="J9794" s="25"/>
    </row>
    <row r="9795" spans="1:10" ht="14.4">
      <c r="A9795" s="25"/>
      <c r="B9795" s="25"/>
      <c r="C9795" s="25"/>
      <c r="D9795" s="25"/>
      <c r="E9795" s="25"/>
      <c r="F9795" s="25"/>
      <c r="G9795" s="25"/>
      <c r="H9795" s="25"/>
      <c r="I9795" s="25"/>
      <c r="J9795" s="25"/>
    </row>
    <row r="9796" spans="1:10" ht="14.4">
      <c r="A9796" s="25"/>
      <c r="B9796" s="25"/>
      <c r="C9796" s="25"/>
      <c r="D9796" s="25"/>
      <c r="E9796" s="25"/>
      <c r="F9796" s="25"/>
      <c r="G9796" s="25"/>
      <c r="H9796" s="25"/>
      <c r="I9796" s="25"/>
      <c r="J9796" s="25"/>
    </row>
    <row r="9797" spans="1:10" ht="14.4">
      <c r="A9797" s="25"/>
      <c r="B9797" s="25"/>
      <c r="C9797" s="25"/>
      <c r="D9797" s="25"/>
      <c r="E9797" s="25"/>
      <c r="F9797" s="25"/>
      <c r="G9797" s="25"/>
      <c r="H9797" s="25"/>
      <c r="I9797" s="25"/>
      <c r="J9797" s="25"/>
    </row>
    <row r="9798" spans="1:10" ht="14.4">
      <c r="A9798" s="25"/>
      <c r="B9798" s="25"/>
      <c r="C9798" s="25"/>
      <c r="D9798" s="25"/>
      <c r="E9798" s="25"/>
      <c r="F9798" s="25"/>
      <c r="G9798" s="25"/>
      <c r="H9798" s="25"/>
      <c r="I9798" s="25"/>
      <c r="J9798" s="25"/>
    </row>
    <row r="9799" spans="1:10" ht="14.4">
      <c r="A9799" s="25"/>
      <c r="B9799" s="25"/>
      <c r="C9799" s="25"/>
      <c r="D9799" s="25"/>
      <c r="E9799" s="25"/>
      <c r="F9799" s="25"/>
      <c r="G9799" s="25"/>
      <c r="H9799" s="25"/>
      <c r="I9799" s="25"/>
      <c r="J9799" s="25"/>
    </row>
    <row r="9800" spans="1:10" ht="14.4">
      <c r="A9800" s="25"/>
      <c r="B9800" s="25"/>
      <c r="C9800" s="25"/>
      <c r="D9800" s="25"/>
      <c r="E9800" s="25"/>
      <c r="F9800" s="25"/>
      <c r="G9800" s="25"/>
      <c r="H9800" s="25"/>
      <c r="I9800" s="25"/>
      <c r="J9800" s="25"/>
    </row>
    <row r="9801" spans="1:10" ht="14.4">
      <c r="A9801" s="25"/>
      <c r="B9801" s="25"/>
      <c r="C9801" s="25"/>
      <c r="D9801" s="25"/>
      <c r="E9801" s="25"/>
      <c r="F9801" s="25"/>
      <c r="G9801" s="25"/>
      <c r="H9801" s="25"/>
      <c r="I9801" s="25"/>
      <c r="J9801" s="25"/>
    </row>
    <row r="9802" spans="1:10" ht="14.4">
      <c r="A9802" s="25"/>
      <c r="B9802" s="25"/>
      <c r="C9802" s="25"/>
      <c r="D9802" s="25"/>
      <c r="E9802" s="25"/>
      <c r="F9802" s="25"/>
      <c r="G9802" s="25"/>
      <c r="H9802" s="25"/>
      <c r="I9802" s="25"/>
      <c r="J9802" s="25"/>
    </row>
    <row r="9803" spans="1:10" ht="14.4">
      <c r="A9803" s="25"/>
      <c r="B9803" s="25"/>
      <c r="C9803" s="25"/>
      <c r="D9803" s="25"/>
      <c r="E9803" s="25"/>
      <c r="F9803" s="25"/>
      <c r="G9803" s="25"/>
      <c r="H9803" s="25"/>
      <c r="I9803" s="25"/>
      <c r="J9803" s="25"/>
    </row>
    <row r="9804" spans="1:10" ht="14.4">
      <c r="A9804" s="25"/>
      <c r="B9804" s="25"/>
      <c r="C9804" s="25"/>
      <c r="D9804" s="25"/>
      <c r="E9804" s="25"/>
      <c r="F9804" s="25"/>
      <c r="G9804" s="25"/>
      <c r="H9804" s="25"/>
      <c r="I9804" s="25"/>
      <c r="J9804" s="25"/>
    </row>
    <row r="9805" spans="1:10" ht="14.4">
      <c r="A9805" s="25"/>
      <c r="B9805" s="25"/>
      <c r="C9805" s="25"/>
      <c r="D9805" s="25"/>
      <c r="E9805" s="25"/>
      <c r="F9805" s="25"/>
      <c r="G9805" s="25"/>
      <c r="H9805" s="25"/>
      <c r="I9805" s="25"/>
      <c r="J9805" s="25"/>
    </row>
    <row r="9806" spans="1:10" ht="14.4">
      <c r="A9806" s="25"/>
      <c r="B9806" s="25"/>
      <c r="C9806" s="25"/>
      <c r="D9806" s="25"/>
      <c r="E9806" s="25"/>
      <c r="F9806" s="25"/>
      <c r="G9806" s="25"/>
      <c r="H9806" s="25"/>
      <c r="I9806" s="25"/>
      <c r="J9806" s="25"/>
    </row>
    <row r="9807" spans="1:10" ht="14.4">
      <c r="A9807" s="25"/>
      <c r="B9807" s="25"/>
      <c r="C9807" s="25"/>
      <c r="D9807" s="25"/>
      <c r="E9807" s="25"/>
      <c r="F9807" s="25"/>
      <c r="G9807" s="25"/>
      <c r="H9807" s="25"/>
      <c r="I9807" s="25"/>
      <c r="J9807" s="25"/>
    </row>
    <row r="9808" spans="1:10" ht="14.4">
      <c r="A9808" s="25"/>
      <c r="B9808" s="25"/>
      <c r="C9808" s="25"/>
      <c r="D9808" s="25"/>
      <c r="E9808" s="25"/>
      <c r="F9808" s="25"/>
      <c r="G9808" s="25"/>
      <c r="H9808" s="25"/>
      <c r="I9808" s="25"/>
      <c r="J9808" s="25"/>
    </row>
    <row r="9809" spans="1:10" ht="14.4">
      <c r="A9809" s="25"/>
      <c r="B9809" s="25"/>
      <c r="C9809" s="25"/>
      <c r="D9809" s="25"/>
      <c r="E9809" s="25"/>
      <c r="F9809" s="25"/>
      <c r="G9809" s="25"/>
      <c r="H9809" s="25"/>
      <c r="I9809" s="25"/>
      <c r="J9809" s="25"/>
    </row>
    <row r="9810" spans="1:10" ht="14.4">
      <c r="A9810" s="25"/>
      <c r="B9810" s="25"/>
      <c r="C9810" s="25"/>
      <c r="D9810" s="25"/>
      <c r="E9810" s="25"/>
      <c r="F9810" s="25"/>
      <c r="G9810" s="25"/>
      <c r="H9810" s="25"/>
      <c r="I9810" s="25"/>
      <c r="J9810" s="25"/>
    </row>
    <row r="9811" spans="1:10" ht="14.4">
      <c r="A9811" s="25"/>
      <c r="B9811" s="25"/>
      <c r="C9811" s="25"/>
      <c r="D9811" s="25"/>
      <c r="E9811" s="25"/>
      <c r="F9811" s="25"/>
      <c r="G9811" s="25"/>
      <c r="H9811" s="25"/>
      <c r="I9811" s="25"/>
      <c r="J9811" s="25"/>
    </row>
    <row r="9812" spans="1:10" ht="14.4">
      <c r="A9812" s="25"/>
      <c r="B9812" s="25"/>
      <c r="C9812" s="25"/>
      <c r="D9812" s="25"/>
      <c r="E9812" s="25"/>
      <c r="F9812" s="25"/>
      <c r="G9812" s="25"/>
      <c r="H9812" s="25"/>
      <c r="I9812" s="25"/>
      <c r="J9812" s="25"/>
    </row>
    <row r="9813" spans="1:10" ht="14.4">
      <c r="A9813" s="25"/>
      <c r="B9813" s="25"/>
      <c r="C9813" s="25"/>
      <c r="D9813" s="25"/>
      <c r="E9813" s="25"/>
      <c r="F9813" s="25"/>
      <c r="G9813" s="25"/>
      <c r="H9813" s="25"/>
      <c r="I9813" s="25"/>
      <c r="J9813" s="25"/>
    </row>
    <row r="9814" spans="1:10" ht="14.4">
      <c r="A9814" s="25"/>
      <c r="B9814" s="25"/>
      <c r="C9814" s="25"/>
      <c r="D9814" s="25"/>
      <c r="E9814" s="25"/>
      <c r="F9814" s="25"/>
      <c r="G9814" s="25"/>
      <c r="H9814" s="25"/>
      <c r="I9814" s="25"/>
      <c r="J9814" s="25"/>
    </row>
    <row r="9815" spans="1:10" ht="14.4">
      <c r="A9815" s="25"/>
      <c r="B9815" s="25"/>
      <c r="C9815" s="25"/>
      <c r="D9815" s="25"/>
      <c r="E9815" s="25"/>
      <c r="F9815" s="25"/>
      <c r="G9815" s="25"/>
      <c r="H9815" s="25"/>
      <c r="I9815" s="25"/>
      <c r="J9815" s="25"/>
    </row>
    <row r="9816" spans="1:10" ht="14.4">
      <c r="A9816" s="25"/>
      <c r="B9816" s="25"/>
      <c r="C9816" s="25"/>
      <c r="D9816" s="25"/>
      <c r="E9816" s="25"/>
      <c r="F9816" s="25"/>
      <c r="G9816" s="25"/>
      <c r="H9816" s="25"/>
      <c r="I9816" s="25"/>
      <c r="J9816" s="25"/>
    </row>
    <row r="9817" spans="1:10" ht="14.4">
      <c r="A9817" s="25"/>
      <c r="B9817" s="25"/>
      <c r="C9817" s="25"/>
      <c r="D9817" s="25"/>
      <c r="E9817" s="25"/>
      <c r="F9817" s="25"/>
      <c r="G9817" s="25"/>
      <c r="H9817" s="25"/>
      <c r="I9817" s="25"/>
      <c r="J9817" s="25"/>
    </row>
    <row r="9818" spans="1:10" ht="14.4">
      <c r="A9818" s="25"/>
      <c r="B9818" s="25"/>
      <c r="C9818" s="25"/>
      <c r="D9818" s="25"/>
      <c r="E9818" s="25"/>
      <c r="F9818" s="25"/>
      <c r="G9818" s="25"/>
      <c r="H9818" s="25"/>
      <c r="I9818" s="25"/>
      <c r="J9818" s="25"/>
    </row>
    <row r="9819" spans="1:10" ht="14.4">
      <c r="A9819" s="25"/>
      <c r="B9819" s="25"/>
      <c r="C9819" s="25"/>
      <c r="D9819" s="25"/>
      <c r="E9819" s="25"/>
      <c r="F9819" s="25"/>
      <c r="G9819" s="25"/>
      <c r="H9819" s="25"/>
      <c r="I9819" s="25"/>
      <c r="J9819" s="25"/>
    </row>
    <row r="9820" spans="1:10" ht="14.4">
      <c r="A9820" s="25"/>
      <c r="B9820" s="25"/>
      <c r="C9820" s="25"/>
      <c r="D9820" s="25"/>
      <c r="E9820" s="25"/>
      <c r="F9820" s="25"/>
      <c r="G9820" s="25"/>
      <c r="H9820" s="25"/>
      <c r="I9820" s="25"/>
      <c r="J9820" s="25"/>
    </row>
    <row r="9821" spans="1:10" ht="14.4">
      <c r="A9821" s="25"/>
      <c r="B9821" s="25"/>
      <c r="C9821" s="25"/>
      <c r="D9821" s="25"/>
      <c r="E9821" s="25"/>
      <c r="F9821" s="25"/>
      <c r="G9821" s="25"/>
      <c r="H9821" s="25"/>
      <c r="I9821" s="25"/>
      <c r="J9821" s="25"/>
    </row>
    <row r="9822" spans="1:10" ht="14.4">
      <c r="A9822" s="25"/>
      <c r="B9822" s="25"/>
      <c r="C9822" s="25"/>
      <c r="D9822" s="25"/>
      <c r="E9822" s="25"/>
      <c r="F9822" s="25"/>
      <c r="G9822" s="25"/>
      <c r="H9822" s="25"/>
      <c r="I9822" s="25"/>
      <c r="J9822" s="25"/>
    </row>
    <row r="9823" spans="1:10" ht="14.4">
      <c r="A9823" s="25"/>
      <c r="B9823" s="25"/>
      <c r="C9823" s="25"/>
      <c r="D9823" s="25"/>
      <c r="E9823" s="25"/>
      <c r="F9823" s="25"/>
      <c r="G9823" s="25"/>
      <c r="H9823" s="25"/>
      <c r="I9823" s="25"/>
      <c r="J9823" s="25"/>
    </row>
    <row r="9824" spans="1:10" ht="14.4">
      <c r="A9824" s="25"/>
      <c r="B9824" s="25"/>
      <c r="C9824" s="25"/>
      <c r="D9824" s="25"/>
      <c r="E9824" s="25"/>
      <c r="F9824" s="25"/>
      <c r="G9824" s="25"/>
      <c r="H9824" s="25"/>
      <c r="I9824" s="25"/>
      <c r="J9824" s="25"/>
    </row>
    <row r="9825" spans="1:10" ht="14.4">
      <c r="A9825" s="25"/>
      <c r="B9825" s="25"/>
      <c r="C9825" s="25"/>
      <c r="D9825" s="25"/>
      <c r="E9825" s="25"/>
      <c r="F9825" s="25"/>
      <c r="G9825" s="25"/>
      <c r="H9825" s="25"/>
      <c r="I9825" s="25"/>
      <c r="J9825" s="25"/>
    </row>
    <row r="9826" spans="1:10" ht="14.4">
      <c r="A9826" s="25"/>
      <c r="B9826" s="25"/>
      <c r="C9826" s="25"/>
      <c r="D9826" s="25"/>
      <c r="E9826" s="25"/>
      <c r="F9826" s="25"/>
      <c r="G9826" s="25"/>
      <c r="H9826" s="25"/>
      <c r="I9826" s="25"/>
      <c r="J9826" s="25"/>
    </row>
    <row r="9827" spans="1:10" ht="14.4">
      <c r="A9827" s="25"/>
      <c r="B9827" s="25"/>
      <c r="C9827" s="25"/>
      <c r="D9827" s="25"/>
      <c r="E9827" s="25"/>
      <c r="F9827" s="25"/>
      <c r="G9827" s="25"/>
      <c r="H9827" s="25"/>
      <c r="I9827" s="25"/>
      <c r="J9827" s="25"/>
    </row>
    <row r="9828" spans="1:10" ht="14.4">
      <c r="A9828" s="25"/>
      <c r="B9828" s="25"/>
      <c r="C9828" s="25"/>
      <c r="D9828" s="25"/>
      <c r="E9828" s="25"/>
      <c r="F9828" s="25"/>
      <c r="G9828" s="25"/>
      <c r="H9828" s="25"/>
      <c r="I9828" s="25"/>
      <c r="J9828" s="25"/>
    </row>
    <row r="9829" spans="1:10" ht="14.4">
      <c r="A9829" s="25"/>
      <c r="B9829" s="25"/>
      <c r="C9829" s="25"/>
      <c r="D9829" s="25"/>
      <c r="E9829" s="25"/>
      <c r="F9829" s="25"/>
      <c r="G9829" s="25"/>
      <c r="H9829" s="25"/>
      <c r="I9829" s="25"/>
      <c r="J9829" s="25"/>
    </row>
    <row r="9830" spans="1:10" ht="14.4">
      <c r="A9830" s="25"/>
      <c r="B9830" s="25"/>
      <c r="C9830" s="25"/>
      <c r="D9830" s="25"/>
      <c r="E9830" s="25"/>
      <c r="F9830" s="25"/>
      <c r="G9830" s="25"/>
      <c r="H9830" s="25"/>
      <c r="I9830" s="25"/>
      <c r="J9830" s="25"/>
    </row>
    <row r="9831" spans="1:10" ht="14.4">
      <c r="A9831" s="25"/>
      <c r="B9831" s="25"/>
      <c r="C9831" s="25"/>
      <c r="D9831" s="25"/>
      <c r="E9831" s="25"/>
      <c r="F9831" s="25"/>
      <c r="G9831" s="25"/>
      <c r="H9831" s="25"/>
      <c r="I9831" s="25"/>
      <c r="J9831" s="25"/>
    </row>
    <row r="9832" spans="1:10" ht="14.4">
      <c r="A9832" s="25"/>
      <c r="B9832" s="25"/>
      <c r="C9832" s="25"/>
      <c r="D9832" s="25"/>
      <c r="E9832" s="25"/>
      <c r="F9832" s="25"/>
      <c r="G9832" s="25"/>
      <c r="H9832" s="25"/>
      <c r="I9832" s="25"/>
      <c r="J9832" s="25"/>
    </row>
    <row r="9833" spans="1:10" ht="14.4">
      <c r="A9833" s="25"/>
      <c r="B9833" s="25"/>
      <c r="C9833" s="25"/>
      <c r="D9833" s="25"/>
      <c r="E9833" s="25"/>
      <c r="F9833" s="25"/>
      <c r="G9833" s="25"/>
      <c r="H9833" s="25"/>
      <c r="I9833" s="25"/>
      <c r="J9833" s="25"/>
    </row>
    <row r="9834" spans="1:10" ht="14.4">
      <c r="A9834" s="25"/>
      <c r="B9834" s="25"/>
      <c r="C9834" s="25"/>
      <c r="D9834" s="25"/>
      <c r="E9834" s="25"/>
      <c r="F9834" s="25"/>
      <c r="G9834" s="25"/>
      <c r="H9834" s="25"/>
      <c r="I9834" s="25"/>
      <c r="J9834" s="25"/>
    </row>
    <row r="9835" spans="1:10" ht="14.4">
      <c r="A9835" s="25"/>
      <c r="B9835" s="25"/>
      <c r="C9835" s="25"/>
      <c r="D9835" s="25"/>
      <c r="E9835" s="25"/>
      <c r="F9835" s="25"/>
      <c r="G9835" s="25"/>
      <c r="H9835" s="25"/>
      <c r="I9835" s="25"/>
      <c r="J9835" s="25"/>
    </row>
    <row r="9836" spans="1:10" ht="14.4">
      <c r="A9836" s="25"/>
      <c r="B9836" s="25"/>
      <c r="C9836" s="25"/>
      <c r="D9836" s="25"/>
      <c r="E9836" s="25"/>
      <c r="F9836" s="25"/>
      <c r="G9836" s="25"/>
      <c r="H9836" s="25"/>
      <c r="I9836" s="25"/>
      <c r="J9836" s="25"/>
    </row>
    <row r="9837" spans="1:10" ht="14.4">
      <c r="A9837" s="25"/>
      <c r="B9837" s="25"/>
      <c r="C9837" s="25"/>
      <c r="D9837" s="25"/>
      <c r="E9837" s="25"/>
      <c r="F9837" s="25"/>
      <c r="G9837" s="25"/>
      <c r="H9837" s="25"/>
      <c r="I9837" s="25"/>
      <c r="J9837" s="25"/>
    </row>
    <row r="9838" spans="1:10" ht="14.4">
      <c r="A9838" s="25"/>
      <c r="B9838" s="25"/>
      <c r="C9838" s="25"/>
      <c r="D9838" s="25"/>
      <c r="E9838" s="25"/>
      <c r="F9838" s="25"/>
      <c r="G9838" s="25"/>
      <c r="H9838" s="25"/>
      <c r="I9838" s="25"/>
      <c r="J9838" s="25"/>
    </row>
    <row r="9839" spans="1:10" ht="14.4">
      <c r="A9839" s="25"/>
      <c r="B9839" s="25"/>
      <c r="C9839" s="25"/>
      <c r="D9839" s="25"/>
      <c r="E9839" s="25"/>
      <c r="F9839" s="25"/>
      <c r="G9839" s="25"/>
      <c r="H9839" s="25"/>
      <c r="I9839" s="25"/>
      <c r="J9839" s="25"/>
    </row>
    <row r="9840" spans="1:10" ht="14.4">
      <c r="A9840" s="25"/>
      <c r="B9840" s="25"/>
      <c r="C9840" s="25"/>
      <c r="D9840" s="25"/>
      <c r="E9840" s="25"/>
      <c r="F9840" s="25"/>
      <c r="G9840" s="25"/>
      <c r="H9840" s="25"/>
      <c r="I9840" s="25"/>
      <c r="J9840" s="25"/>
    </row>
    <row r="9841" spans="1:10" ht="14.4">
      <c r="A9841" s="25"/>
      <c r="B9841" s="25"/>
      <c r="C9841" s="25"/>
      <c r="D9841" s="25"/>
      <c r="E9841" s="25"/>
      <c r="F9841" s="25"/>
      <c r="G9841" s="25"/>
      <c r="H9841" s="25"/>
      <c r="I9841" s="25"/>
      <c r="J9841" s="25"/>
    </row>
    <row r="9842" spans="1:10" ht="14.4">
      <c r="A9842" s="25"/>
      <c r="B9842" s="25"/>
      <c r="C9842" s="25"/>
      <c r="D9842" s="25"/>
      <c r="E9842" s="25"/>
      <c r="F9842" s="25"/>
      <c r="G9842" s="25"/>
      <c r="H9842" s="25"/>
      <c r="I9842" s="25"/>
      <c r="J9842" s="25"/>
    </row>
    <row r="9843" spans="1:10" ht="14.4">
      <c r="A9843" s="25"/>
      <c r="B9843" s="25"/>
      <c r="C9843" s="25"/>
      <c r="D9843" s="25"/>
      <c r="E9843" s="25"/>
      <c r="F9843" s="25"/>
      <c r="G9843" s="25"/>
      <c r="H9843" s="25"/>
      <c r="I9843" s="25"/>
      <c r="J9843" s="25"/>
    </row>
    <row r="9844" spans="1:10" ht="14.4">
      <c r="A9844" s="25"/>
      <c r="B9844" s="25"/>
      <c r="C9844" s="25"/>
      <c r="D9844" s="25"/>
      <c r="E9844" s="25"/>
      <c r="F9844" s="25"/>
      <c r="G9844" s="25"/>
      <c r="H9844" s="25"/>
      <c r="I9844" s="25"/>
      <c r="J9844" s="25"/>
    </row>
    <row r="9845" spans="1:10" ht="14.4">
      <c r="A9845" s="25"/>
      <c r="B9845" s="25"/>
      <c r="C9845" s="25"/>
      <c r="D9845" s="25"/>
      <c r="E9845" s="25"/>
      <c r="F9845" s="25"/>
      <c r="G9845" s="25"/>
      <c r="H9845" s="25"/>
      <c r="I9845" s="25"/>
      <c r="J9845" s="25"/>
    </row>
    <row r="9846" spans="1:10" ht="14.4">
      <c r="A9846" s="25"/>
      <c r="B9846" s="25"/>
      <c r="C9846" s="25"/>
      <c r="D9846" s="25"/>
      <c r="E9846" s="25"/>
      <c r="F9846" s="25"/>
      <c r="G9846" s="25"/>
      <c r="H9846" s="25"/>
      <c r="I9846" s="25"/>
      <c r="J9846" s="25"/>
    </row>
    <row r="9847" spans="1:10" ht="14.4">
      <c r="A9847" s="25"/>
      <c r="B9847" s="25"/>
      <c r="C9847" s="25"/>
      <c r="D9847" s="25"/>
      <c r="E9847" s="25"/>
      <c r="F9847" s="25"/>
      <c r="G9847" s="25"/>
      <c r="H9847" s="25"/>
      <c r="I9847" s="25"/>
      <c r="J9847" s="25"/>
    </row>
    <row r="9848" spans="1:10" ht="14.4">
      <c r="A9848" s="25"/>
      <c r="B9848" s="25"/>
      <c r="C9848" s="25"/>
      <c r="D9848" s="25"/>
      <c r="E9848" s="25"/>
      <c r="F9848" s="25"/>
      <c r="G9848" s="25"/>
      <c r="H9848" s="25"/>
      <c r="I9848" s="25"/>
      <c r="J9848" s="25"/>
    </row>
    <row r="9849" spans="1:10" ht="14.4">
      <c r="A9849" s="25"/>
      <c r="B9849" s="25"/>
      <c r="C9849" s="25"/>
      <c r="D9849" s="25"/>
      <c r="E9849" s="25"/>
      <c r="F9849" s="25"/>
      <c r="G9849" s="25"/>
      <c r="H9849" s="25"/>
      <c r="I9849" s="25"/>
      <c r="J9849" s="25"/>
    </row>
    <row r="9850" spans="1:10" ht="14.4">
      <c r="A9850" s="25"/>
      <c r="B9850" s="25"/>
      <c r="C9850" s="25"/>
      <c r="D9850" s="25"/>
      <c r="E9850" s="25"/>
      <c r="F9850" s="25"/>
      <c r="G9850" s="25"/>
      <c r="H9850" s="25"/>
      <c r="I9850" s="25"/>
      <c r="J9850" s="25"/>
    </row>
    <row r="9851" spans="1:10" ht="14.4">
      <c r="A9851" s="25"/>
      <c r="B9851" s="25"/>
      <c r="C9851" s="25"/>
      <c r="D9851" s="25"/>
      <c r="E9851" s="25"/>
      <c r="F9851" s="25"/>
      <c r="G9851" s="25"/>
      <c r="H9851" s="25"/>
      <c r="I9851" s="25"/>
      <c r="J9851" s="25"/>
    </row>
    <row r="9852" spans="1:10" ht="14.4">
      <c r="A9852" s="25"/>
      <c r="B9852" s="25"/>
      <c r="C9852" s="25"/>
      <c r="D9852" s="25"/>
      <c r="E9852" s="25"/>
      <c r="F9852" s="25"/>
      <c r="G9852" s="25"/>
      <c r="H9852" s="25"/>
      <c r="I9852" s="25"/>
      <c r="J9852" s="25"/>
    </row>
    <row r="9853" spans="1:10" ht="14.4">
      <c r="A9853" s="25"/>
      <c r="B9853" s="25"/>
      <c r="C9853" s="25"/>
      <c r="D9853" s="25"/>
      <c r="E9853" s="25"/>
      <c r="F9853" s="25"/>
      <c r="G9853" s="25"/>
      <c r="H9853" s="25"/>
      <c r="I9853" s="25"/>
      <c r="J9853" s="25"/>
    </row>
    <row r="9854" spans="1:10" ht="14.4">
      <c r="A9854" s="25"/>
      <c r="B9854" s="25"/>
      <c r="C9854" s="25"/>
      <c r="D9854" s="25"/>
      <c r="E9854" s="25"/>
      <c r="F9854" s="25"/>
      <c r="G9854" s="25"/>
      <c r="H9854" s="25"/>
      <c r="I9854" s="25"/>
      <c r="J9854" s="25"/>
    </row>
    <row r="9855" spans="1:10" ht="14.4">
      <c r="A9855" s="25"/>
      <c r="B9855" s="25"/>
      <c r="C9855" s="25"/>
      <c r="D9855" s="25"/>
      <c r="E9855" s="25"/>
      <c r="F9855" s="25"/>
      <c r="G9855" s="25"/>
      <c r="H9855" s="25"/>
      <c r="I9855" s="25"/>
      <c r="J9855" s="25"/>
    </row>
    <row r="9856" spans="1:10" ht="14.4">
      <c r="A9856" s="25"/>
      <c r="B9856" s="25"/>
      <c r="C9856" s="25"/>
      <c r="D9856" s="25"/>
      <c r="E9856" s="25"/>
      <c r="F9856" s="25"/>
      <c r="G9856" s="25"/>
      <c r="H9856" s="25"/>
      <c r="I9856" s="25"/>
      <c r="J9856" s="25"/>
    </row>
    <row r="9857" spans="1:10" ht="14.4">
      <c r="A9857" s="25"/>
      <c r="B9857" s="25"/>
      <c r="C9857" s="25"/>
      <c r="D9857" s="25"/>
      <c r="E9857" s="25"/>
      <c r="F9857" s="25"/>
      <c r="G9857" s="25"/>
      <c r="H9857" s="25"/>
      <c r="I9857" s="25"/>
      <c r="J9857" s="25"/>
    </row>
    <row r="9858" spans="1:10" ht="14.4">
      <c r="A9858" s="25"/>
      <c r="B9858" s="25"/>
      <c r="C9858" s="25"/>
      <c r="D9858" s="25"/>
      <c r="E9858" s="25"/>
      <c r="F9858" s="25"/>
      <c r="G9858" s="25"/>
      <c r="H9858" s="25"/>
      <c r="I9858" s="25"/>
      <c r="J9858" s="25"/>
    </row>
    <row r="9859" spans="1:10" ht="14.4">
      <c r="A9859" s="25"/>
      <c r="B9859" s="25"/>
      <c r="C9859" s="25"/>
      <c r="D9859" s="25"/>
      <c r="E9859" s="25"/>
      <c r="F9859" s="25"/>
      <c r="G9859" s="25"/>
      <c r="H9859" s="25"/>
      <c r="I9859" s="25"/>
      <c r="J9859" s="25"/>
    </row>
    <row r="9860" spans="1:10" ht="14.4">
      <c r="A9860" s="25"/>
      <c r="B9860" s="25"/>
      <c r="C9860" s="25"/>
      <c r="D9860" s="25"/>
      <c r="E9860" s="25"/>
      <c r="F9860" s="25"/>
      <c r="G9860" s="25"/>
      <c r="H9860" s="25"/>
      <c r="I9860" s="25"/>
      <c r="J9860" s="25"/>
    </row>
    <row r="9861" spans="1:10" ht="14.4">
      <c r="A9861" s="25"/>
      <c r="B9861" s="25"/>
      <c r="C9861" s="25"/>
      <c r="D9861" s="25"/>
      <c r="E9861" s="25"/>
      <c r="F9861" s="25"/>
      <c r="G9861" s="25"/>
      <c r="H9861" s="25"/>
      <c r="I9861" s="25"/>
      <c r="J9861" s="25"/>
    </row>
    <row r="9862" spans="1:10" ht="14.4">
      <c r="A9862" s="25"/>
      <c r="B9862" s="25"/>
      <c r="C9862" s="25"/>
      <c r="D9862" s="25"/>
      <c r="E9862" s="25"/>
      <c r="F9862" s="25"/>
      <c r="G9862" s="25"/>
      <c r="H9862" s="25"/>
      <c r="I9862" s="25"/>
      <c r="J9862" s="25"/>
    </row>
    <row r="9863" spans="1:10" ht="14.4">
      <c r="A9863" s="25"/>
      <c r="B9863" s="25"/>
      <c r="C9863" s="25"/>
      <c r="D9863" s="25"/>
      <c r="E9863" s="25"/>
      <c r="F9863" s="25"/>
      <c r="G9863" s="25"/>
      <c r="H9863" s="25"/>
      <c r="I9863" s="25"/>
      <c r="J9863" s="25"/>
    </row>
    <row r="9864" spans="1:10" ht="14.4">
      <c r="A9864" s="25"/>
      <c r="B9864" s="25"/>
      <c r="C9864" s="25"/>
      <c r="D9864" s="25"/>
      <c r="E9864" s="25"/>
      <c r="F9864" s="25"/>
      <c r="G9864" s="25"/>
      <c r="H9864" s="25"/>
      <c r="I9864" s="25"/>
      <c r="J9864" s="25"/>
    </row>
    <row r="9865" spans="1:10" ht="14.4">
      <c r="A9865" s="25"/>
      <c r="B9865" s="25"/>
      <c r="C9865" s="25"/>
      <c r="D9865" s="25"/>
      <c r="E9865" s="25"/>
      <c r="F9865" s="25"/>
      <c r="G9865" s="25"/>
      <c r="H9865" s="25"/>
      <c r="I9865" s="25"/>
      <c r="J9865" s="25"/>
    </row>
    <row r="9866" spans="1:10" ht="14.4">
      <c r="A9866" s="25"/>
      <c r="B9866" s="25"/>
      <c r="C9866" s="25"/>
      <c r="D9866" s="25"/>
      <c r="E9866" s="25"/>
      <c r="F9866" s="25"/>
      <c r="G9866" s="25"/>
      <c r="H9866" s="25"/>
      <c r="I9866" s="25"/>
      <c r="J9866" s="25"/>
    </row>
    <row r="9867" spans="1:10" ht="14.4">
      <c r="A9867" s="25"/>
      <c r="B9867" s="25"/>
      <c r="C9867" s="25"/>
      <c r="D9867" s="25"/>
      <c r="E9867" s="25"/>
      <c r="F9867" s="25"/>
      <c r="G9867" s="25"/>
      <c r="H9867" s="25"/>
      <c r="I9867" s="25"/>
      <c r="J9867" s="25"/>
    </row>
    <row r="9868" spans="1:10" ht="14.4">
      <c r="A9868" s="25"/>
      <c r="B9868" s="25"/>
      <c r="C9868" s="25"/>
      <c r="D9868" s="25"/>
      <c r="E9868" s="25"/>
      <c r="F9868" s="25"/>
      <c r="G9868" s="25"/>
      <c r="H9868" s="25"/>
      <c r="I9868" s="25"/>
      <c r="J9868" s="25"/>
    </row>
    <row r="9869" spans="1:10" ht="14.4">
      <c r="A9869" s="25"/>
      <c r="B9869" s="25"/>
      <c r="C9869" s="25"/>
      <c r="D9869" s="25"/>
      <c r="E9869" s="25"/>
      <c r="F9869" s="25"/>
      <c r="G9869" s="25"/>
      <c r="H9869" s="25"/>
      <c r="I9869" s="25"/>
      <c r="J9869" s="25"/>
    </row>
    <row r="9870" spans="1:10" ht="14.4">
      <c r="A9870" s="25"/>
      <c r="B9870" s="25"/>
      <c r="C9870" s="25"/>
      <c r="D9870" s="25"/>
      <c r="E9870" s="25"/>
      <c r="F9870" s="25"/>
      <c r="G9870" s="25"/>
      <c r="H9870" s="25"/>
      <c r="I9870" s="25"/>
      <c r="J9870" s="25"/>
    </row>
    <row r="9871" spans="1:10" ht="14.4">
      <c r="A9871" s="25"/>
      <c r="B9871" s="25"/>
      <c r="C9871" s="25"/>
      <c r="D9871" s="25"/>
      <c r="E9871" s="25"/>
      <c r="F9871" s="25"/>
      <c r="G9871" s="25"/>
      <c r="H9871" s="25"/>
      <c r="I9871" s="25"/>
      <c r="J9871" s="25"/>
    </row>
    <row r="9872" spans="1:10" ht="14.4">
      <c r="A9872" s="25"/>
      <c r="B9872" s="25"/>
      <c r="C9872" s="25"/>
      <c r="D9872" s="25"/>
      <c r="E9872" s="25"/>
      <c r="F9872" s="25"/>
      <c r="G9872" s="25"/>
      <c r="H9872" s="25"/>
      <c r="I9872" s="25"/>
      <c r="J9872" s="25"/>
    </row>
    <row r="9873" spans="1:10" ht="14.4">
      <c r="A9873" s="25"/>
      <c r="B9873" s="25"/>
      <c r="C9873" s="25"/>
      <c r="D9873" s="25"/>
      <c r="E9873" s="25"/>
      <c r="F9873" s="25"/>
      <c r="G9873" s="25"/>
      <c r="H9873" s="25"/>
      <c r="I9873" s="25"/>
      <c r="J9873" s="25"/>
    </row>
    <row r="9874" spans="1:10" ht="14.4">
      <c r="A9874" s="25"/>
      <c r="B9874" s="25"/>
      <c r="C9874" s="25"/>
      <c r="D9874" s="25"/>
      <c r="E9874" s="25"/>
      <c r="F9874" s="25"/>
      <c r="G9874" s="25"/>
      <c r="H9874" s="25"/>
      <c r="I9874" s="25"/>
      <c r="J9874" s="25"/>
    </row>
    <row r="9875" spans="1:10" ht="14.4">
      <c r="A9875" s="25"/>
      <c r="B9875" s="25"/>
      <c r="C9875" s="25"/>
      <c r="D9875" s="25"/>
      <c r="E9875" s="25"/>
      <c r="F9875" s="25"/>
      <c r="G9875" s="25"/>
      <c r="H9875" s="25"/>
      <c r="I9875" s="25"/>
      <c r="J9875" s="25"/>
    </row>
    <row r="9876" spans="1:10" ht="14.4">
      <c r="A9876" s="25"/>
      <c r="B9876" s="25"/>
      <c r="C9876" s="25"/>
      <c r="D9876" s="25"/>
      <c r="E9876" s="25"/>
      <c r="F9876" s="25"/>
      <c r="G9876" s="25"/>
      <c r="H9876" s="25"/>
      <c r="I9876" s="25"/>
      <c r="J9876" s="25"/>
    </row>
    <row r="9877" spans="1:10" ht="14.4">
      <c r="A9877" s="25"/>
      <c r="B9877" s="25"/>
      <c r="C9877" s="25"/>
      <c r="D9877" s="25"/>
      <c r="E9877" s="25"/>
      <c r="F9877" s="25"/>
      <c r="G9877" s="25"/>
      <c r="H9877" s="25"/>
      <c r="I9877" s="25"/>
      <c r="J9877" s="25"/>
    </row>
    <row r="9878" spans="1:10" ht="14.4">
      <c r="A9878" s="25"/>
      <c r="B9878" s="25"/>
      <c r="C9878" s="25"/>
      <c r="D9878" s="25"/>
      <c r="E9878" s="25"/>
      <c r="F9878" s="25"/>
      <c r="G9878" s="25"/>
      <c r="H9878" s="25"/>
      <c r="I9878" s="25"/>
      <c r="J9878" s="25"/>
    </row>
    <row r="9879" spans="1:10" ht="14.4">
      <c r="A9879" s="25"/>
      <c r="B9879" s="25"/>
      <c r="C9879" s="25"/>
      <c r="D9879" s="25"/>
      <c r="E9879" s="25"/>
      <c r="F9879" s="25"/>
      <c r="G9879" s="25"/>
      <c r="H9879" s="25"/>
      <c r="I9879" s="25"/>
      <c r="J9879" s="25"/>
    </row>
    <row r="9880" spans="1:10" ht="14.4">
      <c r="A9880" s="25"/>
      <c r="B9880" s="25"/>
      <c r="C9880" s="25"/>
      <c r="D9880" s="25"/>
      <c r="E9880" s="25"/>
      <c r="F9880" s="25"/>
      <c r="G9880" s="25"/>
      <c r="H9880" s="25"/>
      <c r="I9880" s="25"/>
      <c r="J9880" s="25"/>
    </row>
    <row r="9881" spans="1:10" ht="14.4">
      <c r="A9881" s="25"/>
      <c r="B9881" s="25"/>
      <c r="C9881" s="25"/>
      <c r="D9881" s="25"/>
      <c r="E9881" s="25"/>
      <c r="F9881" s="25"/>
      <c r="G9881" s="25"/>
      <c r="H9881" s="25"/>
      <c r="I9881" s="25"/>
      <c r="J9881" s="25"/>
    </row>
    <row r="9882" spans="1:10" ht="14.4">
      <c r="A9882" s="25"/>
      <c r="B9882" s="25"/>
      <c r="C9882" s="25"/>
      <c r="D9882" s="25"/>
      <c r="E9882" s="25"/>
      <c r="F9882" s="25"/>
      <c r="G9882" s="25"/>
      <c r="H9882" s="25"/>
      <c r="I9882" s="25"/>
      <c r="J9882" s="25"/>
    </row>
    <row r="9883" spans="1:10" ht="14.4">
      <c r="A9883" s="25"/>
      <c r="B9883" s="25"/>
      <c r="C9883" s="25"/>
      <c r="D9883" s="25"/>
      <c r="E9883" s="25"/>
      <c r="F9883" s="25"/>
      <c r="G9883" s="25"/>
      <c r="H9883" s="25"/>
      <c r="I9883" s="25"/>
      <c r="J9883" s="25"/>
    </row>
    <row r="9884" spans="1:10" ht="14.4">
      <c r="A9884" s="25"/>
      <c r="B9884" s="25"/>
      <c r="C9884" s="25"/>
      <c r="D9884" s="25"/>
      <c r="E9884" s="25"/>
      <c r="F9884" s="25"/>
      <c r="G9884" s="25"/>
      <c r="H9884" s="25"/>
      <c r="I9884" s="25"/>
      <c r="J9884" s="25"/>
    </row>
    <row r="9885" spans="1:10" ht="14.4">
      <c r="A9885" s="25"/>
      <c r="B9885" s="25"/>
      <c r="C9885" s="25"/>
      <c r="D9885" s="25"/>
      <c r="E9885" s="25"/>
      <c r="F9885" s="25"/>
      <c r="G9885" s="25"/>
      <c r="H9885" s="25"/>
      <c r="I9885" s="25"/>
      <c r="J9885" s="25"/>
    </row>
    <row r="9886" spans="1:10" ht="14.4">
      <c r="A9886" s="25"/>
      <c r="B9886" s="25"/>
      <c r="C9886" s="25"/>
      <c r="D9886" s="25"/>
      <c r="E9886" s="25"/>
      <c r="F9886" s="25"/>
      <c r="G9886" s="25"/>
      <c r="H9886" s="25"/>
      <c r="I9886" s="25"/>
      <c r="J9886" s="25"/>
    </row>
    <row r="9887" spans="1:10" ht="14.4">
      <c r="A9887" s="25"/>
      <c r="B9887" s="25"/>
      <c r="C9887" s="25"/>
      <c r="D9887" s="25"/>
      <c r="E9887" s="25"/>
      <c r="F9887" s="25"/>
      <c r="G9887" s="25"/>
      <c r="H9887" s="25"/>
      <c r="I9887" s="25"/>
      <c r="J9887" s="25"/>
    </row>
    <row r="9888" spans="1:10" ht="14.4">
      <c r="A9888" s="25"/>
      <c r="B9888" s="25"/>
      <c r="C9888" s="25"/>
      <c r="D9888" s="25"/>
      <c r="E9888" s="25"/>
      <c r="F9888" s="25"/>
      <c r="G9888" s="25"/>
      <c r="H9888" s="25"/>
      <c r="I9888" s="25"/>
      <c r="J9888" s="25"/>
    </row>
    <row r="9889" spans="1:10" ht="14.4">
      <c r="A9889" s="25"/>
      <c r="B9889" s="25"/>
      <c r="C9889" s="25"/>
      <c r="D9889" s="25"/>
      <c r="E9889" s="25"/>
      <c r="F9889" s="25"/>
      <c r="G9889" s="25"/>
      <c r="H9889" s="25"/>
      <c r="I9889" s="25"/>
      <c r="J9889" s="25"/>
    </row>
    <row r="9890" spans="1:10" ht="14.4">
      <c r="A9890" s="25"/>
      <c r="B9890" s="25"/>
      <c r="C9890" s="25"/>
      <c r="D9890" s="25"/>
      <c r="E9890" s="25"/>
      <c r="F9890" s="25"/>
      <c r="G9890" s="25"/>
      <c r="H9890" s="25"/>
      <c r="I9890" s="25"/>
      <c r="J9890" s="25"/>
    </row>
    <row r="9891" spans="1:10" ht="14.4">
      <c r="A9891" s="25"/>
      <c r="B9891" s="25"/>
      <c r="C9891" s="25"/>
      <c r="D9891" s="25"/>
      <c r="E9891" s="25"/>
      <c r="F9891" s="25"/>
      <c r="G9891" s="25"/>
      <c r="H9891" s="25"/>
      <c r="I9891" s="25"/>
      <c r="J9891" s="25"/>
    </row>
    <row r="9892" spans="1:10" ht="14.4">
      <c r="A9892" s="25"/>
      <c r="B9892" s="25"/>
      <c r="C9892" s="25"/>
      <c r="D9892" s="25"/>
      <c r="E9892" s="25"/>
      <c r="F9892" s="25"/>
      <c r="G9892" s="25"/>
      <c r="H9892" s="25"/>
      <c r="I9892" s="25"/>
      <c r="J9892" s="25"/>
    </row>
    <row r="9893" spans="1:10" ht="14.4">
      <c r="A9893" s="25"/>
      <c r="B9893" s="25"/>
      <c r="C9893" s="25"/>
      <c r="D9893" s="25"/>
      <c r="E9893" s="25"/>
      <c r="F9893" s="25"/>
      <c r="G9893" s="25"/>
      <c r="H9893" s="25"/>
      <c r="I9893" s="25"/>
      <c r="J9893" s="25"/>
    </row>
    <row r="9894" spans="1:10" ht="14.4">
      <c r="A9894" s="25"/>
      <c r="B9894" s="25"/>
      <c r="C9894" s="25"/>
      <c r="D9894" s="25"/>
      <c r="E9894" s="25"/>
      <c r="F9894" s="25"/>
      <c r="G9894" s="25"/>
      <c r="H9894" s="25"/>
      <c r="I9894" s="25"/>
      <c r="J9894" s="25"/>
    </row>
    <row r="9895" spans="1:10" ht="14.4">
      <c r="A9895" s="25"/>
      <c r="B9895" s="25"/>
      <c r="C9895" s="25"/>
      <c r="D9895" s="25"/>
      <c r="E9895" s="25"/>
      <c r="F9895" s="25"/>
      <c r="G9895" s="25"/>
      <c r="H9895" s="25"/>
      <c r="I9895" s="25"/>
      <c r="J9895" s="25"/>
    </row>
    <row r="9896" spans="1:10" ht="14.4">
      <c r="A9896" s="25"/>
      <c r="B9896" s="25"/>
      <c r="C9896" s="25"/>
      <c r="D9896" s="25"/>
      <c r="E9896" s="25"/>
      <c r="F9896" s="25"/>
      <c r="G9896" s="25"/>
      <c r="H9896" s="25"/>
      <c r="I9896" s="25"/>
      <c r="J9896" s="25"/>
    </row>
    <row r="9897" spans="1:10" ht="14.4">
      <c r="A9897" s="25"/>
      <c r="B9897" s="25"/>
      <c r="C9897" s="25"/>
      <c r="D9897" s="25"/>
      <c r="E9897" s="25"/>
      <c r="F9897" s="25"/>
      <c r="G9897" s="25"/>
      <c r="H9897" s="25"/>
      <c r="I9897" s="25"/>
      <c r="J9897" s="25"/>
    </row>
    <row r="9898" spans="1:10" ht="14.4">
      <c r="A9898" s="25"/>
      <c r="B9898" s="25"/>
      <c r="C9898" s="25"/>
      <c r="D9898" s="25"/>
      <c r="E9898" s="25"/>
      <c r="F9898" s="25"/>
      <c r="G9898" s="25"/>
      <c r="H9898" s="25"/>
      <c r="I9898" s="25"/>
      <c r="J9898" s="25"/>
    </row>
    <row r="9899" spans="1:10" ht="14.4">
      <c r="A9899" s="25"/>
      <c r="B9899" s="25"/>
      <c r="C9899" s="25"/>
      <c r="D9899" s="25"/>
      <c r="E9899" s="25"/>
      <c r="F9899" s="25"/>
      <c r="G9899" s="25"/>
      <c r="H9899" s="25"/>
      <c r="I9899" s="25"/>
      <c r="J9899" s="25"/>
    </row>
    <row r="9900" spans="1:10" ht="14.4">
      <c r="A9900" s="25"/>
      <c r="B9900" s="25"/>
      <c r="C9900" s="25"/>
      <c r="D9900" s="25"/>
      <c r="E9900" s="25"/>
      <c r="F9900" s="25"/>
      <c r="G9900" s="25"/>
      <c r="H9900" s="25"/>
      <c r="I9900" s="25"/>
      <c r="J9900" s="25"/>
    </row>
    <row r="9901" spans="1:10" ht="14.4">
      <c r="A9901" s="25"/>
      <c r="B9901" s="25"/>
      <c r="C9901" s="25"/>
      <c r="D9901" s="25"/>
      <c r="E9901" s="25"/>
      <c r="F9901" s="25"/>
      <c r="G9901" s="25"/>
      <c r="H9901" s="25"/>
      <c r="I9901" s="25"/>
      <c r="J9901" s="25"/>
    </row>
    <row r="9902" spans="1:10" ht="14.4">
      <c r="A9902" s="25"/>
      <c r="B9902" s="25"/>
      <c r="C9902" s="25"/>
      <c r="D9902" s="25"/>
      <c r="E9902" s="25"/>
      <c r="F9902" s="25"/>
      <c r="G9902" s="25"/>
      <c r="H9902" s="25"/>
      <c r="I9902" s="25"/>
      <c r="J9902" s="25"/>
    </row>
    <row r="9903" spans="1:10" ht="14.4">
      <c r="A9903" s="25"/>
      <c r="B9903" s="25"/>
      <c r="C9903" s="25"/>
      <c r="D9903" s="25"/>
      <c r="E9903" s="25"/>
      <c r="F9903" s="25"/>
      <c r="G9903" s="25"/>
      <c r="H9903" s="25"/>
      <c r="I9903" s="25"/>
      <c r="J9903" s="25"/>
    </row>
    <row r="9904" spans="1:10" ht="14.4">
      <c r="A9904" s="25"/>
      <c r="B9904" s="25"/>
      <c r="C9904" s="25"/>
      <c r="D9904" s="25"/>
      <c r="E9904" s="25"/>
      <c r="F9904" s="25"/>
      <c r="G9904" s="25"/>
      <c r="H9904" s="25"/>
      <c r="I9904" s="25"/>
      <c r="J9904" s="25"/>
    </row>
    <row r="9905" spans="1:10" ht="14.4">
      <c r="A9905" s="25"/>
      <c r="B9905" s="25"/>
      <c r="C9905" s="25"/>
      <c r="D9905" s="25"/>
      <c r="E9905" s="25"/>
      <c r="F9905" s="25"/>
      <c r="G9905" s="25"/>
      <c r="H9905" s="25"/>
      <c r="I9905" s="25"/>
      <c r="J9905" s="25"/>
    </row>
    <row r="9906" spans="1:10" ht="14.4">
      <c r="A9906" s="25"/>
      <c r="B9906" s="25"/>
      <c r="C9906" s="25"/>
      <c r="D9906" s="25"/>
      <c r="E9906" s="25"/>
      <c r="F9906" s="25"/>
      <c r="G9906" s="25"/>
      <c r="H9906" s="25"/>
      <c r="I9906" s="25"/>
      <c r="J9906" s="25"/>
    </row>
    <row r="9907" spans="1:10" ht="14.4">
      <c r="A9907" s="25"/>
      <c r="B9907" s="25"/>
      <c r="C9907" s="25"/>
      <c r="D9907" s="25"/>
      <c r="E9907" s="25"/>
      <c r="F9907" s="25"/>
      <c r="G9907" s="25"/>
      <c r="H9907" s="25"/>
      <c r="I9907" s="25"/>
      <c r="J9907" s="25"/>
    </row>
    <row r="9908" spans="1:10" ht="14.4">
      <c r="A9908" s="25"/>
      <c r="B9908" s="25"/>
      <c r="C9908" s="25"/>
      <c r="D9908" s="25"/>
      <c r="E9908" s="25"/>
      <c r="F9908" s="25"/>
      <c r="G9908" s="25"/>
      <c r="H9908" s="25"/>
      <c r="I9908" s="25"/>
      <c r="J9908" s="25"/>
    </row>
    <row r="9909" spans="1:10" ht="14.4">
      <c r="A9909" s="25"/>
      <c r="B9909" s="25"/>
      <c r="C9909" s="25"/>
      <c r="D9909" s="25"/>
      <c r="E9909" s="25"/>
      <c r="F9909" s="25"/>
      <c r="G9909" s="25"/>
      <c r="H9909" s="25"/>
      <c r="I9909" s="25"/>
      <c r="J9909" s="25"/>
    </row>
    <row r="9910" spans="1:10" ht="14.4">
      <c r="A9910" s="25"/>
      <c r="B9910" s="25"/>
      <c r="C9910" s="25"/>
      <c r="D9910" s="25"/>
      <c r="E9910" s="25"/>
      <c r="F9910" s="25"/>
      <c r="G9910" s="25"/>
      <c r="H9910" s="25"/>
      <c r="I9910" s="25"/>
      <c r="J9910" s="25"/>
    </row>
    <row r="9911" spans="1:10" ht="14.4">
      <c r="A9911" s="25"/>
      <c r="B9911" s="25"/>
      <c r="C9911" s="25"/>
      <c r="D9911" s="25"/>
      <c r="E9911" s="25"/>
      <c r="F9911" s="25"/>
      <c r="G9911" s="25"/>
      <c r="H9911" s="25"/>
      <c r="I9911" s="25"/>
      <c r="J9911" s="25"/>
    </row>
    <row r="9912" spans="1:10" ht="14.4">
      <c r="A9912" s="25"/>
      <c r="B9912" s="25"/>
      <c r="C9912" s="25"/>
      <c r="D9912" s="25"/>
      <c r="E9912" s="25"/>
      <c r="F9912" s="25"/>
      <c r="G9912" s="25"/>
      <c r="H9912" s="25"/>
      <c r="I9912" s="25"/>
      <c r="J9912" s="25"/>
    </row>
    <row r="9913" spans="1:10" ht="14.4">
      <c r="A9913" s="25"/>
      <c r="B9913" s="25"/>
      <c r="C9913" s="25"/>
      <c r="D9913" s="25"/>
      <c r="E9913" s="25"/>
      <c r="F9913" s="25"/>
      <c r="G9913" s="25"/>
      <c r="H9913" s="25"/>
      <c r="I9913" s="25"/>
      <c r="J9913" s="25"/>
    </row>
    <row r="9914" spans="1:10" ht="14.4">
      <c r="A9914" s="25"/>
      <c r="B9914" s="25"/>
      <c r="C9914" s="25"/>
      <c r="D9914" s="25"/>
      <c r="E9914" s="25"/>
      <c r="F9914" s="25"/>
      <c r="G9914" s="25"/>
      <c r="H9914" s="25"/>
      <c r="I9914" s="25"/>
      <c r="J9914" s="25"/>
    </row>
    <row r="9915" spans="1:10" ht="14.4">
      <c r="A9915" s="25"/>
      <c r="B9915" s="25"/>
      <c r="C9915" s="25"/>
      <c r="D9915" s="25"/>
      <c r="E9915" s="25"/>
      <c r="F9915" s="25"/>
      <c r="G9915" s="25"/>
      <c r="H9915" s="25"/>
      <c r="I9915" s="25"/>
      <c r="J9915" s="25"/>
    </row>
    <row r="9916" spans="1:10" ht="14.4">
      <c r="A9916" s="25"/>
      <c r="B9916" s="25"/>
      <c r="C9916" s="25"/>
      <c r="D9916" s="25"/>
      <c r="E9916" s="25"/>
      <c r="F9916" s="25"/>
      <c r="G9916" s="25"/>
      <c r="H9916" s="25"/>
      <c r="I9916" s="25"/>
      <c r="J9916" s="25"/>
    </row>
    <row r="9917" spans="1:10" ht="14.4">
      <c r="A9917" s="25"/>
      <c r="B9917" s="25"/>
      <c r="C9917" s="25"/>
      <c r="D9917" s="25"/>
      <c r="E9917" s="25"/>
      <c r="F9917" s="25"/>
      <c r="G9917" s="25"/>
      <c r="H9917" s="25"/>
      <c r="I9917" s="25"/>
      <c r="J9917" s="25"/>
    </row>
    <row r="9918" spans="1:10" ht="14.4">
      <c r="A9918" s="25"/>
      <c r="B9918" s="25"/>
      <c r="C9918" s="25"/>
      <c r="D9918" s="25"/>
      <c r="E9918" s="25"/>
      <c r="F9918" s="25"/>
      <c r="G9918" s="25"/>
      <c r="H9918" s="25"/>
      <c r="I9918" s="25"/>
      <c r="J9918" s="25"/>
    </row>
    <row r="9919" spans="1:10" ht="14.4">
      <c r="A9919" s="25"/>
      <c r="B9919" s="25"/>
      <c r="C9919" s="25"/>
      <c r="D9919" s="25"/>
      <c r="E9919" s="25"/>
      <c r="F9919" s="25"/>
      <c r="G9919" s="25"/>
      <c r="H9919" s="25"/>
      <c r="I9919" s="25"/>
      <c r="J9919" s="25"/>
    </row>
    <row r="9920" spans="1:10" ht="14.4">
      <c r="A9920" s="25"/>
      <c r="B9920" s="25"/>
      <c r="C9920" s="25"/>
      <c r="D9920" s="25"/>
      <c r="E9920" s="25"/>
      <c r="F9920" s="25"/>
      <c r="G9920" s="25"/>
      <c r="H9920" s="25"/>
      <c r="I9920" s="25"/>
      <c r="J9920" s="25"/>
    </row>
    <row r="9921" spans="1:10" ht="14.4">
      <c r="A9921" s="25"/>
      <c r="B9921" s="25"/>
      <c r="C9921" s="25"/>
      <c r="D9921" s="25"/>
      <c r="E9921" s="25"/>
      <c r="F9921" s="25"/>
      <c r="G9921" s="25"/>
      <c r="H9921" s="25"/>
      <c r="I9921" s="25"/>
      <c r="J9921" s="25"/>
    </row>
    <row r="9922" spans="1:10" ht="14.4">
      <c r="A9922" s="25"/>
      <c r="B9922" s="25"/>
      <c r="C9922" s="25"/>
      <c r="D9922" s="25"/>
      <c r="E9922" s="25"/>
      <c r="F9922" s="25"/>
      <c r="G9922" s="25"/>
      <c r="H9922" s="25"/>
      <c r="I9922" s="25"/>
      <c r="J9922" s="25"/>
    </row>
    <row r="9923" spans="1:10" ht="14.4">
      <c r="A9923" s="25"/>
      <c r="B9923" s="25"/>
      <c r="C9923" s="25"/>
      <c r="D9923" s="25"/>
      <c r="E9923" s="25"/>
      <c r="F9923" s="25"/>
      <c r="G9923" s="25"/>
      <c r="H9923" s="25"/>
      <c r="I9923" s="25"/>
      <c r="J9923" s="25"/>
    </row>
    <row r="9924" spans="1:10" ht="14.4">
      <c r="A9924" s="25"/>
      <c r="B9924" s="25"/>
      <c r="C9924" s="25"/>
      <c r="D9924" s="25"/>
      <c r="E9924" s="25"/>
      <c r="F9924" s="25"/>
      <c r="G9924" s="25"/>
      <c r="H9924" s="25"/>
      <c r="I9924" s="25"/>
      <c r="J9924" s="25"/>
    </row>
    <row r="9925" spans="1:10" ht="14.4">
      <c r="A9925" s="25"/>
      <c r="B9925" s="25"/>
      <c r="C9925" s="25"/>
      <c r="D9925" s="25"/>
      <c r="E9925" s="25"/>
      <c r="F9925" s="25"/>
      <c r="G9925" s="25"/>
      <c r="H9925" s="25"/>
      <c r="I9925" s="25"/>
      <c r="J9925" s="25"/>
    </row>
    <row r="9926" spans="1:10" ht="14.4">
      <c r="A9926" s="25"/>
      <c r="B9926" s="25"/>
      <c r="C9926" s="25"/>
      <c r="D9926" s="25"/>
      <c r="E9926" s="25"/>
      <c r="F9926" s="25"/>
      <c r="G9926" s="25"/>
      <c r="H9926" s="25"/>
      <c r="I9926" s="25"/>
      <c r="J9926" s="25"/>
    </row>
    <row r="9927" spans="1:10" ht="14.4">
      <c r="A9927" s="25"/>
      <c r="B9927" s="25"/>
      <c r="C9927" s="25"/>
      <c r="D9927" s="25"/>
      <c r="E9927" s="25"/>
      <c r="F9927" s="25"/>
      <c r="G9927" s="25"/>
      <c r="H9927" s="25"/>
      <c r="I9927" s="25"/>
      <c r="J9927" s="25"/>
    </row>
    <row r="9928" spans="1:10" ht="14.4">
      <c r="A9928" s="25"/>
      <c r="B9928" s="25"/>
      <c r="C9928" s="25"/>
      <c r="D9928" s="25"/>
      <c r="E9928" s="25"/>
      <c r="F9928" s="25"/>
      <c r="G9928" s="25"/>
      <c r="H9928" s="25"/>
      <c r="I9928" s="25"/>
      <c r="J9928" s="25"/>
    </row>
    <row r="9929" spans="1:10" ht="14.4">
      <c r="A9929" s="25"/>
      <c r="B9929" s="25"/>
      <c r="C9929" s="25"/>
      <c r="D9929" s="25"/>
      <c r="E9929" s="25"/>
      <c r="F9929" s="25"/>
      <c r="G9929" s="25"/>
      <c r="H9929" s="25"/>
      <c r="I9929" s="25"/>
      <c r="J9929" s="25"/>
    </row>
    <row r="9930" spans="1:10" ht="14.4">
      <c r="A9930" s="25"/>
      <c r="B9930" s="25"/>
      <c r="C9930" s="25"/>
      <c r="D9930" s="25"/>
      <c r="E9930" s="25"/>
      <c r="F9930" s="25"/>
      <c r="G9930" s="25"/>
      <c r="H9930" s="25"/>
      <c r="I9930" s="25"/>
      <c r="J9930" s="25"/>
    </row>
    <row r="9931" spans="1:10" ht="14.4">
      <c r="A9931" s="25"/>
      <c r="B9931" s="25"/>
      <c r="C9931" s="25"/>
      <c r="D9931" s="25"/>
      <c r="E9931" s="25"/>
      <c r="F9931" s="25"/>
      <c r="G9931" s="25"/>
      <c r="H9931" s="25"/>
      <c r="I9931" s="25"/>
      <c r="J9931" s="25"/>
    </row>
    <row r="9932" spans="1:10" ht="14.4">
      <c r="A9932" s="25"/>
      <c r="B9932" s="25"/>
      <c r="C9932" s="25"/>
      <c r="D9932" s="25"/>
      <c r="E9932" s="25"/>
      <c r="F9932" s="25"/>
      <c r="G9932" s="25"/>
      <c r="H9932" s="25"/>
      <c r="I9932" s="25"/>
      <c r="J9932" s="25"/>
    </row>
    <row r="9933" spans="1:10" ht="14.4">
      <c r="A9933" s="25"/>
      <c r="B9933" s="25"/>
      <c r="C9933" s="25"/>
      <c r="D9933" s="25"/>
      <c r="E9933" s="25"/>
      <c r="F9933" s="25"/>
      <c r="G9933" s="25"/>
      <c r="H9933" s="25"/>
      <c r="I9933" s="25"/>
      <c r="J9933" s="25"/>
    </row>
    <row r="9934" spans="1:10" ht="14.4">
      <c r="A9934" s="25"/>
      <c r="B9934" s="25"/>
      <c r="C9934" s="25"/>
      <c r="D9934" s="25"/>
      <c r="E9934" s="25"/>
      <c r="F9934" s="25"/>
      <c r="G9934" s="25"/>
      <c r="H9934" s="25"/>
      <c r="I9934" s="25"/>
      <c r="J9934" s="25"/>
    </row>
    <row r="9935" spans="1:10" ht="14.4">
      <c r="A9935" s="25"/>
      <c r="B9935" s="25"/>
      <c r="C9935" s="25"/>
      <c r="D9935" s="25"/>
      <c r="E9935" s="25"/>
      <c r="F9935" s="25"/>
      <c r="G9935" s="25"/>
      <c r="H9935" s="25"/>
      <c r="I9935" s="25"/>
      <c r="J9935" s="25"/>
    </row>
    <row r="9936" spans="1:10" ht="14.4">
      <c r="A9936" s="25"/>
      <c r="B9936" s="25"/>
      <c r="C9936" s="25"/>
      <c r="D9936" s="25"/>
      <c r="E9936" s="25"/>
      <c r="F9936" s="25"/>
      <c r="G9936" s="25"/>
      <c r="H9936" s="25"/>
      <c r="I9936" s="25"/>
      <c r="J9936" s="25"/>
    </row>
    <row r="9937" spans="1:10" ht="14.4">
      <c r="A9937" s="25"/>
      <c r="B9937" s="25"/>
      <c r="C9937" s="25"/>
      <c r="D9937" s="25"/>
      <c r="E9937" s="25"/>
      <c r="F9937" s="25"/>
      <c r="G9937" s="25"/>
      <c r="H9937" s="25"/>
      <c r="I9937" s="25"/>
      <c r="J9937" s="25"/>
    </row>
    <row r="9938" spans="1:10" ht="14.4">
      <c r="A9938" s="25"/>
      <c r="B9938" s="25"/>
      <c r="C9938" s="25"/>
      <c r="D9938" s="25"/>
      <c r="E9938" s="25"/>
      <c r="F9938" s="25"/>
      <c r="G9938" s="25"/>
      <c r="H9938" s="25"/>
      <c r="I9938" s="25"/>
      <c r="J9938" s="25"/>
    </row>
    <row r="9939" spans="1:10" ht="14.4">
      <c r="A9939" s="25"/>
      <c r="B9939" s="25"/>
      <c r="C9939" s="25"/>
      <c r="D9939" s="25"/>
      <c r="E9939" s="25"/>
      <c r="F9939" s="25"/>
      <c r="G9939" s="25"/>
      <c r="H9939" s="25"/>
      <c r="I9939" s="25"/>
      <c r="J9939" s="25"/>
    </row>
    <row r="9940" spans="1:10" ht="14.4">
      <c r="A9940" s="25"/>
      <c r="B9940" s="25"/>
      <c r="C9940" s="25"/>
      <c r="D9940" s="25"/>
      <c r="E9940" s="25"/>
      <c r="F9940" s="25"/>
      <c r="G9940" s="25"/>
      <c r="H9940" s="25"/>
      <c r="I9940" s="25"/>
      <c r="J9940" s="25"/>
    </row>
    <row r="9941" spans="1:10" ht="14.4">
      <c r="A9941" s="25"/>
      <c r="B9941" s="25"/>
      <c r="C9941" s="25"/>
      <c r="D9941" s="25"/>
      <c r="E9941" s="25"/>
      <c r="F9941" s="25"/>
      <c r="G9941" s="25"/>
      <c r="H9941" s="25"/>
      <c r="I9941" s="25"/>
      <c r="J9941" s="25"/>
    </row>
    <row r="9942" spans="1:10" ht="14.4">
      <c r="A9942" s="25"/>
      <c r="B9942" s="25"/>
      <c r="C9942" s="25"/>
      <c r="D9942" s="25"/>
      <c r="E9942" s="25"/>
      <c r="F9942" s="25"/>
      <c r="G9942" s="25"/>
      <c r="H9942" s="25"/>
      <c r="I9942" s="25"/>
      <c r="J9942" s="25"/>
    </row>
    <row r="9943" spans="1:10" ht="14.4">
      <c r="A9943" s="25"/>
      <c r="B9943" s="25"/>
      <c r="C9943" s="25"/>
      <c r="D9943" s="25"/>
      <c r="E9943" s="25"/>
      <c r="F9943" s="25"/>
      <c r="G9943" s="25"/>
      <c r="H9943" s="25"/>
      <c r="I9943" s="25"/>
      <c r="J9943" s="25"/>
    </row>
    <row r="9944" spans="1:10" ht="14.4">
      <c r="A9944" s="25"/>
      <c r="B9944" s="25"/>
      <c r="C9944" s="25"/>
      <c r="D9944" s="25"/>
      <c r="E9944" s="25"/>
      <c r="F9944" s="25"/>
      <c r="G9944" s="25"/>
      <c r="H9944" s="25"/>
      <c r="I9944" s="25"/>
      <c r="J9944" s="25"/>
    </row>
    <row r="9945" spans="1:10" ht="14.4">
      <c r="A9945" s="25"/>
      <c r="B9945" s="25"/>
      <c r="C9945" s="25"/>
      <c r="D9945" s="25"/>
      <c r="E9945" s="25"/>
      <c r="F9945" s="25"/>
      <c r="G9945" s="25"/>
      <c r="H9945" s="25"/>
      <c r="I9945" s="25"/>
      <c r="J9945" s="25"/>
    </row>
    <row r="9946" spans="1:10" ht="14.4">
      <c r="A9946" s="25"/>
      <c r="B9946" s="25"/>
      <c r="C9946" s="25"/>
      <c r="D9946" s="25"/>
      <c r="E9946" s="25"/>
      <c r="F9946" s="25"/>
      <c r="G9946" s="25"/>
      <c r="H9946" s="25"/>
      <c r="I9946" s="25"/>
      <c r="J9946" s="25"/>
    </row>
    <row r="9947" spans="1:10" ht="14.4">
      <c r="A9947" s="25"/>
      <c r="B9947" s="25"/>
      <c r="C9947" s="25"/>
      <c r="D9947" s="25"/>
      <c r="E9947" s="25"/>
      <c r="F9947" s="25"/>
      <c r="G9947" s="25"/>
      <c r="H9947" s="25"/>
      <c r="I9947" s="25"/>
      <c r="J9947" s="25"/>
    </row>
    <row r="9948" spans="1:10" ht="14.4">
      <c r="A9948" s="25"/>
      <c r="B9948" s="25"/>
      <c r="C9948" s="25"/>
      <c r="D9948" s="25"/>
      <c r="E9948" s="25"/>
      <c r="F9948" s="25"/>
      <c r="G9948" s="25"/>
      <c r="H9948" s="25"/>
      <c r="I9948" s="25"/>
      <c r="J9948" s="25"/>
    </row>
    <row r="9949" spans="1:10" ht="14.4">
      <c r="A9949" s="25"/>
      <c r="B9949" s="25"/>
      <c r="C9949" s="25"/>
      <c r="D9949" s="25"/>
      <c r="E9949" s="25"/>
      <c r="F9949" s="25"/>
      <c r="G9949" s="25"/>
      <c r="H9949" s="25"/>
      <c r="I9949" s="25"/>
      <c r="J9949" s="25"/>
    </row>
    <row r="9950" spans="1:10" ht="14.4">
      <c r="A9950" s="25"/>
      <c r="B9950" s="25"/>
      <c r="C9950" s="25"/>
      <c r="D9950" s="25"/>
      <c r="E9950" s="25"/>
      <c r="F9950" s="25"/>
      <c r="G9950" s="25"/>
      <c r="H9950" s="25"/>
      <c r="I9950" s="25"/>
      <c r="J9950" s="25"/>
    </row>
    <row r="9951" spans="1:10" ht="14.4">
      <c r="A9951" s="25"/>
      <c r="B9951" s="25"/>
      <c r="C9951" s="25"/>
      <c r="D9951" s="25"/>
      <c r="E9951" s="25"/>
      <c r="F9951" s="25"/>
      <c r="G9951" s="25"/>
      <c r="H9951" s="25"/>
      <c r="I9951" s="25"/>
      <c r="J9951" s="25"/>
    </row>
    <row r="9952" spans="1:10" ht="14.4">
      <c r="A9952" s="25"/>
      <c r="B9952" s="25"/>
      <c r="C9952" s="25"/>
      <c r="D9952" s="25"/>
      <c r="E9952" s="25"/>
      <c r="F9952" s="25"/>
      <c r="G9952" s="25"/>
      <c r="H9952" s="25"/>
      <c r="I9952" s="25"/>
      <c r="J9952" s="25"/>
    </row>
    <row r="9953" spans="1:10" ht="14.4">
      <c r="A9953" s="25"/>
      <c r="B9953" s="25"/>
      <c r="C9953" s="25"/>
      <c r="D9953" s="25"/>
      <c r="E9953" s="25"/>
      <c r="F9953" s="25"/>
      <c r="G9953" s="25"/>
      <c r="H9953" s="25"/>
      <c r="I9953" s="25"/>
      <c r="J9953" s="25"/>
    </row>
    <row r="9954" spans="1:10" ht="14.4">
      <c r="A9954" s="25"/>
      <c r="B9954" s="25"/>
      <c r="C9954" s="25"/>
      <c r="D9954" s="25"/>
      <c r="E9954" s="25"/>
      <c r="F9954" s="25"/>
      <c r="G9954" s="25"/>
      <c r="H9954" s="25"/>
      <c r="I9954" s="25"/>
      <c r="J9954" s="25"/>
    </row>
    <row r="9955" spans="1:10" ht="14.4">
      <c r="A9955" s="25"/>
      <c r="B9955" s="25"/>
      <c r="C9955" s="25"/>
      <c r="D9955" s="25"/>
      <c r="E9955" s="25"/>
      <c r="F9955" s="25"/>
      <c r="G9955" s="25"/>
      <c r="H9955" s="25"/>
      <c r="I9955" s="25"/>
      <c r="J9955" s="25"/>
    </row>
    <row r="9956" spans="1:10" ht="14.4">
      <c r="A9956" s="25"/>
      <c r="B9956" s="25"/>
      <c r="C9956" s="25"/>
      <c r="D9956" s="25"/>
      <c r="E9956" s="25"/>
      <c r="F9956" s="25"/>
      <c r="G9956" s="25"/>
      <c r="H9956" s="25"/>
      <c r="I9956" s="25"/>
      <c r="J9956" s="25"/>
    </row>
    <row r="9957" spans="1:10" ht="14.4">
      <c r="A9957" s="25"/>
      <c r="B9957" s="25"/>
      <c r="C9957" s="25"/>
      <c r="D9957" s="25"/>
      <c r="E9957" s="25"/>
      <c r="F9957" s="25"/>
      <c r="G9957" s="25"/>
      <c r="H9957" s="25"/>
      <c r="I9957" s="25"/>
      <c r="J9957" s="25"/>
    </row>
    <row r="9958" spans="1:10" ht="14.4">
      <c r="A9958" s="25"/>
      <c r="B9958" s="25"/>
      <c r="C9958" s="25"/>
      <c r="D9958" s="25"/>
      <c r="E9958" s="25"/>
      <c r="F9958" s="25"/>
      <c r="G9958" s="25"/>
      <c r="H9958" s="25"/>
      <c r="I9958" s="25"/>
      <c r="J9958" s="25"/>
    </row>
    <row r="9959" spans="1:10" ht="14.4">
      <c r="A9959" s="25"/>
      <c r="B9959" s="25"/>
      <c r="C9959" s="25"/>
      <c r="D9959" s="25"/>
      <c r="E9959" s="25"/>
      <c r="F9959" s="25"/>
      <c r="G9959" s="25"/>
      <c r="H9959" s="25"/>
      <c r="I9959" s="25"/>
      <c r="J9959" s="25"/>
    </row>
    <row r="9960" spans="1:10" ht="14.4">
      <c r="A9960" s="25"/>
      <c r="B9960" s="25"/>
      <c r="C9960" s="25"/>
      <c r="D9960" s="25"/>
      <c r="E9960" s="25"/>
      <c r="F9960" s="25"/>
      <c r="G9960" s="25"/>
      <c r="H9960" s="25"/>
      <c r="I9960" s="25"/>
      <c r="J9960" s="25"/>
    </row>
    <row r="9961" spans="1:10" ht="14.4">
      <c r="A9961" s="25"/>
      <c r="B9961" s="25"/>
      <c r="C9961" s="25"/>
      <c r="D9961" s="25"/>
      <c r="E9961" s="25"/>
      <c r="F9961" s="25"/>
      <c r="G9961" s="25"/>
      <c r="H9961" s="25"/>
      <c r="I9961" s="25"/>
      <c r="J9961" s="25"/>
    </row>
    <row r="9962" spans="1:10" ht="14.4">
      <c r="A9962" s="25"/>
      <c r="B9962" s="25"/>
      <c r="C9962" s="25"/>
      <c r="D9962" s="25"/>
      <c r="E9962" s="25"/>
      <c r="F9962" s="25"/>
      <c r="G9962" s="25"/>
      <c r="H9962" s="25"/>
      <c r="I9962" s="25"/>
      <c r="J9962" s="25"/>
    </row>
    <row r="9963" spans="1:10" ht="14.4">
      <c r="A9963" s="25"/>
      <c r="B9963" s="25"/>
      <c r="C9963" s="25"/>
      <c r="D9963" s="25"/>
      <c r="E9963" s="25"/>
      <c r="F9963" s="25"/>
      <c r="G9963" s="25"/>
      <c r="H9963" s="25"/>
      <c r="I9963" s="25"/>
      <c r="J9963" s="25"/>
    </row>
    <row r="9964" spans="1:10" ht="14.4">
      <c r="A9964" s="25"/>
      <c r="B9964" s="25"/>
      <c r="C9964" s="25"/>
      <c r="D9964" s="25"/>
      <c r="E9964" s="25"/>
      <c r="F9964" s="25"/>
      <c r="G9964" s="25"/>
      <c r="H9964" s="25"/>
      <c r="I9964" s="25"/>
      <c r="J9964" s="25"/>
    </row>
    <row r="9965" spans="1:10" ht="14.4">
      <c r="A9965" s="25"/>
      <c r="B9965" s="25"/>
      <c r="C9965" s="25"/>
      <c r="D9965" s="25"/>
      <c r="E9965" s="25"/>
      <c r="F9965" s="25"/>
      <c r="G9965" s="25"/>
      <c r="H9965" s="25"/>
      <c r="I9965" s="25"/>
      <c r="J9965" s="25"/>
    </row>
    <row r="9966" spans="1:10" ht="14.4">
      <c r="A9966" s="25"/>
      <c r="B9966" s="25"/>
      <c r="C9966" s="25"/>
      <c r="D9966" s="25"/>
      <c r="E9966" s="25"/>
      <c r="F9966" s="25"/>
      <c r="G9966" s="25"/>
      <c r="H9966" s="25"/>
      <c r="I9966" s="25"/>
      <c r="J9966" s="25"/>
    </row>
    <row r="9967" spans="1:10" ht="14.4">
      <c r="A9967" s="25"/>
      <c r="B9967" s="25"/>
      <c r="C9967" s="25"/>
      <c r="D9967" s="25"/>
      <c r="E9967" s="25"/>
      <c r="F9967" s="25"/>
      <c r="G9967" s="25"/>
      <c r="H9967" s="25"/>
      <c r="I9967" s="25"/>
      <c r="J9967" s="25"/>
    </row>
    <row r="9968" spans="1:10" ht="14.4">
      <c r="A9968" s="25"/>
      <c r="B9968" s="25"/>
      <c r="C9968" s="25"/>
      <c r="D9968" s="25"/>
      <c r="E9968" s="25"/>
      <c r="F9968" s="25"/>
      <c r="G9968" s="25"/>
      <c r="H9968" s="25"/>
      <c r="I9968" s="25"/>
      <c r="J9968" s="25"/>
    </row>
    <row r="9969" spans="1:10" ht="14.4">
      <c r="A9969" s="25"/>
      <c r="B9969" s="25"/>
      <c r="C9969" s="25"/>
      <c r="D9969" s="25"/>
      <c r="E9969" s="25"/>
      <c r="F9969" s="25"/>
      <c r="G9969" s="25"/>
      <c r="H9969" s="25"/>
      <c r="I9969" s="25"/>
      <c r="J9969" s="25"/>
    </row>
    <row r="9970" spans="1:10" ht="14.4">
      <c r="A9970" s="25"/>
      <c r="B9970" s="25"/>
      <c r="C9970" s="25"/>
      <c r="D9970" s="25"/>
      <c r="E9970" s="25"/>
      <c r="F9970" s="25"/>
      <c r="G9970" s="25"/>
      <c r="H9970" s="25"/>
      <c r="I9970" s="25"/>
      <c r="J9970" s="25"/>
    </row>
    <row r="9971" spans="1:10" ht="14.4">
      <c r="A9971" s="25"/>
      <c r="B9971" s="25"/>
      <c r="C9971" s="25"/>
      <c r="D9971" s="25"/>
      <c r="E9971" s="25"/>
      <c r="F9971" s="25"/>
      <c r="G9971" s="25"/>
      <c r="H9971" s="25"/>
      <c r="I9971" s="25"/>
      <c r="J9971" s="25"/>
    </row>
    <row r="9972" spans="1:10" ht="14.4">
      <c r="A9972" s="25"/>
      <c r="B9972" s="25"/>
      <c r="C9972" s="25"/>
      <c r="D9972" s="25"/>
      <c r="E9972" s="25"/>
      <c r="F9972" s="25"/>
      <c r="G9972" s="25"/>
      <c r="H9972" s="25"/>
      <c r="I9972" s="25"/>
      <c r="J9972" s="25"/>
    </row>
    <row r="9973" spans="1:10" ht="14.4">
      <c r="A9973" s="25"/>
      <c r="B9973" s="25"/>
      <c r="C9973" s="25"/>
      <c r="D9973" s="25"/>
      <c r="E9973" s="25"/>
      <c r="F9973" s="25"/>
      <c r="G9973" s="25"/>
      <c r="H9973" s="25"/>
      <c r="I9973" s="25"/>
      <c r="J9973" s="25"/>
    </row>
    <row r="9974" spans="1:10" ht="14.4">
      <c r="A9974" s="25"/>
      <c r="B9974" s="25"/>
      <c r="C9974" s="25"/>
      <c r="D9974" s="25"/>
      <c r="E9974" s="25"/>
      <c r="F9974" s="25"/>
      <c r="G9974" s="25"/>
      <c r="H9974" s="25"/>
      <c r="I9974" s="25"/>
      <c r="J9974"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80000"/>
    <outlinePr summaryBelow="0" summaryRight="0"/>
  </sheetPr>
  <dimension ref="A1:Y993"/>
  <sheetViews>
    <sheetView showGridLines="0" workbookViewId="0"/>
  </sheetViews>
  <sheetFormatPr defaultColWidth="12.6640625" defaultRowHeight="15.75" customHeight="1"/>
  <cols>
    <col min="1" max="1" width="38.6640625" customWidth="1"/>
    <col min="2" max="2" width="41.44140625" customWidth="1"/>
    <col min="3" max="3" width="7.44140625" customWidth="1"/>
    <col min="4" max="4" width="39.33203125" customWidth="1"/>
    <col min="5" max="5" width="32" customWidth="1"/>
    <col min="6" max="25" width="12.6640625" hidden="1"/>
  </cols>
  <sheetData>
    <row r="1" spans="1:25" ht="14.4">
      <c r="A1" s="90" t="s">
        <v>128</v>
      </c>
      <c r="B1" s="91"/>
      <c r="C1" s="45"/>
      <c r="D1" s="94" t="s">
        <v>115</v>
      </c>
      <c r="E1" s="95"/>
      <c r="F1" s="25"/>
      <c r="G1" s="25"/>
      <c r="H1" s="25"/>
      <c r="I1" s="25"/>
      <c r="J1" s="25"/>
      <c r="K1" s="25"/>
      <c r="L1" s="25"/>
      <c r="M1" s="25"/>
      <c r="N1" s="25"/>
      <c r="O1" s="25"/>
      <c r="P1" s="25"/>
      <c r="Q1" s="25"/>
      <c r="R1" s="25"/>
      <c r="S1" s="25"/>
      <c r="T1" s="25"/>
      <c r="U1" s="25"/>
      <c r="V1" s="25"/>
      <c r="W1" s="25"/>
      <c r="X1" s="25"/>
      <c r="Y1" s="25"/>
    </row>
    <row r="2" spans="1:25" ht="14.4">
      <c r="A2" s="92"/>
      <c r="B2" s="93"/>
      <c r="C2" s="45"/>
      <c r="D2" s="96"/>
      <c r="E2" s="97"/>
      <c r="F2" s="25"/>
      <c r="G2" s="25"/>
      <c r="H2" s="25"/>
      <c r="I2" s="25"/>
      <c r="J2" s="25"/>
      <c r="K2" s="25"/>
      <c r="L2" s="25"/>
      <c r="M2" s="25"/>
      <c r="N2" s="25"/>
      <c r="O2" s="25"/>
      <c r="P2" s="25"/>
      <c r="Q2" s="25"/>
      <c r="R2" s="25"/>
      <c r="S2" s="25"/>
      <c r="T2" s="25"/>
      <c r="U2" s="25"/>
      <c r="V2" s="25"/>
      <c r="W2" s="25"/>
      <c r="X2" s="25"/>
      <c r="Y2" s="25"/>
    </row>
    <row r="3" spans="1:25" ht="15.6">
      <c r="A3" s="46" t="s">
        <v>129</v>
      </c>
      <c r="B3" s="47" t="s">
        <v>122</v>
      </c>
      <c r="C3" s="45"/>
      <c r="D3" s="48" t="s">
        <v>129</v>
      </c>
      <c r="E3" s="49" t="s">
        <v>122</v>
      </c>
      <c r="F3" s="25"/>
      <c r="G3" s="25"/>
      <c r="H3" s="25"/>
      <c r="I3" s="25"/>
      <c r="J3" s="25"/>
      <c r="K3" s="25"/>
      <c r="L3" s="25"/>
      <c r="M3" s="25"/>
      <c r="N3" s="25"/>
      <c r="O3" s="25"/>
      <c r="P3" s="25"/>
      <c r="Q3" s="25"/>
      <c r="R3" s="25"/>
      <c r="S3" s="25"/>
      <c r="T3" s="25"/>
      <c r="U3" s="25"/>
      <c r="V3" s="25"/>
      <c r="W3" s="25"/>
      <c r="X3" s="25"/>
      <c r="Y3" s="25"/>
    </row>
    <row r="4" spans="1:25" ht="15.6">
      <c r="A4" s="46" t="s">
        <v>130</v>
      </c>
      <c r="B4" s="50" t="s">
        <v>131</v>
      </c>
      <c r="C4" s="45"/>
      <c r="D4" s="46" t="s">
        <v>130</v>
      </c>
      <c r="E4" s="50" t="s">
        <v>132</v>
      </c>
      <c r="F4" s="25"/>
      <c r="G4" s="25"/>
      <c r="H4" s="25"/>
      <c r="I4" s="25"/>
      <c r="J4" s="25"/>
      <c r="K4" s="25"/>
      <c r="L4" s="25"/>
      <c r="M4" s="25"/>
      <c r="N4" s="25"/>
      <c r="O4" s="25"/>
      <c r="P4" s="25"/>
      <c r="Q4" s="25"/>
      <c r="R4" s="25"/>
      <c r="S4" s="25"/>
      <c r="T4" s="25"/>
      <c r="U4" s="25"/>
      <c r="V4" s="25"/>
      <c r="W4" s="25"/>
      <c r="X4" s="25"/>
      <c r="Y4" s="25"/>
    </row>
    <row r="5" spans="1:25" ht="15.6">
      <c r="A5" s="51" t="s">
        <v>133</v>
      </c>
      <c r="B5" s="47" t="s">
        <v>123</v>
      </c>
      <c r="C5" s="45"/>
      <c r="D5" s="51" t="s">
        <v>133</v>
      </c>
      <c r="E5" s="47" t="s">
        <v>123</v>
      </c>
      <c r="F5" s="25"/>
      <c r="G5" s="25"/>
      <c r="H5" s="25"/>
      <c r="I5" s="25"/>
      <c r="J5" s="25"/>
      <c r="K5" s="25"/>
      <c r="L5" s="25"/>
      <c r="M5" s="25"/>
      <c r="N5" s="25"/>
      <c r="O5" s="25"/>
      <c r="P5" s="25"/>
      <c r="Q5" s="25"/>
      <c r="R5" s="25"/>
      <c r="S5" s="25"/>
      <c r="T5" s="25"/>
      <c r="U5" s="25"/>
      <c r="V5" s="25"/>
      <c r="W5" s="25"/>
      <c r="X5" s="25"/>
      <c r="Y5" s="25"/>
    </row>
    <row r="6" spans="1:25" ht="15.6">
      <c r="A6" s="51" t="s">
        <v>134</v>
      </c>
      <c r="B6" s="52" t="s">
        <v>135</v>
      </c>
      <c r="C6" s="45"/>
      <c r="D6" s="51" t="s">
        <v>134</v>
      </c>
      <c r="E6" s="52" t="s">
        <v>135</v>
      </c>
      <c r="F6" s="25"/>
      <c r="G6" s="25"/>
      <c r="H6" s="25"/>
      <c r="I6" s="25"/>
      <c r="J6" s="25"/>
      <c r="K6" s="25"/>
      <c r="L6" s="25"/>
      <c r="M6" s="25"/>
      <c r="N6" s="25"/>
      <c r="O6" s="25"/>
      <c r="P6" s="25"/>
      <c r="Q6" s="25"/>
      <c r="R6" s="25"/>
      <c r="S6" s="25"/>
      <c r="T6" s="25"/>
      <c r="U6" s="25"/>
      <c r="V6" s="25"/>
      <c r="W6" s="25"/>
      <c r="X6" s="25"/>
      <c r="Y6" s="25"/>
    </row>
    <row r="7" spans="1:25" ht="15.6">
      <c r="A7" s="51" t="s">
        <v>136</v>
      </c>
      <c r="B7" s="53">
        <f ca="1">NOW()</f>
        <v>46133.76246539352</v>
      </c>
      <c r="C7" s="45"/>
      <c r="D7" s="51" t="s">
        <v>136</v>
      </c>
      <c r="E7" s="53">
        <f ca="1">NOW()</f>
        <v>46133.76246539352</v>
      </c>
      <c r="F7" s="25"/>
      <c r="G7" s="25"/>
      <c r="H7" s="25"/>
      <c r="I7" s="25"/>
      <c r="J7" s="25"/>
      <c r="K7" s="25"/>
      <c r="L7" s="25"/>
      <c r="M7" s="25"/>
      <c r="N7" s="25"/>
      <c r="O7" s="25"/>
      <c r="P7" s="25"/>
      <c r="Q7" s="25"/>
      <c r="R7" s="25"/>
      <c r="S7" s="25"/>
      <c r="T7" s="25"/>
      <c r="U7" s="25"/>
      <c r="V7" s="25"/>
      <c r="W7" s="25"/>
      <c r="X7" s="25"/>
      <c r="Y7" s="25"/>
    </row>
    <row r="8" spans="1:25" ht="15.6">
      <c r="A8" s="51" t="s">
        <v>137</v>
      </c>
      <c r="B8" s="47" t="s">
        <v>138</v>
      </c>
      <c r="C8" s="45"/>
      <c r="D8" s="51" t="s">
        <v>137</v>
      </c>
      <c r="E8" s="47" t="s">
        <v>139</v>
      </c>
      <c r="F8" s="25"/>
      <c r="G8" s="25"/>
      <c r="H8" s="25"/>
      <c r="I8" s="25"/>
      <c r="J8" s="25"/>
      <c r="K8" s="25"/>
      <c r="L8" s="25"/>
      <c r="M8" s="25"/>
      <c r="N8" s="25"/>
      <c r="O8" s="25"/>
      <c r="P8" s="25"/>
      <c r="Q8" s="25"/>
      <c r="R8" s="25"/>
      <c r="S8" s="25"/>
      <c r="T8" s="25"/>
      <c r="U8" s="25"/>
      <c r="V8" s="25"/>
      <c r="W8" s="25"/>
      <c r="X8" s="25"/>
      <c r="Y8" s="25"/>
    </row>
    <row r="9" spans="1:25" ht="14.4">
      <c r="A9" s="45"/>
      <c r="B9" s="45"/>
      <c r="C9" s="45"/>
      <c r="D9" s="54"/>
      <c r="E9" s="54"/>
      <c r="F9" s="25"/>
      <c r="G9" s="25"/>
      <c r="H9" s="25"/>
      <c r="I9" s="25"/>
      <c r="J9" s="25"/>
      <c r="K9" s="25"/>
      <c r="L9" s="25"/>
      <c r="M9" s="25"/>
      <c r="N9" s="25"/>
      <c r="O9" s="25"/>
      <c r="P9" s="25"/>
      <c r="Q9" s="25"/>
      <c r="R9" s="25"/>
      <c r="S9" s="25"/>
      <c r="T9" s="25"/>
      <c r="U9" s="25"/>
      <c r="V9" s="25"/>
      <c r="W9" s="25"/>
      <c r="X9" s="25"/>
      <c r="Y9" s="25"/>
    </row>
    <row r="10" spans="1:25" ht="14.4">
      <c r="A10" s="45"/>
      <c r="B10" s="45"/>
      <c r="C10" s="45"/>
      <c r="D10" s="45"/>
      <c r="E10" s="45"/>
      <c r="F10" s="25"/>
      <c r="G10" s="25"/>
      <c r="H10" s="25"/>
      <c r="I10" s="25"/>
      <c r="J10" s="25"/>
      <c r="K10" s="25"/>
      <c r="L10" s="25"/>
      <c r="M10" s="25"/>
      <c r="N10" s="25"/>
      <c r="O10" s="25"/>
      <c r="P10" s="25"/>
      <c r="Q10" s="25"/>
      <c r="R10" s="25"/>
      <c r="S10" s="25"/>
      <c r="T10" s="25"/>
      <c r="U10" s="25"/>
      <c r="V10" s="25"/>
      <c r="W10" s="25"/>
      <c r="X10" s="25"/>
      <c r="Y10" s="25"/>
    </row>
    <row r="11" spans="1:25" ht="14.4">
      <c r="A11" s="98" t="s">
        <v>116</v>
      </c>
      <c r="B11" s="99"/>
      <c r="C11" s="54"/>
      <c r="D11" s="102" t="s">
        <v>117</v>
      </c>
      <c r="E11" s="103"/>
      <c r="F11" s="25"/>
      <c r="G11" s="25"/>
      <c r="H11" s="25"/>
      <c r="I11" s="25"/>
      <c r="J11" s="25"/>
      <c r="K11" s="25"/>
      <c r="L11" s="25"/>
      <c r="M11" s="25"/>
      <c r="N11" s="25"/>
      <c r="O11" s="25"/>
      <c r="P11" s="25"/>
      <c r="Q11" s="25"/>
      <c r="R11" s="25"/>
      <c r="S11" s="25"/>
      <c r="T11" s="25"/>
      <c r="U11" s="25"/>
      <c r="V11" s="25"/>
      <c r="W11" s="25"/>
      <c r="X11" s="25"/>
      <c r="Y11" s="25"/>
    </row>
    <row r="12" spans="1:25" ht="14.4">
      <c r="A12" s="100"/>
      <c r="B12" s="101"/>
      <c r="C12" s="54"/>
      <c r="D12" s="104"/>
      <c r="E12" s="105"/>
      <c r="F12" s="25"/>
      <c r="G12" s="25"/>
      <c r="H12" s="25"/>
      <c r="I12" s="25"/>
      <c r="J12" s="25"/>
      <c r="K12" s="25"/>
      <c r="L12" s="25"/>
      <c r="M12" s="25"/>
      <c r="N12" s="25"/>
      <c r="O12" s="25"/>
      <c r="P12" s="25"/>
      <c r="Q12" s="25"/>
      <c r="R12" s="25"/>
      <c r="S12" s="25"/>
      <c r="T12" s="25"/>
      <c r="U12" s="25"/>
      <c r="V12" s="25"/>
      <c r="W12" s="25"/>
      <c r="X12" s="25"/>
      <c r="Y12" s="25"/>
    </row>
    <row r="13" spans="1:25" ht="15.6">
      <c r="A13" s="48" t="s">
        <v>129</v>
      </c>
      <c r="B13" s="49" t="s">
        <v>122</v>
      </c>
      <c r="C13" s="54"/>
      <c r="D13" s="48" t="s">
        <v>129</v>
      </c>
      <c r="E13" s="49" t="s">
        <v>122</v>
      </c>
      <c r="F13" s="25"/>
      <c r="G13" s="25"/>
      <c r="H13" s="25"/>
      <c r="I13" s="25"/>
      <c r="J13" s="25"/>
      <c r="K13" s="25"/>
      <c r="L13" s="25"/>
      <c r="M13" s="25"/>
      <c r="N13" s="25"/>
      <c r="O13" s="25"/>
      <c r="P13" s="25"/>
      <c r="Q13" s="25"/>
      <c r="R13" s="25"/>
      <c r="S13" s="25"/>
      <c r="T13" s="25"/>
      <c r="U13" s="25"/>
      <c r="V13" s="25"/>
      <c r="W13" s="25"/>
      <c r="X13" s="25"/>
      <c r="Y13" s="25"/>
    </row>
    <row r="14" spans="1:25" ht="15.6">
      <c r="A14" s="46" t="s">
        <v>130</v>
      </c>
      <c r="B14" s="50" t="s">
        <v>140</v>
      </c>
      <c r="C14" s="54"/>
      <c r="D14" s="46" t="s">
        <v>130</v>
      </c>
      <c r="E14" s="50" t="s">
        <v>132</v>
      </c>
      <c r="F14" s="25"/>
      <c r="G14" s="25"/>
      <c r="H14" s="25"/>
      <c r="I14" s="25"/>
      <c r="J14" s="25"/>
      <c r="K14" s="25"/>
      <c r="L14" s="25"/>
      <c r="M14" s="25"/>
      <c r="N14" s="25"/>
      <c r="O14" s="25"/>
      <c r="P14" s="25"/>
      <c r="Q14" s="25"/>
      <c r="R14" s="25"/>
      <c r="S14" s="25"/>
      <c r="T14" s="25"/>
      <c r="U14" s="25"/>
      <c r="V14" s="25"/>
      <c r="W14" s="25"/>
      <c r="X14" s="25"/>
      <c r="Y14" s="25"/>
    </row>
    <row r="15" spans="1:25" ht="15.6">
      <c r="A15" s="51" t="s">
        <v>133</v>
      </c>
      <c r="B15" s="47" t="s">
        <v>123</v>
      </c>
      <c r="C15" s="54"/>
      <c r="D15" s="51" t="s">
        <v>133</v>
      </c>
      <c r="E15" s="47" t="s">
        <v>123</v>
      </c>
      <c r="F15" s="25"/>
      <c r="G15" s="25"/>
      <c r="H15" s="25"/>
      <c r="I15" s="25"/>
      <c r="J15" s="25"/>
      <c r="K15" s="25"/>
      <c r="L15" s="25"/>
      <c r="M15" s="25"/>
      <c r="N15" s="25"/>
      <c r="O15" s="25"/>
      <c r="P15" s="25"/>
      <c r="Q15" s="25"/>
      <c r="R15" s="25"/>
      <c r="S15" s="25"/>
      <c r="T15" s="25"/>
      <c r="U15" s="25"/>
      <c r="V15" s="25"/>
      <c r="W15" s="25"/>
      <c r="X15" s="25"/>
      <c r="Y15" s="25"/>
    </row>
    <row r="16" spans="1:25" ht="15.6">
      <c r="A16" s="51" t="s">
        <v>134</v>
      </c>
      <c r="B16" s="52" t="s">
        <v>135</v>
      </c>
      <c r="C16" s="54"/>
      <c r="D16" s="51" t="s">
        <v>134</v>
      </c>
      <c r="E16" s="52" t="s">
        <v>135</v>
      </c>
      <c r="F16" s="25"/>
      <c r="G16" s="25"/>
      <c r="H16" s="25"/>
      <c r="I16" s="25"/>
      <c r="J16" s="25"/>
      <c r="K16" s="25"/>
      <c r="L16" s="25"/>
      <c r="M16" s="25"/>
      <c r="N16" s="25"/>
      <c r="O16" s="25"/>
      <c r="P16" s="25"/>
      <c r="Q16" s="25"/>
      <c r="R16" s="25"/>
      <c r="S16" s="25"/>
      <c r="T16" s="25"/>
      <c r="U16" s="25"/>
      <c r="V16" s="25"/>
      <c r="W16" s="25"/>
      <c r="X16" s="25"/>
      <c r="Y16" s="25"/>
    </row>
    <row r="17" spans="1:25" ht="15.6">
      <c r="A17" s="51" t="s">
        <v>136</v>
      </c>
      <c r="B17" s="53">
        <f ca="1">NOW()</f>
        <v>46133.76246539352</v>
      </c>
      <c r="C17" s="54"/>
      <c r="D17" s="51" t="s">
        <v>136</v>
      </c>
      <c r="E17" s="53">
        <f ca="1">NOW()</f>
        <v>46133.76246539352</v>
      </c>
      <c r="F17" s="25"/>
      <c r="G17" s="25"/>
      <c r="H17" s="25"/>
      <c r="I17" s="25"/>
      <c r="J17" s="25"/>
      <c r="K17" s="25"/>
      <c r="L17" s="25"/>
      <c r="M17" s="25"/>
      <c r="N17" s="25"/>
      <c r="O17" s="25"/>
      <c r="P17" s="25"/>
      <c r="Q17" s="25"/>
      <c r="R17" s="25"/>
      <c r="S17" s="25"/>
      <c r="T17" s="25"/>
      <c r="U17" s="25"/>
      <c r="V17" s="25"/>
      <c r="W17" s="25"/>
      <c r="X17" s="25"/>
      <c r="Y17" s="25"/>
    </row>
    <row r="18" spans="1:25" ht="15.6">
      <c r="A18" s="51" t="s">
        <v>137</v>
      </c>
      <c r="B18" s="47" t="s">
        <v>139</v>
      </c>
      <c r="C18" s="54"/>
      <c r="D18" s="51" t="s">
        <v>137</v>
      </c>
      <c r="E18" s="47" t="s">
        <v>139</v>
      </c>
      <c r="F18" s="25"/>
      <c r="G18" s="25"/>
      <c r="H18" s="25"/>
      <c r="I18" s="25"/>
      <c r="J18" s="25"/>
      <c r="K18" s="25"/>
      <c r="L18" s="25"/>
      <c r="M18" s="25"/>
      <c r="N18" s="25"/>
      <c r="O18" s="25"/>
      <c r="P18" s="25"/>
      <c r="Q18" s="25"/>
      <c r="R18" s="25"/>
      <c r="S18" s="25"/>
      <c r="T18" s="25"/>
      <c r="U18" s="25"/>
      <c r="V18" s="25"/>
      <c r="W18" s="25"/>
      <c r="X18" s="25"/>
      <c r="Y18" s="25"/>
    </row>
    <row r="19" spans="1:25" ht="14.4">
      <c r="A19" s="54"/>
      <c r="B19" s="54"/>
      <c r="C19" s="54"/>
      <c r="D19" s="54"/>
      <c r="E19" s="54"/>
      <c r="F19" s="25"/>
      <c r="G19" s="25"/>
      <c r="H19" s="25"/>
      <c r="I19" s="25"/>
      <c r="J19" s="25"/>
      <c r="K19" s="25"/>
      <c r="L19" s="25"/>
      <c r="M19" s="25"/>
      <c r="N19" s="25"/>
      <c r="O19" s="25"/>
      <c r="P19" s="25"/>
      <c r="Q19" s="25"/>
      <c r="R19" s="25"/>
      <c r="S19" s="25"/>
      <c r="T19" s="25"/>
      <c r="U19" s="25"/>
      <c r="V19" s="25"/>
      <c r="W19" s="25"/>
      <c r="X19" s="25"/>
      <c r="Y19" s="25"/>
    </row>
    <row r="20" spans="1:25" ht="11.25" customHeight="1">
      <c r="A20" s="54"/>
      <c r="B20" s="54"/>
      <c r="C20" s="54"/>
      <c r="D20" s="54"/>
      <c r="E20" s="54"/>
      <c r="F20" s="25"/>
      <c r="G20" s="25"/>
      <c r="H20" s="25"/>
      <c r="I20" s="25"/>
      <c r="J20" s="25"/>
      <c r="K20" s="25"/>
      <c r="L20" s="25"/>
      <c r="M20" s="25"/>
      <c r="N20" s="25"/>
      <c r="O20" s="25"/>
      <c r="P20" s="25"/>
      <c r="Q20" s="25"/>
      <c r="R20" s="25"/>
      <c r="S20" s="25"/>
      <c r="T20" s="25"/>
      <c r="U20" s="25"/>
      <c r="V20" s="25"/>
      <c r="W20" s="25"/>
      <c r="X20" s="25"/>
      <c r="Y20" s="25"/>
    </row>
    <row r="21" spans="1:25" ht="14.4">
      <c r="A21" s="54"/>
      <c r="B21" s="54"/>
      <c r="C21" s="54"/>
      <c r="D21" s="54"/>
      <c r="E21" s="54"/>
      <c r="F21" s="25"/>
      <c r="G21" s="25"/>
      <c r="H21" s="25"/>
      <c r="I21" s="25"/>
      <c r="J21" s="25"/>
      <c r="K21" s="25"/>
      <c r="L21" s="25"/>
      <c r="M21" s="25"/>
      <c r="N21" s="25"/>
      <c r="O21" s="25"/>
      <c r="P21" s="25"/>
      <c r="Q21" s="25"/>
      <c r="R21" s="25"/>
      <c r="S21" s="25"/>
      <c r="T21" s="25"/>
      <c r="U21" s="25"/>
      <c r="V21" s="25"/>
      <c r="W21" s="25"/>
      <c r="X21" s="25"/>
      <c r="Y21" s="25"/>
    </row>
    <row r="22" spans="1:25" ht="28.5" customHeight="1">
      <c r="A22" s="54"/>
      <c r="B22" s="54"/>
      <c r="C22" s="54"/>
      <c r="D22" s="54"/>
      <c r="E22" s="54"/>
      <c r="F22" s="25"/>
      <c r="G22" s="25"/>
      <c r="H22" s="25"/>
      <c r="I22" s="25"/>
      <c r="J22" s="25"/>
      <c r="K22" s="25"/>
      <c r="L22" s="25"/>
      <c r="M22" s="25"/>
      <c r="N22" s="25"/>
      <c r="O22" s="25"/>
      <c r="P22" s="25"/>
      <c r="Q22" s="25"/>
      <c r="R22" s="25"/>
      <c r="S22" s="25"/>
      <c r="T22" s="25"/>
      <c r="U22" s="25"/>
      <c r="V22" s="25"/>
      <c r="W22" s="25"/>
      <c r="X22" s="25"/>
      <c r="Y22" s="25"/>
    </row>
    <row r="23" spans="1:25" ht="14.4">
      <c r="A23" s="45"/>
      <c r="B23" s="45"/>
      <c r="C23" s="45"/>
      <c r="D23" s="45"/>
      <c r="E23" s="45"/>
      <c r="F23" s="25"/>
      <c r="G23" s="25"/>
      <c r="H23" s="25"/>
      <c r="I23" s="25"/>
      <c r="J23" s="25"/>
      <c r="K23" s="25"/>
      <c r="L23" s="25"/>
      <c r="M23" s="25"/>
      <c r="N23" s="25"/>
      <c r="O23" s="25"/>
      <c r="P23" s="25"/>
      <c r="Q23" s="25"/>
      <c r="R23" s="25"/>
      <c r="S23" s="25"/>
      <c r="T23" s="25"/>
      <c r="U23" s="25"/>
      <c r="V23" s="25"/>
      <c r="W23" s="25"/>
      <c r="X23" s="25"/>
      <c r="Y23" s="25"/>
    </row>
    <row r="24" spans="1:25" ht="14.4" hidden="1">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14.4" hidden="1">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14.4" hidden="1">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14.4" hidden="1">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14.4" hidden="1">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14.4" hidden="1">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14.4" hidden="1">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14.4" hidden="1">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14.4" hidden="1">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14.4" hidden="1">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14.4" hidden="1">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14.4" hidden="1">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14.4" hidden="1">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14.4" hidden="1">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14.4" hidden="1">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14.4" hidden="1">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14.4" hidden="1">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14.4" hidden="1">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14.4" hidden="1">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14.4" hidden="1">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14.4" hidden="1">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14.4" hidden="1">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14.4" hidden="1">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14.4" hidden="1">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14.4" hidden="1">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14.4" hidden="1">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14.4" hidden="1">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14.4" hidden="1">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14.4" hidden="1">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14.4" hidden="1">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14.4" hidden="1">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14.4" hidden="1">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14.4" hidden="1">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14.4" hidden="1">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14.4" hidden="1">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14.4" hidden="1">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14.4" hidden="1">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14.4" hidden="1">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14.4" hidden="1">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14.4" hidden="1">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14.4" hidden="1">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14.4" hidden="1">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14.4" hidden="1">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14.4" hidden="1">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14.4" hidden="1">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14.4" hidden="1">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14.4" hidden="1">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14.4" hidden="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14.4" hidden="1">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14.4" hidden="1">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14.4" hidden="1">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14.4" hidden="1">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14.4" hidden="1">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14.4" hidden="1">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14.4" hidden="1">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14.4" hidden="1">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14.4" hidden="1">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14.4" hidden="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14.4" hidden="1">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14.4" hidden="1">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14.4" hidden="1">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14.4" hidden="1">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14.4" hidden="1">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14.4" hidden="1">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14.4" hidden="1">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14.4" hidden="1">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14.4" hidden="1">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14.4" hidden="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14.4" hidden="1">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14.4" hidden="1">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14.4" hidden="1">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14.4" hidden="1">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14.4" hidden="1">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14.4" hidden="1">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14.4" hidden="1">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14.4" hidden="1">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14.4" hidden="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14.4" hidden="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14.4" hidden="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14.4" hidden="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14.4" hidden="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14.4" hidden="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14.4" hidden="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14.4" hidden="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14.4" hidden="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14.4" hidden="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14.4" hidden="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14.4" hidden="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14.4" hidden="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14.4" hidden="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14.4" hidden="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14.4" hidden="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14.4" hidden="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14.4" hidden="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14.4" hidden="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14.4" hidden="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14.4" hidden="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14.4" hidden="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14.4" hidden="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14.4" hidden="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14.4" hidden="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14.4" hidden="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14.4" hidden="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14.4" hidden="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14.4" hidden="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14.4" hidden="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14.4" hidden="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14.4" hidden="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14.4" hidden="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14.4" hidden="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14.4" hidden="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14.4" hidden="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14.4" hidden="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14.4" hidden="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14.4" hidden="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14.4" hidden="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14.4" hidden="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14.4" hidden="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14.4" hidden="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14.4" hidden="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14.4" hidden="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14.4" hidden="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14.4" hidden="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14.4" hidden="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14.4" hidden="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14.4" hidden="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14.4" hidden="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14.4" hidden="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14.4" hidden="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14.4" hidden="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14.4" hidden="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14.4" hidden="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14.4" hidden="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14.4" hidden="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14.4" hidden="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14.4" hidden="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14.4" hidden="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14.4" hidden="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14.4" hidden="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14.4" hidden="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14.4" hidden="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14.4" hidden="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14.4" hidden="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14.4" hidden="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14.4" hidden="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14.4" hidden="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14.4" hidden="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14.4" hidden="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14.4" hidden="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14.4" hidden="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14.4" hidden="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14.4" hidden="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14.4" hidden="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14.4" hidden="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14.4" hidden="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14.4" hidden="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14.4" hidden="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14.4" hidden="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14.4" hidden="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14.4" hidden="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14.4" hidden="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14.4" hidden="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14.4" hidden="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14.4" hidden="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14.4" hidden="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14.4" hidden="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14.4" hidden="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14.4" hidden="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14.4" hidden="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14.4" hidden="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14.4" hidden="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14.4" hidden="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14.4" hidden="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14.4" hidden="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14.4" hidden="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14.4" hidden="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14.4" hidden="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14.4" hidden="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14.4" hidden="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14.4" hidden="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14.4" hidden="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14.4" hidden="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14.4" hidden="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14.4" hidden="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14.4" hidden="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14.4" hidden="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14.4" hidden="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14.4" hidden="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14.4" hidden="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14.4" hidden="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14.4" hidden="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14.4" hidden="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14.4" hidden="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14.4" hidden="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14.4" hidden="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14.4" hidden="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14.4" hidden="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14.4" hidden="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14.4" hidden="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14.4" hidden="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14.4" hidden="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14.4" hidden="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14.4" hidden="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14.4" hidden="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14.4" hidden="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14.4" hidden="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14.4" hidden="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14.4" hidden="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14.4" hidden="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14.4" hidden="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14.4" hidden="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14.4" hidden="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14.4" hidden="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14.4" hidden="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14.4" hidden="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14.4" hidden="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14.4" hidden="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14.4" hidden="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14.4" hidden="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14.4" hidden="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14.4" hidden="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14.4" hidden="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14.4" hidden="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14.4" hidden="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14.4" hidden="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14.4" hidden="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14.4" hidden="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14.4" hidden="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14.4" hidden="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14.4" hidden="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14.4" hidden="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14.4" hidden="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14.4" hidden="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14.4" hidden="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14.4" hidden="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14.4" hidden="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14.4" hidden="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14.4" hidden="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14.4" hidden="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14.4" hidden="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14.4" hidden="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14.4" hidden="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14.4" hidden="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14.4" hidden="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14.4" hidden="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14.4" hidden="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14.4" hidden="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14.4" hidden="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14.4" hidden="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14.4" hidden="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14.4" hidden="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14.4" hidden="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14.4" hidden="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14.4" hidden="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14.4" hidden="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14.4" hidden="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14.4" hidden="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14.4" hidden="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14.4" hidden="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14.4" hidden="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14.4" hidden="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14.4" hidden="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14.4" hidden="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14.4" hidden="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14.4" hidden="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14.4" hidden="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14.4" hidden="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14.4" hidden="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14.4" hidden="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14.4" hidden="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14.4" hidden="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14.4" hidden="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14.4" hidden="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14.4" hidden="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14.4" hidden="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14.4" hidden="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14.4" hidden="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14.4" hidden="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14.4" hidden="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14.4" hidden="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14.4" hidden="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14.4" hidden="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14.4" hidden="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14.4" hidden="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14.4" hidden="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14.4" hidden="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14.4" hidden="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14.4" hidden="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14.4" hidden="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14.4" hidden="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14.4" hidden="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14.4" hidden="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14.4" hidden="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14.4" hidden="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14.4" hidden="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14.4" hidden="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14.4" hidden="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14.4" hidden="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14.4" hidden="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14.4" hidden="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14.4" hidden="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14.4" hidden="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14.4" hidden="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14.4" hidden="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14.4" hidden="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14.4" hidden="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14.4" hidden="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14.4" hidden="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14.4" hidden="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14.4" hidden="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14.4" hidden="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14.4" hidden="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14.4" hidden="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14.4" hidden="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14.4" hidden="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14.4" hidden="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14.4" hidden="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14.4" hidden="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14.4" hidden="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14.4" hidden="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14.4" hidden="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14.4" hidden="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14.4" hidden="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14.4" hidden="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14.4" hidden="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14.4" hidden="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14.4" hidden="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14.4" hidden="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14.4" hidden="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14.4" hidden="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14.4" hidden="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14.4" hidden="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14.4" hidden="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14.4" hidden="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14.4" hidden="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14.4" hidden="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14.4" hidden="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14.4" hidden="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14.4" hidden="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14.4" hidden="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14.4" hidden="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14.4" hidden="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14.4" hidden="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14.4" hidden="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14.4" hidden="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14.4" hidden="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14.4" hidden="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14.4" hidden="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14.4" hidden="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14.4" hidden="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14.4" hidden="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14.4" hidden="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14.4" hidden="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14.4" hidden="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14.4" hidden="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14.4" hidden="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14.4" hidden="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14.4" hidden="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14.4" hidden="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14.4" hidden="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14.4" hidden="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14.4" hidden="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14.4" hidden="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14.4" hidden="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14.4" hidden="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14.4" hidden="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14.4" hidden="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14.4" hidden="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14.4" hidden="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14.4" hidden="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14.4" hidden="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14.4" hidden="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14.4" hidden="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14.4" hidden="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14.4" hidden="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14.4" hidden="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14.4" hidden="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14.4" hidden="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14.4" hidden="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14.4" hidden="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14.4" hidden="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14.4" hidden="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14.4" hidden="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14.4" hidden="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14.4" hidden="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14.4" hidden="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14.4" hidden="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14.4" hidden="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14.4" hidden="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14.4" hidden="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14.4" hidden="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14.4" hidden="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14.4" hidden="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14.4" hidden="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14.4" hidden="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14.4" hidden="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14.4" hidden="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14.4" hidden="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14.4" hidden="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14.4" hidden="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14.4" hidden="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14.4" hidden="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14.4" hidden="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14.4" hidden="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14.4" hidden="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14.4" hidden="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14.4" hidden="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14.4" hidden="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14.4" hidden="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14.4" hidden="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14.4" hidden="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14.4" hidden="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14.4" hidden="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14.4" hidden="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14.4" hidden="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14.4" hidden="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14.4" hidden="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14.4" hidden="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14.4" hidden="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14.4" hidden="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14.4" hidden="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14.4" hidden="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14.4" hidden="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14.4" hidden="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14.4" hidden="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14.4" hidden="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14.4" hidden="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14.4" hidden="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14.4" hidden="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14.4" hidden="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14.4" hidden="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14.4" hidden="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14.4" hidden="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14.4" hidden="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14.4" hidden="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14.4" hidden="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14.4" hidden="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14.4" hidden="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14.4" hidden="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14.4" hidden="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14.4" hidden="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14.4" hidden="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14.4" hidden="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14.4" hidden="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14.4" hidden="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14.4" hidden="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14.4" hidden="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14.4" hidden="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14.4" hidden="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14.4" hidden="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14.4" hidden="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14.4" hidden="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14.4" hidden="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14.4" hidden="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14.4" hidden="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14.4" hidden="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14.4" hidden="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14.4" hidden="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14.4" hidden="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14.4" hidden="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14.4" hidden="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14.4" hidden="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14.4" hidden="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14.4" hidden="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14.4" hidden="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14.4" hidden="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14.4" hidden="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14.4" hidden="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14.4" hidden="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14.4" hidden="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14.4" hidden="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14.4" hidden="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14.4" hidden="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14.4" hidden="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14.4" hidden="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14.4" hidden="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14.4" hidden="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14.4" hidden="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14.4" hidden="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14.4" hidden="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14.4" hidden="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14.4" hidden="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14.4" hidden="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14.4" hidden="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14.4" hidden="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14.4" hidden="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14.4" hidden="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14.4" hidden="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14.4" hidden="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14.4" hidden="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14.4" hidden="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14.4" hidden="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14.4" hidden="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14.4" hidden="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14.4" hidden="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14.4" hidden="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14.4" hidden="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14.4" hidden="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14.4" hidden="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14.4" hidden="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14.4" hidden="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14.4" hidden="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14.4" hidden="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14.4" hidden="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14.4" hidden="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14.4" hidden="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14.4" hidden="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14.4" hidden="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14.4" hidden="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14.4" hidden="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14.4" hidden="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14.4" hidden="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14.4" hidden="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14.4" hidden="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14.4" hidden="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14.4" hidden="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14.4" hidden="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14.4" hidden="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14.4" hidden="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14.4" hidden="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14.4" hidden="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14.4" hidden="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14.4" hidden="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14.4" hidden="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14.4" hidden="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14.4" hidden="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14.4" hidden="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14.4" hidden="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14.4" hidden="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14.4" hidden="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14.4" hidden="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14.4" hidden="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14.4" hidden="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14.4" hidden="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14.4" hidden="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14.4" hidden="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14.4" hidden="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14.4" hidden="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14.4" hidden="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14.4" hidden="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14.4" hidden="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14.4" hidden="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14.4" hidden="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14.4" hidden="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14.4" hidden="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14.4" hidden="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14.4" hidden="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14.4" hidden="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14.4" hidden="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14.4" hidden="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14.4" hidden="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14.4" hidden="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14.4" hidden="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14.4" hidden="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14.4" hidden="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14.4" hidden="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14.4" hidden="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14.4" hidden="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14.4" hidden="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14.4" hidden="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14.4" hidden="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14.4" hidden="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14.4" hidden="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14.4" hidden="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14.4" hidden="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14.4" hidden="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14.4" hidden="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14.4" hidden="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14.4" hidden="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14.4" hidden="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14.4" hidden="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14.4" hidden="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14.4" hidden="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14.4" hidden="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14.4" hidden="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14.4" hidden="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14.4" hidden="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14.4" hidden="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14.4" hidden="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14.4" hidden="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14.4" hidden="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14.4" hidden="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14.4" hidden="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14.4" hidden="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14.4" hidden="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14.4" hidden="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14.4" hidden="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14.4" hidden="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14.4" hidden="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14.4" hidden="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14.4" hidden="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14.4" hidden="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14.4" hidden="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14.4" hidden="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14.4" hidden="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14.4" hidden="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14.4" hidden="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14.4" hidden="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14.4" hidden="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14.4" hidden="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14.4" hidden="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14.4" hidden="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14.4" hidden="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14.4" hidden="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14.4" hidden="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14.4" hidden="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14.4" hidden="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14.4" hidden="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14.4" hidden="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14.4" hidden="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14.4" hidden="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14.4" hidden="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14.4" hidden="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14.4" hidden="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14.4" hidden="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14.4" hidden="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14.4" hidden="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14.4" hidden="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14.4" hidden="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14.4" hidden="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14.4" hidden="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14.4" hidden="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14.4" hidden="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14.4" hidden="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14.4" hidden="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14.4" hidden="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14.4" hidden="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14.4" hidden="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14.4" hidden="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14.4" hidden="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14.4" hidden="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14.4" hidden="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14.4" hidden="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14.4" hidden="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14.4" hidden="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14.4" hidden="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14.4" hidden="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14.4" hidden="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14.4" hidden="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14.4" hidden="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14.4" hidden="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14.4" hidden="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14.4" hidden="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14.4" hidden="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14.4" hidden="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14.4" hidden="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14.4" hidden="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14.4" hidden="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14.4" hidden="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14.4" hidden="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14.4" hidden="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14.4" hidden="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14.4" hidden="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14.4" hidden="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14.4" hidden="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14.4" hidden="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14.4" hidden="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14.4" hidden="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14.4" hidden="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14.4" hidden="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14.4" hidden="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14.4" hidden="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14.4" hidden="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14.4" hidden="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14.4" hidden="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14.4" hidden="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14.4" hidden="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14.4" hidden="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14.4" hidden="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14.4" hidden="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14.4" hidden="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14.4" hidden="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14.4" hidden="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14.4" hidden="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14.4" hidden="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14.4" hidden="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14.4" hidden="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14.4" hidden="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14.4" hidden="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14.4" hidden="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14.4" hidden="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14.4" hidden="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14.4" hidden="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14.4" hidden="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14.4" hidden="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14.4" hidden="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14.4" hidden="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14.4" hidden="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14.4" hidden="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14.4" hidden="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14.4" hidden="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14.4" hidden="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14.4" hidden="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14.4" hidden="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14.4" hidden="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14.4" hidden="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14.4" hidden="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14.4" hidden="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14.4" hidden="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14.4" hidden="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14.4" hidden="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14.4" hidden="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14.4" hidden="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14.4" hidden="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14.4" hidden="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14.4" hidden="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14.4" hidden="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14.4" hidden="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14.4" hidden="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14.4" hidden="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14.4" hidden="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14.4" hidden="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14.4" hidden="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14.4" hidden="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14.4" hidden="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14.4" hidden="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14.4" hidden="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14.4" hidden="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14.4" hidden="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14.4" hidden="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14.4" hidden="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14.4" hidden="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14.4" hidden="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14.4" hidden="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14.4" hidden="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14.4" hidden="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14.4" hidden="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14.4" hidden="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14.4" hidden="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14.4" hidden="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14.4" hidden="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14.4" hidden="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14.4" hidden="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14.4" hidden="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14.4" hidden="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14.4" hidden="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14.4" hidden="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14.4" hidden="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14.4" hidden="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14.4" hidden="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14.4" hidden="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14.4" hidden="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14.4" hidden="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14.4" hidden="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14.4" hidden="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14.4" hidden="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14.4" hidden="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14.4" hidden="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14.4" hidden="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14.4" hidden="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14.4" hidden="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14.4" hidden="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14.4" hidden="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14.4" hidden="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14.4" hidden="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14.4" hidden="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14.4" hidden="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14.4" hidden="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14.4" hidden="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14.4" hidden="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14.4" hidden="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14.4" hidden="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14.4" hidden="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14.4" hidden="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14.4" hidden="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14.4" hidden="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14.4" hidden="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14.4" hidden="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14.4" hidden="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14.4" hidden="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14.4" hidden="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14.4" hidden="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14.4" hidden="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14.4" hidden="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14.4" hidden="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14.4" hidden="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14.4" hidden="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14.4" hidden="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14.4" hidden="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14.4" hidden="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14.4" hidden="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14.4" hidden="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14.4" hidden="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14.4" hidden="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14.4" hidden="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14.4" hidden="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14.4" hidden="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14.4" hidden="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14.4" hidden="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14.4" hidden="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14.4" hidden="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14.4" hidden="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14.4" hidden="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14.4" hidden="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14.4" hidden="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14.4" hidden="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14.4" hidden="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14.4" hidden="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14.4" hidden="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14.4" hidden="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14.4" hidden="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14.4" hidden="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14.4" hidden="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14.4" hidden="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14.4" hidden="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14.4" hidden="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14.4" hidden="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14.4" hidden="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14.4" hidden="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14.4" hidden="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14.4" hidden="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14.4" hidden="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14.4" hidden="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14.4" hidden="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14.4" hidden="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14.4" hidden="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14.4" hidden="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14.4" hidden="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14.4" hidden="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14.4" hidden="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14.4" hidden="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14.4" hidden="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14.4" hidden="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14.4" hidden="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14.4" hidden="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14.4" hidden="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14.4" hidden="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14.4" hidden="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14.4" hidden="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14.4" hidden="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14.4" hidden="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14.4" hidden="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14.4" hidden="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14.4" hidden="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14.4" hidden="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14.4" hidden="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14.4" hidden="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14.4" hidden="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14.4" hidden="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14.4" hidden="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14.4" hidden="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14.4" hidden="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14.4" hidden="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14.4" hidden="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14.4" hidden="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14.4" hidden="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14.4" hidden="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14.4" hidden="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14.4" hidden="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14.4" hidden="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14.4" hidden="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14.4" hidden="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14.4" hidden="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14.4" hidden="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14.4" hidden="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14.4" hidden="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14.4" hidden="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14.4" hidden="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14.4" hidden="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14.4" hidden="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14.4" hidden="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14.4" hidden="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14.4" hidden="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14.4" hidden="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14.4" hidden="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14.4" hidden="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14.4" hidden="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14.4" hidden="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14.4" hidden="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14.4" hidden="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14.4" hidden="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14.4" hidden="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14.4" hidden="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14.4" hidden="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14.4" hidden="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14.4" hidden="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14.4" hidden="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14.4" hidden="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14.4" hidden="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14.4" hidden="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14.4" hidden="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14.4" hidden="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14.4" hidden="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14.4" hidden="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14.4" hidden="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14.4" hidden="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14.4" hidden="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14.4" hidden="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14.4" hidden="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14.4" hidden="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14.4" hidden="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14.4" hidden="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14.4" hidden="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14.4" hidden="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14.4" hidden="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14.4" hidden="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14.4" hidden="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14.4" hidden="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14.4" hidden="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14.4" hidden="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14.4" hidden="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14.4" hidden="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14.4" hidden="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14.4" hidden="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14.4" hidden="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14.4" hidden="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14.4" hidden="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14.4" hidden="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14.4" hidden="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14.4" hidden="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14.4" hidden="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14.4" hidden="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14.4" hidden="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14.4" hidden="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14.4" hidden="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14.4" hidden="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14.4" hidden="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14.4" hidden="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14.4" hidden="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14.4" hidden="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14.4" hidden="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14.4" hidden="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14.4" hidden="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14.4" hidden="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14.4" hidden="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14.4" hidden="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14.4" hidden="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14.4" hidden="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14.4" hidden="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14.4" hidden="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14.4" hidden="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14.4" hidden="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14.4" hidden="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14.4" hidden="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14.4" hidden="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14.4" hidden="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14.4" hidden="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14.4" hidden="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14.4" hidden="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14.4" hidden="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14.4" hidden="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14.4" hidden="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14.4" hidden="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14.4" hidden="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14.4" hidden="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14.4" hidden="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14.4" hidden="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14.4" hidden="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14.4" hidden="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14.4" hidden="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14.4" hidden="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14.4" hidden="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14.4" hidden="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14.4" hidden="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14.4" hidden="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14.4" hidden="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14.4" hidden="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14.4" hidden="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14.4" hidden="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14.4" hidden="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14.4" hidden="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14.4" hidden="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14.4" hidden="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spans="1:25" ht="14.4" hidden="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spans="1:25" ht="14.4" hidden="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spans="1:25" ht="14.4" hidden="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spans="1:25" ht="14.4" hidden="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spans="1:25" ht="14.4" hidden="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spans="1:25" ht="14.4" hidden="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spans="1:25" ht="14.4" hidden="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sheetData>
  <mergeCells count="4">
    <mergeCell ref="A1:B2"/>
    <mergeCell ref="D1:E2"/>
    <mergeCell ref="A11:B12"/>
    <mergeCell ref="D11:E12"/>
  </mergeCells>
  <dataValidations count="2">
    <dataValidation type="list" allowBlank="1" showErrorMessage="1" sqref="B8 E8 B18 E18" xr:uid="{00000000-0002-0000-0300-000000000000}">
      <formula1>"2 Seconds,8 Seconds,20 Seconds,1 Minute,5 Minutes"</formula1>
    </dataValidation>
    <dataValidation type="list" allowBlank="1" showErrorMessage="1" sqref="B6 E6 B16 E16" xr:uid="{00000000-0002-0000-0300-000003000000}">
      <formula1>"Yes,No"</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ErrorMessage="1" xr:uid="{00000000-0002-0000-0300-000001000000}">
          <x14:formula1>
            <xm:f>Leads!$C$1:$F$1</xm:f>
          </x14:formula1>
          <xm:sqref>B3 E3 B5 E5 B13 E13 B15 E15</xm:sqref>
        </x14:dataValidation>
        <x14:dataValidation type="list" allowBlank="1" showErrorMessage="1" xr:uid="{00000000-0002-0000-0300-000002000000}">
          <x14:formula1>
            <xm:f>Templates!$A$2:$A$100</xm:f>
          </x14:formula1>
          <xm:sqref>B4 E4 B14 E14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00"/>
    <outlinePr summaryBelow="0" summaryRight="0"/>
  </sheetPr>
  <dimension ref="A1:Z1000"/>
  <sheetViews>
    <sheetView showGridLines="0" workbookViewId="0"/>
  </sheetViews>
  <sheetFormatPr defaultColWidth="12.6640625" defaultRowHeight="15.75" customHeight="1"/>
  <cols>
    <col min="1" max="1" width="26.6640625" customWidth="1"/>
    <col min="2" max="2" width="44.6640625" customWidth="1"/>
    <col min="3" max="3" width="118.44140625" customWidth="1"/>
    <col min="4" max="26" width="12.6640625" hidden="1"/>
  </cols>
  <sheetData>
    <row r="1" spans="1:26" ht="60" customHeight="1">
      <c r="A1" s="55" t="s">
        <v>141</v>
      </c>
      <c r="B1" s="56" t="s">
        <v>142</v>
      </c>
      <c r="C1" s="56" t="s">
        <v>143</v>
      </c>
      <c r="D1" s="25"/>
      <c r="E1" s="25"/>
      <c r="F1" s="25"/>
      <c r="G1" s="25"/>
      <c r="H1" s="25"/>
      <c r="I1" s="25"/>
      <c r="J1" s="25"/>
      <c r="K1" s="25"/>
      <c r="L1" s="25"/>
      <c r="M1" s="25"/>
      <c r="N1" s="25"/>
      <c r="O1" s="25"/>
      <c r="P1" s="25"/>
      <c r="Q1" s="25"/>
      <c r="R1" s="25"/>
      <c r="S1" s="25"/>
      <c r="T1" s="25"/>
      <c r="U1" s="25"/>
      <c r="V1" s="25"/>
      <c r="W1" s="25"/>
      <c r="X1" s="25"/>
      <c r="Y1" s="25"/>
      <c r="Z1" s="25"/>
    </row>
    <row r="2" spans="1:26" ht="63.75" customHeight="1">
      <c r="A2" s="57" t="s">
        <v>131</v>
      </c>
      <c r="B2" s="58" t="s">
        <v>144</v>
      </c>
      <c r="C2" s="58" t="s">
        <v>145</v>
      </c>
      <c r="D2" s="25"/>
      <c r="E2" s="25"/>
      <c r="F2" s="25"/>
      <c r="G2" s="25"/>
      <c r="H2" s="25"/>
      <c r="I2" s="25"/>
      <c r="J2" s="25"/>
      <c r="K2" s="25"/>
      <c r="L2" s="25"/>
      <c r="M2" s="25"/>
      <c r="N2" s="25"/>
      <c r="O2" s="25"/>
      <c r="P2" s="25"/>
      <c r="Q2" s="25"/>
      <c r="R2" s="25"/>
      <c r="S2" s="25"/>
      <c r="T2" s="25"/>
      <c r="U2" s="25"/>
      <c r="V2" s="25"/>
      <c r="W2" s="25"/>
      <c r="X2" s="25"/>
      <c r="Y2" s="25"/>
      <c r="Z2" s="25"/>
    </row>
    <row r="3" spans="1:26" ht="63.75" customHeight="1">
      <c r="A3" s="57" t="s">
        <v>132</v>
      </c>
      <c r="B3" s="58" t="s">
        <v>144</v>
      </c>
      <c r="C3" s="59" t="s">
        <v>146</v>
      </c>
      <c r="D3" s="25"/>
      <c r="E3" s="25"/>
      <c r="F3" s="25"/>
      <c r="G3" s="25"/>
      <c r="H3" s="25"/>
      <c r="I3" s="25"/>
      <c r="J3" s="25"/>
      <c r="K3" s="25"/>
      <c r="L3" s="25"/>
      <c r="M3" s="25"/>
      <c r="N3" s="25"/>
      <c r="O3" s="25"/>
      <c r="P3" s="25"/>
      <c r="Q3" s="25"/>
      <c r="R3" s="25"/>
      <c r="S3" s="25"/>
      <c r="T3" s="25"/>
      <c r="U3" s="25"/>
      <c r="V3" s="25"/>
      <c r="W3" s="25"/>
      <c r="X3" s="25"/>
      <c r="Y3" s="25"/>
      <c r="Z3" s="25"/>
    </row>
    <row r="4" spans="1:26" ht="63.75" customHeight="1">
      <c r="A4" s="57" t="s">
        <v>140</v>
      </c>
      <c r="B4" s="58"/>
      <c r="C4" s="58"/>
      <c r="D4" s="25"/>
      <c r="E4" s="25"/>
      <c r="F4" s="25"/>
      <c r="G4" s="25"/>
      <c r="H4" s="25"/>
      <c r="I4" s="25"/>
      <c r="J4" s="25"/>
      <c r="K4" s="25"/>
      <c r="L4" s="25"/>
      <c r="M4" s="25"/>
      <c r="N4" s="25"/>
      <c r="O4" s="25"/>
      <c r="P4" s="25"/>
      <c r="Q4" s="25"/>
      <c r="R4" s="25"/>
      <c r="S4" s="25"/>
      <c r="T4" s="25"/>
      <c r="U4" s="25"/>
      <c r="V4" s="25"/>
      <c r="W4" s="25"/>
      <c r="X4" s="25"/>
      <c r="Y4" s="25"/>
      <c r="Z4" s="25"/>
    </row>
    <row r="5" spans="1:26" ht="63.75" customHeight="1">
      <c r="A5" s="57" t="s">
        <v>147</v>
      </c>
      <c r="B5" s="58"/>
      <c r="C5" s="58"/>
      <c r="D5" s="25"/>
      <c r="E5" s="25"/>
      <c r="F5" s="25"/>
      <c r="G5" s="25"/>
      <c r="H5" s="25"/>
      <c r="I5" s="25"/>
      <c r="J5" s="25"/>
      <c r="K5" s="25"/>
      <c r="L5" s="25"/>
      <c r="M5" s="25"/>
      <c r="N5" s="25"/>
      <c r="O5" s="25"/>
      <c r="P5" s="25"/>
      <c r="Q5" s="25"/>
      <c r="R5" s="25"/>
      <c r="S5" s="25"/>
      <c r="T5" s="25"/>
      <c r="U5" s="25"/>
      <c r="V5" s="25"/>
      <c r="W5" s="25"/>
      <c r="X5" s="25"/>
      <c r="Y5" s="25"/>
      <c r="Z5" s="25"/>
    </row>
    <row r="6" spans="1:26" ht="63.75" customHeight="1">
      <c r="A6" s="57" t="s">
        <v>148</v>
      </c>
      <c r="B6" s="58"/>
      <c r="C6" s="58"/>
      <c r="D6" s="25"/>
      <c r="E6" s="25"/>
      <c r="F6" s="25"/>
      <c r="G6" s="25"/>
      <c r="H6" s="25"/>
      <c r="I6" s="25"/>
      <c r="J6" s="25"/>
      <c r="K6" s="25"/>
      <c r="L6" s="25"/>
      <c r="M6" s="25"/>
      <c r="N6" s="25"/>
      <c r="O6" s="25"/>
      <c r="P6" s="25"/>
      <c r="Q6" s="25"/>
      <c r="R6" s="25"/>
      <c r="S6" s="25"/>
      <c r="T6" s="25"/>
      <c r="U6" s="25"/>
      <c r="V6" s="25"/>
      <c r="W6" s="25"/>
      <c r="X6" s="25"/>
      <c r="Y6" s="25"/>
      <c r="Z6" s="25"/>
    </row>
    <row r="7" spans="1:26" ht="63.75" customHeight="1">
      <c r="A7" s="57" t="s">
        <v>149</v>
      </c>
      <c r="B7" s="58"/>
      <c r="C7" s="58"/>
      <c r="D7" s="25"/>
      <c r="E7" s="25"/>
      <c r="F7" s="25"/>
      <c r="G7" s="25"/>
      <c r="H7" s="25"/>
      <c r="I7" s="25"/>
      <c r="J7" s="25"/>
      <c r="K7" s="25"/>
      <c r="L7" s="25"/>
      <c r="M7" s="25"/>
      <c r="N7" s="25"/>
      <c r="O7" s="25"/>
      <c r="P7" s="25"/>
      <c r="Q7" s="25"/>
      <c r="R7" s="25"/>
      <c r="S7" s="25"/>
      <c r="T7" s="25"/>
      <c r="U7" s="25"/>
      <c r="V7" s="25"/>
      <c r="W7" s="25"/>
      <c r="X7" s="25"/>
      <c r="Y7" s="25"/>
      <c r="Z7" s="25"/>
    </row>
    <row r="8" spans="1:26" ht="60" hidden="1" customHeight="1">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60" hidden="1" customHeight="1">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60" hidden="1" customHeight="1">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60" hidden="1" customHeight="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60" hidden="1" customHeight="1">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60" hidden="1"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60" hidden="1"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4.4" hidden="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4.4" hidden="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4" hidden="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4" hidden="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4" hidden="1">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4" hidden="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4.4" hidden="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4.4" hidden="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4.4" hidden="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4.4" hidden="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4.4" hidden="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4.4" hidden="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4.4" hidden="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4.4" hidden="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4.4" hidden="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4.4" hidden="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4.4" hidden="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4.4" hidden="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4.4" hidden="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4.4" hidden="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4.4" hidden="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4.4" hidden="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4.4" hidden="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4.4" hidden="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4.4" hidden="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4.4" hidden="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4.4" hidden="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4.4" hidden="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4.4" hidden="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4.4" hidden="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4.4" hidden="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4.4" hidden="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4.4" hidden="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4.4" hidden="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4.4" hidden="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4.4" hidden="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4.4" hidden="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4.4" hidden="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4.4" hidden="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4.4" hidden="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4.4" hidden="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4.4" hidden="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4.4" hidden="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4.4" hidden="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4.4" hidden="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4.4" hidden="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4.4" hidden="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4.4" hidden="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4.4" hidden="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4.4" hidden="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4.4" hidden="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4.4" hidden="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4.4" hidden="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4.4" hidden="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4.4" hidden="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4.4" hidden="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4.4" hidden="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4.4" hidden="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4.4" hidden="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4.4" hidden="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4.4" hidden="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4.4" hidden="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4.4" hidden="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4.4" hidden="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4.4" hidden="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4.4" hidden="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4.4" hidden="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4.4" hidden="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4.4" hidden="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4.4" hidden="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4.4" hidden="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4.4" hidden="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4.4" hidden="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4.4" hidden="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4.4" hidden="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4.4" hidden="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4.4" hidden="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4.4" hidden="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4.4" hidden="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4.4" hidden="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4.4" hidden="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4.4" hidden="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4.4" hidden="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4.4" hidden="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4.4" hidden="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4.4" hidden="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4.4" hidden="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4.4" hidden="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4.4" hidden="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4.4" hidden="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4.4" hidden="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4.4" hidden="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4.4" hidden="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4.4" hidden="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4.4" hidden="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4.4" hidden="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4.4" hidden="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4.4" hidden="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4.4" hidden="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4.4" hidden="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4.4" hidden="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4.4" hidden="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4.4" hidden="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4.4" hidden="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4.4" hidden="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4.4" hidden="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4.4" hidden="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4.4" hidden="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4.4" hidden="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4.4" hidden="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4.4" hidden="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4.4" hidden="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4.4" hidden="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4.4" hidden="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4.4" hidden="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4.4" hidden="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4.4" hidden="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4.4" hidden="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4.4" hidden="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4.4" hidden="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4.4" hidden="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4.4" hidden="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4.4" hidden="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4.4" hidden="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4.4" hidden="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4.4" hidden="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4.4" hidden="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4.4" hidden="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4.4" hidden="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4.4" hidden="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4.4" hidden="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4.4" hidden="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4.4" hidden="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4.4" hidden="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4.4" hidden="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4.4" hidden="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4.4" hidden="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4.4" hidden="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4.4" hidden="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4.4" hidden="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4.4" hidden="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4.4" hidden="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4.4" hidden="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4.4" hidden="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4.4" hidden="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4.4" hidden="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4.4" hidden="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4.4" hidden="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4.4" hidden="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4.4" hidden="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4.4" hidden="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4.4" hidden="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4.4" hidden="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4.4" hidden="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4.4" hidden="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4.4" hidden="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4.4" hidden="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4.4" hidden="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4.4" hidden="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4.4" hidden="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4.4" hidden="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4.4" hidden="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4.4" hidden="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4.4" hidden="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4.4" hidden="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4.4" hidden="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4.4" hidden="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4.4" hidden="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4.4" hidden="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4.4" hidden="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4.4" hidden="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4.4" hidden="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4.4" hidden="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4.4" hidden="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4.4" hidden="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4.4" hidden="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4.4" hidden="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4.4" hidden="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4.4" hidden="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4.4" hidden="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4.4" hidden="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4.4" hidden="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4.4" hidden="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4.4" hidden="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4.4" hidden="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4.4" hidden="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4.4" hidden="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4.4" hidden="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4.4" hidden="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4.4" hidden="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4.4" hidden="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4.4" hidden="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4.4" hidden="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4.4" hidden="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4.4" hidden="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4.4" hidden="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4.4" hidden="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4.4" hidden="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4.4" hidden="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4.4" hidden="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4.4" hidden="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4.4" hidden="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4.4" hidden="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4.4" hidden="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4.4" hidden="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4.4" hidden="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4.4" hidden="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4.4" hidden="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4.4" hidden="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4.4" hidden="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4.4" hidden="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4.4" hidden="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4.4" hidden="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4.4" hidden="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4.4" hidden="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4.4" hidden="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4.4" hidden="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4.4" hidden="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4.4" hidden="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4.4" hidden="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4.4" hidden="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4.4" hidden="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4.4" hidden="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4.4" hidden="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4.4" hidden="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4.4" hidden="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4.4" hidden="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4.4" hidden="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4.4" hidden="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4.4" hidden="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4.4" hidden="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4.4" hidden="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4.4" hidden="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4.4" hidden="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4.4" hidden="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4.4" hidden="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4.4" hidden="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4.4" hidden="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4.4" hidden="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4.4" hidden="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4.4" hidden="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4.4" hidden="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4.4" hidden="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4.4" hidden="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4.4" hidden="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4.4" hidden="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4.4" hidden="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4.4" hidden="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4.4" hidden="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4.4" hidden="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4.4" hidden="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4.4" hidden="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4.4" hidden="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4.4" hidden="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4.4" hidden="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4.4" hidden="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4.4" hidden="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4.4" hidden="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4.4" hidden="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4.4" hidden="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4.4" hidden="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4.4" hidden="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4.4" hidden="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4.4" hidden="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4.4" hidden="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4.4" hidden="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4.4" hidden="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4.4" hidden="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4.4" hidden="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4.4" hidden="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4.4" hidden="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4.4" hidden="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4.4" hidden="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4.4" hidden="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4.4" hidden="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4.4" hidden="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4.4" hidden="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4.4" hidden="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4.4" hidden="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4.4" hidden="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4.4" hidden="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4.4" hidden="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4.4" hidden="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4.4" hidden="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4.4" hidden="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4.4" hidden="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4.4" hidden="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4.4" hidden="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4.4" hidden="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4.4" hidden="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4.4" hidden="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4.4" hidden="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4.4" hidden="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4.4" hidden="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4.4" hidden="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4.4" hidden="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4.4" hidden="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4.4" hidden="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4.4" hidden="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4.4" hidden="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4.4" hidden="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4.4" hidden="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4.4" hidden="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4.4" hidden="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4.4" hidden="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4.4" hidden="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4.4" hidden="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4.4" hidden="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4.4" hidden="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4.4" hidden="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4.4" hidden="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4.4" hidden="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4.4" hidden="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4.4" hidden="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4.4" hidden="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4.4" hidden="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4.4" hidden="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4.4" hidden="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4.4" hidden="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4.4" hidden="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4.4" hidden="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4.4" hidden="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4.4" hidden="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4.4" hidden="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4.4" hidden="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4.4" hidden="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4.4" hidden="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4.4" hidden="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4.4" hidden="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4.4" hidden="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4.4" hidden="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4.4" hidden="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4.4" hidden="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4.4" hidden="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4.4" hidden="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4.4" hidden="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4.4" hidden="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4.4" hidden="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4.4" hidden="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4.4" hidden="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4.4" hidden="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4.4" hidden="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4.4" hidden="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4.4" hidden="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4.4" hidden="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4.4" hidden="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4.4" hidden="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4.4" hidden="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4.4" hidden="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4.4" hidden="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4.4" hidden="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4.4" hidden="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4.4" hidden="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4.4" hidden="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4.4" hidden="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4.4" hidden="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4.4" hidden="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4.4" hidden="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4.4" hidden="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4.4" hidden="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4.4" hidden="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4.4" hidden="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4.4" hidden="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4.4" hidden="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4.4" hidden="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4.4" hidden="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4.4" hidden="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4.4" hidden="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4.4" hidden="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4.4" hidden="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4.4" hidden="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4.4" hidden="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4.4" hidden="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4.4" hidden="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4.4" hidden="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4.4" hidden="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4.4" hidden="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4.4" hidden="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4.4" hidden="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4.4" hidden="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4.4" hidden="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4.4" hidden="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4.4" hidden="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4.4" hidden="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4.4" hidden="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4.4" hidden="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4.4" hidden="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4.4" hidden="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4.4" hidden="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4.4" hidden="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4.4" hidden="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4.4" hidden="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4.4" hidden="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4.4" hidden="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4.4" hidden="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4.4" hidden="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4.4" hidden="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4.4" hidden="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4.4" hidden="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4.4" hidden="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4.4" hidden="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4.4" hidden="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4.4" hidden="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4.4" hidden="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4.4" hidden="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4.4" hidden="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4.4" hidden="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4.4" hidden="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4.4" hidden="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4.4" hidden="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4.4" hidden="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4.4" hidden="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4.4" hidden="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4.4" hidden="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4.4" hidden="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4.4" hidden="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4.4" hidden="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4.4" hidden="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4.4" hidden="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4.4" hidden="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4.4" hidden="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4.4" hidden="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4.4" hidden="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4.4" hidden="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4.4" hidden="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4.4" hidden="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4.4" hidden="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4.4" hidden="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4.4" hidden="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4.4" hidden="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4.4" hidden="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4.4" hidden="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4.4" hidden="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4.4" hidden="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4.4" hidden="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4.4" hidden="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4.4" hidden="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4.4" hidden="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4.4" hidden="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4.4" hidden="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4.4" hidden="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4.4" hidden="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4.4" hidden="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4.4" hidden="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4.4" hidden="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4.4" hidden="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4.4" hidden="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4.4" hidden="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4.4" hidden="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4.4" hidden="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4.4" hidden="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4.4" hidden="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4.4" hidden="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4.4" hidden="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4.4" hidden="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4.4" hidden="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4.4" hidden="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4.4" hidden="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4.4" hidden="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4.4" hidden="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4.4" hidden="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4.4" hidden="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4.4" hidden="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4.4" hidden="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4.4" hidden="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4.4" hidden="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4.4" hidden="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4.4" hidden="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4.4" hidden="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4.4" hidden="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4.4" hidden="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4.4" hidden="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4.4" hidden="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4.4" hidden="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4.4" hidden="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4.4" hidden="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4.4" hidden="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4.4" hidden="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4.4" hidden="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4.4" hidden="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4.4" hidden="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4.4" hidden="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4.4" hidden="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4.4" hidden="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4.4" hidden="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4.4" hidden="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4.4" hidden="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4.4" hidden="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4.4" hidden="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4.4" hidden="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4.4" hidden="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4.4" hidden="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4.4" hidden="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4.4" hidden="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4.4" hidden="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4.4" hidden="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4.4" hidden="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4.4" hidden="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4.4" hidden="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4.4" hidden="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4.4" hidden="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4.4" hidden="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4.4" hidden="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4.4" hidden="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4.4" hidden="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4.4" hidden="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4.4" hidden="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4.4" hidden="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4.4" hidden="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4.4" hidden="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4.4" hidden="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4.4" hidden="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4.4" hidden="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4.4" hidden="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4.4" hidden="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4.4" hidden="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4.4" hidden="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4.4" hidden="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4.4" hidden="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4.4" hidden="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4.4" hidden="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4.4" hidden="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4.4" hidden="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4.4" hidden="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4.4" hidden="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4.4" hidden="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4.4" hidden="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4.4" hidden="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4.4" hidden="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4.4" hidden="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4.4" hidden="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4.4" hidden="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4.4" hidden="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4.4" hidden="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4.4" hidden="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4.4" hidden="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4.4" hidden="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4.4" hidden="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4.4" hidden="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4.4" hidden="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4.4" hidden="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4.4" hidden="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4.4" hidden="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4.4" hidden="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4.4" hidden="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4.4" hidden="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4.4" hidden="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4.4" hidden="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4.4" hidden="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4.4" hidden="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4.4" hidden="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4.4" hidden="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4.4" hidden="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4.4" hidden="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4.4" hidden="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4.4" hidden="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4.4" hidden="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4.4" hidden="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4.4" hidden="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4.4" hidden="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4.4" hidden="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4.4" hidden="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4.4" hidden="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4.4" hidden="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4.4" hidden="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4.4" hidden="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4.4" hidden="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4.4" hidden="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4.4" hidden="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4.4" hidden="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4.4" hidden="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4.4" hidden="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4.4" hidden="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4.4" hidden="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4.4" hidden="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4.4" hidden="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4.4" hidden="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4.4" hidden="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4.4" hidden="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4.4" hidden="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4.4" hidden="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4.4" hidden="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4.4" hidden="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4.4" hidden="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4.4" hidden="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4.4" hidden="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4.4" hidden="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4.4" hidden="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4.4" hidden="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4.4" hidden="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4.4" hidden="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4.4" hidden="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4.4" hidden="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4.4" hidden="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4.4" hidden="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4.4" hidden="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4.4" hidden="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4.4" hidden="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4.4" hidden="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4.4" hidden="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4.4" hidden="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4.4" hidden="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4.4" hidden="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4.4" hidden="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4.4" hidden="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4.4" hidden="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4.4" hidden="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4.4" hidden="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4.4" hidden="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4.4" hidden="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4.4" hidden="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4.4" hidden="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4.4" hidden="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4.4" hidden="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4.4" hidden="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4.4" hidden="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4.4" hidden="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4.4" hidden="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4.4" hidden="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4.4" hidden="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4.4" hidden="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4.4" hidden="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4.4" hidden="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4.4" hidden="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4.4" hidden="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4.4" hidden="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4.4" hidden="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4.4" hidden="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4.4" hidden="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4.4" hidden="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4.4" hidden="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4.4" hidden="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4.4" hidden="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4.4" hidden="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4.4" hidden="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4.4" hidden="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4.4" hidden="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4.4" hidden="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4.4" hidden="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4.4" hidden="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4.4" hidden="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4.4" hidden="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4.4" hidden="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4.4" hidden="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4.4" hidden="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4.4" hidden="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4.4" hidden="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4.4" hidden="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4.4" hidden="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4.4" hidden="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4.4" hidden="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4.4" hidden="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4.4" hidden="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4.4" hidden="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4.4" hidden="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4.4" hidden="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4.4" hidden="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4.4" hidden="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4.4" hidden="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4.4" hidden="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4.4" hidden="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4.4" hidden="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4.4" hidden="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4.4" hidden="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4.4" hidden="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4.4" hidden="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4.4" hidden="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4.4" hidden="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4.4" hidden="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4.4" hidden="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4.4" hidden="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4.4" hidden="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4.4" hidden="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4.4" hidden="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4.4" hidden="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4.4" hidden="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4.4" hidden="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4.4" hidden="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4.4" hidden="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4.4" hidden="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4.4" hidden="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4.4" hidden="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4.4" hidden="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4.4" hidden="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4.4" hidden="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4.4" hidden="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4.4" hidden="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4.4" hidden="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4.4" hidden="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4.4" hidden="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4.4" hidden="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4.4" hidden="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4.4" hidden="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4.4" hidden="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4.4" hidden="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4.4" hidden="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4.4" hidden="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4.4" hidden="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4.4" hidden="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4.4" hidden="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4.4" hidden="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4.4" hidden="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4.4" hidden="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4.4" hidden="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4.4" hidden="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4.4" hidden="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4.4" hidden="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4.4" hidden="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4.4" hidden="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4.4" hidden="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4.4" hidden="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4.4" hidden="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4.4" hidden="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4.4" hidden="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4.4" hidden="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4.4" hidden="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4.4" hidden="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4.4" hidden="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4.4" hidden="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4.4" hidden="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4.4" hidden="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4.4" hidden="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4.4" hidden="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4.4" hidden="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4.4" hidden="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4.4" hidden="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4.4" hidden="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4.4" hidden="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4.4" hidden="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4.4" hidden="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4.4" hidden="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4.4" hidden="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4.4" hidden="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4.4" hidden="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4.4" hidden="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4.4" hidden="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4.4" hidden="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4.4" hidden="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4.4" hidden="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4.4" hidden="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4.4" hidden="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4.4" hidden="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4.4" hidden="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4.4" hidden="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4.4" hidden="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4.4" hidden="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4.4" hidden="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4.4" hidden="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4.4" hidden="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4.4" hidden="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4.4" hidden="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4.4" hidden="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4.4" hidden="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4.4" hidden="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4.4" hidden="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4.4" hidden="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4.4" hidden="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4.4" hidden="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4.4" hidden="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4.4" hidden="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4.4" hidden="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4.4" hidden="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4.4" hidden="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4.4" hidden="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4.4" hidden="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4.4" hidden="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4.4" hidden="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4.4" hidden="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4.4" hidden="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4.4" hidden="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4.4" hidden="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4.4" hidden="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4.4" hidden="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4.4" hidden="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4.4" hidden="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4.4" hidden="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4.4" hidden="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4.4" hidden="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4.4" hidden="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4.4" hidden="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4.4" hidden="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4.4" hidden="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4.4" hidden="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4.4" hidden="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4.4" hidden="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4.4" hidden="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4.4" hidden="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4.4" hidden="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4.4" hidden="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4.4" hidden="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4.4" hidden="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4.4" hidden="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4.4" hidden="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4.4" hidden="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4.4" hidden="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4.4" hidden="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4.4" hidden="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4.4" hidden="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4.4" hidden="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4.4" hidden="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4.4" hidden="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4.4" hidden="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4.4" hidden="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4.4" hidden="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4.4" hidden="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4.4" hidden="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4.4" hidden="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4.4" hidden="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4.4" hidden="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4.4" hidden="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4.4" hidden="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4.4" hidden="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4.4" hidden="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4.4" hidden="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4.4" hidden="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4.4" hidden="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4.4" hidden="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4.4" hidden="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4.4" hidden="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4.4" hidden="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4.4" hidden="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4.4" hidden="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4.4" hidden="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4.4" hidden="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4.4" hidden="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4.4" hidden="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4.4" hidden="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4.4" hidden="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4.4" hidden="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4.4" hidden="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4.4" hidden="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4.4" hidden="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4.4" hidden="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4.4" hidden="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4.4" hidden="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4.4" hidden="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4.4" hidden="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4.4" hidden="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4.4" hidden="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4.4" hidden="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4.4" hidden="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4.4" hidden="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4.4" hidden="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4.4" hidden="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4.4" hidden="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4.4" hidden="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4.4" hidden="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4.4" hidden="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4.4" hidden="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4.4" hidden="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4.4" hidden="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4.4" hidden="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4.4" hidden="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4.4" hidden="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4.4" hidden="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4.4" hidden="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4.4" hidden="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4.4" hidden="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4.4" hidden="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4.4" hidden="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4.4" hidden="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4.4" hidden="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4.4" hidden="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4.4" hidden="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4.4" hidden="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4.4" hidden="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4.4" hidden="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4.4" hidden="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4.4" hidden="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4.4" hidden="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4.4" hidden="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4.4" hidden="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4.4" hidden="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4.4" hidden="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4.4" hidden="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4.4" hidden="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4.4" hidden="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4.4" hidden="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4.4" hidden="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4.4" hidden="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4.4" hidden="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4.4" hidden="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4.4" hidden="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4.4" hidden="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4.4" hidden="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4.4" hidden="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4.4" hidden="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4.4" hidden="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4.4" hidden="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4.4" hidden="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4.4" hidden="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4.4" hidden="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4.4" hidden="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4.4" hidden="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4.4" hidden="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4.4" hidden="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4.4" hidden="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4.4" hidden="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4.4" hidden="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4.4" hidden="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4.4" hidden="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4.4" hidden="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4.4" hidden="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4.4" hidden="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4.4" hidden="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4.4" hidden="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4.4" hidden="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4.4" hidden="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4.4" hidden="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4.4" hidden="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4.4" hidden="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4.4" hidden="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4.4" hidden="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4.4" hidden="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4.4" hidden="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4.4" hidden="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4.4" hidden="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4.4" hidden="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4.4" hidden="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4.4" hidden="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4.4" hidden="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4.4" hidden="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4.4" hidden="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4.4" hidden="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4.4" hidden="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4.4" hidden="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4.4" hidden="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4.4" hidden="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4.4" hidden="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4.4" hidden="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4.4" hidden="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4.4" hidden="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4.4" hidden="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4.4" hidden="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4.4" hidden="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4.4" hidden="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4.4" hidden="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4.4" hidden="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4.4" hidden="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4.4" hidden="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4.4" hidden="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4.4" hidden="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4.4" hidden="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4.4" hidden="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4.4" hidden="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4.4" hidden="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4.4" hidden="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4.4" hidden="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4.4" hidden="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4.4" hidden="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4.4" hidden="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4.4" hidden="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4.4" hidden="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4.4" hidden="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4.4" hidden="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4.4" hidden="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4.4" hidden="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4.4" hidden="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4.4" hidden="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4.4" hidden="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4.4" hidden="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4.4" hidden="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4.4" hidden="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4.4" hidden="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4.4" hidden="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4.4" hidden="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4.4" hidden="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4.4" hidden="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4.4" hidden="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4.4" hidden="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4.4" hidden="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4.4" hidden="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4.4" hidden="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4.4" hidden="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4.4" hidden="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4.4" hidden="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4.4" hidden="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4.4" hidden="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4.4" hidden="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4.4" hidden="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4.4" hidden="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4.4" hidden="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4.4" hidden="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4.4" hidden="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4.4" hidden="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4.4" hidden="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FF"/>
    <outlinePr summaryBelow="0" summaryRight="0"/>
  </sheetPr>
  <dimension ref="A1:FV1019"/>
  <sheetViews>
    <sheetView tabSelected="1" workbookViewId="0">
      <pane ySplit="1" topLeftCell="A2" activePane="bottomLeft" state="frozen"/>
      <selection pane="bottomLeft" activeCell="B3" sqref="B3"/>
    </sheetView>
  </sheetViews>
  <sheetFormatPr defaultColWidth="12.6640625" defaultRowHeight="15.75" customHeight="1"/>
  <cols>
    <col min="1" max="1" width="15.109375" customWidth="1"/>
    <col min="2" max="2" width="13.88671875" customWidth="1"/>
    <col min="3" max="3" width="17.77734375" customWidth="1"/>
    <col min="4" max="4" width="23.44140625" customWidth="1"/>
    <col min="5" max="5" width="28.21875" customWidth="1"/>
    <col min="6" max="6" width="22.109375" customWidth="1"/>
    <col min="7" max="7" width="12.109375" customWidth="1"/>
    <col min="8" max="10" width="15.77734375" customWidth="1"/>
  </cols>
  <sheetData>
    <row r="1" spans="1:178" ht="18" customHeight="1">
      <c r="A1" s="43" t="s">
        <v>118</v>
      </c>
      <c r="B1" s="43" t="s">
        <v>119</v>
      </c>
      <c r="C1" s="43" t="s">
        <v>120</v>
      </c>
      <c r="D1" s="43" t="s">
        <v>121</v>
      </c>
      <c r="E1" s="43" t="s">
        <v>122</v>
      </c>
      <c r="F1" s="43" t="s">
        <v>123</v>
      </c>
      <c r="G1" s="43" t="s">
        <v>124</v>
      </c>
      <c r="H1" s="43" t="s">
        <v>125</v>
      </c>
      <c r="I1" s="43" t="s">
        <v>126</v>
      </c>
      <c r="J1" s="43" t="s">
        <v>127</v>
      </c>
      <c r="K1" s="43" t="s">
        <v>127</v>
      </c>
      <c r="L1" s="43" t="s">
        <v>124</v>
      </c>
      <c r="M1" s="43" t="s">
        <v>125</v>
      </c>
      <c r="N1" s="43" t="s">
        <v>126</v>
      </c>
      <c r="O1" s="43" t="s">
        <v>127</v>
      </c>
      <c r="P1" s="43" t="s">
        <v>124</v>
      </c>
      <c r="Q1" s="43" t="s">
        <v>125</v>
      </c>
      <c r="R1" s="43" t="s">
        <v>126</v>
      </c>
      <c r="S1" s="43" t="s">
        <v>127</v>
      </c>
      <c r="T1" s="43" t="s">
        <v>125</v>
      </c>
      <c r="U1" s="43" t="s">
        <v>126</v>
      </c>
      <c r="V1" s="43" t="s">
        <v>127</v>
      </c>
      <c r="W1" s="43" t="s">
        <v>124</v>
      </c>
      <c r="X1" s="43" t="s">
        <v>125</v>
      </c>
      <c r="Y1" s="43" t="s">
        <v>126</v>
      </c>
      <c r="Z1" s="43" t="s">
        <v>127</v>
      </c>
      <c r="AA1" s="43" t="s">
        <v>124</v>
      </c>
      <c r="AB1" s="43" t="s">
        <v>125</v>
      </c>
      <c r="AC1" s="43" t="s">
        <v>126</v>
      </c>
      <c r="AD1" s="43" t="s">
        <v>127</v>
      </c>
      <c r="AE1" s="43" t="s">
        <v>124</v>
      </c>
      <c r="AF1" s="43" t="s">
        <v>125</v>
      </c>
      <c r="AG1" s="43" t="s">
        <v>126</v>
      </c>
      <c r="AH1" s="43" t="s">
        <v>127</v>
      </c>
      <c r="AI1" s="43" t="s">
        <v>124</v>
      </c>
      <c r="AJ1" s="43" t="s">
        <v>125</v>
      </c>
      <c r="AK1" s="43" t="s">
        <v>126</v>
      </c>
      <c r="AL1" s="43" t="s">
        <v>127</v>
      </c>
      <c r="AM1" s="43" t="s">
        <v>124</v>
      </c>
      <c r="AN1" s="43" t="s">
        <v>125</v>
      </c>
      <c r="AO1" s="43" t="s">
        <v>126</v>
      </c>
      <c r="AP1" s="43" t="s">
        <v>127</v>
      </c>
      <c r="AQ1" s="43" t="s">
        <v>124</v>
      </c>
      <c r="AR1" s="43" t="s">
        <v>125</v>
      </c>
      <c r="AS1" s="43" t="s">
        <v>126</v>
      </c>
      <c r="AT1" s="43" t="s">
        <v>127</v>
      </c>
      <c r="AU1" s="43" t="s">
        <v>124</v>
      </c>
      <c r="AV1" s="43" t="s">
        <v>125</v>
      </c>
      <c r="AW1" s="43" t="s">
        <v>126</v>
      </c>
      <c r="AX1" s="43" t="s">
        <v>127</v>
      </c>
      <c r="AY1" s="43" t="s">
        <v>124</v>
      </c>
      <c r="AZ1" s="43" t="s">
        <v>125</v>
      </c>
      <c r="BA1" s="43" t="s">
        <v>126</v>
      </c>
      <c r="BB1" s="43" t="s">
        <v>127</v>
      </c>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60"/>
      <c r="EV1" s="60"/>
      <c r="EW1" s="60"/>
      <c r="EX1" s="60"/>
      <c r="EY1" s="60"/>
      <c r="EZ1" s="60"/>
      <c r="FA1" s="60"/>
      <c r="FB1" s="60"/>
      <c r="FC1" s="60"/>
      <c r="FD1" s="60"/>
      <c r="FE1" s="60"/>
      <c r="FF1" s="60"/>
      <c r="FG1" s="60"/>
      <c r="FH1" s="60"/>
      <c r="FI1" s="60"/>
      <c r="FJ1" s="60"/>
      <c r="FK1" s="60"/>
      <c r="FL1" s="60"/>
      <c r="FM1" s="60"/>
      <c r="FN1" s="60"/>
      <c r="FO1" s="60"/>
      <c r="FP1" s="60"/>
      <c r="FQ1" s="60"/>
      <c r="FR1" s="60"/>
      <c r="FS1" s="60"/>
      <c r="FT1" s="60"/>
      <c r="FU1" s="60"/>
      <c r="FV1" s="60"/>
    </row>
    <row r="2" spans="1:178" ht="13.8">
      <c r="A2" s="61"/>
      <c r="B2" s="61"/>
      <c r="C2" s="61"/>
      <c r="D2" s="61"/>
      <c r="E2" s="62"/>
      <c r="F2" s="62"/>
      <c r="G2" s="62"/>
      <c r="H2" s="62"/>
      <c r="I2" s="63"/>
      <c r="J2" s="64"/>
      <c r="K2" s="62"/>
      <c r="L2" s="62"/>
      <c r="M2" s="62"/>
      <c r="N2" s="62"/>
      <c r="O2" s="62"/>
      <c r="P2" s="65"/>
      <c r="Q2" s="62"/>
      <c r="R2" s="62"/>
      <c r="S2" s="65"/>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2"/>
      <c r="ED2" s="62"/>
      <c r="EE2" s="62"/>
      <c r="EF2" s="62"/>
      <c r="EG2" s="62"/>
      <c r="EH2" s="62"/>
      <c r="EI2" s="62"/>
      <c r="EJ2" s="62"/>
      <c r="EK2" s="62"/>
      <c r="EL2" s="62"/>
      <c r="EM2" s="62"/>
      <c r="EN2" s="62"/>
      <c r="EO2" s="62"/>
      <c r="EP2" s="62"/>
      <c r="EQ2" s="62"/>
      <c r="ER2" s="62"/>
      <c r="ES2" s="62"/>
      <c r="ET2" s="62"/>
      <c r="EU2" s="62"/>
      <c r="EV2" s="62"/>
      <c r="EW2" s="62"/>
      <c r="EX2" s="62"/>
      <c r="EY2" s="62"/>
      <c r="EZ2" s="62"/>
      <c r="FA2" s="62"/>
      <c r="FB2" s="62"/>
      <c r="FC2" s="62"/>
      <c r="FD2" s="62"/>
      <c r="FE2" s="62"/>
      <c r="FF2" s="62"/>
      <c r="FG2" s="62"/>
      <c r="FH2" s="62"/>
      <c r="FI2" s="62"/>
      <c r="FJ2" s="62"/>
      <c r="FK2" s="62"/>
      <c r="FL2" s="62"/>
      <c r="FM2" s="62"/>
      <c r="FN2" s="62"/>
      <c r="FO2" s="62"/>
      <c r="FP2" s="62"/>
      <c r="FQ2" s="62"/>
      <c r="FR2" s="62"/>
      <c r="FS2" s="62"/>
      <c r="FT2" s="62"/>
      <c r="FU2" s="62"/>
      <c r="FV2" s="62"/>
    </row>
    <row r="3" spans="1:178" ht="13.8">
      <c r="A3" s="61"/>
      <c r="B3" s="61"/>
      <c r="C3" s="61"/>
      <c r="D3" s="61"/>
      <c r="E3" s="62"/>
      <c r="F3" s="62"/>
      <c r="G3" s="62"/>
      <c r="H3" s="62"/>
      <c r="I3" s="64"/>
      <c r="J3" s="64"/>
      <c r="K3" s="62"/>
      <c r="L3" s="62"/>
      <c r="M3" s="65"/>
      <c r="N3" s="62"/>
      <c r="O3" s="62"/>
      <c r="P3" s="62"/>
      <c r="Q3" s="65"/>
      <c r="R3" s="62"/>
      <c r="S3" s="62"/>
      <c r="T3" s="62"/>
      <c r="U3" s="62"/>
      <c r="V3" s="62"/>
      <c r="W3" s="65"/>
      <c r="X3" s="62"/>
      <c r="Y3" s="62"/>
      <c r="Z3" s="62"/>
      <c r="AA3" s="62"/>
      <c r="AB3" s="62"/>
      <c r="AC3" s="65"/>
      <c r="AD3" s="62"/>
      <c r="AE3" s="62"/>
      <c r="AF3" s="65"/>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c r="DE3" s="62"/>
      <c r="DF3" s="62"/>
      <c r="DG3" s="62"/>
      <c r="DH3" s="62"/>
      <c r="DI3" s="62"/>
      <c r="DJ3" s="62"/>
      <c r="DK3" s="62"/>
      <c r="DL3" s="62"/>
      <c r="DM3" s="62"/>
      <c r="DN3" s="62"/>
      <c r="DO3" s="62"/>
      <c r="DP3" s="62"/>
      <c r="DQ3" s="62"/>
      <c r="DR3" s="62"/>
      <c r="DS3" s="62"/>
      <c r="DT3" s="62"/>
      <c r="DU3" s="62"/>
      <c r="DV3" s="62"/>
      <c r="DW3" s="62"/>
      <c r="DX3" s="62"/>
      <c r="DY3" s="62"/>
      <c r="DZ3" s="62"/>
      <c r="EA3" s="62"/>
      <c r="EB3" s="62"/>
      <c r="EC3" s="62"/>
      <c r="ED3" s="62"/>
      <c r="EE3" s="62"/>
      <c r="EF3" s="62"/>
      <c r="EG3" s="62"/>
      <c r="EH3" s="62"/>
      <c r="EI3" s="62"/>
      <c r="EJ3" s="62"/>
      <c r="EK3" s="62"/>
      <c r="EL3" s="62"/>
      <c r="EM3" s="62"/>
      <c r="EN3" s="62"/>
      <c r="EO3" s="62"/>
      <c r="EP3" s="62"/>
      <c r="EQ3" s="62"/>
      <c r="ER3" s="62"/>
      <c r="ES3" s="62"/>
      <c r="ET3" s="62"/>
      <c r="EU3" s="62"/>
      <c r="EV3" s="62"/>
      <c r="EW3" s="62"/>
      <c r="EX3" s="62"/>
      <c r="EY3" s="62"/>
      <c r="EZ3" s="62"/>
      <c r="FA3" s="62"/>
      <c r="FB3" s="62"/>
      <c r="FC3" s="62"/>
      <c r="FD3" s="62"/>
      <c r="FE3" s="62"/>
      <c r="FF3" s="62"/>
      <c r="FG3" s="62"/>
      <c r="FH3" s="62"/>
      <c r="FI3" s="62"/>
      <c r="FJ3" s="62"/>
      <c r="FK3" s="62"/>
      <c r="FL3" s="62"/>
      <c r="FM3" s="62"/>
      <c r="FN3" s="62"/>
      <c r="FO3" s="62"/>
      <c r="FP3" s="62"/>
      <c r="FQ3" s="62"/>
      <c r="FR3" s="62"/>
      <c r="FS3" s="62"/>
      <c r="FT3" s="62"/>
      <c r="FU3" s="62"/>
      <c r="FV3" s="62"/>
    </row>
    <row r="4" spans="1:178" ht="13.8">
      <c r="A4" s="61"/>
      <c r="B4" s="61"/>
      <c r="C4" s="61"/>
      <c r="D4" s="61"/>
      <c r="E4" s="62"/>
      <c r="F4" s="62"/>
      <c r="G4" s="62"/>
      <c r="H4" s="62"/>
      <c r="I4" s="64"/>
      <c r="J4" s="62"/>
      <c r="K4" s="62"/>
      <c r="L4" s="62"/>
      <c r="M4" s="62"/>
      <c r="N4" s="62"/>
      <c r="O4" s="62"/>
      <c r="P4" s="62"/>
      <c r="Q4" s="65"/>
      <c r="R4" s="62"/>
      <c r="S4" s="62"/>
      <c r="T4" s="62"/>
      <c r="U4" s="62"/>
      <c r="V4" s="62"/>
      <c r="W4" s="62"/>
      <c r="X4" s="65"/>
      <c r="Y4" s="62"/>
      <c r="Z4" s="62"/>
      <c r="AA4" s="62"/>
      <c r="AB4" s="62"/>
      <c r="AC4" s="62"/>
      <c r="AD4" s="62"/>
      <c r="AE4" s="62"/>
      <c r="AF4" s="62"/>
      <c r="AG4" s="62"/>
      <c r="AH4" s="62"/>
      <c r="AI4" s="62"/>
      <c r="AJ4" s="65"/>
      <c r="AK4" s="65"/>
      <c r="AL4" s="62"/>
      <c r="AM4" s="62"/>
      <c r="AN4" s="62"/>
      <c r="AO4" s="62"/>
      <c r="AP4" s="65"/>
      <c r="AQ4" s="62"/>
      <c r="AR4" s="62"/>
      <c r="AS4" s="65"/>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c r="EU4" s="62"/>
      <c r="EV4" s="62"/>
      <c r="EW4" s="62"/>
      <c r="EX4" s="62"/>
      <c r="EY4" s="62"/>
      <c r="EZ4" s="62"/>
      <c r="FA4" s="62"/>
      <c r="FB4" s="62"/>
      <c r="FC4" s="62"/>
      <c r="FD4" s="62"/>
      <c r="FE4" s="62"/>
      <c r="FF4" s="62"/>
      <c r="FG4" s="62"/>
      <c r="FH4" s="62"/>
      <c r="FI4" s="62"/>
      <c r="FJ4" s="62"/>
      <c r="FK4" s="62"/>
      <c r="FL4" s="62"/>
      <c r="FM4" s="62"/>
      <c r="FN4" s="62"/>
      <c r="FO4" s="62"/>
      <c r="FP4" s="62"/>
      <c r="FQ4" s="62"/>
      <c r="FR4" s="62"/>
      <c r="FS4" s="62"/>
      <c r="FT4" s="62"/>
      <c r="FU4" s="62"/>
      <c r="FV4" s="62"/>
    </row>
    <row r="5" spans="1:178" ht="13.8">
      <c r="A5" s="61"/>
      <c r="B5" s="61"/>
      <c r="C5" s="61"/>
      <c r="D5" s="61"/>
      <c r="E5" s="62"/>
      <c r="F5" s="62"/>
      <c r="G5" s="62"/>
      <c r="H5" s="62"/>
      <c r="I5" s="64"/>
      <c r="J5" s="62"/>
      <c r="K5" s="62"/>
      <c r="L5" s="62"/>
      <c r="M5" s="62"/>
      <c r="N5" s="62"/>
      <c r="O5" s="62"/>
      <c r="P5" s="62"/>
      <c r="Q5" s="62"/>
      <c r="R5" s="62"/>
      <c r="S5" s="62"/>
      <c r="T5" s="62"/>
      <c r="U5" s="65"/>
      <c r="V5" s="62"/>
      <c r="W5" s="62"/>
      <c r="X5" s="62"/>
      <c r="Y5" s="62"/>
      <c r="Z5" s="62"/>
      <c r="AA5" s="62"/>
      <c r="AB5" s="62"/>
      <c r="AC5" s="62"/>
      <c r="AD5" s="62"/>
      <c r="AE5" s="65"/>
      <c r="AF5" s="62"/>
      <c r="AG5" s="62"/>
      <c r="AH5" s="62"/>
      <c r="AI5" s="62"/>
      <c r="AJ5" s="62"/>
      <c r="AK5" s="62"/>
      <c r="AL5" s="62"/>
      <c r="AM5" s="62"/>
      <c r="AN5" s="62"/>
      <c r="AO5" s="62"/>
      <c r="AP5" s="62"/>
      <c r="AQ5" s="62"/>
      <c r="AR5" s="62"/>
      <c r="AS5" s="62"/>
      <c r="AT5" s="62"/>
      <c r="AU5" s="62"/>
      <c r="AV5" s="62"/>
      <c r="AW5" s="65"/>
      <c r="AX5" s="65"/>
      <c r="AY5" s="62"/>
      <c r="AZ5" s="62"/>
      <c r="BA5" s="62"/>
      <c r="BB5" s="62"/>
      <c r="BC5" s="65"/>
      <c r="BD5" s="62"/>
      <c r="BE5" s="62"/>
      <c r="BF5" s="65"/>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2"/>
      <c r="CX5" s="62"/>
      <c r="CY5" s="62"/>
      <c r="CZ5" s="62"/>
      <c r="DA5" s="62"/>
      <c r="DB5" s="62"/>
      <c r="DC5" s="62"/>
      <c r="DD5" s="62"/>
      <c r="DE5" s="62"/>
      <c r="DF5" s="62"/>
      <c r="DG5" s="62"/>
      <c r="DH5" s="62"/>
      <c r="DI5" s="62"/>
      <c r="DJ5" s="62"/>
      <c r="DK5" s="62"/>
      <c r="DL5" s="62"/>
      <c r="DM5" s="62"/>
      <c r="DN5" s="62"/>
      <c r="DO5" s="62"/>
      <c r="DP5" s="62"/>
      <c r="DQ5" s="62"/>
      <c r="DR5" s="62"/>
      <c r="DS5" s="62"/>
      <c r="DT5" s="62"/>
      <c r="DU5" s="62"/>
      <c r="DV5" s="62"/>
      <c r="DW5" s="62"/>
      <c r="DX5" s="62"/>
      <c r="DY5" s="62"/>
      <c r="DZ5" s="62"/>
      <c r="EA5" s="62"/>
      <c r="EB5" s="62"/>
      <c r="EC5" s="62"/>
      <c r="ED5" s="62"/>
      <c r="EE5" s="62"/>
      <c r="EF5" s="62"/>
      <c r="EG5" s="62"/>
      <c r="EH5" s="62"/>
      <c r="EI5" s="62"/>
      <c r="EJ5" s="62"/>
      <c r="EK5" s="62"/>
      <c r="EL5" s="62"/>
      <c r="EM5" s="62"/>
      <c r="EN5" s="62"/>
      <c r="EO5" s="62"/>
      <c r="EP5" s="62"/>
      <c r="EQ5" s="62"/>
      <c r="ER5" s="62"/>
      <c r="ES5" s="62"/>
      <c r="ET5" s="62"/>
      <c r="EU5" s="62"/>
      <c r="EV5" s="62"/>
      <c r="EW5" s="62"/>
      <c r="EX5" s="62"/>
      <c r="EY5" s="62"/>
      <c r="EZ5" s="62"/>
      <c r="FA5" s="62"/>
      <c r="FB5" s="62"/>
      <c r="FC5" s="62"/>
      <c r="FD5" s="62"/>
      <c r="FE5" s="62"/>
      <c r="FF5" s="62"/>
      <c r="FG5" s="62"/>
      <c r="FH5" s="62"/>
      <c r="FI5" s="62"/>
      <c r="FJ5" s="62"/>
      <c r="FK5" s="62"/>
      <c r="FL5" s="62"/>
      <c r="FM5" s="62"/>
      <c r="FN5" s="62"/>
      <c r="FO5" s="62"/>
      <c r="FP5" s="62"/>
      <c r="FQ5" s="62"/>
      <c r="FR5" s="62"/>
      <c r="FS5" s="62"/>
      <c r="FT5" s="62"/>
      <c r="FU5" s="62"/>
      <c r="FV5" s="62"/>
    </row>
    <row r="6" spans="1:178" ht="13.8">
      <c r="A6" s="61"/>
      <c r="B6" s="61"/>
      <c r="C6" s="61"/>
      <c r="D6" s="61"/>
      <c r="E6" s="62"/>
      <c r="F6" s="62"/>
      <c r="G6" s="62"/>
      <c r="H6" s="62"/>
      <c r="I6" s="64"/>
      <c r="J6" s="62"/>
      <c r="K6" s="62"/>
      <c r="L6" s="62"/>
      <c r="M6" s="62"/>
      <c r="N6" s="62"/>
      <c r="O6" s="62"/>
      <c r="P6" s="62"/>
      <c r="Q6" s="65"/>
      <c r="R6" s="62"/>
      <c r="S6" s="62"/>
      <c r="T6" s="62"/>
      <c r="U6" s="62"/>
      <c r="V6" s="62"/>
      <c r="W6" s="62"/>
      <c r="X6" s="62"/>
      <c r="Y6" s="65"/>
      <c r="Z6" s="62"/>
      <c r="AA6" s="62"/>
      <c r="AB6" s="62"/>
      <c r="AC6" s="62"/>
      <c r="AD6" s="62"/>
      <c r="AE6" s="62"/>
      <c r="AF6" s="62"/>
      <c r="AG6" s="62"/>
      <c r="AH6" s="62"/>
      <c r="AI6" s="62"/>
      <c r="AJ6" s="62"/>
      <c r="AK6" s="62"/>
      <c r="AL6" s="65"/>
      <c r="AM6" s="62"/>
      <c r="AN6" s="62"/>
      <c r="AO6" s="62"/>
      <c r="AP6" s="62"/>
      <c r="AQ6" s="62"/>
      <c r="AR6" s="62"/>
      <c r="AS6" s="62"/>
      <c r="AT6" s="62"/>
      <c r="AU6" s="62"/>
      <c r="AV6" s="62"/>
      <c r="AW6" s="62"/>
      <c r="AX6" s="62"/>
      <c r="AY6" s="62"/>
      <c r="AZ6" s="62"/>
      <c r="BA6" s="62"/>
      <c r="BB6" s="62"/>
      <c r="BC6" s="62"/>
      <c r="BD6" s="62"/>
      <c r="BE6" s="62"/>
      <c r="BF6" s="62"/>
      <c r="BG6" s="62"/>
      <c r="BH6" s="62"/>
      <c r="BI6" s="62"/>
      <c r="BJ6" s="65"/>
      <c r="BK6" s="65"/>
      <c r="BL6" s="62"/>
      <c r="BM6" s="62"/>
      <c r="BN6" s="62"/>
      <c r="BO6" s="62"/>
      <c r="BP6" s="65"/>
      <c r="BQ6" s="62"/>
      <c r="BR6" s="62"/>
      <c r="BS6" s="65"/>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row>
    <row r="7" spans="1:178" ht="13.8">
      <c r="A7" s="61"/>
      <c r="B7" s="61"/>
      <c r="C7" s="61"/>
      <c r="D7" s="61"/>
      <c r="E7" s="62"/>
      <c r="F7" s="62"/>
      <c r="G7" s="62"/>
      <c r="H7" s="62"/>
      <c r="I7" s="64"/>
      <c r="J7" s="62"/>
      <c r="K7" s="62"/>
      <c r="L7" s="62"/>
      <c r="M7" s="62"/>
      <c r="N7" s="62"/>
      <c r="O7" s="62"/>
      <c r="P7" s="62"/>
      <c r="Q7" s="62"/>
      <c r="R7" s="62"/>
      <c r="S7" s="62"/>
      <c r="T7" s="62"/>
      <c r="U7" s="65"/>
      <c r="V7" s="62"/>
      <c r="W7" s="62"/>
      <c r="X7" s="62"/>
      <c r="Y7" s="62"/>
      <c r="Z7" s="62"/>
      <c r="AA7" s="62"/>
      <c r="AB7" s="62"/>
      <c r="AC7" s="65"/>
      <c r="AD7" s="62"/>
      <c r="AE7" s="62"/>
      <c r="AF7" s="62"/>
      <c r="AG7" s="62"/>
      <c r="AH7" s="62"/>
      <c r="AI7" s="62"/>
      <c r="AJ7" s="62"/>
      <c r="AK7" s="62"/>
      <c r="AL7" s="62"/>
      <c r="AM7" s="62"/>
      <c r="AN7" s="62"/>
      <c r="AO7" s="62"/>
      <c r="AP7" s="62"/>
      <c r="AQ7" s="62"/>
      <c r="AR7" s="62"/>
      <c r="AS7" s="62"/>
      <c r="AT7" s="62"/>
      <c r="AU7" s="62"/>
      <c r="AV7" s="62"/>
      <c r="AW7" s="62"/>
      <c r="AX7" s="62"/>
      <c r="AY7" s="62"/>
      <c r="AZ7" s="65"/>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5"/>
      <c r="CK7" s="65"/>
      <c r="CL7" s="62"/>
      <c r="CM7" s="62"/>
      <c r="CN7" s="62"/>
      <c r="CO7" s="62"/>
      <c r="CP7" s="65"/>
      <c r="CQ7" s="62"/>
      <c r="CR7" s="62"/>
      <c r="CS7" s="65"/>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row>
    <row r="8" spans="1:178" ht="13.8">
      <c r="A8" s="61"/>
      <c r="B8" s="61"/>
      <c r="C8" s="61"/>
      <c r="D8" s="61"/>
      <c r="E8" s="62"/>
      <c r="F8" s="62"/>
      <c r="G8" s="62"/>
      <c r="H8" s="62"/>
      <c r="I8" s="64"/>
      <c r="J8" s="62"/>
      <c r="K8" s="62"/>
      <c r="L8" s="62"/>
      <c r="M8" s="62"/>
      <c r="N8" s="62"/>
      <c r="O8" s="62"/>
      <c r="P8" s="62"/>
      <c r="Q8" s="62"/>
      <c r="R8" s="62"/>
      <c r="S8" s="62"/>
      <c r="T8" s="62"/>
      <c r="U8" s="62"/>
      <c r="V8" s="62"/>
      <c r="W8" s="62"/>
      <c r="X8" s="62"/>
      <c r="Y8" s="62"/>
      <c r="Z8" s="62"/>
      <c r="AA8" s="62"/>
      <c r="AB8" s="62"/>
      <c r="AC8" s="65"/>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5"/>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5"/>
      <c r="CX8" s="65"/>
      <c r="CY8" s="62"/>
      <c r="CZ8" s="62"/>
      <c r="DA8" s="62"/>
      <c r="DB8" s="62"/>
      <c r="DC8" s="65"/>
      <c r="DD8" s="62"/>
      <c r="DE8" s="62"/>
      <c r="DF8" s="65"/>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row>
    <row r="9" spans="1:178" ht="13.8">
      <c r="A9" s="61"/>
      <c r="B9" s="61"/>
      <c r="C9" s="61"/>
      <c r="D9" s="61"/>
      <c r="E9" s="62"/>
      <c r="F9" s="62"/>
      <c r="G9" s="62"/>
      <c r="H9" s="62"/>
      <c r="I9" s="64"/>
      <c r="J9" s="64"/>
      <c r="K9" s="62"/>
      <c r="L9" s="62"/>
      <c r="M9" s="62"/>
      <c r="N9" s="62"/>
      <c r="O9" s="62"/>
      <c r="P9" s="62"/>
      <c r="Q9" s="62"/>
      <c r="R9" s="62"/>
      <c r="S9" s="62"/>
      <c r="T9" s="62"/>
      <c r="U9" s="62"/>
      <c r="V9" s="62"/>
      <c r="W9" s="62"/>
      <c r="X9" s="65"/>
      <c r="Y9" s="62"/>
      <c r="Z9" s="62"/>
      <c r="AA9" s="62"/>
      <c r="AB9" s="62"/>
      <c r="AC9" s="62"/>
      <c r="AD9" s="62"/>
      <c r="AE9" s="62"/>
      <c r="AF9" s="62"/>
      <c r="AG9" s="65"/>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5"/>
      <c r="DK9" s="65"/>
      <c r="DL9" s="62"/>
      <c r="DM9" s="62"/>
      <c r="DN9" s="62"/>
      <c r="DO9" s="62"/>
      <c r="DP9" s="65"/>
      <c r="DQ9" s="62"/>
      <c r="DR9" s="62"/>
      <c r="DS9" s="62"/>
      <c r="DT9" s="62"/>
      <c r="DU9" s="62"/>
      <c r="DV9" s="62"/>
      <c r="DW9" s="62"/>
      <c r="DX9" s="62"/>
      <c r="DY9" s="62"/>
      <c r="DZ9" s="62"/>
      <c r="EA9" s="62"/>
      <c r="EB9" s="62"/>
      <c r="EC9" s="62"/>
      <c r="ED9" s="62"/>
      <c r="EE9" s="62"/>
      <c r="EF9" s="62"/>
      <c r="EG9" s="62"/>
      <c r="EH9" s="62"/>
      <c r="EI9" s="62"/>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row>
    <row r="10" spans="1:178" ht="13.8">
      <c r="A10" s="61"/>
      <c r="B10" s="61"/>
      <c r="C10" s="61"/>
      <c r="D10" s="61"/>
      <c r="E10" s="62"/>
      <c r="F10" s="62"/>
      <c r="G10" s="62"/>
      <c r="H10" s="62"/>
      <c r="I10" s="64"/>
      <c r="J10" s="64"/>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5"/>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5"/>
      <c r="DU10" s="65"/>
      <c r="DV10" s="62"/>
      <c r="DW10" s="62"/>
      <c r="DX10" s="62"/>
      <c r="DY10" s="62"/>
      <c r="DZ10" s="65"/>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row>
    <row r="11" spans="1:178" ht="13.8">
      <c r="A11" s="61"/>
      <c r="B11" s="61"/>
      <c r="C11" s="61"/>
      <c r="D11" s="61"/>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5"/>
      <c r="AK11" s="62"/>
      <c r="AL11" s="62"/>
      <c r="AM11" s="62"/>
      <c r="AN11" s="62"/>
      <c r="AO11" s="62"/>
      <c r="AP11" s="65"/>
      <c r="AQ11" s="62"/>
      <c r="AR11" s="62"/>
      <c r="AS11" s="65"/>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5"/>
      <c r="EH11" s="62"/>
      <c r="EI11" s="62"/>
      <c r="EJ11" s="62"/>
      <c r="EK11" s="62"/>
      <c r="EL11" s="62"/>
      <c r="EM11" s="65"/>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row>
    <row r="12" spans="1:178" ht="13.8">
      <c r="A12" s="61"/>
      <c r="B12" s="61"/>
      <c r="C12" s="61"/>
      <c r="D12" s="61"/>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5"/>
      <c r="AU12" s="62"/>
      <c r="AV12" s="62"/>
      <c r="AW12" s="65"/>
      <c r="AX12" s="62"/>
      <c r="AY12" s="62"/>
      <c r="AZ12" s="65"/>
      <c r="BA12" s="62"/>
      <c r="BB12" s="62"/>
      <c r="BC12" s="65"/>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c r="DU12" s="62"/>
      <c r="DV12" s="62"/>
      <c r="DW12" s="62"/>
      <c r="DX12" s="62"/>
      <c r="DY12" s="62"/>
      <c r="DZ12" s="62"/>
      <c r="EA12" s="62"/>
      <c r="EB12" s="62"/>
      <c r="EC12" s="62"/>
      <c r="ED12" s="62"/>
      <c r="EE12" s="62"/>
      <c r="EF12" s="62"/>
      <c r="EG12" s="62"/>
      <c r="EH12" s="62"/>
      <c r="EI12" s="62"/>
      <c r="EJ12" s="62"/>
      <c r="EK12" s="62"/>
      <c r="EL12" s="62"/>
      <c r="EM12" s="62"/>
      <c r="EN12" s="62"/>
      <c r="EO12" s="62"/>
      <c r="EP12" s="62"/>
      <c r="EQ12" s="65"/>
      <c r="ER12" s="65"/>
      <c r="ES12" s="62"/>
      <c r="ET12" s="62"/>
      <c r="EU12" s="62"/>
      <c r="EV12" s="62"/>
      <c r="EW12" s="65"/>
      <c r="EX12" s="62"/>
      <c r="EY12" s="65"/>
      <c r="EZ12" s="65"/>
      <c r="FA12" s="65"/>
      <c r="FB12" s="65"/>
      <c r="FC12" s="65"/>
      <c r="FD12" s="65"/>
      <c r="FE12" s="65"/>
      <c r="FF12" s="65"/>
      <c r="FG12" s="65"/>
      <c r="FH12" s="65"/>
      <c r="FI12" s="65"/>
      <c r="FJ12" s="65"/>
      <c r="FK12" s="65"/>
      <c r="FL12" s="65"/>
      <c r="FM12" s="65"/>
      <c r="FN12" s="65"/>
      <c r="FO12" s="65"/>
      <c r="FP12" s="65"/>
      <c r="FQ12" s="65"/>
      <c r="FR12" s="65"/>
      <c r="FS12" s="65"/>
      <c r="FT12" s="65"/>
      <c r="FU12" s="65"/>
      <c r="FV12" s="65"/>
    </row>
    <row r="13" spans="1:178" ht="13.8">
      <c r="A13" s="61"/>
      <c r="B13" s="61"/>
      <c r="C13" s="61"/>
      <c r="D13" s="61"/>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5"/>
      <c r="BB13" s="62"/>
      <c r="BC13" s="62"/>
      <c r="BD13" s="62"/>
      <c r="BE13" s="62"/>
      <c r="BF13" s="62"/>
      <c r="BG13" s="65"/>
      <c r="BH13" s="62"/>
      <c r="BI13" s="62"/>
      <c r="BJ13" s="62"/>
      <c r="BK13" s="62"/>
      <c r="BL13" s="62"/>
      <c r="BM13" s="65"/>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c r="DU13" s="62"/>
      <c r="DV13" s="62"/>
      <c r="DW13" s="62"/>
      <c r="DX13" s="62"/>
      <c r="DY13" s="62"/>
      <c r="DZ13" s="62"/>
      <c r="EA13" s="62"/>
      <c r="EB13" s="62"/>
      <c r="EC13" s="62"/>
      <c r="ED13" s="62"/>
      <c r="EE13" s="62"/>
      <c r="EF13" s="62"/>
      <c r="EG13" s="62"/>
      <c r="EH13" s="62"/>
      <c r="EI13" s="62"/>
      <c r="EJ13" s="62"/>
      <c r="EK13" s="62"/>
      <c r="EL13" s="62"/>
      <c r="EM13" s="62"/>
      <c r="EN13" s="62"/>
      <c r="EO13" s="62"/>
      <c r="EP13" s="62"/>
      <c r="EQ13" s="62"/>
      <c r="ER13" s="62"/>
      <c r="ES13" s="62"/>
      <c r="ET13" s="62"/>
      <c r="EU13" s="62"/>
      <c r="EV13" s="62"/>
      <c r="EW13" s="62"/>
      <c r="EX13" s="62"/>
      <c r="EY13" s="62"/>
      <c r="EZ13" s="62"/>
      <c r="FA13" s="65"/>
      <c r="FB13" s="65"/>
      <c r="FC13" s="62"/>
      <c r="FD13" s="62"/>
      <c r="FE13" s="62"/>
      <c r="FF13" s="62"/>
      <c r="FG13" s="65"/>
      <c r="FH13" s="62"/>
      <c r="FI13" s="62"/>
      <c r="FJ13" s="62"/>
      <c r="FK13" s="62"/>
      <c r="FL13" s="62"/>
      <c r="FM13" s="62"/>
      <c r="FN13" s="62"/>
      <c r="FO13" s="62"/>
      <c r="FP13" s="62"/>
      <c r="FQ13" s="62"/>
      <c r="FR13" s="62"/>
      <c r="FS13" s="62"/>
      <c r="FT13" s="62"/>
      <c r="FU13" s="62"/>
      <c r="FV13" s="62"/>
    </row>
    <row r="14" spans="1:178" ht="13.8">
      <c r="A14" s="61"/>
      <c r="B14" s="61"/>
      <c r="C14" s="61"/>
      <c r="D14" s="61"/>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5"/>
      <c r="BF14" s="62"/>
      <c r="BG14" s="62"/>
      <c r="BH14" s="62"/>
      <c r="BI14" s="62"/>
      <c r="BJ14" s="62"/>
      <c r="BK14" s="62"/>
      <c r="BL14" s="62"/>
      <c r="BM14" s="62"/>
      <c r="BN14" s="62"/>
      <c r="BO14" s="62"/>
      <c r="BP14" s="62"/>
      <c r="BQ14" s="65"/>
      <c r="BR14" s="62"/>
      <c r="BS14" s="62"/>
      <c r="BT14" s="62"/>
      <c r="BU14" s="62"/>
      <c r="BV14" s="62"/>
      <c r="BW14" s="65"/>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c r="DU14" s="62"/>
      <c r="DV14" s="62"/>
      <c r="DW14" s="62"/>
      <c r="DX14" s="62"/>
      <c r="DY14" s="62"/>
      <c r="DZ14" s="62"/>
      <c r="EA14" s="62"/>
      <c r="EB14" s="62"/>
      <c r="EC14" s="62"/>
      <c r="ED14" s="62"/>
      <c r="EE14" s="62"/>
      <c r="EF14" s="62"/>
      <c r="EG14" s="62"/>
      <c r="EH14" s="62"/>
      <c r="EI14" s="62"/>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5"/>
      <c r="FK14" s="65"/>
      <c r="FL14" s="62"/>
      <c r="FM14" s="62"/>
      <c r="FN14" s="62"/>
      <c r="FO14" s="62"/>
      <c r="FP14" s="65"/>
      <c r="FQ14" s="62"/>
      <c r="FR14" s="62"/>
      <c r="FS14" s="62"/>
      <c r="FT14" s="62"/>
      <c r="FU14" s="62"/>
      <c r="FV14" s="62"/>
    </row>
    <row r="15" spans="1:178" ht="13.8">
      <c r="A15" s="61"/>
      <c r="B15" s="61"/>
      <c r="C15" s="61"/>
      <c r="D15" s="61"/>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5"/>
      <c r="BJ15" s="62"/>
      <c r="BK15" s="62"/>
      <c r="BL15" s="62"/>
      <c r="BM15" s="62"/>
      <c r="BN15" s="62"/>
      <c r="BO15" s="62"/>
      <c r="BP15" s="62"/>
      <c r="BQ15" s="62"/>
      <c r="BR15" s="62"/>
      <c r="BS15" s="62"/>
      <c r="BT15" s="62"/>
      <c r="BU15" s="62"/>
      <c r="BV15" s="62"/>
      <c r="BW15" s="62"/>
      <c r="BX15" s="62"/>
      <c r="BY15" s="62"/>
      <c r="BZ15" s="62"/>
      <c r="CA15" s="65"/>
      <c r="CB15" s="62"/>
      <c r="CC15" s="62"/>
      <c r="CD15" s="62"/>
      <c r="CE15" s="62"/>
      <c r="CF15" s="62"/>
      <c r="CG15" s="65"/>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c r="DU15" s="62"/>
      <c r="DV15" s="62"/>
      <c r="DW15" s="62"/>
      <c r="DX15" s="62"/>
      <c r="DY15" s="62"/>
      <c r="DZ15" s="62"/>
      <c r="EA15" s="62"/>
      <c r="EB15" s="62"/>
      <c r="EC15" s="62"/>
      <c r="ED15" s="62"/>
      <c r="EE15" s="62"/>
      <c r="EF15" s="62"/>
      <c r="EG15" s="62"/>
      <c r="EH15" s="62"/>
      <c r="EI15" s="62"/>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5"/>
      <c r="FP15" s="65"/>
      <c r="FQ15" s="62"/>
      <c r="FR15" s="62"/>
      <c r="FS15" s="62"/>
      <c r="FT15" s="62"/>
      <c r="FU15" s="65"/>
      <c r="FV15" s="62"/>
    </row>
    <row r="16" spans="1:178" ht="13.8">
      <c r="A16" s="61"/>
      <c r="B16" s="61"/>
      <c r="C16" s="61"/>
      <c r="D16" s="61"/>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5"/>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5"/>
      <c r="CL16" s="62"/>
      <c r="CM16" s="62"/>
      <c r="CN16" s="62"/>
      <c r="CO16" s="62"/>
      <c r="CP16" s="62"/>
      <c r="CQ16" s="65"/>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row>
    <row r="17" spans="1:178" ht="13.8">
      <c r="A17" s="61"/>
      <c r="B17" s="61"/>
      <c r="C17" s="61"/>
      <c r="D17" s="61"/>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5"/>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5"/>
      <c r="CV17" s="62"/>
      <c r="CW17" s="62"/>
      <c r="CX17" s="62"/>
      <c r="CY17" s="62"/>
      <c r="CZ17" s="62"/>
      <c r="DA17" s="65"/>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row>
    <row r="18" spans="1:178" ht="13.8">
      <c r="A18" s="61"/>
      <c r="B18" s="61"/>
      <c r="C18" s="61"/>
      <c r="D18" s="61"/>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5"/>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row>
    <row r="19" spans="1:178" ht="13.8">
      <c r="A19" s="61"/>
      <c r="B19" s="61"/>
      <c r="C19" s="61"/>
      <c r="D19" s="61"/>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row>
    <row r="20" spans="1:178" ht="13.8">
      <c r="A20" s="61"/>
      <c r="B20" s="61"/>
      <c r="C20" s="61"/>
      <c r="D20" s="61"/>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row>
    <row r="21" spans="1:178" ht="13.8">
      <c r="A21" s="61"/>
      <c r="B21" s="61"/>
      <c r="C21" s="61"/>
      <c r="D21" s="61"/>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row>
    <row r="22" spans="1:178" ht="13.8">
      <c r="A22" s="61"/>
      <c r="B22" s="61"/>
      <c r="C22" s="61"/>
      <c r="D22" s="61"/>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row>
    <row r="23" spans="1:178" ht="13.8">
      <c r="A23" s="61"/>
      <c r="B23" s="61"/>
      <c r="C23" s="61"/>
      <c r="D23" s="61"/>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row>
    <row r="24" spans="1:178" ht="13.8">
      <c r="A24" s="61"/>
      <c r="B24" s="61"/>
      <c r="C24" s="61"/>
      <c r="D24" s="61"/>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row>
    <row r="25" spans="1:178" ht="13.8">
      <c r="A25" s="61"/>
      <c r="B25" s="61"/>
      <c r="C25" s="61"/>
      <c r="D25" s="61"/>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row>
    <row r="26" spans="1:178" ht="13.8">
      <c r="A26" s="61"/>
      <c r="B26" s="61"/>
      <c r="C26" s="61"/>
      <c r="D26" s="61"/>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row>
    <row r="27" spans="1:178" ht="13.8">
      <c r="A27" s="61"/>
      <c r="B27" s="61"/>
      <c r="C27" s="61"/>
      <c r="D27" s="61"/>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row>
    <row r="28" spans="1:178" ht="13.8">
      <c r="A28" s="61"/>
      <c r="B28" s="61"/>
      <c r="C28" s="61"/>
      <c r="D28" s="61"/>
      <c r="E28" s="62"/>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row>
    <row r="29" spans="1:178" ht="13.8">
      <c r="A29" s="61"/>
      <c r="B29" s="61"/>
      <c r="C29" s="61"/>
      <c r="D29" s="61"/>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row>
    <row r="30" spans="1:178" ht="13.8">
      <c r="A30" s="61"/>
      <c r="B30" s="61"/>
      <c r="C30" s="61"/>
      <c r="D30" s="61"/>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row>
    <row r="31" spans="1:178" ht="13.8">
      <c r="A31" s="61"/>
      <c r="B31" s="61"/>
      <c r="C31" s="61"/>
      <c r="D31" s="61"/>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2"/>
      <c r="EX31" s="62"/>
      <c r="EY31" s="62"/>
      <c r="EZ31" s="62"/>
      <c r="FA31" s="62"/>
      <c r="FB31" s="62"/>
      <c r="FC31" s="62"/>
      <c r="FD31" s="62"/>
      <c r="FE31" s="62"/>
      <c r="FF31" s="62"/>
      <c r="FG31" s="62"/>
      <c r="FH31" s="62"/>
      <c r="FI31" s="62"/>
      <c r="FJ31" s="62"/>
      <c r="FK31" s="62"/>
      <c r="FL31" s="62"/>
      <c r="FM31" s="62"/>
      <c r="FN31" s="62"/>
      <c r="FO31" s="62"/>
      <c r="FP31" s="62"/>
      <c r="FQ31" s="62"/>
      <c r="FR31" s="62"/>
      <c r="FS31" s="62"/>
      <c r="FT31" s="62"/>
      <c r="FU31" s="62"/>
      <c r="FV31" s="62"/>
    </row>
    <row r="32" spans="1:178" ht="13.8">
      <c r="A32" s="61"/>
      <c r="B32" s="61"/>
      <c r="C32" s="61"/>
      <c r="D32" s="61"/>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2"/>
      <c r="EX32" s="62"/>
      <c r="EY32" s="62"/>
      <c r="EZ32" s="62"/>
      <c r="FA32" s="62"/>
      <c r="FB32" s="62"/>
      <c r="FC32" s="62"/>
      <c r="FD32" s="62"/>
      <c r="FE32" s="62"/>
      <c r="FF32" s="62"/>
      <c r="FG32" s="62"/>
      <c r="FH32" s="62"/>
      <c r="FI32" s="62"/>
      <c r="FJ32" s="62"/>
      <c r="FK32" s="62"/>
      <c r="FL32" s="62"/>
      <c r="FM32" s="62"/>
      <c r="FN32" s="62"/>
      <c r="FO32" s="62"/>
      <c r="FP32" s="62"/>
      <c r="FQ32" s="62"/>
      <c r="FR32" s="62"/>
      <c r="FS32" s="62"/>
      <c r="FT32" s="62"/>
      <c r="FU32" s="62"/>
      <c r="FV32" s="62"/>
    </row>
    <row r="33" spans="1:178" ht="13.8">
      <c r="A33" s="61"/>
      <c r="B33" s="61"/>
      <c r="C33" s="61"/>
      <c r="D33" s="61"/>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2"/>
      <c r="EX33" s="62"/>
      <c r="EY33" s="62"/>
      <c r="EZ33" s="62"/>
      <c r="FA33" s="62"/>
      <c r="FB33" s="62"/>
      <c r="FC33" s="62"/>
      <c r="FD33" s="62"/>
      <c r="FE33" s="62"/>
      <c r="FF33" s="62"/>
      <c r="FG33" s="62"/>
      <c r="FH33" s="62"/>
      <c r="FI33" s="62"/>
      <c r="FJ33" s="62"/>
      <c r="FK33" s="62"/>
      <c r="FL33" s="62"/>
      <c r="FM33" s="62"/>
      <c r="FN33" s="62"/>
      <c r="FO33" s="62"/>
      <c r="FP33" s="62"/>
      <c r="FQ33" s="62"/>
      <c r="FR33" s="62"/>
      <c r="FS33" s="62"/>
      <c r="FT33" s="62"/>
      <c r="FU33" s="62"/>
      <c r="FV33" s="62"/>
    </row>
    <row r="34" spans="1:178" ht="13.8">
      <c r="A34" s="61"/>
      <c r="B34" s="61"/>
      <c r="C34" s="61"/>
      <c r="D34" s="61"/>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2"/>
      <c r="EX34" s="62"/>
      <c r="EY34" s="62"/>
      <c r="EZ34" s="62"/>
      <c r="FA34" s="62"/>
      <c r="FB34" s="62"/>
      <c r="FC34" s="62"/>
      <c r="FD34" s="62"/>
      <c r="FE34" s="62"/>
      <c r="FF34" s="62"/>
      <c r="FG34" s="62"/>
      <c r="FH34" s="62"/>
      <c r="FI34" s="62"/>
      <c r="FJ34" s="62"/>
      <c r="FK34" s="62"/>
      <c r="FL34" s="62"/>
      <c r="FM34" s="62"/>
      <c r="FN34" s="62"/>
      <c r="FO34" s="62"/>
      <c r="FP34" s="62"/>
      <c r="FQ34" s="62"/>
      <c r="FR34" s="62"/>
      <c r="FS34" s="62"/>
      <c r="FT34" s="62"/>
      <c r="FU34" s="62"/>
      <c r="FV34" s="62"/>
    </row>
    <row r="35" spans="1:178" ht="13.8">
      <c r="A35" s="61"/>
      <c r="B35" s="61"/>
      <c r="C35" s="61"/>
      <c r="D35" s="61"/>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2"/>
      <c r="EX35" s="62"/>
      <c r="EY35" s="62"/>
      <c r="EZ35" s="62"/>
      <c r="FA35" s="62"/>
      <c r="FB35" s="62"/>
      <c r="FC35" s="62"/>
      <c r="FD35" s="62"/>
      <c r="FE35" s="62"/>
      <c r="FF35" s="62"/>
      <c r="FG35" s="62"/>
      <c r="FH35" s="62"/>
      <c r="FI35" s="62"/>
      <c r="FJ35" s="62"/>
      <c r="FK35" s="62"/>
      <c r="FL35" s="62"/>
      <c r="FM35" s="62"/>
      <c r="FN35" s="62"/>
      <c r="FO35" s="62"/>
      <c r="FP35" s="62"/>
      <c r="FQ35" s="62"/>
      <c r="FR35" s="62"/>
      <c r="FS35" s="62"/>
      <c r="FT35" s="62"/>
      <c r="FU35" s="62"/>
      <c r="FV35" s="62"/>
    </row>
    <row r="36" spans="1:178" ht="13.8">
      <c r="A36" s="61"/>
      <c r="B36" s="61"/>
      <c r="C36" s="61"/>
      <c r="D36" s="61"/>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c r="FK36" s="62"/>
      <c r="FL36" s="62"/>
      <c r="FM36" s="62"/>
      <c r="FN36" s="62"/>
      <c r="FO36" s="62"/>
      <c r="FP36" s="62"/>
      <c r="FQ36" s="62"/>
      <c r="FR36" s="62"/>
      <c r="FS36" s="62"/>
      <c r="FT36" s="62"/>
      <c r="FU36" s="62"/>
      <c r="FV36" s="62"/>
    </row>
    <row r="37" spans="1:178" ht="13.8">
      <c r="A37" s="61"/>
      <c r="B37" s="61"/>
      <c r="C37" s="61"/>
      <c r="D37" s="61"/>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row>
    <row r="38" spans="1:178" ht="13.8">
      <c r="A38" s="61"/>
      <c r="B38" s="61"/>
      <c r="C38" s="61"/>
      <c r="D38" s="61"/>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c r="FK38" s="62"/>
      <c r="FL38" s="62"/>
      <c r="FM38" s="62"/>
      <c r="FN38" s="62"/>
      <c r="FO38" s="62"/>
      <c r="FP38" s="62"/>
      <c r="FQ38" s="62"/>
      <c r="FR38" s="62"/>
      <c r="FS38" s="62"/>
      <c r="FT38" s="62"/>
      <c r="FU38" s="62"/>
      <c r="FV38" s="62"/>
    </row>
    <row r="39" spans="1:178" ht="13.8">
      <c r="A39" s="61"/>
      <c r="B39" s="61"/>
      <c r="C39" s="61"/>
      <c r="D39" s="61"/>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2"/>
      <c r="CP39" s="62"/>
      <c r="CQ39" s="62"/>
      <c r="CR39" s="62"/>
      <c r="CS39" s="62"/>
      <c r="CT39" s="62"/>
      <c r="CU39" s="62"/>
      <c r="CV39" s="62"/>
      <c r="CW39" s="62"/>
      <c r="CX39" s="62"/>
      <c r="CY39" s="62"/>
      <c r="CZ39" s="62"/>
      <c r="DA39" s="62"/>
      <c r="DB39" s="62"/>
      <c r="DC39" s="62"/>
      <c r="DD39" s="62"/>
      <c r="DE39" s="62"/>
      <c r="DF39" s="62"/>
      <c r="DG39" s="62"/>
      <c r="DH39" s="62"/>
      <c r="DI39" s="62"/>
      <c r="DJ39" s="62"/>
      <c r="DK39" s="62"/>
      <c r="DL39" s="62"/>
      <c r="DM39" s="62"/>
      <c r="DN39" s="62"/>
      <c r="DO39" s="62"/>
      <c r="DP39" s="62"/>
      <c r="DQ39" s="62"/>
      <c r="DR39" s="62"/>
      <c r="DS39" s="62"/>
      <c r="DT39" s="62"/>
      <c r="DU39" s="62"/>
      <c r="DV39" s="62"/>
      <c r="DW39" s="62"/>
      <c r="DX39" s="62"/>
      <c r="DY39" s="62"/>
      <c r="DZ39" s="62"/>
      <c r="EA39" s="62"/>
      <c r="EB39" s="62"/>
      <c r="EC39" s="62"/>
      <c r="ED39" s="62"/>
      <c r="EE39" s="62"/>
      <c r="EF39" s="62"/>
      <c r="EG39" s="62"/>
      <c r="EH39" s="62"/>
      <c r="EI39" s="62"/>
      <c r="EJ39" s="62"/>
      <c r="EK39" s="62"/>
      <c r="EL39" s="62"/>
      <c r="EM39" s="62"/>
      <c r="EN39" s="62"/>
      <c r="EO39" s="62"/>
      <c r="EP39" s="62"/>
      <c r="EQ39" s="62"/>
      <c r="ER39" s="62"/>
      <c r="ES39" s="62"/>
      <c r="ET39" s="62"/>
      <c r="EU39" s="62"/>
      <c r="EV39" s="62"/>
      <c r="EW39" s="62"/>
      <c r="EX39" s="62"/>
      <c r="EY39" s="62"/>
      <c r="EZ39" s="62"/>
      <c r="FA39" s="62"/>
      <c r="FB39" s="62"/>
      <c r="FC39" s="62"/>
      <c r="FD39" s="62"/>
      <c r="FE39" s="62"/>
      <c r="FF39" s="62"/>
      <c r="FG39" s="62"/>
      <c r="FH39" s="62"/>
      <c r="FI39" s="62"/>
      <c r="FJ39" s="62"/>
      <c r="FK39" s="62"/>
      <c r="FL39" s="62"/>
      <c r="FM39" s="62"/>
      <c r="FN39" s="62"/>
      <c r="FO39" s="62"/>
      <c r="FP39" s="62"/>
      <c r="FQ39" s="62"/>
      <c r="FR39" s="62"/>
      <c r="FS39" s="62"/>
      <c r="FT39" s="62"/>
      <c r="FU39" s="62"/>
      <c r="FV39" s="62"/>
    </row>
    <row r="40" spans="1:178" ht="13.8">
      <c r="A40" s="61"/>
      <c r="B40" s="61"/>
      <c r="C40" s="61"/>
      <c r="D40" s="61"/>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62"/>
      <c r="BK40" s="62"/>
      <c r="BL40" s="62"/>
      <c r="BM40" s="62"/>
      <c r="BN40" s="62"/>
      <c r="BO40" s="62"/>
      <c r="BP40" s="62"/>
      <c r="BQ40" s="62"/>
      <c r="BR40" s="62"/>
      <c r="BS40" s="62"/>
      <c r="BT40" s="62"/>
      <c r="BU40" s="62"/>
      <c r="BV40" s="62"/>
      <c r="BW40" s="62"/>
      <c r="BX40" s="62"/>
      <c r="BY40" s="62"/>
      <c r="BZ40" s="62"/>
      <c r="CA40" s="62"/>
      <c r="CB40" s="62"/>
      <c r="CC40" s="62"/>
      <c r="CD40" s="62"/>
      <c r="CE40" s="62"/>
      <c r="CF40" s="62"/>
      <c r="CG40" s="62"/>
      <c r="CH40" s="62"/>
      <c r="CI40" s="62"/>
      <c r="CJ40" s="62"/>
      <c r="CK40" s="62"/>
      <c r="CL40" s="62"/>
      <c r="CM40" s="62"/>
      <c r="CN40" s="62"/>
      <c r="CO40" s="62"/>
      <c r="CP40" s="62"/>
      <c r="CQ40" s="62"/>
      <c r="CR40" s="62"/>
      <c r="CS40" s="62"/>
      <c r="CT40" s="62"/>
      <c r="CU40" s="62"/>
      <c r="CV40" s="62"/>
      <c r="CW40" s="62"/>
      <c r="CX40" s="62"/>
      <c r="CY40" s="62"/>
      <c r="CZ40" s="62"/>
      <c r="DA40" s="62"/>
      <c r="DB40" s="62"/>
      <c r="DC40" s="62"/>
      <c r="DD40" s="62"/>
      <c r="DE40" s="62"/>
      <c r="DF40" s="62"/>
      <c r="DG40" s="62"/>
      <c r="DH40" s="62"/>
      <c r="DI40" s="62"/>
      <c r="DJ40" s="62"/>
      <c r="DK40" s="62"/>
      <c r="DL40" s="62"/>
      <c r="DM40" s="62"/>
      <c r="DN40" s="62"/>
      <c r="DO40" s="62"/>
      <c r="DP40" s="62"/>
      <c r="DQ40" s="62"/>
      <c r="DR40" s="62"/>
      <c r="DS40" s="62"/>
      <c r="DT40" s="62"/>
      <c r="DU40" s="62"/>
      <c r="DV40" s="62"/>
      <c r="DW40" s="62"/>
      <c r="DX40" s="62"/>
      <c r="DY40" s="62"/>
      <c r="DZ40" s="62"/>
      <c r="EA40" s="62"/>
      <c r="EB40" s="62"/>
      <c r="EC40" s="62"/>
      <c r="ED40" s="62"/>
      <c r="EE40" s="62"/>
      <c r="EF40" s="62"/>
      <c r="EG40" s="62"/>
      <c r="EH40" s="62"/>
      <c r="EI40" s="62"/>
      <c r="EJ40" s="62"/>
      <c r="EK40" s="62"/>
      <c r="EL40" s="62"/>
      <c r="EM40" s="62"/>
      <c r="EN40" s="62"/>
      <c r="EO40" s="62"/>
      <c r="EP40" s="62"/>
      <c r="EQ40" s="62"/>
      <c r="ER40" s="62"/>
      <c r="ES40" s="62"/>
      <c r="ET40" s="62"/>
      <c r="EU40" s="62"/>
      <c r="EV40" s="62"/>
      <c r="EW40" s="62"/>
      <c r="EX40" s="62"/>
      <c r="EY40" s="62"/>
      <c r="EZ40" s="62"/>
      <c r="FA40" s="62"/>
      <c r="FB40" s="62"/>
      <c r="FC40" s="62"/>
      <c r="FD40" s="62"/>
      <c r="FE40" s="62"/>
      <c r="FF40" s="62"/>
      <c r="FG40" s="62"/>
      <c r="FH40" s="62"/>
      <c r="FI40" s="62"/>
      <c r="FJ40" s="62"/>
      <c r="FK40" s="62"/>
      <c r="FL40" s="62"/>
      <c r="FM40" s="62"/>
      <c r="FN40" s="62"/>
      <c r="FO40" s="62"/>
      <c r="FP40" s="62"/>
      <c r="FQ40" s="62"/>
      <c r="FR40" s="62"/>
      <c r="FS40" s="62"/>
      <c r="FT40" s="62"/>
      <c r="FU40" s="62"/>
      <c r="FV40" s="62"/>
    </row>
    <row r="41" spans="1:178" ht="13.8">
      <c r="A41" s="61"/>
      <c r="B41" s="61"/>
      <c r="C41" s="61"/>
      <c r="D41" s="61"/>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c r="CW41" s="62"/>
      <c r="CX41" s="62"/>
      <c r="CY41" s="62"/>
      <c r="CZ41" s="62"/>
      <c r="DA41" s="62"/>
      <c r="DB41" s="62"/>
      <c r="DC41" s="62"/>
      <c r="DD41" s="62"/>
      <c r="DE41" s="62"/>
      <c r="DF41" s="62"/>
      <c r="DG41" s="62"/>
      <c r="DH41" s="62"/>
      <c r="DI41" s="62"/>
      <c r="DJ41" s="62"/>
      <c r="DK41" s="62"/>
      <c r="DL41" s="62"/>
      <c r="DM41" s="62"/>
      <c r="DN41" s="62"/>
      <c r="DO41" s="62"/>
      <c r="DP41" s="62"/>
      <c r="DQ41" s="62"/>
      <c r="DR41" s="62"/>
      <c r="DS41" s="62"/>
      <c r="DT41" s="62"/>
      <c r="DU41" s="62"/>
      <c r="DV41" s="62"/>
      <c r="DW41" s="62"/>
      <c r="DX41" s="62"/>
      <c r="DY41" s="62"/>
      <c r="DZ41" s="62"/>
      <c r="EA41" s="62"/>
      <c r="EB41" s="62"/>
      <c r="EC41" s="62"/>
      <c r="ED41" s="62"/>
      <c r="EE41" s="62"/>
      <c r="EF41" s="62"/>
      <c r="EG41" s="62"/>
      <c r="EH41" s="62"/>
      <c r="EI41" s="62"/>
      <c r="EJ41" s="62"/>
      <c r="EK41" s="62"/>
      <c r="EL41" s="62"/>
      <c r="EM41" s="62"/>
      <c r="EN41" s="62"/>
      <c r="EO41" s="62"/>
      <c r="EP41" s="62"/>
      <c r="EQ41" s="62"/>
      <c r="ER41" s="62"/>
      <c r="ES41" s="62"/>
      <c r="ET41" s="62"/>
      <c r="EU41" s="62"/>
      <c r="EV41" s="62"/>
      <c r="EW41" s="62"/>
      <c r="EX41" s="62"/>
      <c r="EY41" s="62"/>
      <c r="EZ41" s="62"/>
      <c r="FA41" s="62"/>
      <c r="FB41" s="62"/>
      <c r="FC41" s="62"/>
      <c r="FD41" s="62"/>
      <c r="FE41" s="62"/>
      <c r="FF41" s="62"/>
      <c r="FG41" s="62"/>
      <c r="FH41" s="62"/>
      <c r="FI41" s="62"/>
      <c r="FJ41" s="62"/>
      <c r="FK41" s="62"/>
      <c r="FL41" s="62"/>
      <c r="FM41" s="62"/>
      <c r="FN41" s="62"/>
      <c r="FO41" s="62"/>
      <c r="FP41" s="62"/>
      <c r="FQ41" s="62"/>
      <c r="FR41" s="62"/>
      <c r="FS41" s="62"/>
      <c r="FT41" s="62"/>
      <c r="FU41" s="62"/>
      <c r="FV41" s="62"/>
    </row>
    <row r="42" spans="1:178" ht="13.8">
      <c r="A42" s="61"/>
      <c r="B42" s="61"/>
      <c r="C42" s="61"/>
      <c r="D42" s="61"/>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c r="DT42" s="62"/>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2"/>
      <c r="EX42" s="62"/>
      <c r="EY42" s="62"/>
      <c r="EZ42" s="62"/>
      <c r="FA42" s="62"/>
      <c r="FB42" s="62"/>
      <c r="FC42" s="62"/>
      <c r="FD42" s="62"/>
      <c r="FE42" s="62"/>
      <c r="FF42" s="62"/>
      <c r="FG42" s="62"/>
      <c r="FH42" s="62"/>
      <c r="FI42" s="62"/>
      <c r="FJ42" s="62"/>
      <c r="FK42" s="62"/>
      <c r="FL42" s="62"/>
      <c r="FM42" s="62"/>
      <c r="FN42" s="62"/>
      <c r="FO42" s="62"/>
      <c r="FP42" s="62"/>
      <c r="FQ42" s="62"/>
      <c r="FR42" s="62"/>
      <c r="FS42" s="62"/>
      <c r="FT42" s="62"/>
      <c r="FU42" s="62"/>
      <c r="FV42" s="62"/>
    </row>
    <row r="43" spans="1:178" ht="13.8">
      <c r="A43" s="61"/>
      <c r="B43" s="61"/>
      <c r="C43" s="61"/>
      <c r="D43" s="61"/>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2"/>
      <c r="EX43" s="62"/>
      <c r="EY43" s="62"/>
      <c r="EZ43" s="62"/>
      <c r="FA43" s="62"/>
      <c r="FB43" s="62"/>
      <c r="FC43" s="62"/>
      <c r="FD43" s="62"/>
      <c r="FE43" s="62"/>
      <c r="FF43" s="62"/>
      <c r="FG43" s="62"/>
      <c r="FH43" s="62"/>
      <c r="FI43" s="62"/>
      <c r="FJ43" s="62"/>
      <c r="FK43" s="62"/>
      <c r="FL43" s="62"/>
      <c r="FM43" s="62"/>
      <c r="FN43" s="62"/>
      <c r="FO43" s="62"/>
      <c r="FP43" s="62"/>
      <c r="FQ43" s="62"/>
      <c r="FR43" s="62"/>
      <c r="FS43" s="62"/>
      <c r="FT43" s="62"/>
      <c r="FU43" s="62"/>
      <c r="FV43" s="62"/>
    </row>
    <row r="44" spans="1:178" ht="13.8">
      <c r="A44" s="61"/>
      <c r="B44" s="61"/>
      <c r="C44" s="61"/>
      <c r="D44" s="61"/>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row>
    <row r="45" spans="1:178" ht="13.8">
      <c r="A45" s="61"/>
      <c r="B45" s="61"/>
      <c r="C45" s="61"/>
      <c r="D45" s="61"/>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c r="FK45" s="62"/>
      <c r="FL45" s="62"/>
      <c r="FM45" s="62"/>
      <c r="FN45" s="62"/>
      <c r="FO45" s="62"/>
      <c r="FP45" s="62"/>
      <c r="FQ45" s="62"/>
      <c r="FR45" s="62"/>
      <c r="FS45" s="62"/>
      <c r="FT45" s="62"/>
      <c r="FU45" s="62"/>
      <c r="FV45" s="62"/>
    </row>
    <row r="46" spans="1:178" ht="13.8">
      <c r="A46" s="61"/>
      <c r="B46" s="61"/>
      <c r="C46" s="61"/>
      <c r="D46" s="61"/>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row>
    <row r="47" spans="1:178" ht="13.8">
      <c r="A47" s="61"/>
      <c r="B47" s="61"/>
      <c r="C47" s="61"/>
      <c r="D47" s="61"/>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2"/>
      <c r="EX47" s="62"/>
      <c r="EY47" s="62"/>
      <c r="EZ47" s="62"/>
      <c r="FA47" s="62"/>
      <c r="FB47" s="62"/>
      <c r="FC47" s="62"/>
      <c r="FD47" s="62"/>
      <c r="FE47" s="62"/>
      <c r="FF47" s="62"/>
      <c r="FG47" s="62"/>
      <c r="FH47" s="62"/>
      <c r="FI47" s="62"/>
      <c r="FJ47" s="62"/>
      <c r="FK47" s="62"/>
      <c r="FL47" s="62"/>
      <c r="FM47" s="62"/>
      <c r="FN47" s="62"/>
      <c r="FO47" s="62"/>
      <c r="FP47" s="62"/>
      <c r="FQ47" s="62"/>
      <c r="FR47" s="62"/>
      <c r="FS47" s="62"/>
      <c r="FT47" s="62"/>
      <c r="FU47" s="62"/>
      <c r="FV47" s="62"/>
    </row>
    <row r="48" spans="1:178" ht="13.8">
      <c r="A48" s="61"/>
      <c r="B48" s="61"/>
      <c r="C48" s="61"/>
      <c r="D48" s="61"/>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c r="FK48" s="62"/>
      <c r="FL48" s="62"/>
      <c r="FM48" s="62"/>
      <c r="FN48" s="62"/>
      <c r="FO48" s="62"/>
      <c r="FP48" s="62"/>
      <c r="FQ48" s="62"/>
      <c r="FR48" s="62"/>
      <c r="FS48" s="62"/>
      <c r="FT48" s="62"/>
      <c r="FU48" s="62"/>
      <c r="FV48" s="62"/>
    </row>
    <row r="49" spans="1:178" ht="13.8">
      <c r="A49" s="61"/>
      <c r="B49" s="61"/>
      <c r="C49" s="61"/>
      <c r="D49" s="61"/>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c r="DC49" s="62"/>
      <c r="DD49" s="62"/>
      <c r="DE49" s="62"/>
      <c r="DF49" s="62"/>
      <c r="DG49" s="62"/>
      <c r="DH49" s="62"/>
      <c r="DI49" s="62"/>
      <c r="DJ49" s="62"/>
      <c r="DK49" s="62"/>
      <c r="DL49" s="62"/>
      <c r="DM49" s="62"/>
      <c r="DN49" s="62"/>
      <c r="DO49" s="62"/>
      <c r="DP49" s="62"/>
      <c r="DQ49" s="62"/>
      <c r="DR49" s="62"/>
      <c r="DS49" s="62"/>
      <c r="DT49" s="62"/>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2"/>
      <c r="EX49" s="62"/>
      <c r="EY49" s="62"/>
      <c r="EZ49" s="62"/>
      <c r="FA49" s="62"/>
      <c r="FB49" s="62"/>
      <c r="FC49" s="62"/>
      <c r="FD49" s="62"/>
      <c r="FE49" s="62"/>
      <c r="FF49" s="62"/>
      <c r="FG49" s="62"/>
      <c r="FH49" s="62"/>
      <c r="FI49" s="62"/>
      <c r="FJ49" s="62"/>
      <c r="FK49" s="62"/>
      <c r="FL49" s="62"/>
      <c r="FM49" s="62"/>
      <c r="FN49" s="62"/>
      <c r="FO49" s="62"/>
      <c r="FP49" s="62"/>
      <c r="FQ49" s="62"/>
      <c r="FR49" s="62"/>
      <c r="FS49" s="62"/>
      <c r="FT49" s="62"/>
      <c r="FU49" s="62"/>
      <c r="FV49" s="62"/>
    </row>
    <row r="50" spans="1:178" ht="13.8">
      <c r="A50" s="61"/>
      <c r="B50" s="61"/>
      <c r="C50" s="61"/>
      <c r="D50" s="61"/>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2"/>
      <c r="EX50" s="62"/>
      <c r="EY50" s="62"/>
      <c r="EZ50" s="62"/>
      <c r="FA50" s="62"/>
      <c r="FB50" s="62"/>
      <c r="FC50" s="62"/>
      <c r="FD50" s="62"/>
      <c r="FE50" s="62"/>
      <c r="FF50" s="62"/>
      <c r="FG50" s="62"/>
      <c r="FH50" s="62"/>
      <c r="FI50" s="62"/>
      <c r="FJ50" s="62"/>
      <c r="FK50" s="62"/>
      <c r="FL50" s="62"/>
      <c r="FM50" s="62"/>
      <c r="FN50" s="62"/>
      <c r="FO50" s="62"/>
      <c r="FP50" s="62"/>
      <c r="FQ50" s="62"/>
      <c r="FR50" s="62"/>
      <c r="FS50" s="62"/>
      <c r="FT50" s="62"/>
      <c r="FU50" s="62"/>
      <c r="FV50" s="62"/>
    </row>
    <row r="51" spans="1:178" ht="13.8">
      <c r="A51" s="61"/>
      <c r="B51" s="61"/>
      <c r="C51" s="61"/>
      <c r="D51" s="61"/>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2"/>
      <c r="EX51" s="62"/>
      <c r="EY51" s="62"/>
      <c r="EZ51" s="62"/>
      <c r="FA51" s="62"/>
      <c r="FB51" s="62"/>
      <c r="FC51" s="62"/>
      <c r="FD51" s="62"/>
      <c r="FE51" s="62"/>
      <c r="FF51" s="62"/>
      <c r="FG51" s="62"/>
      <c r="FH51" s="62"/>
      <c r="FI51" s="62"/>
      <c r="FJ51" s="62"/>
      <c r="FK51" s="62"/>
      <c r="FL51" s="62"/>
      <c r="FM51" s="62"/>
      <c r="FN51" s="62"/>
      <c r="FO51" s="62"/>
      <c r="FP51" s="62"/>
      <c r="FQ51" s="62"/>
      <c r="FR51" s="62"/>
      <c r="FS51" s="62"/>
      <c r="FT51" s="62"/>
      <c r="FU51" s="62"/>
      <c r="FV51" s="62"/>
    </row>
    <row r="52" spans="1:178" ht="13.8">
      <c r="A52" s="61"/>
      <c r="B52" s="61"/>
      <c r="C52" s="61"/>
      <c r="D52" s="61"/>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row>
    <row r="53" spans="1:178" ht="13.8">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row>
    <row r="54" spans="1:178" ht="13.8">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c r="FK54" s="62"/>
      <c r="FL54" s="62"/>
      <c r="FM54" s="62"/>
      <c r="FN54" s="62"/>
      <c r="FO54" s="62"/>
      <c r="FP54" s="62"/>
      <c r="FQ54" s="62"/>
      <c r="FR54" s="62"/>
      <c r="FS54" s="62"/>
      <c r="FT54" s="62"/>
      <c r="FU54" s="62"/>
      <c r="FV54" s="62"/>
    </row>
    <row r="55" spans="1:178" ht="13.8">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2"/>
      <c r="EX55" s="62"/>
      <c r="EY55" s="62"/>
      <c r="EZ55" s="62"/>
      <c r="FA55" s="62"/>
      <c r="FB55" s="62"/>
      <c r="FC55" s="62"/>
      <c r="FD55" s="62"/>
      <c r="FE55" s="62"/>
      <c r="FF55" s="62"/>
      <c r="FG55" s="62"/>
      <c r="FH55" s="62"/>
      <c r="FI55" s="62"/>
      <c r="FJ55" s="62"/>
      <c r="FK55" s="62"/>
      <c r="FL55" s="62"/>
      <c r="FM55" s="62"/>
      <c r="FN55" s="62"/>
      <c r="FO55" s="62"/>
      <c r="FP55" s="62"/>
      <c r="FQ55" s="62"/>
      <c r="FR55" s="62"/>
      <c r="FS55" s="62"/>
      <c r="FT55" s="62"/>
      <c r="FU55" s="62"/>
      <c r="FV55" s="62"/>
    </row>
    <row r="56" spans="1:178" ht="13.8">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c r="FK56" s="62"/>
      <c r="FL56" s="62"/>
      <c r="FM56" s="62"/>
      <c r="FN56" s="62"/>
      <c r="FO56" s="62"/>
      <c r="FP56" s="62"/>
      <c r="FQ56" s="62"/>
      <c r="FR56" s="62"/>
      <c r="FS56" s="62"/>
      <c r="FT56" s="62"/>
      <c r="FU56" s="62"/>
      <c r="FV56" s="62"/>
    </row>
    <row r="57" spans="1:178" ht="13.8">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2"/>
      <c r="CP57" s="62"/>
      <c r="CQ57" s="62"/>
      <c r="CR57" s="62"/>
      <c r="CS57" s="62"/>
      <c r="CT57" s="62"/>
      <c r="CU57" s="62"/>
      <c r="CV57" s="62"/>
      <c r="CW57" s="62"/>
      <c r="CX57" s="62"/>
      <c r="CY57" s="62"/>
      <c r="CZ57" s="62"/>
      <c r="DA57" s="62"/>
      <c r="DB57" s="62"/>
      <c r="DC57" s="62"/>
      <c r="DD57" s="62"/>
      <c r="DE57" s="62"/>
      <c r="DF57" s="62"/>
      <c r="DG57" s="62"/>
      <c r="DH57" s="62"/>
      <c r="DI57" s="62"/>
      <c r="DJ57" s="62"/>
      <c r="DK57" s="62"/>
      <c r="DL57" s="62"/>
      <c r="DM57" s="62"/>
      <c r="DN57" s="62"/>
      <c r="DO57" s="62"/>
      <c r="DP57" s="62"/>
      <c r="DQ57" s="62"/>
      <c r="DR57" s="62"/>
      <c r="DS57" s="62"/>
      <c r="DT57" s="62"/>
      <c r="DU57" s="62"/>
      <c r="DV57" s="62"/>
      <c r="DW57" s="62"/>
      <c r="DX57" s="62"/>
      <c r="DY57" s="62"/>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2"/>
      <c r="EX57" s="62"/>
      <c r="EY57" s="62"/>
      <c r="EZ57" s="62"/>
      <c r="FA57" s="62"/>
      <c r="FB57" s="62"/>
      <c r="FC57" s="62"/>
      <c r="FD57" s="62"/>
      <c r="FE57" s="62"/>
      <c r="FF57" s="62"/>
      <c r="FG57" s="62"/>
      <c r="FH57" s="62"/>
      <c r="FI57" s="62"/>
      <c r="FJ57" s="62"/>
      <c r="FK57" s="62"/>
      <c r="FL57" s="62"/>
      <c r="FM57" s="62"/>
      <c r="FN57" s="62"/>
      <c r="FO57" s="62"/>
      <c r="FP57" s="62"/>
      <c r="FQ57" s="62"/>
      <c r="FR57" s="62"/>
      <c r="FS57" s="62"/>
      <c r="FT57" s="62"/>
      <c r="FU57" s="62"/>
      <c r="FV57" s="62"/>
    </row>
    <row r="58" spans="1:178" ht="13.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c r="BH58" s="62"/>
      <c r="BI58" s="62"/>
      <c r="BJ58" s="62"/>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row>
    <row r="59" spans="1:178" ht="13.8">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row>
    <row r="60" spans="1:178" ht="13.8">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c r="BH60" s="62"/>
      <c r="BI60" s="62"/>
      <c r="BJ60" s="62"/>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row>
    <row r="61" spans="1:178" ht="13.8">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row>
    <row r="62" spans="1:178" ht="13.8">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c r="BH62" s="62"/>
      <c r="BI62" s="62"/>
      <c r="BJ62" s="62"/>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row>
    <row r="63" spans="1:178" ht="13.8">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2"/>
      <c r="CL63" s="62"/>
      <c r="CM63" s="62"/>
      <c r="CN63" s="62"/>
      <c r="CO63" s="62"/>
      <c r="CP63" s="62"/>
      <c r="CQ63" s="62"/>
      <c r="CR63" s="62"/>
      <c r="CS63" s="62"/>
      <c r="CT63" s="62"/>
      <c r="CU63" s="62"/>
      <c r="CV63" s="62"/>
      <c r="CW63" s="62"/>
      <c r="CX63" s="62"/>
      <c r="CY63" s="62"/>
      <c r="CZ63" s="62"/>
      <c r="DA63" s="62"/>
      <c r="DB63" s="62"/>
      <c r="DC63" s="62"/>
      <c r="DD63" s="62"/>
      <c r="DE63" s="62"/>
      <c r="DF63" s="62"/>
      <c r="DG63" s="62"/>
      <c r="DH63" s="62"/>
      <c r="DI63" s="62"/>
      <c r="DJ63" s="62"/>
      <c r="DK63" s="62"/>
      <c r="DL63" s="62"/>
      <c r="DM63" s="62"/>
      <c r="DN63" s="62"/>
      <c r="DO63" s="62"/>
      <c r="DP63" s="62"/>
      <c r="DQ63" s="62"/>
      <c r="DR63" s="62"/>
      <c r="DS63" s="62"/>
      <c r="DT63" s="62"/>
      <c r="DU63" s="62"/>
      <c r="DV63" s="62"/>
      <c r="DW63" s="62"/>
      <c r="DX63" s="62"/>
      <c r="DY63" s="62"/>
      <c r="DZ63" s="62"/>
      <c r="EA63" s="62"/>
      <c r="EB63" s="62"/>
      <c r="EC63" s="62"/>
      <c r="ED63" s="62"/>
      <c r="EE63" s="62"/>
      <c r="EF63" s="62"/>
      <c r="EG63" s="62"/>
      <c r="EH63" s="62"/>
      <c r="EI63" s="62"/>
      <c r="EJ63" s="62"/>
      <c r="EK63" s="62"/>
      <c r="EL63" s="62"/>
      <c r="EM63" s="62"/>
      <c r="EN63" s="62"/>
      <c r="EO63" s="62"/>
      <c r="EP63" s="62"/>
      <c r="EQ63" s="62"/>
      <c r="ER63" s="62"/>
      <c r="ES63" s="62"/>
      <c r="ET63" s="62"/>
      <c r="EU63" s="62"/>
      <c r="EV63" s="62"/>
      <c r="EW63" s="62"/>
      <c r="EX63" s="62"/>
      <c r="EY63" s="62"/>
      <c r="EZ63" s="62"/>
      <c r="FA63" s="62"/>
      <c r="FB63" s="62"/>
      <c r="FC63" s="62"/>
      <c r="FD63" s="62"/>
      <c r="FE63" s="62"/>
      <c r="FF63" s="62"/>
      <c r="FG63" s="62"/>
      <c r="FH63" s="62"/>
      <c r="FI63" s="62"/>
      <c r="FJ63" s="62"/>
      <c r="FK63" s="62"/>
      <c r="FL63" s="62"/>
      <c r="FM63" s="62"/>
      <c r="FN63" s="62"/>
      <c r="FO63" s="62"/>
      <c r="FP63" s="62"/>
      <c r="FQ63" s="62"/>
      <c r="FR63" s="62"/>
      <c r="FS63" s="62"/>
      <c r="FT63" s="62"/>
      <c r="FU63" s="62"/>
      <c r="FV63" s="62"/>
    </row>
    <row r="64" spans="1:178" ht="13.8">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2"/>
      <c r="BK64" s="62"/>
      <c r="BL64" s="62"/>
      <c r="BM64" s="62"/>
      <c r="BN64" s="62"/>
      <c r="BO64" s="62"/>
      <c r="BP64" s="62"/>
      <c r="BQ64" s="62"/>
      <c r="BR64" s="62"/>
      <c r="BS64" s="62"/>
      <c r="BT64" s="62"/>
      <c r="BU64" s="62"/>
      <c r="BV64" s="62"/>
      <c r="BW64" s="62"/>
      <c r="BX64" s="62"/>
      <c r="BY64" s="62"/>
      <c r="BZ64" s="62"/>
      <c r="CA64" s="62"/>
      <c r="CB64" s="62"/>
      <c r="CC64" s="62"/>
      <c r="CD64" s="62"/>
      <c r="CE64" s="62"/>
      <c r="CF64" s="62"/>
      <c r="CG64" s="62"/>
      <c r="CH64" s="62"/>
      <c r="CI64" s="62"/>
      <c r="CJ64" s="62"/>
      <c r="CK64" s="62"/>
      <c r="CL64" s="62"/>
      <c r="CM64" s="62"/>
      <c r="CN64" s="62"/>
      <c r="CO64" s="62"/>
      <c r="CP64" s="62"/>
      <c r="CQ64" s="62"/>
      <c r="CR64" s="62"/>
      <c r="CS64" s="62"/>
      <c r="CT64" s="62"/>
      <c r="CU64" s="62"/>
      <c r="CV64" s="62"/>
      <c r="CW64" s="62"/>
      <c r="CX64" s="62"/>
      <c r="CY64" s="62"/>
      <c r="CZ64" s="62"/>
      <c r="DA64" s="62"/>
      <c r="DB64" s="62"/>
      <c r="DC64" s="62"/>
      <c r="DD64" s="62"/>
      <c r="DE64" s="62"/>
      <c r="DF64" s="62"/>
      <c r="DG64" s="62"/>
      <c r="DH64" s="62"/>
      <c r="DI64" s="62"/>
      <c r="DJ64" s="62"/>
      <c r="DK64" s="62"/>
      <c r="DL64" s="62"/>
      <c r="DM64" s="62"/>
      <c r="DN64" s="62"/>
      <c r="DO64" s="62"/>
      <c r="DP64" s="62"/>
      <c r="DQ64" s="62"/>
      <c r="DR64" s="62"/>
      <c r="DS64" s="62"/>
      <c r="DT64" s="62"/>
      <c r="DU64" s="62"/>
      <c r="DV64" s="62"/>
      <c r="DW64" s="62"/>
      <c r="DX64" s="62"/>
      <c r="DY64" s="62"/>
      <c r="DZ64" s="62"/>
      <c r="EA64" s="62"/>
      <c r="EB64" s="62"/>
      <c r="EC64" s="62"/>
      <c r="ED64" s="62"/>
      <c r="EE64" s="62"/>
      <c r="EF64" s="62"/>
      <c r="EG64" s="62"/>
      <c r="EH64" s="62"/>
      <c r="EI64" s="62"/>
      <c r="EJ64" s="62"/>
      <c r="EK64" s="62"/>
      <c r="EL64" s="62"/>
      <c r="EM64" s="62"/>
      <c r="EN64" s="62"/>
      <c r="EO64" s="62"/>
      <c r="EP64" s="62"/>
      <c r="EQ64" s="62"/>
      <c r="ER64" s="62"/>
      <c r="ES64" s="62"/>
      <c r="ET64" s="62"/>
      <c r="EU64" s="62"/>
      <c r="EV64" s="62"/>
      <c r="EW64" s="62"/>
      <c r="EX64" s="62"/>
      <c r="EY64" s="62"/>
      <c r="EZ64" s="62"/>
      <c r="FA64" s="62"/>
      <c r="FB64" s="62"/>
      <c r="FC64" s="62"/>
      <c r="FD64" s="62"/>
      <c r="FE64" s="62"/>
      <c r="FF64" s="62"/>
      <c r="FG64" s="62"/>
      <c r="FH64" s="62"/>
      <c r="FI64" s="62"/>
      <c r="FJ64" s="62"/>
      <c r="FK64" s="62"/>
      <c r="FL64" s="62"/>
      <c r="FM64" s="62"/>
      <c r="FN64" s="62"/>
      <c r="FO64" s="62"/>
      <c r="FP64" s="62"/>
      <c r="FQ64" s="62"/>
      <c r="FR64" s="62"/>
      <c r="FS64" s="62"/>
      <c r="FT64" s="62"/>
      <c r="FU64" s="62"/>
      <c r="FV64" s="62"/>
    </row>
    <row r="65" spans="1:178" ht="13.8">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62"/>
      <c r="BD65" s="62"/>
      <c r="BE65" s="62"/>
      <c r="BF65" s="62"/>
      <c r="BG65" s="62"/>
      <c r="BH65" s="62"/>
      <c r="BI65" s="62"/>
      <c r="BJ65" s="62"/>
      <c r="BK65" s="62"/>
      <c r="BL65" s="62"/>
      <c r="BM65" s="62"/>
      <c r="BN65" s="62"/>
      <c r="BO65" s="62"/>
      <c r="BP65" s="62"/>
      <c r="BQ65" s="62"/>
      <c r="BR65" s="62"/>
      <c r="BS65" s="62"/>
      <c r="BT65" s="62"/>
      <c r="BU65" s="62"/>
      <c r="BV65" s="62"/>
      <c r="BW65" s="62"/>
      <c r="BX65" s="62"/>
      <c r="BY65" s="62"/>
      <c r="BZ65" s="62"/>
      <c r="CA65" s="62"/>
      <c r="CB65" s="62"/>
      <c r="CC65" s="62"/>
      <c r="CD65" s="62"/>
      <c r="CE65" s="62"/>
      <c r="CF65" s="62"/>
      <c r="CG65" s="62"/>
      <c r="CH65" s="62"/>
      <c r="CI65" s="62"/>
      <c r="CJ65" s="62"/>
      <c r="CK65" s="62"/>
      <c r="CL65" s="62"/>
      <c r="CM65" s="62"/>
      <c r="CN65" s="62"/>
      <c r="CO65" s="62"/>
      <c r="CP65" s="62"/>
      <c r="CQ65" s="62"/>
      <c r="CR65" s="62"/>
      <c r="CS65" s="62"/>
      <c r="CT65" s="62"/>
      <c r="CU65" s="62"/>
      <c r="CV65" s="62"/>
      <c r="CW65" s="62"/>
      <c r="CX65" s="62"/>
      <c r="CY65" s="62"/>
      <c r="CZ65" s="62"/>
      <c r="DA65" s="62"/>
      <c r="DB65" s="62"/>
      <c r="DC65" s="62"/>
      <c r="DD65" s="62"/>
      <c r="DE65" s="62"/>
      <c r="DF65" s="62"/>
      <c r="DG65" s="62"/>
      <c r="DH65" s="62"/>
      <c r="DI65" s="62"/>
      <c r="DJ65" s="62"/>
      <c r="DK65" s="62"/>
      <c r="DL65" s="62"/>
      <c r="DM65" s="62"/>
      <c r="DN65" s="62"/>
      <c r="DO65" s="62"/>
      <c r="DP65" s="62"/>
      <c r="DQ65" s="62"/>
      <c r="DR65" s="62"/>
      <c r="DS65" s="62"/>
      <c r="DT65" s="62"/>
      <c r="DU65" s="62"/>
      <c r="DV65" s="62"/>
      <c r="DW65" s="62"/>
      <c r="DX65" s="62"/>
      <c r="DY65" s="62"/>
      <c r="DZ65" s="62"/>
      <c r="EA65" s="62"/>
      <c r="EB65" s="62"/>
      <c r="EC65" s="62"/>
      <c r="ED65" s="62"/>
      <c r="EE65" s="62"/>
      <c r="EF65" s="62"/>
      <c r="EG65" s="62"/>
      <c r="EH65" s="62"/>
      <c r="EI65" s="62"/>
      <c r="EJ65" s="62"/>
      <c r="EK65" s="62"/>
      <c r="EL65" s="62"/>
      <c r="EM65" s="62"/>
      <c r="EN65" s="62"/>
      <c r="EO65" s="62"/>
      <c r="EP65" s="62"/>
      <c r="EQ65" s="62"/>
      <c r="ER65" s="62"/>
      <c r="ES65" s="62"/>
      <c r="ET65" s="62"/>
      <c r="EU65" s="62"/>
      <c r="EV65" s="62"/>
      <c r="EW65" s="62"/>
      <c r="EX65" s="62"/>
      <c r="EY65" s="62"/>
      <c r="EZ65" s="62"/>
      <c r="FA65" s="62"/>
      <c r="FB65" s="62"/>
      <c r="FC65" s="62"/>
      <c r="FD65" s="62"/>
      <c r="FE65" s="62"/>
      <c r="FF65" s="62"/>
      <c r="FG65" s="62"/>
      <c r="FH65" s="62"/>
      <c r="FI65" s="62"/>
      <c r="FJ65" s="62"/>
      <c r="FK65" s="62"/>
      <c r="FL65" s="62"/>
      <c r="FM65" s="62"/>
      <c r="FN65" s="62"/>
      <c r="FO65" s="62"/>
      <c r="FP65" s="62"/>
      <c r="FQ65" s="62"/>
      <c r="FR65" s="62"/>
      <c r="FS65" s="62"/>
      <c r="FT65" s="62"/>
      <c r="FU65" s="62"/>
      <c r="FV65" s="62"/>
    </row>
    <row r="66" spans="1:178" ht="13.8">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62"/>
      <c r="BD66" s="62"/>
      <c r="BE66" s="62"/>
      <c r="BF66" s="62"/>
      <c r="BG66" s="62"/>
      <c r="BH66" s="62"/>
      <c r="BI66" s="62"/>
      <c r="BJ66" s="62"/>
      <c r="BK66" s="62"/>
      <c r="BL66" s="62"/>
      <c r="BM66" s="62"/>
      <c r="BN66" s="62"/>
      <c r="BO66" s="62"/>
      <c r="BP66" s="62"/>
      <c r="BQ66" s="62"/>
      <c r="BR66" s="62"/>
      <c r="BS66" s="62"/>
      <c r="BT66" s="62"/>
      <c r="BU66" s="62"/>
      <c r="BV66" s="62"/>
      <c r="BW66" s="62"/>
      <c r="BX66" s="62"/>
      <c r="BY66" s="62"/>
      <c r="BZ66" s="62"/>
      <c r="CA66" s="62"/>
      <c r="CB66" s="62"/>
      <c r="CC66" s="62"/>
      <c r="CD66" s="62"/>
      <c r="CE66" s="62"/>
      <c r="CF66" s="62"/>
      <c r="CG66" s="62"/>
      <c r="CH66" s="62"/>
      <c r="CI66" s="62"/>
      <c r="CJ66" s="62"/>
      <c r="CK66" s="62"/>
      <c r="CL66" s="62"/>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c r="DO66" s="62"/>
      <c r="DP66" s="62"/>
      <c r="DQ66" s="62"/>
      <c r="DR66" s="62"/>
      <c r="DS66" s="62"/>
      <c r="DT66" s="62"/>
      <c r="DU66" s="62"/>
      <c r="DV66" s="62"/>
      <c r="DW66" s="62"/>
      <c r="DX66" s="62"/>
      <c r="DY66" s="62"/>
      <c r="DZ66" s="62"/>
      <c r="EA66" s="62"/>
      <c r="EB66" s="62"/>
      <c r="EC66" s="62"/>
      <c r="ED66" s="62"/>
      <c r="EE66" s="62"/>
      <c r="EF66" s="62"/>
      <c r="EG66" s="62"/>
      <c r="EH66" s="62"/>
      <c r="EI66" s="62"/>
      <c r="EJ66" s="62"/>
      <c r="EK66" s="62"/>
      <c r="EL66" s="62"/>
      <c r="EM66" s="62"/>
      <c r="EN66" s="62"/>
      <c r="EO66" s="62"/>
      <c r="EP66" s="62"/>
      <c r="EQ66" s="62"/>
      <c r="ER66" s="62"/>
      <c r="ES66" s="62"/>
      <c r="ET66" s="62"/>
      <c r="EU66" s="62"/>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row>
    <row r="67" spans="1:178" ht="13.8">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c r="DU67" s="62"/>
      <c r="DV67" s="62"/>
      <c r="DW67" s="62"/>
      <c r="DX67" s="62"/>
      <c r="DY67" s="62"/>
      <c r="DZ67" s="62"/>
      <c r="EA67" s="62"/>
      <c r="EB67" s="62"/>
      <c r="EC67" s="62"/>
      <c r="ED67" s="62"/>
      <c r="EE67" s="62"/>
      <c r="EF67" s="62"/>
      <c r="EG67" s="62"/>
      <c r="EH67" s="62"/>
      <c r="EI67" s="62"/>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row>
    <row r="68" spans="1:178" ht="13.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c r="BH68" s="62"/>
      <c r="BI68" s="62"/>
      <c r="BJ68" s="62"/>
      <c r="BK68" s="62"/>
      <c r="BL68" s="62"/>
      <c r="BM68" s="62"/>
      <c r="BN68" s="62"/>
      <c r="BO68" s="62"/>
      <c r="BP68" s="62"/>
      <c r="BQ68" s="62"/>
      <c r="BR68" s="62"/>
      <c r="BS68" s="62"/>
      <c r="BT68" s="62"/>
      <c r="BU68" s="62"/>
      <c r="BV68" s="62"/>
      <c r="BW68" s="62"/>
      <c r="BX68" s="62"/>
      <c r="BY68" s="62"/>
      <c r="BZ68" s="62"/>
      <c r="CA68" s="62"/>
      <c r="CB68" s="62"/>
      <c r="CC68" s="62"/>
      <c r="CD68" s="62"/>
      <c r="CE68" s="62"/>
      <c r="CF68" s="62"/>
      <c r="CG68" s="62"/>
      <c r="CH68" s="62"/>
      <c r="CI68" s="62"/>
      <c r="CJ68" s="62"/>
      <c r="CK68" s="62"/>
      <c r="CL68" s="62"/>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c r="DO68" s="62"/>
      <c r="DP68" s="62"/>
      <c r="DQ68" s="62"/>
      <c r="DR68" s="62"/>
      <c r="DS68" s="62"/>
      <c r="DT68" s="62"/>
      <c r="DU68" s="62"/>
      <c r="DV68" s="62"/>
      <c r="DW68" s="62"/>
      <c r="DX68" s="62"/>
      <c r="DY68" s="62"/>
      <c r="DZ68" s="62"/>
      <c r="EA68" s="62"/>
      <c r="EB68" s="62"/>
      <c r="EC68" s="62"/>
      <c r="ED68" s="62"/>
      <c r="EE68" s="62"/>
      <c r="EF68" s="62"/>
      <c r="EG68" s="62"/>
      <c r="EH68" s="62"/>
      <c r="EI68" s="62"/>
      <c r="EJ68" s="62"/>
      <c r="EK68" s="62"/>
      <c r="EL68" s="62"/>
      <c r="EM68" s="62"/>
      <c r="EN68" s="62"/>
      <c r="EO68" s="62"/>
      <c r="EP68" s="62"/>
      <c r="EQ68" s="62"/>
      <c r="ER68" s="62"/>
      <c r="ES68" s="62"/>
      <c r="ET68" s="62"/>
      <c r="EU68" s="62"/>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row>
    <row r="69" spans="1:178" ht="13.8">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c r="CC69" s="62"/>
      <c r="CD69" s="62"/>
      <c r="CE69" s="62"/>
      <c r="CF69" s="62"/>
      <c r="CG69" s="62"/>
      <c r="CH69" s="62"/>
      <c r="CI69" s="62"/>
      <c r="CJ69" s="62"/>
      <c r="CK69" s="62"/>
      <c r="CL69" s="62"/>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c r="DO69" s="62"/>
      <c r="DP69" s="62"/>
      <c r="DQ69" s="62"/>
      <c r="DR69" s="62"/>
      <c r="DS69" s="62"/>
      <c r="DT69" s="62"/>
      <c r="DU69" s="62"/>
      <c r="DV69" s="62"/>
      <c r="DW69" s="62"/>
      <c r="DX69" s="62"/>
      <c r="DY69" s="62"/>
      <c r="DZ69" s="62"/>
      <c r="EA69" s="62"/>
      <c r="EB69" s="62"/>
      <c r="EC69" s="62"/>
      <c r="ED69" s="62"/>
      <c r="EE69" s="62"/>
      <c r="EF69" s="62"/>
      <c r="EG69" s="62"/>
      <c r="EH69" s="62"/>
      <c r="EI69" s="62"/>
      <c r="EJ69" s="62"/>
      <c r="EK69" s="62"/>
      <c r="EL69" s="62"/>
      <c r="EM69" s="62"/>
      <c r="EN69" s="62"/>
      <c r="EO69" s="62"/>
      <c r="EP69" s="62"/>
      <c r="EQ69" s="62"/>
      <c r="ER69" s="62"/>
      <c r="ES69" s="62"/>
      <c r="ET69" s="62"/>
      <c r="EU69" s="62"/>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row>
    <row r="70" spans="1:178" ht="13.8">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c r="CC70" s="62"/>
      <c r="CD70" s="62"/>
      <c r="CE70" s="62"/>
      <c r="CF70" s="62"/>
      <c r="CG70" s="62"/>
      <c r="CH70" s="62"/>
      <c r="CI70" s="62"/>
      <c r="CJ70" s="62"/>
      <c r="CK70" s="62"/>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c r="DU70" s="62"/>
      <c r="DV70" s="62"/>
      <c r="DW70" s="62"/>
      <c r="DX70" s="62"/>
      <c r="DY70" s="62"/>
      <c r="DZ70" s="62"/>
      <c r="EA70" s="62"/>
      <c r="EB70" s="62"/>
      <c r="EC70" s="62"/>
      <c r="ED70" s="62"/>
      <c r="EE70" s="62"/>
      <c r="EF70" s="62"/>
      <c r="EG70" s="62"/>
      <c r="EH70" s="62"/>
      <c r="EI70" s="62"/>
      <c r="EJ70" s="62"/>
      <c r="EK70" s="62"/>
      <c r="EL70" s="62"/>
      <c r="EM70" s="62"/>
      <c r="EN70" s="62"/>
      <c r="EO70" s="62"/>
      <c r="EP70" s="62"/>
      <c r="EQ70" s="62"/>
      <c r="ER70" s="62"/>
      <c r="ES70" s="62"/>
      <c r="ET70" s="62"/>
      <c r="EU70" s="62"/>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row>
    <row r="71" spans="1:178" ht="13.8">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2"/>
      <c r="DV71" s="62"/>
      <c r="DW71" s="62"/>
      <c r="DX71" s="62"/>
      <c r="DY71" s="62"/>
      <c r="DZ71" s="62"/>
      <c r="EA71" s="62"/>
      <c r="EB71" s="62"/>
      <c r="EC71" s="62"/>
      <c r="ED71" s="62"/>
      <c r="EE71" s="62"/>
      <c r="EF71" s="62"/>
      <c r="EG71" s="62"/>
      <c r="EH71" s="62"/>
      <c r="EI71" s="62"/>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row>
    <row r="72" spans="1:178" ht="13.8">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row>
    <row r="73" spans="1:178" ht="13.8">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row>
    <row r="74" spans="1:178" ht="13.8">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row>
    <row r="75" spans="1:178" ht="13.8">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row>
    <row r="76" spans="1:178" ht="13.8">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row>
    <row r="77" spans="1:178" ht="13.8">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row>
    <row r="78" spans="1:178" ht="13.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row>
    <row r="79" spans="1:178" ht="13.8">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row>
    <row r="80" spans="1:178" ht="13.8">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2"/>
      <c r="BK80" s="62"/>
      <c r="BL80" s="62"/>
      <c r="BM80" s="62"/>
      <c r="BN80" s="62"/>
      <c r="BO80" s="62"/>
      <c r="BP80" s="62"/>
      <c r="BQ80" s="62"/>
      <c r="BR80" s="62"/>
      <c r="BS80" s="62"/>
      <c r="BT80" s="62"/>
      <c r="BU80" s="62"/>
      <c r="BV80" s="62"/>
      <c r="BW80" s="62"/>
      <c r="BX80" s="62"/>
      <c r="BY80" s="62"/>
      <c r="BZ80" s="62"/>
      <c r="CA80" s="62"/>
      <c r="CB80" s="62"/>
      <c r="CC80" s="62"/>
      <c r="CD80" s="62"/>
      <c r="CE80" s="62"/>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2"/>
      <c r="DV80" s="62"/>
      <c r="DW80" s="62"/>
      <c r="DX80" s="62"/>
      <c r="DY80" s="62"/>
      <c r="DZ80" s="62"/>
      <c r="EA80" s="62"/>
      <c r="EB80" s="62"/>
      <c r="EC80" s="62"/>
      <c r="ED80" s="62"/>
      <c r="EE80" s="62"/>
      <c r="EF80" s="62"/>
      <c r="EG80" s="62"/>
      <c r="EH80" s="62"/>
      <c r="EI80" s="62"/>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c r="FK80" s="62"/>
      <c r="FL80" s="62"/>
      <c r="FM80" s="62"/>
      <c r="FN80" s="62"/>
      <c r="FO80" s="62"/>
      <c r="FP80" s="62"/>
      <c r="FQ80" s="62"/>
      <c r="FR80" s="62"/>
      <c r="FS80" s="62"/>
      <c r="FT80" s="62"/>
      <c r="FU80" s="62"/>
      <c r="FV80" s="62"/>
    </row>
    <row r="81" spans="1:178" ht="13.8">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row>
    <row r="82" spans="1:178" ht="13.8">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row>
    <row r="83" spans="1:178" ht="13.8">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row>
    <row r="84" spans="1:178" ht="13.8">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62"/>
      <c r="BC84" s="62"/>
      <c r="BD84" s="62"/>
      <c r="BE84" s="62"/>
      <c r="BF84" s="62"/>
      <c r="BG84" s="62"/>
      <c r="BH84" s="62"/>
      <c r="BI84" s="62"/>
      <c r="BJ84" s="62"/>
      <c r="BK84" s="62"/>
      <c r="BL84" s="62"/>
      <c r="BM84" s="62"/>
      <c r="BN84" s="62"/>
      <c r="BO84" s="62"/>
      <c r="BP84" s="62"/>
      <c r="BQ84" s="62"/>
      <c r="BR84" s="62"/>
      <c r="BS84" s="62"/>
      <c r="BT84" s="62"/>
      <c r="BU84" s="62"/>
      <c r="BV84" s="62"/>
      <c r="BW84" s="62"/>
      <c r="BX84" s="62"/>
      <c r="BY84" s="62"/>
      <c r="BZ84" s="62"/>
      <c r="CA84" s="62"/>
      <c r="CB84" s="62"/>
      <c r="CC84" s="62"/>
      <c r="CD84" s="62"/>
      <c r="CE84" s="62"/>
      <c r="CF84" s="62"/>
      <c r="CG84" s="62"/>
      <c r="CH84" s="62"/>
      <c r="CI84" s="62"/>
      <c r="CJ84" s="62"/>
      <c r="CK84" s="62"/>
      <c r="CL84" s="62"/>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c r="DU84" s="62"/>
      <c r="DV84" s="62"/>
      <c r="DW84" s="62"/>
      <c r="DX84" s="62"/>
      <c r="DY84" s="62"/>
      <c r="DZ84" s="62"/>
      <c r="EA84" s="62"/>
      <c r="EB84" s="62"/>
      <c r="EC84" s="62"/>
      <c r="ED84" s="62"/>
      <c r="EE84" s="62"/>
      <c r="EF84" s="62"/>
      <c r="EG84" s="62"/>
      <c r="EH84" s="62"/>
      <c r="EI84" s="62"/>
      <c r="EJ84" s="62"/>
      <c r="EK84" s="62"/>
      <c r="EL84" s="62"/>
      <c r="EM84" s="62"/>
      <c r="EN84" s="62"/>
      <c r="EO84" s="62"/>
      <c r="EP84" s="62"/>
      <c r="EQ84" s="62"/>
      <c r="ER84" s="62"/>
      <c r="ES84" s="62"/>
      <c r="ET84" s="62"/>
      <c r="EU84" s="62"/>
      <c r="EV84" s="62"/>
      <c r="EW84" s="62"/>
      <c r="EX84" s="62"/>
      <c r="EY84" s="62"/>
      <c r="EZ84" s="62"/>
      <c r="FA84" s="62"/>
      <c r="FB84" s="62"/>
      <c r="FC84" s="62"/>
      <c r="FD84" s="62"/>
      <c r="FE84" s="62"/>
      <c r="FF84" s="62"/>
      <c r="FG84" s="62"/>
      <c r="FH84" s="62"/>
      <c r="FI84" s="62"/>
      <c r="FJ84" s="62"/>
      <c r="FK84" s="62"/>
      <c r="FL84" s="62"/>
      <c r="FM84" s="62"/>
      <c r="FN84" s="62"/>
      <c r="FO84" s="62"/>
      <c r="FP84" s="62"/>
      <c r="FQ84" s="62"/>
      <c r="FR84" s="62"/>
      <c r="FS84" s="62"/>
      <c r="FT84" s="62"/>
      <c r="FU84" s="62"/>
      <c r="FV84" s="62"/>
    </row>
    <row r="85" spans="1:178" ht="13.8">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row>
    <row r="86" spans="1:178" ht="13.8">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row>
    <row r="87" spans="1:178" ht="13.8">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row>
    <row r="88" spans="1:178" ht="13.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row>
    <row r="89" spans="1:178" ht="13.8">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row>
    <row r="90" spans="1:178" ht="13.8">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row>
    <row r="91" spans="1:178" ht="13.8">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c r="FK91" s="62"/>
      <c r="FL91" s="62"/>
      <c r="FM91" s="62"/>
      <c r="FN91" s="62"/>
      <c r="FO91" s="62"/>
      <c r="FP91" s="62"/>
      <c r="FQ91" s="62"/>
      <c r="FR91" s="62"/>
      <c r="FS91" s="62"/>
      <c r="FT91" s="62"/>
      <c r="FU91" s="62"/>
      <c r="FV91" s="62"/>
    </row>
    <row r="92" spans="1:178" ht="13.8">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row>
    <row r="93" spans="1:178" ht="13.8">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2"/>
      <c r="EX93" s="62"/>
      <c r="EY93" s="62"/>
      <c r="EZ93" s="62"/>
      <c r="FA93" s="62"/>
      <c r="FB93" s="62"/>
      <c r="FC93" s="62"/>
      <c r="FD93" s="62"/>
      <c r="FE93" s="62"/>
      <c r="FF93" s="62"/>
      <c r="FG93" s="62"/>
      <c r="FH93" s="62"/>
      <c r="FI93" s="62"/>
      <c r="FJ93" s="62"/>
      <c r="FK93" s="62"/>
      <c r="FL93" s="62"/>
      <c r="FM93" s="62"/>
      <c r="FN93" s="62"/>
      <c r="FO93" s="62"/>
      <c r="FP93" s="62"/>
      <c r="FQ93" s="62"/>
      <c r="FR93" s="62"/>
      <c r="FS93" s="62"/>
      <c r="FT93" s="62"/>
      <c r="FU93" s="62"/>
      <c r="FV93" s="62"/>
    </row>
    <row r="94" spans="1:178" ht="13.8">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c r="FK94" s="62"/>
      <c r="FL94" s="62"/>
      <c r="FM94" s="62"/>
      <c r="FN94" s="62"/>
      <c r="FO94" s="62"/>
      <c r="FP94" s="62"/>
      <c r="FQ94" s="62"/>
      <c r="FR94" s="62"/>
      <c r="FS94" s="62"/>
      <c r="FT94" s="62"/>
      <c r="FU94" s="62"/>
      <c r="FV94" s="62"/>
    </row>
    <row r="95" spans="1:178" ht="13.8">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2"/>
      <c r="EX95" s="62"/>
      <c r="EY95" s="62"/>
      <c r="EZ95" s="62"/>
      <c r="FA95" s="62"/>
      <c r="FB95" s="62"/>
      <c r="FC95" s="62"/>
      <c r="FD95" s="62"/>
      <c r="FE95" s="62"/>
      <c r="FF95" s="62"/>
      <c r="FG95" s="62"/>
      <c r="FH95" s="62"/>
      <c r="FI95" s="62"/>
      <c r="FJ95" s="62"/>
      <c r="FK95" s="62"/>
      <c r="FL95" s="62"/>
      <c r="FM95" s="62"/>
      <c r="FN95" s="62"/>
      <c r="FO95" s="62"/>
      <c r="FP95" s="62"/>
      <c r="FQ95" s="62"/>
      <c r="FR95" s="62"/>
      <c r="FS95" s="62"/>
      <c r="FT95" s="62"/>
      <c r="FU95" s="62"/>
      <c r="FV95" s="62"/>
    </row>
    <row r="96" spans="1:178" ht="13.8">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2"/>
      <c r="EX96" s="62"/>
      <c r="EY96" s="62"/>
      <c r="EZ96" s="62"/>
      <c r="FA96" s="62"/>
      <c r="FB96" s="62"/>
      <c r="FC96" s="62"/>
      <c r="FD96" s="62"/>
      <c r="FE96" s="62"/>
      <c r="FF96" s="62"/>
      <c r="FG96" s="62"/>
      <c r="FH96" s="62"/>
      <c r="FI96" s="62"/>
      <c r="FJ96" s="62"/>
      <c r="FK96" s="62"/>
      <c r="FL96" s="62"/>
      <c r="FM96" s="62"/>
      <c r="FN96" s="62"/>
      <c r="FO96" s="62"/>
      <c r="FP96" s="62"/>
      <c r="FQ96" s="62"/>
      <c r="FR96" s="62"/>
      <c r="FS96" s="62"/>
      <c r="FT96" s="62"/>
      <c r="FU96" s="62"/>
      <c r="FV96" s="62"/>
    </row>
    <row r="97" spans="1:178" ht="13.8">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c r="FK97" s="62"/>
      <c r="FL97" s="62"/>
      <c r="FM97" s="62"/>
      <c r="FN97" s="62"/>
      <c r="FO97" s="62"/>
      <c r="FP97" s="62"/>
      <c r="FQ97" s="62"/>
      <c r="FR97" s="62"/>
      <c r="FS97" s="62"/>
      <c r="FT97" s="62"/>
      <c r="FU97" s="62"/>
      <c r="FV97" s="62"/>
    </row>
    <row r="98" spans="1:178" ht="13.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2"/>
      <c r="EX98" s="62"/>
      <c r="EY98" s="62"/>
      <c r="EZ98" s="62"/>
      <c r="FA98" s="62"/>
      <c r="FB98" s="62"/>
      <c r="FC98" s="62"/>
      <c r="FD98" s="62"/>
      <c r="FE98" s="62"/>
      <c r="FF98" s="62"/>
      <c r="FG98" s="62"/>
      <c r="FH98" s="62"/>
      <c r="FI98" s="62"/>
      <c r="FJ98" s="62"/>
      <c r="FK98" s="62"/>
      <c r="FL98" s="62"/>
      <c r="FM98" s="62"/>
      <c r="FN98" s="62"/>
      <c r="FO98" s="62"/>
      <c r="FP98" s="62"/>
      <c r="FQ98" s="62"/>
      <c r="FR98" s="62"/>
      <c r="FS98" s="62"/>
      <c r="FT98" s="62"/>
      <c r="FU98" s="62"/>
      <c r="FV98" s="62"/>
    </row>
    <row r="99" spans="1:178" ht="13.8">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c r="FK99" s="62"/>
      <c r="FL99" s="62"/>
      <c r="FM99" s="62"/>
      <c r="FN99" s="62"/>
      <c r="FO99" s="62"/>
      <c r="FP99" s="62"/>
      <c r="FQ99" s="62"/>
      <c r="FR99" s="62"/>
      <c r="FS99" s="62"/>
      <c r="FT99" s="62"/>
      <c r="FU99" s="62"/>
      <c r="FV99" s="62"/>
    </row>
    <row r="100" spans="1:178" ht="13.8">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c r="FK100" s="62"/>
      <c r="FL100" s="62"/>
      <c r="FM100" s="62"/>
      <c r="FN100" s="62"/>
      <c r="FO100" s="62"/>
      <c r="FP100" s="62"/>
      <c r="FQ100" s="62"/>
      <c r="FR100" s="62"/>
      <c r="FS100" s="62"/>
      <c r="FT100" s="62"/>
      <c r="FU100" s="62"/>
      <c r="FV100" s="62"/>
    </row>
    <row r="101" spans="1:178" ht="13.8">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2"/>
      <c r="EX101" s="62"/>
      <c r="EY101" s="62"/>
      <c r="EZ101" s="62"/>
      <c r="FA101" s="62"/>
      <c r="FB101" s="62"/>
      <c r="FC101" s="62"/>
      <c r="FD101" s="62"/>
      <c r="FE101" s="62"/>
      <c r="FF101" s="62"/>
      <c r="FG101" s="62"/>
      <c r="FH101" s="62"/>
      <c r="FI101" s="62"/>
      <c r="FJ101" s="62"/>
      <c r="FK101" s="62"/>
      <c r="FL101" s="62"/>
      <c r="FM101" s="62"/>
      <c r="FN101" s="62"/>
      <c r="FO101" s="62"/>
      <c r="FP101" s="62"/>
      <c r="FQ101" s="62"/>
      <c r="FR101" s="62"/>
      <c r="FS101" s="62"/>
      <c r="FT101" s="62"/>
      <c r="FU101" s="62"/>
      <c r="FV101" s="62"/>
    </row>
    <row r="102" spans="1:178" ht="13.8">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2"/>
      <c r="EX102" s="62"/>
      <c r="EY102" s="62"/>
      <c r="EZ102" s="62"/>
      <c r="FA102" s="62"/>
      <c r="FB102" s="62"/>
      <c r="FC102" s="62"/>
      <c r="FD102" s="62"/>
      <c r="FE102" s="62"/>
      <c r="FF102" s="62"/>
      <c r="FG102" s="62"/>
      <c r="FH102" s="62"/>
      <c r="FI102" s="62"/>
      <c r="FJ102" s="62"/>
      <c r="FK102" s="62"/>
      <c r="FL102" s="62"/>
      <c r="FM102" s="62"/>
      <c r="FN102" s="62"/>
      <c r="FO102" s="62"/>
      <c r="FP102" s="62"/>
      <c r="FQ102" s="62"/>
      <c r="FR102" s="62"/>
      <c r="FS102" s="62"/>
      <c r="FT102" s="62"/>
      <c r="FU102" s="62"/>
      <c r="FV102" s="62"/>
    </row>
    <row r="103" spans="1:178" ht="13.8">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62"/>
      <c r="DR103" s="62"/>
      <c r="DS103" s="62"/>
      <c r="DT103" s="62"/>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2"/>
      <c r="EX103" s="62"/>
      <c r="EY103" s="62"/>
      <c r="EZ103" s="62"/>
      <c r="FA103" s="62"/>
      <c r="FB103" s="62"/>
      <c r="FC103" s="62"/>
      <c r="FD103" s="62"/>
      <c r="FE103" s="62"/>
      <c r="FF103" s="62"/>
      <c r="FG103" s="62"/>
      <c r="FH103" s="62"/>
      <c r="FI103" s="62"/>
      <c r="FJ103" s="62"/>
      <c r="FK103" s="62"/>
      <c r="FL103" s="62"/>
      <c r="FM103" s="62"/>
      <c r="FN103" s="62"/>
      <c r="FO103" s="62"/>
      <c r="FP103" s="62"/>
      <c r="FQ103" s="62"/>
      <c r="FR103" s="62"/>
      <c r="FS103" s="62"/>
      <c r="FT103" s="62"/>
      <c r="FU103" s="62"/>
      <c r="FV103" s="62"/>
    </row>
    <row r="104" spans="1:178" ht="13.8">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c r="FK104" s="62"/>
      <c r="FL104" s="62"/>
      <c r="FM104" s="62"/>
      <c r="FN104" s="62"/>
      <c r="FO104" s="62"/>
      <c r="FP104" s="62"/>
      <c r="FQ104" s="62"/>
      <c r="FR104" s="62"/>
      <c r="FS104" s="62"/>
      <c r="FT104" s="62"/>
      <c r="FU104" s="62"/>
      <c r="FV104" s="62"/>
    </row>
    <row r="105" spans="1:178" ht="13.8">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2"/>
      <c r="EX105" s="62"/>
      <c r="EY105" s="62"/>
      <c r="EZ105" s="62"/>
      <c r="FA105" s="62"/>
      <c r="FB105" s="62"/>
      <c r="FC105" s="62"/>
      <c r="FD105" s="62"/>
      <c r="FE105" s="62"/>
      <c r="FF105" s="62"/>
      <c r="FG105" s="62"/>
      <c r="FH105" s="62"/>
      <c r="FI105" s="62"/>
      <c r="FJ105" s="62"/>
      <c r="FK105" s="62"/>
      <c r="FL105" s="62"/>
      <c r="FM105" s="62"/>
      <c r="FN105" s="62"/>
      <c r="FO105" s="62"/>
      <c r="FP105" s="62"/>
      <c r="FQ105" s="62"/>
      <c r="FR105" s="62"/>
      <c r="FS105" s="62"/>
      <c r="FT105" s="62"/>
      <c r="FU105" s="62"/>
      <c r="FV105" s="62"/>
    </row>
    <row r="106" spans="1:178" ht="13.8">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2"/>
      <c r="EX106" s="62"/>
      <c r="EY106" s="62"/>
      <c r="EZ106" s="62"/>
      <c r="FA106" s="62"/>
      <c r="FB106" s="62"/>
      <c r="FC106" s="62"/>
      <c r="FD106" s="62"/>
      <c r="FE106" s="62"/>
      <c r="FF106" s="62"/>
      <c r="FG106" s="62"/>
      <c r="FH106" s="62"/>
      <c r="FI106" s="62"/>
      <c r="FJ106" s="62"/>
      <c r="FK106" s="62"/>
      <c r="FL106" s="62"/>
      <c r="FM106" s="62"/>
      <c r="FN106" s="62"/>
      <c r="FO106" s="62"/>
      <c r="FP106" s="62"/>
      <c r="FQ106" s="62"/>
      <c r="FR106" s="62"/>
      <c r="FS106" s="62"/>
      <c r="FT106" s="62"/>
      <c r="FU106" s="62"/>
      <c r="FV106" s="62"/>
    </row>
    <row r="107" spans="1:178" ht="13.8">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2"/>
      <c r="EX107" s="62"/>
      <c r="EY107" s="62"/>
      <c r="EZ107" s="62"/>
      <c r="FA107" s="62"/>
      <c r="FB107" s="62"/>
      <c r="FC107" s="62"/>
      <c r="FD107" s="62"/>
      <c r="FE107" s="62"/>
      <c r="FF107" s="62"/>
      <c r="FG107" s="62"/>
      <c r="FH107" s="62"/>
      <c r="FI107" s="62"/>
      <c r="FJ107" s="62"/>
      <c r="FK107" s="62"/>
      <c r="FL107" s="62"/>
      <c r="FM107" s="62"/>
      <c r="FN107" s="62"/>
      <c r="FO107" s="62"/>
      <c r="FP107" s="62"/>
      <c r="FQ107" s="62"/>
      <c r="FR107" s="62"/>
      <c r="FS107" s="62"/>
      <c r="FT107" s="62"/>
      <c r="FU107" s="62"/>
      <c r="FV107" s="62"/>
    </row>
    <row r="108" spans="1:178" ht="13.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62"/>
      <c r="DQ108" s="62"/>
      <c r="DR108" s="62"/>
      <c r="DS108" s="62"/>
      <c r="DT108" s="62"/>
      <c r="DU108" s="6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2"/>
      <c r="EX108" s="62"/>
      <c r="EY108" s="62"/>
      <c r="EZ108" s="62"/>
      <c r="FA108" s="62"/>
      <c r="FB108" s="62"/>
      <c r="FC108" s="62"/>
      <c r="FD108" s="62"/>
      <c r="FE108" s="62"/>
      <c r="FF108" s="62"/>
      <c r="FG108" s="62"/>
      <c r="FH108" s="62"/>
      <c r="FI108" s="62"/>
      <c r="FJ108" s="62"/>
      <c r="FK108" s="62"/>
      <c r="FL108" s="62"/>
      <c r="FM108" s="62"/>
      <c r="FN108" s="62"/>
      <c r="FO108" s="62"/>
      <c r="FP108" s="62"/>
      <c r="FQ108" s="62"/>
      <c r="FR108" s="62"/>
      <c r="FS108" s="62"/>
      <c r="FT108" s="62"/>
      <c r="FU108" s="62"/>
      <c r="FV108" s="62"/>
    </row>
    <row r="109" spans="1:178" ht="13.8">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62"/>
      <c r="CX109" s="62"/>
      <c r="CY109" s="62"/>
      <c r="CZ109" s="62"/>
      <c r="DA109" s="62"/>
      <c r="DB109" s="62"/>
      <c r="DC109" s="62"/>
      <c r="DD109" s="62"/>
      <c r="DE109" s="62"/>
      <c r="DF109" s="62"/>
      <c r="DG109" s="62"/>
      <c r="DH109" s="62"/>
      <c r="DI109" s="62"/>
      <c r="DJ109" s="62"/>
      <c r="DK109" s="62"/>
      <c r="DL109" s="62"/>
      <c r="DM109" s="62"/>
      <c r="DN109" s="62"/>
      <c r="DO109" s="62"/>
      <c r="DP109" s="62"/>
      <c r="DQ109" s="62"/>
      <c r="DR109" s="62"/>
      <c r="DS109" s="62"/>
      <c r="DT109" s="62"/>
      <c r="DU109" s="62"/>
      <c r="DV109" s="62"/>
      <c r="DW109" s="62"/>
      <c r="DX109" s="62"/>
      <c r="DY109" s="62"/>
      <c r="DZ109" s="62"/>
      <c r="EA109" s="62"/>
      <c r="EB109" s="62"/>
      <c r="EC109" s="62"/>
      <c r="ED109" s="62"/>
      <c r="EE109" s="62"/>
      <c r="EF109" s="62"/>
      <c r="EG109" s="62"/>
      <c r="EH109" s="62"/>
      <c r="EI109" s="62"/>
      <c r="EJ109" s="62"/>
      <c r="EK109" s="62"/>
      <c r="EL109" s="62"/>
      <c r="EM109" s="62"/>
      <c r="EN109" s="62"/>
      <c r="EO109" s="62"/>
      <c r="EP109" s="62"/>
      <c r="EQ109" s="62"/>
      <c r="ER109" s="62"/>
      <c r="ES109" s="62"/>
      <c r="ET109" s="62"/>
      <c r="EU109" s="62"/>
      <c r="EV109" s="62"/>
      <c r="EW109" s="62"/>
      <c r="EX109" s="62"/>
      <c r="EY109" s="62"/>
      <c r="EZ109" s="62"/>
      <c r="FA109" s="62"/>
      <c r="FB109" s="62"/>
      <c r="FC109" s="62"/>
      <c r="FD109" s="62"/>
      <c r="FE109" s="62"/>
      <c r="FF109" s="62"/>
      <c r="FG109" s="62"/>
      <c r="FH109" s="62"/>
      <c r="FI109" s="62"/>
      <c r="FJ109" s="62"/>
      <c r="FK109" s="62"/>
      <c r="FL109" s="62"/>
      <c r="FM109" s="62"/>
      <c r="FN109" s="62"/>
      <c r="FO109" s="62"/>
      <c r="FP109" s="62"/>
      <c r="FQ109" s="62"/>
      <c r="FR109" s="62"/>
      <c r="FS109" s="62"/>
      <c r="FT109" s="62"/>
      <c r="FU109" s="62"/>
      <c r="FV109" s="62"/>
    </row>
    <row r="110" spans="1:178" ht="13.8">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2"/>
      <c r="BH110" s="62"/>
      <c r="BI110" s="62"/>
      <c r="BJ110" s="62"/>
      <c r="BK110" s="62"/>
      <c r="BL110" s="62"/>
      <c r="BM110" s="62"/>
      <c r="BN110" s="62"/>
      <c r="BO110" s="62"/>
      <c r="BP110" s="62"/>
      <c r="BQ110" s="62"/>
      <c r="BR110" s="62"/>
      <c r="BS110" s="62"/>
      <c r="BT110" s="62"/>
      <c r="BU110" s="62"/>
      <c r="BV110" s="62"/>
      <c r="BW110" s="62"/>
      <c r="BX110" s="62"/>
      <c r="BY110" s="62"/>
      <c r="BZ110" s="62"/>
      <c r="CA110" s="62"/>
      <c r="CB110" s="62"/>
      <c r="CC110" s="62"/>
      <c r="CD110" s="62"/>
      <c r="CE110" s="62"/>
      <c r="CF110" s="62"/>
      <c r="CG110" s="62"/>
      <c r="CH110" s="62"/>
      <c r="CI110" s="62"/>
      <c r="CJ110" s="62"/>
      <c r="CK110" s="62"/>
      <c r="CL110" s="62"/>
      <c r="CM110" s="62"/>
      <c r="CN110" s="62"/>
      <c r="CO110" s="62"/>
      <c r="CP110" s="62"/>
      <c r="CQ110" s="62"/>
      <c r="CR110" s="62"/>
      <c r="CS110" s="62"/>
      <c r="CT110" s="62"/>
      <c r="CU110" s="62"/>
      <c r="CV110" s="62"/>
      <c r="CW110" s="62"/>
      <c r="CX110" s="62"/>
      <c r="CY110" s="62"/>
      <c r="CZ110" s="62"/>
      <c r="DA110" s="62"/>
      <c r="DB110" s="62"/>
      <c r="DC110" s="62"/>
      <c r="DD110" s="62"/>
      <c r="DE110" s="62"/>
      <c r="DF110" s="62"/>
      <c r="DG110" s="62"/>
      <c r="DH110" s="62"/>
      <c r="DI110" s="62"/>
      <c r="DJ110" s="62"/>
      <c r="DK110" s="62"/>
      <c r="DL110" s="62"/>
      <c r="DM110" s="62"/>
      <c r="DN110" s="62"/>
      <c r="DO110" s="62"/>
      <c r="DP110" s="62"/>
      <c r="DQ110" s="62"/>
      <c r="DR110" s="62"/>
      <c r="DS110" s="62"/>
      <c r="DT110" s="62"/>
      <c r="DU110" s="62"/>
      <c r="DV110" s="62"/>
      <c r="DW110" s="62"/>
      <c r="DX110" s="62"/>
      <c r="DY110" s="62"/>
      <c r="DZ110" s="62"/>
      <c r="EA110" s="62"/>
      <c r="EB110" s="62"/>
      <c r="EC110" s="62"/>
      <c r="ED110" s="62"/>
      <c r="EE110" s="62"/>
      <c r="EF110" s="62"/>
      <c r="EG110" s="62"/>
      <c r="EH110" s="62"/>
      <c r="EI110" s="62"/>
      <c r="EJ110" s="62"/>
      <c r="EK110" s="62"/>
      <c r="EL110" s="62"/>
      <c r="EM110" s="62"/>
      <c r="EN110" s="62"/>
      <c r="EO110" s="62"/>
      <c r="EP110" s="62"/>
      <c r="EQ110" s="62"/>
      <c r="ER110" s="62"/>
      <c r="ES110" s="62"/>
      <c r="ET110" s="62"/>
      <c r="EU110" s="62"/>
      <c r="EV110" s="62"/>
      <c r="EW110" s="62"/>
      <c r="EX110" s="62"/>
      <c r="EY110" s="62"/>
      <c r="EZ110" s="62"/>
      <c r="FA110" s="62"/>
      <c r="FB110" s="62"/>
      <c r="FC110" s="62"/>
      <c r="FD110" s="62"/>
      <c r="FE110" s="62"/>
      <c r="FF110" s="62"/>
      <c r="FG110" s="62"/>
      <c r="FH110" s="62"/>
      <c r="FI110" s="62"/>
      <c r="FJ110" s="62"/>
      <c r="FK110" s="62"/>
      <c r="FL110" s="62"/>
      <c r="FM110" s="62"/>
      <c r="FN110" s="62"/>
      <c r="FO110" s="62"/>
      <c r="FP110" s="62"/>
      <c r="FQ110" s="62"/>
      <c r="FR110" s="62"/>
      <c r="FS110" s="62"/>
      <c r="FT110" s="62"/>
      <c r="FU110" s="62"/>
      <c r="FV110" s="62"/>
    </row>
    <row r="111" spans="1:178" ht="13.8">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2"/>
      <c r="CP111" s="62"/>
      <c r="CQ111" s="62"/>
      <c r="CR111" s="62"/>
      <c r="CS111" s="62"/>
      <c r="CT111" s="62"/>
      <c r="CU111" s="62"/>
      <c r="CV111" s="62"/>
      <c r="CW111" s="62"/>
      <c r="CX111" s="62"/>
      <c r="CY111" s="62"/>
      <c r="CZ111" s="62"/>
      <c r="DA111" s="62"/>
      <c r="DB111" s="62"/>
      <c r="DC111" s="62"/>
      <c r="DD111" s="62"/>
      <c r="DE111" s="62"/>
      <c r="DF111" s="62"/>
      <c r="DG111" s="62"/>
      <c r="DH111" s="62"/>
      <c r="DI111" s="62"/>
      <c r="DJ111" s="62"/>
      <c r="DK111" s="62"/>
      <c r="DL111" s="62"/>
      <c r="DM111" s="62"/>
      <c r="DN111" s="62"/>
      <c r="DO111" s="62"/>
      <c r="DP111" s="62"/>
      <c r="DQ111" s="62"/>
      <c r="DR111" s="62"/>
      <c r="DS111" s="62"/>
      <c r="DT111" s="62"/>
      <c r="DU111" s="62"/>
      <c r="DV111" s="62"/>
      <c r="DW111" s="62"/>
      <c r="DX111" s="62"/>
      <c r="DY111" s="62"/>
      <c r="DZ111" s="62"/>
      <c r="EA111" s="62"/>
      <c r="EB111" s="62"/>
      <c r="EC111" s="62"/>
      <c r="ED111" s="62"/>
      <c r="EE111" s="62"/>
      <c r="EF111" s="62"/>
      <c r="EG111" s="62"/>
      <c r="EH111" s="62"/>
      <c r="EI111" s="62"/>
      <c r="EJ111" s="62"/>
      <c r="EK111" s="62"/>
      <c r="EL111" s="62"/>
      <c r="EM111" s="62"/>
      <c r="EN111" s="62"/>
      <c r="EO111" s="62"/>
      <c r="EP111" s="62"/>
      <c r="EQ111" s="62"/>
      <c r="ER111" s="62"/>
      <c r="ES111" s="62"/>
      <c r="ET111" s="62"/>
      <c r="EU111" s="62"/>
      <c r="EV111" s="62"/>
      <c r="EW111" s="62"/>
      <c r="EX111" s="62"/>
      <c r="EY111" s="62"/>
      <c r="EZ111" s="62"/>
      <c r="FA111" s="62"/>
      <c r="FB111" s="62"/>
      <c r="FC111" s="62"/>
      <c r="FD111" s="62"/>
      <c r="FE111" s="62"/>
      <c r="FF111" s="62"/>
      <c r="FG111" s="62"/>
      <c r="FH111" s="62"/>
      <c r="FI111" s="62"/>
      <c r="FJ111" s="62"/>
      <c r="FK111" s="62"/>
      <c r="FL111" s="62"/>
      <c r="FM111" s="62"/>
      <c r="FN111" s="62"/>
      <c r="FO111" s="62"/>
      <c r="FP111" s="62"/>
      <c r="FQ111" s="62"/>
      <c r="FR111" s="62"/>
      <c r="FS111" s="62"/>
      <c r="FT111" s="62"/>
      <c r="FU111" s="62"/>
      <c r="FV111" s="62"/>
    </row>
    <row r="112" spans="1:178" ht="13.8">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62"/>
      <c r="CX112" s="62"/>
      <c r="CY112" s="62"/>
      <c r="CZ112" s="62"/>
      <c r="DA112" s="62"/>
      <c r="DB112" s="62"/>
      <c r="DC112" s="62"/>
      <c r="DD112" s="62"/>
      <c r="DE112" s="62"/>
      <c r="DF112" s="62"/>
      <c r="DG112" s="62"/>
      <c r="DH112" s="62"/>
      <c r="DI112" s="62"/>
      <c r="DJ112" s="62"/>
      <c r="DK112" s="62"/>
      <c r="DL112" s="62"/>
      <c r="DM112" s="62"/>
      <c r="DN112" s="62"/>
      <c r="DO112" s="62"/>
      <c r="DP112" s="62"/>
      <c r="DQ112" s="62"/>
      <c r="DR112" s="62"/>
      <c r="DS112" s="62"/>
      <c r="DT112" s="62"/>
      <c r="DU112" s="62"/>
      <c r="DV112" s="62"/>
      <c r="DW112" s="62"/>
      <c r="DX112" s="62"/>
      <c r="DY112" s="62"/>
      <c r="DZ112" s="62"/>
      <c r="EA112" s="62"/>
      <c r="EB112" s="62"/>
      <c r="EC112" s="62"/>
      <c r="ED112" s="62"/>
      <c r="EE112" s="62"/>
      <c r="EF112" s="62"/>
      <c r="EG112" s="62"/>
      <c r="EH112" s="62"/>
      <c r="EI112" s="62"/>
      <c r="EJ112" s="62"/>
      <c r="EK112" s="62"/>
      <c r="EL112" s="62"/>
      <c r="EM112" s="62"/>
      <c r="EN112" s="62"/>
      <c r="EO112" s="62"/>
      <c r="EP112" s="62"/>
      <c r="EQ112" s="62"/>
      <c r="ER112" s="62"/>
      <c r="ES112" s="62"/>
      <c r="ET112" s="62"/>
      <c r="EU112" s="62"/>
      <c r="EV112" s="62"/>
      <c r="EW112" s="62"/>
      <c r="EX112" s="62"/>
      <c r="EY112" s="62"/>
      <c r="EZ112" s="62"/>
      <c r="FA112" s="62"/>
      <c r="FB112" s="62"/>
      <c r="FC112" s="62"/>
      <c r="FD112" s="62"/>
      <c r="FE112" s="62"/>
      <c r="FF112" s="62"/>
      <c r="FG112" s="62"/>
      <c r="FH112" s="62"/>
      <c r="FI112" s="62"/>
      <c r="FJ112" s="62"/>
      <c r="FK112" s="62"/>
      <c r="FL112" s="62"/>
      <c r="FM112" s="62"/>
      <c r="FN112" s="62"/>
      <c r="FO112" s="62"/>
      <c r="FP112" s="62"/>
      <c r="FQ112" s="62"/>
      <c r="FR112" s="62"/>
      <c r="FS112" s="62"/>
      <c r="FT112" s="62"/>
      <c r="FU112" s="62"/>
      <c r="FV112" s="62"/>
    </row>
    <row r="113" spans="1:178" ht="13.8">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2"/>
      <c r="CP113" s="62"/>
      <c r="CQ113" s="62"/>
      <c r="CR113" s="62"/>
      <c r="CS113" s="62"/>
      <c r="CT113" s="62"/>
      <c r="CU113" s="62"/>
      <c r="CV113" s="62"/>
      <c r="CW113" s="62"/>
      <c r="CX113" s="62"/>
      <c r="CY113" s="62"/>
      <c r="CZ113" s="62"/>
      <c r="DA113" s="62"/>
      <c r="DB113" s="62"/>
      <c r="DC113" s="62"/>
      <c r="DD113" s="62"/>
      <c r="DE113" s="62"/>
      <c r="DF113" s="62"/>
      <c r="DG113" s="62"/>
      <c r="DH113" s="62"/>
      <c r="DI113" s="62"/>
      <c r="DJ113" s="62"/>
      <c r="DK113" s="62"/>
      <c r="DL113" s="62"/>
      <c r="DM113" s="62"/>
      <c r="DN113" s="62"/>
      <c r="DO113" s="62"/>
      <c r="DP113" s="62"/>
      <c r="DQ113" s="62"/>
      <c r="DR113" s="62"/>
      <c r="DS113" s="62"/>
      <c r="DT113" s="62"/>
      <c r="DU113" s="62"/>
      <c r="DV113" s="62"/>
      <c r="DW113" s="62"/>
      <c r="DX113" s="62"/>
      <c r="DY113" s="62"/>
      <c r="DZ113" s="62"/>
      <c r="EA113" s="62"/>
      <c r="EB113" s="62"/>
      <c r="EC113" s="62"/>
      <c r="ED113" s="62"/>
      <c r="EE113" s="62"/>
      <c r="EF113" s="62"/>
      <c r="EG113" s="62"/>
      <c r="EH113" s="62"/>
      <c r="EI113" s="62"/>
      <c r="EJ113" s="62"/>
      <c r="EK113" s="62"/>
      <c r="EL113" s="62"/>
      <c r="EM113" s="62"/>
      <c r="EN113" s="62"/>
      <c r="EO113" s="62"/>
      <c r="EP113" s="62"/>
      <c r="EQ113" s="62"/>
      <c r="ER113" s="62"/>
      <c r="ES113" s="62"/>
      <c r="ET113" s="62"/>
      <c r="EU113" s="62"/>
      <c r="EV113" s="62"/>
      <c r="EW113" s="62"/>
      <c r="EX113" s="62"/>
      <c r="EY113" s="62"/>
      <c r="EZ113" s="62"/>
      <c r="FA113" s="62"/>
      <c r="FB113" s="62"/>
      <c r="FC113" s="62"/>
      <c r="FD113" s="62"/>
      <c r="FE113" s="62"/>
      <c r="FF113" s="62"/>
      <c r="FG113" s="62"/>
      <c r="FH113" s="62"/>
      <c r="FI113" s="62"/>
      <c r="FJ113" s="62"/>
      <c r="FK113" s="62"/>
      <c r="FL113" s="62"/>
      <c r="FM113" s="62"/>
      <c r="FN113" s="62"/>
      <c r="FO113" s="62"/>
      <c r="FP113" s="62"/>
      <c r="FQ113" s="62"/>
      <c r="FR113" s="62"/>
      <c r="FS113" s="62"/>
      <c r="FT113" s="62"/>
      <c r="FU113" s="62"/>
      <c r="FV113" s="62"/>
    </row>
    <row r="114" spans="1:178" ht="13.8">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62"/>
      <c r="AZ114" s="62"/>
      <c r="BA114" s="62"/>
      <c r="BB114" s="62"/>
      <c r="BC114" s="62"/>
      <c r="BD114" s="62"/>
      <c r="BE114" s="62"/>
      <c r="BF114" s="62"/>
      <c r="BG114" s="62"/>
      <c r="BH114" s="62"/>
      <c r="BI114" s="62"/>
      <c r="BJ114" s="62"/>
      <c r="BK114" s="62"/>
      <c r="BL114" s="62"/>
      <c r="BM114" s="62"/>
      <c r="BN114" s="62"/>
      <c r="BO114" s="62"/>
      <c r="BP114" s="62"/>
      <c r="BQ114" s="62"/>
      <c r="BR114" s="62"/>
      <c r="BS114" s="62"/>
      <c r="BT114" s="62"/>
      <c r="BU114" s="62"/>
      <c r="BV114" s="62"/>
      <c r="BW114" s="62"/>
      <c r="BX114" s="62"/>
      <c r="BY114" s="62"/>
      <c r="BZ114" s="62"/>
      <c r="CA114" s="62"/>
      <c r="CB114" s="62"/>
      <c r="CC114" s="62"/>
      <c r="CD114" s="62"/>
      <c r="CE114" s="62"/>
      <c r="CF114" s="62"/>
      <c r="CG114" s="62"/>
      <c r="CH114" s="62"/>
      <c r="CI114" s="62"/>
      <c r="CJ114" s="62"/>
      <c r="CK114" s="62"/>
      <c r="CL114" s="62"/>
      <c r="CM114" s="62"/>
      <c r="CN114" s="62"/>
      <c r="CO114" s="62"/>
      <c r="CP114" s="62"/>
      <c r="CQ114" s="62"/>
      <c r="CR114" s="62"/>
      <c r="CS114" s="62"/>
      <c r="CT114" s="62"/>
      <c r="CU114" s="62"/>
      <c r="CV114" s="62"/>
      <c r="CW114" s="62"/>
      <c r="CX114" s="62"/>
      <c r="CY114" s="62"/>
      <c r="CZ114" s="62"/>
      <c r="DA114" s="62"/>
      <c r="DB114" s="62"/>
      <c r="DC114" s="62"/>
      <c r="DD114" s="62"/>
      <c r="DE114" s="62"/>
      <c r="DF114" s="62"/>
      <c r="DG114" s="62"/>
      <c r="DH114" s="62"/>
      <c r="DI114" s="62"/>
      <c r="DJ114" s="62"/>
      <c r="DK114" s="62"/>
      <c r="DL114" s="62"/>
      <c r="DM114" s="62"/>
      <c r="DN114" s="62"/>
      <c r="DO114" s="62"/>
      <c r="DP114" s="62"/>
      <c r="DQ114" s="62"/>
      <c r="DR114" s="62"/>
      <c r="DS114" s="62"/>
      <c r="DT114" s="62"/>
      <c r="DU114" s="62"/>
      <c r="DV114" s="62"/>
      <c r="DW114" s="62"/>
      <c r="DX114" s="62"/>
      <c r="DY114" s="62"/>
      <c r="DZ114" s="62"/>
      <c r="EA114" s="62"/>
      <c r="EB114" s="62"/>
      <c r="EC114" s="62"/>
      <c r="ED114" s="62"/>
      <c r="EE114" s="62"/>
      <c r="EF114" s="62"/>
      <c r="EG114" s="62"/>
      <c r="EH114" s="62"/>
      <c r="EI114" s="62"/>
      <c r="EJ114" s="62"/>
      <c r="EK114" s="62"/>
      <c r="EL114" s="62"/>
      <c r="EM114" s="62"/>
      <c r="EN114" s="62"/>
      <c r="EO114" s="62"/>
      <c r="EP114" s="62"/>
      <c r="EQ114" s="62"/>
      <c r="ER114" s="62"/>
      <c r="ES114" s="62"/>
      <c r="ET114" s="62"/>
      <c r="EU114" s="62"/>
      <c r="EV114" s="62"/>
      <c r="EW114" s="62"/>
      <c r="EX114" s="62"/>
      <c r="EY114" s="62"/>
      <c r="EZ114" s="62"/>
      <c r="FA114" s="62"/>
      <c r="FB114" s="62"/>
      <c r="FC114" s="62"/>
      <c r="FD114" s="62"/>
      <c r="FE114" s="62"/>
      <c r="FF114" s="62"/>
      <c r="FG114" s="62"/>
      <c r="FH114" s="62"/>
      <c r="FI114" s="62"/>
      <c r="FJ114" s="62"/>
      <c r="FK114" s="62"/>
      <c r="FL114" s="62"/>
      <c r="FM114" s="62"/>
      <c r="FN114" s="62"/>
      <c r="FO114" s="62"/>
      <c r="FP114" s="62"/>
      <c r="FQ114" s="62"/>
      <c r="FR114" s="62"/>
      <c r="FS114" s="62"/>
      <c r="FT114" s="62"/>
      <c r="FU114" s="62"/>
      <c r="FV114" s="62"/>
    </row>
    <row r="115" spans="1:178" ht="13.8">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2"/>
      <c r="CL115" s="62"/>
      <c r="CM115" s="62"/>
      <c r="CN115" s="62"/>
      <c r="CO115" s="62"/>
      <c r="CP115" s="62"/>
      <c r="CQ115" s="62"/>
      <c r="CR115" s="62"/>
      <c r="CS115" s="62"/>
      <c r="CT115" s="62"/>
      <c r="CU115" s="62"/>
      <c r="CV115" s="62"/>
      <c r="CW115" s="62"/>
      <c r="CX115" s="62"/>
      <c r="CY115" s="62"/>
      <c r="CZ115" s="62"/>
      <c r="DA115" s="62"/>
      <c r="DB115" s="62"/>
      <c r="DC115" s="62"/>
      <c r="DD115" s="62"/>
      <c r="DE115" s="62"/>
      <c r="DF115" s="62"/>
      <c r="DG115" s="62"/>
      <c r="DH115" s="62"/>
      <c r="DI115" s="62"/>
      <c r="DJ115" s="62"/>
      <c r="DK115" s="62"/>
      <c r="DL115" s="62"/>
      <c r="DM115" s="62"/>
      <c r="DN115" s="62"/>
      <c r="DO115" s="62"/>
      <c r="DP115" s="62"/>
      <c r="DQ115" s="62"/>
      <c r="DR115" s="62"/>
      <c r="DS115" s="62"/>
      <c r="DT115" s="62"/>
      <c r="DU115" s="62"/>
      <c r="DV115" s="62"/>
      <c r="DW115" s="62"/>
      <c r="DX115" s="62"/>
      <c r="DY115" s="62"/>
      <c r="DZ115" s="62"/>
      <c r="EA115" s="62"/>
      <c r="EB115" s="62"/>
      <c r="EC115" s="62"/>
      <c r="ED115" s="62"/>
      <c r="EE115" s="62"/>
      <c r="EF115" s="62"/>
      <c r="EG115" s="62"/>
      <c r="EH115" s="62"/>
      <c r="EI115" s="62"/>
      <c r="EJ115" s="62"/>
      <c r="EK115" s="62"/>
      <c r="EL115" s="62"/>
      <c r="EM115" s="62"/>
      <c r="EN115" s="62"/>
      <c r="EO115" s="62"/>
      <c r="EP115" s="62"/>
      <c r="EQ115" s="62"/>
      <c r="ER115" s="62"/>
      <c r="ES115" s="62"/>
      <c r="ET115" s="62"/>
      <c r="EU115" s="62"/>
      <c r="EV115" s="62"/>
      <c r="EW115" s="62"/>
      <c r="EX115" s="62"/>
      <c r="EY115" s="62"/>
      <c r="EZ115" s="62"/>
      <c r="FA115" s="62"/>
      <c r="FB115" s="62"/>
      <c r="FC115" s="62"/>
      <c r="FD115" s="62"/>
      <c r="FE115" s="62"/>
      <c r="FF115" s="62"/>
      <c r="FG115" s="62"/>
      <c r="FH115" s="62"/>
      <c r="FI115" s="62"/>
      <c r="FJ115" s="62"/>
      <c r="FK115" s="62"/>
      <c r="FL115" s="62"/>
      <c r="FM115" s="62"/>
      <c r="FN115" s="62"/>
      <c r="FO115" s="62"/>
      <c r="FP115" s="62"/>
      <c r="FQ115" s="62"/>
      <c r="FR115" s="62"/>
      <c r="FS115" s="62"/>
      <c r="FT115" s="62"/>
      <c r="FU115" s="62"/>
      <c r="FV115" s="62"/>
    </row>
    <row r="116" spans="1:178" ht="13.8">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2"/>
      <c r="BK116" s="62"/>
      <c r="BL116" s="62"/>
      <c r="BM116" s="62"/>
      <c r="BN116" s="62"/>
      <c r="BO116" s="62"/>
      <c r="BP116" s="62"/>
      <c r="BQ116" s="62"/>
      <c r="BR116" s="62"/>
      <c r="BS116" s="62"/>
      <c r="BT116" s="62"/>
      <c r="BU116" s="62"/>
      <c r="BV116" s="62"/>
      <c r="BW116" s="62"/>
      <c r="BX116" s="62"/>
      <c r="BY116" s="62"/>
      <c r="BZ116" s="62"/>
      <c r="CA116" s="62"/>
      <c r="CB116" s="62"/>
      <c r="CC116" s="62"/>
      <c r="CD116" s="62"/>
      <c r="CE116" s="62"/>
      <c r="CF116" s="62"/>
      <c r="CG116" s="62"/>
      <c r="CH116" s="62"/>
      <c r="CI116" s="62"/>
      <c r="CJ116" s="62"/>
      <c r="CK116" s="62"/>
      <c r="CL116" s="62"/>
      <c r="CM116" s="62"/>
      <c r="CN116" s="62"/>
      <c r="CO116" s="62"/>
      <c r="CP116" s="62"/>
      <c r="CQ116" s="62"/>
      <c r="CR116" s="62"/>
      <c r="CS116" s="62"/>
      <c r="CT116" s="62"/>
      <c r="CU116" s="62"/>
      <c r="CV116" s="62"/>
      <c r="CW116" s="62"/>
      <c r="CX116" s="62"/>
      <c r="CY116" s="62"/>
      <c r="CZ116" s="62"/>
      <c r="DA116" s="62"/>
      <c r="DB116" s="62"/>
      <c r="DC116" s="62"/>
      <c r="DD116" s="62"/>
      <c r="DE116" s="62"/>
      <c r="DF116" s="62"/>
      <c r="DG116" s="62"/>
      <c r="DH116" s="62"/>
      <c r="DI116" s="62"/>
      <c r="DJ116" s="62"/>
      <c r="DK116" s="62"/>
      <c r="DL116" s="62"/>
      <c r="DM116" s="62"/>
      <c r="DN116" s="62"/>
      <c r="DO116" s="62"/>
      <c r="DP116" s="62"/>
      <c r="DQ116" s="62"/>
      <c r="DR116" s="62"/>
      <c r="DS116" s="62"/>
      <c r="DT116" s="62"/>
      <c r="DU116" s="62"/>
      <c r="DV116" s="62"/>
      <c r="DW116" s="62"/>
      <c r="DX116" s="62"/>
      <c r="DY116" s="62"/>
      <c r="DZ116" s="62"/>
      <c r="EA116" s="62"/>
      <c r="EB116" s="62"/>
      <c r="EC116" s="62"/>
      <c r="ED116" s="62"/>
      <c r="EE116" s="62"/>
      <c r="EF116" s="62"/>
      <c r="EG116" s="62"/>
      <c r="EH116" s="62"/>
      <c r="EI116" s="62"/>
      <c r="EJ116" s="62"/>
      <c r="EK116" s="62"/>
      <c r="EL116" s="62"/>
      <c r="EM116" s="62"/>
      <c r="EN116" s="62"/>
      <c r="EO116" s="62"/>
      <c r="EP116" s="62"/>
      <c r="EQ116" s="62"/>
      <c r="ER116" s="62"/>
      <c r="ES116" s="62"/>
      <c r="ET116" s="62"/>
      <c r="EU116" s="62"/>
      <c r="EV116" s="62"/>
      <c r="EW116" s="62"/>
      <c r="EX116" s="62"/>
      <c r="EY116" s="62"/>
      <c r="EZ116" s="62"/>
      <c r="FA116" s="62"/>
      <c r="FB116" s="62"/>
      <c r="FC116" s="62"/>
      <c r="FD116" s="62"/>
      <c r="FE116" s="62"/>
      <c r="FF116" s="62"/>
      <c r="FG116" s="62"/>
      <c r="FH116" s="62"/>
      <c r="FI116" s="62"/>
      <c r="FJ116" s="62"/>
      <c r="FK116" s="62"/>
      <c r="FL116" s="62"/>
      <c r="FM116" s="62"/>
      <c r="FN116" s="62"/>
      <c r="FO116" s="62"/>
      <c r="FP116" s="62"/>
      <c r="FQ116" s="62"/>
      <c r="FR116" s="62"/>
      <c r="FS116" s="62"/>
      <c r="FT116" s="62"/>
      <c r="FU116" s="62"/>
      <c r="FV116" s="62"/>
    </row>
    <row r="117" spans="1:178" ht="13.8">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2"/>
      <c r="CG117" s="62"/>
      <c r="CH117" s="62"/>
      <c r="CI117" s="62"/>
      <c r="CJ117" s="62"/>
      <c r="CK117" s="62"/>
      <c r="CL117" s="62"/>
      <c r="CM117" s="62"/>
      <c r="CN117" s="62"/>
      <c r="CO117" s="62"/>
      <c r="CP117" s="62"/>
      <c r="CQ117" s="62"/>
      <c r="CR117" s="62"/>
      <c r="CS117" s="62"/>
      <c r="CT117" s="62"/>
      <c r="CU117" s="62"/>
      <c r="CV117" s="62"/>
      <c r="CW117" s="62"/>
      <c r="CX117" s="62"/>
      <c r="CY117" s="62"/>
      <c r="CZ117" s="62"/>
      <c r="DA117" s="62"/>
      <c r="DB117" s="62"/>
      <c r="DC117" s="62"/>
      <c r="DD117" s="62"/>
      <c r="DE117" s="62"/>
      <c r="DF117" s="62"/>
      <c r="DG117" s="62"/>
      <c r="DH117" s="62"/>
      <c r="DI117" s="62"/>
      <c r="DJ117" s="62"/>
      <c r="DK117" s="62"/>
      <c r="DL117" s="62"/>
      <c r="DM117" s="62"/>
      <c r="DN117" s="62"/>
      <c r="DO117" s="62"/>
      <c r="DP117" s="62"/>
      <c r="DQ117" s="62"/>
      <c r="DR117" s="62"/>
      <c r="DS117" s="62"/>
      <c r="DT117" s="62"/>
      <c r="DU117" s="62"/>
      <c r="DV117" s="62"/>
      <c r="DW117" s="62"/>
      <c r="DX117" s="62"/>
      <c r="DY117" s="62"/>
      <c r="DZ117" s="62"/>
      <c r="EA117" s="62"/>
      <c r="EB117" s="62"/>
      <c r="EC117" s="62"/>
      <c r="ED117" s="62"/>
      <c r="EE117" s="62"/>
      <c r="EF117" s="62"/>
      <c r="EG117" s="62"/>
      <c r="EH117" s="62"/>
      <c r="EI117" s="62"/>
      <c r="EJ117" s="62"/>
      <c r="EK117" s="62"/>
      <c r="EL117" s="62"/>
      <c r="EM117" s="62"/>
      <c r="EN117" s="62"/>
      <c r="EO117" s="62"/>
      <c r="EP117" s="62"/>
      <c r="EQ117" s="62"/>
      <c r="ER117" s="62"/>
      <c r="ES117" s="62"/>
      <c r="ET117" s="62"/>
      <c r="EU117" s="62"/>
      <c r="EV117" s="62"/>
      <c r="EW117" s="62"/>
      <c r="EX117" s="62"/>
      <c r="EY117" s="62"/>
      <c r="EZ117" s="62"/>
      <c r="FA117" s="62"/>
      <c r="FB117" s="62"/>
      <c r="FC117" s="62"/>
      <c r="FD117" s="62"/>
      <c r="FE117" s="62"/>
      <c r="FF117" s="62"/>
      <c r="FG117" s="62"/>
      <c r="FH117" s="62"/>
      <c r="FI117" s="62"/>
      <c r="FJ117" s="62"/>
      <c r="FK117" s="62"/>
      <c r="FL117" s="62"/>
      <c r="FM117" s="62"/>
      <c r="FN117" s="62"/>
      <c r="FO117" s="62"/>
      <c r="FP117" s="62"/>
      <c r="FQ117" s="62"/>
      <c r="FR117" s="62"/>
      <c r="FS117" s="62"/>
      <c r="FT117" s="62"/>
      <c r="FU117" s="62"/>
      <c r="FV117" s="62"/>
    </row>
    <row r="118" spans="1:178" ht="13.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62"/>
      <c r="BL118" s="62"/>
      <c r="BM118" s="62"/>
      <c r="BN118" s="62"/>
      <c r="BO118" s="62"/>
      <c r="BP118" s="62"/>
      <c r="BQ118" s="62"/>
      <c r="BR118" s="62"/>
      <c r="BS118" s="62"/>
      <c r="BT118" s="62"/>
      <c r="BU118" s="62"/>
      <c r="BV118" s="62"/>
      <c r="BW118" s="62"/>
      <c r="BX118" s="62"/>
      <c r="BY118" s="62"/>
      <c r="BZ118" s="62"/>
      <c r="CA118" s="62"/>
      <c r="CB118" s="62"/>
      <c r="CC118" s="62"/>
      <c r="CD118" s="62"/>
      <c r="CE118" s="62"/>
      <c r="CF118" s="62"/>
      <c r="CG118" s="62"/>
      <c r="CH118" s="62"/>
      <c r="CI118" s="62"/>
      <c r="CJ118" s="62"/>
      <c r="CK118" s="62"/>
      <c r="CL118" s="62"/>
      <c r="CM118" s="62"/>
      <c r="CN118" s="62"/>
      <c r="CO118" s="62"/>
      <c r="CP118" s="62"/>
      <c r="CQ118" s="62"/>
      <c r="CR118" s="62"/>
      <c r="CS118" s="62"/>
      <c r="CT118" s="62"/>
      <c r="CU118" s="62"/>
      <c r="CV118" s="62"/>
      <c r="CW118" s="62"/>
      <c r="CX118" s="62"/>
      <c r="CY118" s="62"/>
      <c r="CZ118" s="62"/>
      <c r="DA118" s="62"/>
      <c r="DB118" s="62"/>
      <c r="DC118" s="62"/>
      <c r="DD118" s="62"/>
      <c r="DE118" s="62"/>
      <c r="DF118" s="62"/>
      <c r="DG118" s="62"/>
      <c r="DH118" s="62"/>
      <c r="DI118" s="62"/>
      <c r="DJ118" s="62"/>
      <c r="DK118" s="62"/>
      <c r="DL118" s="62"/>
      <c r="DM118" s="62"/>
      <c r="DN118" s="62"/>
      <c r="DO118" s="62"/>
      <c r="DP118" s="62"/>
      <c r="DQ118" s="62"/>
      <c r="DR118" s="62"/>
      <c r="DS118" s="62"/>
      <c r="DT118" s="62"/>
      <c r="DU118" s="62"/>
      <c r="DV118" s="62"/>
      <c r="DW118" s="62"/>
      <c r="DX118" s="62"/>
      <c r="DY118" s="62"/>
      <c r="DZ118" s="62"/>
      <c r="EA118" s="62"/>
      <c r="EB118" s="62"/>
      <c r="EC118" s="62"/>
      <c r="ED118" s="62"/>
      <c r="EE118" s="62"/>
      <c r="EF118" s="62"/>
      <c r="EG118" s="62"/>
      <c r="EH118" s="62"/>
      <c r="EI118" s="62"/>
      <c r="EJ118" s="62"/>
      <c r="EK118" s="62"/>
      <c r="EL118" s="62"/>
      <c r="EM118" s="62"/>
      <c r="EN118" s="62"/>
      <c r="EO118" s="62"/>
      <c r="EP118" s="62"/>
      <c r="EQ118" s="62"/>
      <c r="ER118" s="62"/>
      <c r="ES118" s="62"/>
      <c r="ET118" s="62"/>
      <c r="EU118" s="62"/>
      <c r="EV118" s="62"/>
      <c r="EW118" s="62"/>
      <c r="EX118" s="62"/>
      <c r="EY118" s="62"/>
      <c r="EZ118" s="62"/>
      <c r="FA118" s="62"/>
      <c r="FB118" s="62"/>
      <c r="FC118" s="62"/>
      <c r="FD118" s="62"/>
      <c r="FE118" s="62"/>
      <c r="FF118" s="62"/>
      <c r="FG118" s="62"/>
      <c r="FH118" s="62"/>
      <c r="FI118" s="62"/>
      <c r="FJ118" s="62"/>
      <c r="FK118" s="62"/>
      <c r="FL118" s="62"/>
      <c r="FM118" s="62"/>
      <c r="FN118" s="62"/>
      <c r="FO118" s="62"/>
      <c r="FP118" s="62"/>
      <c r="FQ118" s="62"/>
      <c r="FR118" s="62"/>
      <c r="FS118" s="62"/>
      <c r="FT118" s="62"/>
      <c r="FU118" s="62"/>
      <c r="FV118" s="62"/>
    </row>
    <row r="119" spans="1:178" ht="13.8">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c r="CC119" s="62"/>
      <c r="CD119" s="62"/>
      <c r="CE119" s="62"/>
      <c r="CF119" s="62"/>
      <c r="CG119" s="62"/>
      <c r="CH119" s="62"/>
      <c r="CI119" s="62"/>
      <c r="CJ119" s="62"/>
      <c r="CK119" s="62"/>
      <c r="CL119" s="62"/>
      <c r="CM119" s="62"/>
      <c r="CN119" s="62"/>
      <c r="CO119" s="62"/>
      <c r="CP119" s="62"/>
      <c r="CQ119" s="62"/>
      <c r="CR119" s="62"/>
      <c r="CS119" s="62"/>
      <c r="CT119" s="62"/>
      <c r="CU119" s="62"/>
      <c r="CV119" s="62"/>
      <c r="CW119" s="62"/>
      <c r="CX119" s="62"/>
      <c r="CY119" s="62"/>
      <c r="CZ119" s="62"/>
      <c r="DA119" s="62"/>
      <c r="DB119" s="62"/>
      <c r="DC119" s="62"/>
      <c r="DD119" s="62"/>
      <c r="DE119" s="62"/>
      <c r="DF119" s="62"/>
      <c r="DG119" s="62"/>
      <c r="DH119" s="62"/>
      <c r="DI119" s="62"/>
      <c r="DJ119" s="62"/>
      <c r="DK119" s="62"/>
      <c r="DL119" s="62"/>
      <c r="DM119" s="62"/>
      <c r="DN119" s="62"/>
      <c r="DO119" s="62"/>
      <c r="DP119" s="62"/>
      <c r="DQ119" s="62"/>
      <c r="DR119" s="62"/>
      <c r="DS119" s="62"/>
      <c r="DT119" s="62"/>
      <c r="DU119" s="62"/>
      <c r="DV119" s="62"/>
      <c r="DW119" s="62"/>
      <c r="DX119" s="62"/>
      <c r="DY119" s="62"/>
      <c r="DZ119" s="62"/>
      <c r="EA119" s="62"/>
      <c r="EB119" s="62"/>
      <c r="EC119" s="62"/>
      <c r="ED119" s="62"/>
      <c r="EE119" s="62"/>
      <c r="EF119" s="62"/>
      <c r="EG119" s="62"/>
      <c r="EH119" s="62"/>
      <c r="EI119" s="62"/>
      <c r="EJ119" s="62"/>
      <c r="EK119" s="62"/>
      <c r="EL119" s="62"/>
      <c r="EM119" s="62"/>
      <c r="EN119" s="62"/>
      <c r="EO119" s="62"/>
      <c r="EP119" s="62"/>
      <c r="EQ119" s="62"/>
      <c r="ER119" s="62"/>
      <c r="ES119" s="62"/>
      <c r="ET119" s="62"/>
      <c r="EU119" s="62"/>
      <c r="EV119" s="62"/>
      <c r="EW119" s="62"/>
      <c r="EX119" s="62"/>
      <c r="EY119" s="62"/>
      <c r="EZ119" s="62"/>
      <c r="FA119" s="62"/>
      <c r="FB119" s="62"/>
      <c r="FC119" s="62"/>
      <c r="FD119" s="62"/>
      <c r="FE119" s="62"/>
      <c r="FF119" s="62"/>
      <c r="FG119" s="62"/>
      <c r="FH119" s="62"/>
      <c r="FI119" s="62"/>
      <c r="FJ119" s="62"/>
      <c r="FK119" s="62"/>
      <c r="FL119" s="62"/>
      <c r="FM119" s="62"/>
      <c r="FN119" s="62"/>
      <c r="FO119" s="62"/>
      <c r="FP119" s="62"/>
      <c r="FQ119" s="62"/>
      <c r="FR119" s="62"/>
      <c r="FS119" s="62"/>
      <c r="FT119" s="62"/>
      <c r="FU119" s="62"/>
      <c r="FV119" s="62"/>
    </row>
    <row r="120" spans="1:178" ht="13.8">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62"/>
      <c r="BD120" s="62"/>
      <c r="BE120" s="62"/>
      <c r="BF120" s="62"/>
      <c r="BG120" s="62"/>
      <c r="BH120" s="62"/>
      <c r="BI120" s="62"/>
      <c r="BJ120" s="62"/>
      <c r="BK120" s="62"/>
      <c r="BL120" s="62"/>
      <c r="BM120" s="62"/>
      <c r="BN120" s="62"/>
      <c r="BO120" s="62"/>
      <c r="BP120" s="62"/>
      <c r="BQ120" s="62"/>
      <c r="BR120" s="62"/>
      <c r="BS120" s="62"/>
      <c r="BT120" s="62"/>
      <c r="BU120" s="62"/>
      <c r="BV120" s="62"/>
      <c r="BW120" s="62"/>
      <c r="BX120" s="62"/>
      <c r="BY120" s="62"/>
      <c r="BZ120" s="62"/>
      <c r="CA120" s="62"/>
      <c r="CB120" s="62"/>
      <c r="CC120" s="62"/>
      <c r="CD120" s="62"/>
      <c r="CE120" s="62"/>
      <c r="CF120" s="62"/>
      <c r="CG120" s="62"/>
      <c r="CH120" s="62"/>
      <c r="CI120" s="62"/>
      <c r="CJ120" s="62"/>
      <c r="CK120" s="62"/>
      <c r="CL120" s="62"/>
      <c r="CM120" s="62"/>
      <c r="CN120" s="62"/>
      <c r="CO120" s="62"/>
      <c r="CP120" s="62"/>
      <c r="CQ120" s="62"/>
      <c r="CR120" s="62"/>
      <c r="CS120" s="62"/>
      <c r="CT120" s="62"/>
      <c r="CU120" s="62"/>
      <c r="CV120" s="62"/>
      <c r="CW120" s="62"/>
      <c r="CX120" s="62"/>
      <c r="CY120" s="62"/>
      <c r="CZ120" s="62"/>
      <c r="DA120" s="62"/>
      <c r="DB120" s="62"/>
      <c r="DC120" s="62"/>
      <c r="DD120" s="62"/>
      <c r="DE120" s="62"/>
      <c r="DF120" s="62"/>
      <c r="DG120" s="62"/>
      <c r="DH120" s="62"/>
      <c r="DI120" s="62"/>
      <c r="DJ120" s="62"/>
      <c r="DK120" s="62"/>
      <c r="DL120" s="62"/>
      <c r="DM120" s="62"/>
      <c r="DN120" s="62"/>
      <c r="DO120" s="62"/>
      <c r="DP120" s="62"/>
      <c r="DQ120" s="62"/>
      <c r="DR120" s="62"/>
      <c r="DS120" s="62"/>
      <c r="DT120" s="62"/>
      <c r="DU120" s="62"/>
      <c r="DV120" s="62"/>
      <c r="DW120" s="62"/>
      <c r="DX120" s="62"/>
      <c r="DY120" s="62"/>
      <c r="DZ120" s="62"/>
      <c r="EA120" s="62"/>
      <c r="EB120" s="62"/>
      <c r="EC120" s="62"/>
      <c r="ED120" s="62"/>
      <c r="EE120" s="62"/>
      <c r="EF120" s="62"/>
      <c r="EG120" s="62"/>
      <c r="EH120" s="62"/>
      <c r="EI120" s="62"/>
      <c r="EJ120" s="62"/>
      <c r="EK120" s="62"/>
      <c r="EL120" s="62"/>
      <c r="EM120" s="62"/>
      <c r="EN120" s="62"/>
      <c r="EO120" s="62"/>
      <c r="EP120" s="62"/>
      <c r="EQ120" s="62"/>
      <c r="ER120" s="62"/>
      <c r="ES120" s="62"/>
      <c r="ET120" s="62"/>
      <c r="EU120" s="62"/>
      <c r="EV120" s="62"/>
      <c r="EW120" s="62"/>
      <c r="EX120" s="62"/>
      <c r="EY120" s="62"/>
      <c r="EZ120" s="62"/>
      <c r="FA120" s="62"/>
      <c r="FB120" s="62"/>
      <c r="FC120" s="62"/>
      <c r="FD120" s="62"/>
      <c r="FE120" s="62"/>
      <c r="FF120" s="62"/>
      <c r="FG120" s="62"/>
      <c r="FH120" s="62"/>
      <c r="FI120" s="62"/>
      <c r="FJ120" s="62"/>
      <c r="FK120" s="62"/>
      <c r="FL120" s="62"/>
      <c r="FM120" s="62"/>
      <c r="FN120" s="62"/>
      <c r="FO120" s="62"/>
      <c r="FP120" s="62"/>
      <c r="FQ120" s="62"/>
      <c r="FR120" s="62"/>
      <c r="FS120" s="62"/>
      <c r="FT120" s="62"/>
      <c r="FU120" s="62"/>
      <c r="FV120" s="62"/>
    </row>
    <row r="121" spans="1:178" ht="13.8">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c r="CC121" s="62"/>
      <c r="CD121" s="62"/>
      <c r="CE121" s="62"/>
      <c r="CF121" s="62"/>
      <c r="CG121" s="62"/>
      <c r="CH121" s="62"/>
      <c r="CI121" s="62"/>
      <c r="CJ121" s="62"/>
      <c r="CK121" s="62"/>
      <c r="CL121" s="62"/>
      <c r="CM121" s="62"/>
      <c r="CN121" s="62"/>
      <c r="CO121" s="62"/>
      <c r="CP121" s="62"/>
      <c r="CQ121" s="62"/>
      <c r="CR121" s="62"/>
      <c r="CS121" s="62"/>
      <c r="CT121" s="62"/>
      <c r="CU121" s="62"/>
      <c r="CV121" s="62"/>
      <c r="CW121" s="62"/>
      <c r="CX121" s="62"/>
      <c r="CY121" s="62"/>
      <c r="CZ121" s="62"/>
      <c r="DA121" s="62"/>
      <c r="DB121" s="62"/>
      <c r="DC121" s="62"/>
      <c r="DD121" s="62"/>
      <c r="DE121" s="62"/>
      <c r="DF121" s="62"/>
      <c r="DG121" s="62"/>
      <c r="DH121" s="62"/>
      <c r="DI121" s="62"/>
      <c r="DJ121" s="62"/>
      <c r="DK121" s="62"/>
      <c r="DL121" s="62"/>
      <c r="DM121" s="62"/>
      <c r="DN121" s="62"/>
      <c r="DO121" s="62"/>
      <c r="DP121" s="62"/>
      <c r="DQ121" s="62"/>
      <c r="DR121" s="62"/>
      <c r="DS121" s="62"/>
      <c r="DT121" s="62"/>
      <c r="DU121" s="62"/>
      <c r="DV121" s="62"/>
      <c r="DW121" s="62"/>
      <c r="DX121" s="62"/>
      <c r="DY121" s="62"/>
      <c r="DZ121" s="62"/>
      <c r="EA121" s="62"/>
      <c r="EB121" s="62"/>
      <c r="EC121" s="62"/>
      <c r="ED121" s="62"/>
      <c r="EE121" s="62"/>
      <c r="EF121" s="62"/>
      <c r="EG121" s="62"/>
      <c r="EH121" s="62"/>
      <c r="EI121" s="62"/>
      <c r="EJ121" s="62"/>
      <c r="EK121" s="62"/>
      <c r="EL121" s="62"/>
      <c r="EM121" s="62"/>
      <c r="EN121" s="62"/>
      <c r="EO121" s="62"/>
      <c r="EP121" s="62"/>
      <c r="EQ121" s="62"/>
      <c r="ER121" s="62"/>
      <c r="ES121" s="62"/>
      <c r="ET121" s="62"/>
      <c r="EU121" s="62"/>
      <c r="EV121" s="62"/>
      <c r="EW121" s="62"/>
      <c r="EX121" s="62"/>
      <c r="EY121" s="62"/>
      <c r="EZ121" s="62"/>
      <c r="FA121" s="62"/>
      <c r="FB121" s="62"/>
      <c r="FC121" s="62"/>
      <c r="FD121" s="62"/>
      <c r="FE121" s="62"/>
      <c r="FF121" s="62"/>
      <c r="FG121" s="62"/>
      <c r="FH121" s="62"/>
      <c r="FI121" s="62"/>
      <c r="FJ121" s="62"/>
      <c r="FK121" s="62"/>
      <c r="FL121" s="62"/>
      <c r="FM121" s="62"/>
      <c r="FN121" s="62"/>
      <c r="FO121" s="62"/>
      <c r="FP121" s="62"/>
      <c r="FQ121" s="62"/>
      <c r="FR121" s="62"/>
      <c r="FS121" s="62"/>
      <c r="FT121" s="62"/>
      <c r="FU121" s="62"/>
      <c r="FV121" s="62"/>
    </row>
    <row r="122" spans="1:178" ht="13.8">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62"/>
      <c r="AZ122" s="62"/>
      <c r="BA122" s="62"/>
      <c r="BB122" s="62"/>
      <c r="BC122" s="62"/>
      <c r="BD122" s="62"/>
      <c r="BE122" s="62"/>
      <c r="BF122" s="62"/>
      <c r="BG122" s="62"/>
      <c r="BH122" s="62"/>
      <c r="BI122" s="62"/>
      <c r="BJ122" s="62"/>
      <c r="BK122" s="62"/>
      <c r="BL122" s="62"/>
      <c r="BM122" s="62"/>
      <c r="BN122" s="62"/>
      <c r="BO122" s="62"/>
      <c r="BP122" s="62"/>
      <c r="BQ122" s="62"/>
      <c r="BR122" s="62"/>
      <c r="BS122" s="62"/>
      <c r="BT122" s="62"/>
      <c r="BU122" s="62"/>
      <c r="BV122" s="62"/>
      <c r="BW122" s="62"/>
      <c r="BX122" s="62"/>
      <c r="BY122" s="62"/>
      <c r="BZ122" s="62"/>
      <c r="CA122" s="62"/>
      <c r="CB122" s="62"/>
      <c r="CC122" s="62"/>
      <c r="CD122" s="62"/>
      <c r="CE122" s="62"/>
      <c r="CF122" s="62"/>
      <c r="CG122" s="62"/>
      <c r="CH122" s="62"/>
      <c r="CI122" s="62"/>
      <c r="CJ122" s="62"/>
      <c r="CK122" s="62"/>
      <c r="CL122" s="62"/>
      <c r="CM122" s="62"/>
      <c r="CN122" s="62"/>
      <c r="CO122" s="62"/>
      <c r="CP122" s="62"/>
      <c r="CQ122" s="62"/>
      <c r="CR122" s="62"/>
      <c r="CS122" s="62"/>
      <c r="CT122" s="62"/>
      <c r="CU122" s="62"/>
      <c r="CV122" s="62"/>
      <c r="CW122" s="62"/>
      <c r="CX122" s="62"/>
      <c r="CY122" s="62"/>
      <c r="CZ122" s="62"/>
      <c r="DA122" s="62"/>
      <c r="DB122" s="62"/>
      <c r="DC122" s="62"/>
      <c r="DD122" s="62"/>
      <c r="DE122" s="62"/>
      <c r="DF122" s="62"/>
      <c r="DG122" s="62"/>
      <c r="DH122" s="62"/>
      <c r="DI122" s="62"/>
      <c r="DJ122" s="62"/>
      <c r="DK122" s="62"/>
      <c r="DL122" s="62"/>
      <c r="DM122" s="62"/>
      <c r="DN122" s="62"/>
      <c r="DO122" s="62"/>
      <c r="DP122" s="62"/>
      <c r="DQ122" s="62"/>
      <c r="DR122" s="62"/>
      <c r="DS122" s="62"/>
      <c r="DT122" s="62"/>
      <c r="DU122" s="62"/>
      <c r="DV122" s="62"/>
      <c r="DW122" s="62"/>
      <c r="DX122" s="62"/>
      <c r="DY122" s="62"/>
      <c r="DZ122" s="62"/>
      <c r="EA122" s="62"/>
      <c r="EB122" s="62"/>
      <c r="EC122" s="62"/>
      <c r="ED122" s="62"/>
      <c r="EE122" s="62"/>
      <c r="EF122" s="62"/>
      <c r="EG122" s="62"/>
      <c r="EH122" s="62"/>
      <c r="EI122" s="62"/>
      <c r="EJ122" s="62"/>
      <c r="EK122" s="62"/>
      <c r="EL122" s="62"/>
      <c r="EM122" s="62"/>
      <c r="EN122" s="62"/>
      <c r="EO122" s="62"/>
      <c r="EP122" s="62"/>
      <c r="EQ122" s="62"/>
      <c r="ER122" s="62"/>
      <c r="ES122" s="62"/>
      <c r="ET122" s="62"/>
      <c r="EU122" s="62"/>
      <c r="EV122" s="62"/>
      <c r="EW122" s="62"/>
      <c r="EX122" s="62"/>
      <c r="EY122" s="62"/>
      <c r="EZ122" s="62"/>
      <c r="FA122" s="62"/>
      <c r="FB122" s="62"/>
      <c r="FC122" s="62"/>
      <c r="FD122" s="62"/>
      <c r="FE122" s="62"/>
      <c r="FF122" s="62"/>
      <c r="FG122" s="62"/>
      <c r="FH122" s="62"/>
      <c r="FI122" s="62"/>
      <c r="FJ122" s="62"/>
      <c r="FK122" s="62"/>
      <c r="FL122" s="62"/>
      <c r="FM122" s="62"/>
      <c r="FN122" s="62"/>
      <c r="FO122" s="62"/>
      <c r="FP122" s="62"/>
      <c r="FQ122" s="62"/>
      <c r="FR122" s="62"/>
      <c r="FS122" s="62"/>
      <c r="FT122" s="62"/>
      <c r="FU122" s="62"/>
      <c r="FV122" s="62"/>
    </row>
    <row r="123" spans="1:178" ht="13.8">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2"/>
      <c r="CP123" s="62"/>
      <c r="CQ123" s="62"/>
      <c r="CR123" s="62"/>
      <c r="CS123" s="62"/>
      <c r="CT123" s="62"/>
      <c r="CU123" s="62"/>
      <c r="CV123" s="62"/>
      <c r="CW123" s="62"/>
      <c r="CX123" s="62"/>
      <c r="CY123" s="62"/>
      <c r="CZ123" s="62"/>
      <c r="DA123" s="62"/>
      <c r="DB123" s="62"/>
      <c r="DC123" s="62"/>
      <c r="DD123" s="62"/>
      <c r="DE123" s="62"/>
      <c r="DF123" s="62"/>
      <c r="DG123" s="62"/>
      <c r="DH123" s="62"/>
      <c r="DI123" s="62"/>
      <c r="DJ123" s="62"/>
      <c r="DK123" s="62"/>
      <c r="DL123" s="62"/>
      <c r="DM123" s="62"/>
      <c r="DN123" s="62"/>
      <c r="DO123" s="62"/>
      <c r="DP123" s="62"/>
      <c r="DQ123" s="62"/>
      <c r="DR123" s="62"/>
      <c r="DS123" s="62"/>
      <c r="DT123" s="62"/>
      <c r="DU123" s="62"/>
      <c r="DV123" s="62"/>
      <c r="DW123" s="62"/>
      <c r="DX123" s="62"/>
      <c r="DY123" s="62"/>
      <c r="DZ123" s="62"/>
      <c r="EA123" s="62"/>
      <c r="EB123" s="62"/>
      <c r="EC123" s="62"/>
      <c r="ED123" s="62"/>
      <c r="EE123" s="62"/>
      <c r="EF123" s="62"/>
      <c r="EG123" s="62"/>
      <c r="EH123" s="62"/>
      <c r="EI123" s="62"/>
      <c r="EJ123" s="62"/>
      <c r="EK123" s="62"/>
      <c r="EL123" s="62"/>
      <c r="EM123" s="62"/>
      <c r="EN123" s="62"/>
      <c r="EO123" s="62"/>
      <c r="EP123" s="62"/>
      <c r="EQ123" s="62"/>
      <c r="ER123" s="62"/>
      <c r="ES123" s="62"/>
      <c r="ET123" s="62"/>
      <c r="EU123" s="62"/>
      <c r="EV123" s="62"/>
      <c r="EW123" s="62"/>
      <c r="EX123" s="62"/>
      <c r="EY123" s="62"/>
      <c r="EZ123" s="62"/>
      <c r="FA123" s="62"/>
      <c r="FB123" s="62"/>
      <c r="FC123" s="62"/>
      <c r="FD123" s="62"/>
      <c r="FE123" s="62"/>
      <c r="FF123" s="62"/>
      <c r="FG123" s="62"/>
      <c r="FH123" s="62"/>
      <c r="FI123" s="62"/>
      <c r="FJ123" s="62"/>
      <c r="FK123" s="62"/>
      <c r="FL123" s="62"/>
      <c r="FM123" s="62"/>
      <c r="FN123" s="62"/>
      <c r="FO123" s="62"/>
      <c r="FP123" s="62"/>
      <c r="FQ123" s="62"/>
      <c r="FR123" s="62"/>
      <c r="FS123" s="62"/>
      <c r="FT123" s="62"/>
      <c r="FU123" s="62"/>
      <c r="FV123" s="62"/>
    </row>
    <row r="124" spans="1:178" ht="13.8">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62"/>
      <c r="BD124" s="62"/>
      <c r="BE124" s="62"/>
      <c r="BF124" s="62"/>
      <c r="BG124" s="62"/>
      <c r="BH124" s="62"/>
      <c r="BI124" s="62"/>
      <c r="BJ124" s="62"/>
      <c r="BK124" s="62"/>
      <c r="BL124" s="62"/>
      <c r="BM124" s="62"/>
      <c r="BN124" s="62"/>
      <c r="BO124" s="62"/>
      <c r="BP124" s="62"/>
      <c r="BQ124" s="62"/>
      <c r="BR124" s="62"/>
      <c r="BS124" s="62"/>
      <c r="BT124" s="62"/>
      <c r="BU124" s="62"/>
      <c r="BV124" s="62"/>
      <c r="BW124" s="62"/>
      <c r="BX124" s="62"/>
      <c r="BY124" s="62"/>
      <c r="BZ124" s="62"/>
      <c r="CA124" s="62"/>
      <c r="CB124" s="62"/>
      <c r="CC124" s="62"/>
      <c r="CD124" s="62"/>
      <c r="CE124" s="62"/>
      <c r="CF124" s="62"/>
      <c r="CG124" s="62"/>
      <c r="CH124" s="62"/>
      <c r="CI124" s="62"/>
      <c r="CJ124" s="62"/>
      <c r="CK124" s="62"/>
      <c r="CL124" s="62"/>
      <c r="CM124" s="62"/>
      <c r="CN124" s="62"/>
      <c r="CO124" s="62"/>
      <c r="CP124" s="62"/>
      <c r="CQ124" s="62"/>
      <c r="CR124" s="62"/>
      <c r="CS124" s="62"/>
      <c r="CT124" s="62"/>
      <c r="CU124" s="62"/>
      <c r="CV124" s="62"/>
      <c r="CW124" s="62"/>
      <c r="CX124" s="62"/>
      <c r="CY124" s="62"/>
      <c r="CZ124" s="62"/>
      <c r="DA124" s="62"/>
      <c r="DB124" s="62"/>
      <c r="DC124" s="62"/>
      <c r="DD124" s="62"/>
      <c r="DE124" s="62"/>
      <c r="DF124" s="62"/>
      <c r="DG124" s="62"/>
      <c r="DH124" s="62"/>
      <c r="DI124" s="62"/>
      <c r="DJ124" s="62"/>
      <c r="DK124" s="62"/>
      <c r="DL124" s="62"/>
      <c r="DM124" s="62"/>
      <c r="DN124" s="62"/>
      <c r="DO124" s="62"/>
      <c r="DP124" s="62"/>
      <c r="DQ124" s="62"/>
      <c r="DR124" s="62"/>
      <c r="DS124" s="62"/>
      <c r="DT124" s="62"/>
      <c r="DU124" s="62"/>
      <c r="DV124" s="62"/>
      <c r="DW124" s="62"/>
      <c r="DX124" s="62"/>
      <c r="DY124" s="62"/>
      <c r="DZ124" s="62"/>
      <c r="EA124" s="62"/>
      <c r="EB124" s="62"/>
      <c r="EC124" s="62"/>
      <c r="ED124" s="62"/>
      <c r="EE124" s="62"/>
      <c r="EF124" s="62"/>
      <c r="EG124" s="62"/>
      <c r="EH124" s="62"/>
      <c r="EI124" s="62"/>
      <c r="EJ124" s="62"/>
      <c r="EK124" s="62"/>
      <c r="EL124" s="62"/>
      <c r="EM124" s="62"/>
      <c r="EN124" s="62"/>
      <c r="EO124" s="62"/>
      <c r="EP124" s="62"/>
      <c r="EQ124" s="62"/>
      <c r="ER124" s="62"/>
      <c r="ES124" s="62"/>
      <c r="ET124" s="62"/>
      <c r="EU124" s="62"/>
      <c r="EV124" s="62"/>
      <c r="EW124" s="62"/>
      <c r="EX124" s="62"/>
      <c r="EY124" s="62"/>
      <c r="EZ124" s="62"/>
      <c r="FA124" s="62"/>
      <c r="FB124" s="62"/>
      <c r="FC124" s="62"/>
      <c r="FD124" s="62"/>
      <c r="FE124" s="62"/>
      <c r="FF124" s="62"/>
      <c r="FG124" s="62"/>
      <c r="FH124" s="62"/>
      <c r="FI124" s="62"/>
      <c r="FJ124" s="62"/>
      <c r="FK124" s="62"/>
      <c r="FL124" s="62"/>
      <c r="FM124" s="62"/>
      <c r="FN124" s="62"/>
      <c r="FO124" s="62"/>
      <c r="FP124" s="62"/>
      <c r="FQ124" s="62"/>
      <c r="FR124" s="62"/>
      <c r="FS124" s="62"/>
      <c r="FT124" s="62"/>
      <c r="FU124" s="62"/>
      <c r="FV124" s="62"/>
    </row>
    <row r="125" spans="1:178" ht="13.8">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62"/>
      <c r="CX125" s="62"/>
      <c r="CY125" s="62"/>
      <c r="CZ125" s="62"/>
      <c r="DA125" s="62"/>
      <c r="DB125" s="62"/>
      <c r="DC125" s="62"/>
      <c r="DD125" s="62"/>
      <c r="DE125" s="62"/>
      <c r="DF125" s="62"/>
      <c r="DG125" s="62"/>
      <c r="DH125" s="62"/>
      <c r="DI125" s="62"/>
      <c r="DJ125" s="62"/>
      <c r="DK125" s="62"/>
      <c r="DL125" s="62"/>
      <c r="DM125" s="62"/>
      <c r="DN125" s="62"/>
      <c r="DO125" s="62"/>
      <c r="DP125" s="62"/>
      <c r="DQ125" s="62"/>
      <c r="DR125" s="62"/>
      <c r="DS125" s="62"/>
      <c r="DT125" s="62"/>
      <c r="DU125" s="62"/>
      <c r="DV125" s="62"/>
      <c r="DW125" s="62"/>
      <c r="DX125" s="62"/>
      <c r="DY125" s="62"/>
      <c r="DZ125" s="62"/>
      <c r="EA125" s="62"/>
      <c r="EB125" s="62"/>
      <c r="EC125" s="62"/>
      <c r="ED125" s="62"/>
      <c r="EE125" s="62"/>
      <c r="EF125" s="62"/>
      <c r="EG125" s="62"/>
      <c r="EH125" s="62"/>
      <c r="EI125" s="62"/>
      <c r="EJ125" s="62"/>
      <c r="EK125" s="62"/>
      <c r="EL125" s="62"/>
      <c r="EM125" s="62"/>
      <c r="EN125" s="62"/>
      <c r="EO125" s="62"/>
      <c r="EP125" s="62"/>
      <c r="EQ125" s="62"/>
      <c r="ER125" s="62"/>
      <c r="ES125" s="62"/>
      <c r="ET125" s="62"/>
      <c r="EU125" s="62"/>
      <c r="EV125" s="62"/>
      <c r="EW125" s="62"/>
      <c r="EX125" s="62"/>
      <c r="EY125" s="62"/>
      <c r="EZ125" s="62"/>
      <c r="FA125" s="62"/>
      <c r="FB125" s="62"/>
      <c r="FC125" s="62"/>
      <c r="FD125" s="62"/>
      <c r="FE125" s="62"/>
      <c r="FF125" s="62"/>
      <c r="FG125" s="62"/>
      <c r="FH125" s="62"/>
      <c r="FI125" s="62"/>
      <c r="FJ125" s="62"/>
      <c r="FK125" s="62"/>
      <c r="FL125" s="62"/>
      <c r="FM125" s="62"/>
      <c r="FN125" s="62"/>
      <c r="FO125" s="62"/>
      <c r="FP125" s="62"/>
      <c r="FQ125" s="62"/>
      <c r="FR125" s="62"/>
      <c r="FS125" s="62"/>
      <c r="FT125" s="62"/>
      <c r="FU125" s="62"/>
      <c r="FV125" s="62"/>
    </row>
    <row r="126" spans="1:178" ht="13.8">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c r="DU126" s="62"/>
      <c r="DV126" s="62"/>
      <c r="DW126" s="62"/>
      <c r="DX126" s="62"/>
      <c r="DY126" s="62"/>
      <c r="DZ126" s="62"/>
      <c r="EA126" s="62"/>
      <c r="EB126" s="62"/>
      <c r="EC126" s="62"/>
      <c r="ED126" s="62"/>
      <c r="EE126" s="62"/>
      <c r="EF126" s="62"/>
      <c r="EG126" s="62"/>
      <c r="EH126" s="62"/>
      <c r="EI126" s="62"/>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c r="FK126" s="62"/>
      <c r="FL126" s="62"/>
      <c r="FM126" s="62"/>
      <c r="FN126" s="62"/>
      <c r="FO126" s="62"/>
      <c r="FP126" s="62"/>
      <c r="FQ126" s="62"/>
      <c r="FR126" s="62"/>
      <c r="FS126" s="62"/>
      <c r="FT126" s="62"/>
      <c r="FU126" s="62"/>
      <c r="FV126" s="62"/>
    </row>
    <row r="127" spans="1:178" ht="13.8">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c r="DU127" s="62"/>
      <c r="DV127" s="62"/>
      <c r="DW127" s="62"/>
      <c r="DX127" s="62"/>
      <c r="DY127" s="62"/>
      <c r="DZ127" s="62"/>
      <c r="EA127" s="62"/>
      <c r="EB127" s="62"/>
      <c r="EC127" s="62"/>
      <c r="ED127" s="62"/>
      <c r="EE127" s="62"/>
      <c r="EF127" s="62"/>
      <c r="EG127" s="62"/>
      <c r="EH127" s="62"/>
      <c r="EI127" s="62"/>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c r="FK127" s="62"/>
      <c r="FL127" s="62"/>
      <c r="FM127" s="62"/>
      <c r="FN127" s="62"/>
      <c r="FO127" s="62"/>
      <c r="FP127" s="62"/>
      <c r="FQ127" s="62"/>
      <c r="FR127" s="62"/>
      <c r="FS127" s="62"/>
      <c r="FT127" s="62"/>
      <c r="FU127" s="62"/>
      <c r="FV127" s="62"/>
    </row>
    <row r="128" spans="1:178" ht="13.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62"/>
      <c r="BD128" s="62"/>
      <c r="BE128" s="62"/>
      <c r="BF128" s="62"/>
      <c r="BG128" s="62"/>
      <c r="BH128" s="62"/>
      <c r="BI128" s="62"/>
      <c r="BJ128" s="62"/>
      <c r="BK128" s="62"/>
      <c r="BL128" s="62"/>
      <c r="BM128" s="62"/>
      <c r="BN128" s="62"/>
      <c r="BO128" s="62"/>
      <c r="BP128" s="62"/>
      <c r="BQ128" s="62"/>
      <c r="BR128" s="62"/>
      <c r="BS128" s="62"/>
      <c r="BT128" s="62"/>
      <c r="BU128" s="62"/>
      <c r="BV128" s="62"/>
      <c r="BW128" s="62"/>
      <c r="BX128" s="62"/>
      <c r="BY128" s="62"/>
      <c r="BZ128" s="62"/>
      <c r="CA128" s="62"/>
      <c r="CB128" s="62"/>
      <c r="CC128" s="62"/>
      <c r="CD128" s="62"/>
      <c r="CE128" s="62"/>
      <c r="CF128" s="62"/>
      <c r="CG128" s="62"/>
      <c r="CH128" s="62"/>
      <c r="CI128" s="62"/>
      <c r="CJ128" s="62"/>
      <c r="CK128" s="62"/>
      <c r="CL128" s="62"/>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c r="DO128" s="62"/>
      <c r="DP128" s="62"/>
      <c r="DQ128" s="62"/>
      <c r="DR128" s="62"/>
      <c r="DS128" s="62"/>
      <c r="DT128" s="62"/>
      <c r="DU128" s="62"/>
      <c r="DV128" s="62"/>
      <c r="DW128" s="62"/>
      <c r="DX128" s="62"/>
      <c r="DY128" s="62"/>
      <c r="DZ128" s="62"/>
      <c r="EA128" s="62"/>
      <c r="EB128" s="62"/>
      <c r="EC128" s="62"/>
      <c r="ED128" s="62"/>
      <c r="EE128" s="62"/>
      <c r="EF128" s="62"/>
      <c r="EG128" s="62"/>
      <c r="EH128" s="62"/>
      <c r="EI128" s="62"/>
      <c r="EJ128" s="62"/>
      <c r="EK128" s="62"/>
      <c r="EL128" s="62"/>
      <c r="EM128" s="62"/>
      <c r="EN128" s="62"/>
      <c r="EO128" s="62"/>
      <c r="EP128" s="62"/>
      <c r="EQ128" s="62"/>
      <c r="ER128" s="62"/>
      <c r="ES128" s="62"/>
      <c r="ET128" s="62"/>
      <c r="EU128" s="62"/>
      <c r="EV128" s="62"/>
      <c r="EW128" s="62"/>
      <c r="EX128" s="62"/>
      <c r="EY128" s="62"/>
      <c r="EZ128" s="62"/>
      <c r="FA128" s="62"/>
      <c r="FB128" s="62"/>
      <c r="FC128" s="62"/>
      <c r="FD128" s="62"/>
      <c r="FE128" s="62"/>
      <c r="FF128" s="62"/>
      <c r="FG128" s="62"/>
      <c r="FH128" s="62"/>
      <c r="FI128" s="62"/>
      <c r="FJ128" s="62"/>
      <c r="FK128" s="62"/>
      <c r="FL128" s="62"/>
      <c r="FM128" s="62"/>
      <c r="FN128" s="62"/>
      <c r="FO128" s="62"/>
      <c r="FP128" s="62"/>
      <c r="FQ128" s="62"/>
      <c r="FR128" s="62"/>
      <c r="FS128" s="62"/>
      <c r="FT128" s="62"/>
      <c r="FU128" s="62"/>
      <c r="FV128" s="62"/>
    </row>
    <row r="129" spans="1:178" ht="13.8">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c r="CC129" s="62"/>
      <c r="CD129" s="62"/>
      <c r="CE129" s="62"/>
      <c r="CF129" s="62"/>
      <c r="CG129" s="62"/>
      <c r="CH129" s="62"/>
      <c r="CI129" s="62"/>
      <c r="CJ129" s="62"/>
      <c r="CK129" s="62"/>
      <c r="CL129" s="62"/>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c r="DO129" s="62"/>
      <c r="DP129" s="62"/>
      <c r="DQ129" s="62"/>
      <c r="DR129" s="62"/>
      <c r="DS129" s="62"/>
      <c r="DT129" s="62"/>
      <c r="DU129" s="62"/>
      <c r="DV129" s="62"/>
      <c r="DW129" s="62"/>
      <c r="DX129" s="62"/>
      <c r="DY129" s="62"/>
      <c r="DZ129" s="62"/>
      <c r="EA129" s="62"/>
      <c r="EB129" s="62"/>
      <c r="EC129" s="62"/>
      <c r="ED129" s="62"/>
      <c r="EE129" s="62"/>
      <c r="EF129" s="62"/>
      <c r="EG129" s="62"/>
      <c r="EH129" s="62"/>
      <c r="EI129" s="62"/>
      <c r="EJ129" s="62"/>
      <c r="EK129" s="62"/>
      <c r="EL129" s="62"/>
      <c r="EM129" s="62"/>
      <c r="EN129" s="62"/>
      <c r="EO129" s="62"/>
      <c r="EP129" s="62"/>
      <c r="EQ129" s="62"/>
      <c r="ER129" s="62"/>
      <c r="ES129" s="62"/>
      <c r="ET129" s="62"/>
      <c r="EU129" s="62"/>
      <c r="EV129" s="62"/>
      <c r="EW129" s="62"/>
      <c r="EX129" s="62"/>
      <c r="EY129" s="62"/>
      <c r="EZ129" s="62"/>
      <c r="FA129" s="62"/>
      <c r="FB129" s="62"/>
      <c r="FC129" s="62"/>
      <c r="FD129" s="62"/>
      <c r="FE129" s="62"/>
      <c r="FF129" s="62"/>
      <c r="FG129" s="62"/>
      <c r="FH129" s="62"/>
      <c r="FI129" s="62"/>
      <c r="FJ129" s="62"/>
      <c r="FK129" s="62"/>
      <c r="FL129" s="62"/>
      <c r="FM129" s="62"/>
      <c r="FN129" s="62"/>
      <c r="FO129" s="62"/>
      <c r="FP129" s="62"/>
      <c r="FQ129" s="62"/>
      <c r="FR129" s="62"/>
      <c r="FS129" s="62"/>
      <c r="FT129" s="62"/>
      <c r="FU129" s="62"/>
      <c r="FV129" s="62"/>
    </row>
    <row r="130" spans="1:178" ht="13.8">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62"/>
      <c r="BD130" s="62"/>
      <c r="BE130" s="62"/>
      <c r="BF130" s="62"/>
      <c r="BG130" s="62"/>
      <c r="BH130" s="62"/>
      <c r="BI130" s="62"/>
      <c r="BJ130" s="62"/>
      <c r="BK130" s="62"/>
      <c r="BL130" s="62"/>
      <c r="BM130" s="62"/>
      <c r="BN130" s="62"/>
      <c r="BO130" s="62"/>
      <c r="BP130" s="62"/>
      <c r="BQ130" s="62"/>
      <c r="BR130" s="62"/>
      <c r="BS130" s="62"/>
      <c r="BT130" s="62"/>
      <c r="BU130" s="62"/>
      <c r="BV130" s="62"/>
      <c r="BW130" s="62"/>
      <c r="BX130" s="62"/>
      <c r="BY130" s="62"/>
      <c r="BZ130" s="62"/>
      <c r="CA130" s="62"/>
      <c r="CB130" s="62"/>
      <c r="CC130" s="62"/>
      <c r="CD130" s="62"/>
      <c r="CE130" s="62"/>
      <c r="CF130" s="62"/>
      <c r="CG130" s="62"/>
      <c r="CH130" s="62"/>
      <c r="CI130" s="62"/>
      <c r="CJ130" s="62"/>
      <c r="CK130" s="62"/>
      <c r="CL130" s="62"/>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c r="DO130" s="62"/>
      <c r="DP130" s="62"/>
      <c r="DQ130" s="62"/>
      <c r="DR130" s="62"/>
      <c r="DS130" s="62"/>
      <c r="DT130" s="62"/>
      <c r="DU130" s="62"/>
      <c r="DV130" s="62"/>
      <c r="DW130" s="62"/>
      <c r="DX130" s="62"/>
      <c r="DY130" s="62"/>
      <c r="DZ130" s="62"/>
      <c r="EA130" s="62"/>
      <c r="EB130" s="62"/>
      <c r="EC130" s="62"/>
      <c r="ED130" s="62"/>
      <c r="EE130" s="62"/>
      <c r="EF130" s="62"/>
      <c r="EG130" s="62"/>
      <c r="EH130" s="62"/>
      <c r="EI130" s="62"/>
      <c r="EJ130" s="62"/>
      <c r="EK130" s="62"/>
      <c r="EL130" s="62"/>
      <c r="EM130" s="62"/>
      <c r="EN130" s="62"/>
      <c r="EO130" s="62"/>
      <c r="EP130" s="62"/>
      <c r="EQ130" s="62"/>
      <c r="ER130" s="62"/>
      <c r="ES130" s="62"/>
      <c r="ET130" s="62"/>
      <c r="EU130" s="62"/>
      <c r="EV130" s="62"/>
      <c r="EW130" s="62"/>
      <c r="EX130" s="62"/>
      <c r="EY130" s="62"/>
      <c r="EZ130" s="62"/>
      <c r="FA130" s="62"/>
      <c r="FB130" s="62"/>
      <c r="FC130" s="62"/>
      <c r="FD130" s="62"/>
      <c r="FE130" s="62"/>
      <c r="FF130" s="62"/>
      <c r="FG130" s="62"/>
      <c r="FH130" s="62"/>
      <c r="FI130" s="62"/>
      <c r="FJ130" s="62"/>
      <c r="FK130" s="62"/>
      <c r="FL130" s="62"/>
      <c r="FM130" s="62"/>
      <c r="FN130" s="62"/>
      <c r="FO130" s="62"/>
      <c r="FP130" s="62"/>
      <c r="FQ130" s="62"/>
      <c r="FR130" s="62"/>
      <c r="FS130" s="62"/>
      <c r="FT130" s="62"/>
      <c r="FU130" s="62"/>
      <c r="FV130" s="62"/>
    </row>
    <row r="131" spans="1:178" ht="13.8">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62"/>
      <c r="DR131" s="62"/>
      <c r="DS131" s="62"/>
      <c r="DT131" s="62"/>
      <c r="DU131" s="62"/>
      <c r="DV131" s="62"/>
      <c r="DW131" s="62"/>
      <c r="DX131" s="62"/>
      <c r="DY131" s="62"/>
      <c r="DZ131" s="62"/>
      <c r="EA131" s="62"/>
      <c r="EB131" s="62"/>
      <c r="EC131" s="62"/>
      <c r="ED131" s="62"/>
      <c r="EE131" s="62"/>
      <c r="EF131" s="62"/>
      <c r="EG131" s="62"/>
      <c r="EH131" s="62"/>
      <c r="EI131" s="62"/>
      <c r="EJ131" s="62"/>
      <c r="EK131" s="62"/>
      <c r="EL131" s="62"/>
      <c r="EM131" s="62"/>
      <c r="EN131" s="62"/>
      <c r="EO131" s="62"/>
      <c r="EP131" s="62"/>
      <c r="EQ131" s="62"/>
      <c r="ER131" s="62"/>
      <c r="ES131" s="62"/>
      <c r="ET131" s="62"/>
      <c r="EU131" s="62"/>
      <c r="EV131" s="62"/>
      <c r="EW131" s="62"/>
      <c r="EX131" s="62"/>
      <c r="EY131" s="62"/>
      <c r="EZ131" s="62"/>
      <c r="FA131" s="62"/>
      <c r="FB131" s="62"/>
      <c r="FC131" s="62"/>
      <c r="FD131" s="62"/>
      <c r="FE131" s="62"/>
      <c r="FF131" s="62"/>
      <c r="FG131" s="62"/>
      <c r="FH131" s="62"/>
      <c r="FI131" s="62"/>
      <c r="FJ131" s="62"/>
      <c r="FK131" s="62"/>
      <c r="FL131" s="62"/>
      <c r="FM131" s="62"/>
      <c r="FN131" s="62"/>
      <c r="FO131" s="62"/>
      <c r="FP131" s="62"/>
      <c r="FQ131" s="62"/>
      <c r="FR131" s="62"/>
      <c r="FS131" s="62"/>
      <c r="FT131" s="62"/>
      <c r="FU131" s="62"/>
      <c r="FV131" s="62"/>
    </row>
    <row r="132" spans="1:178" ht="13.8">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62"/>
      <c r="DR132" s="62"/>
      <c r="DS132" s="62"/>
      <c r="DT132" s="62"/>
      <c r="DU132" s="62"/>
      <c r="DV132" s="62"/>
      <c r="DW132" s="62"/>
      <c r="DX132" s="62"/>
      <c r="DY132" s="62"/>
      <c r="DZ132" s="62"/>
      <c r="EA132" s="62"/>
      <c r="EB132" s="62"/>
      <c r="EC132" s="62"/>
      <c r="ED132" s="62"/>
      <c r="EE132" s="62"/>
      <c r="EF132" s="62"/>
      <c r="EG132" s="62"/>
      <c r="EH132" s="62"/>
      <c r="EI132" s="62"/>
      <c r="EJ132" s="62"/>
      <c r="EK132" s="62"/>
      <c r="EL132" s="62"/>
      <c r="EM132" s="62"/>
      <c r="EN132" s="62"/>
      <c r="EO132" s="62"/>
      <c r="EP132" s="62"/>
      <c r="EQ132" s="62"/>
      <c r="ER132" s="62"/>
      <c r="ES132" s="62"/>
      <c r="ET132" s="62"/>
      <c r="EU132" s="62"/>
      <c r="EV132" s="62"/>
      <c r="EW132" s="62"/>
      <c r="EX132" s="62"/>
      <c r="EY132" s="62"/>
      <c r="EZ132" s="62"/>
      <c r="FA132" s="62"/>
      <c r="FB132" s="62"/>
      <c r="FC132" s="62"/>
      <c r="FD132" s="62"/>
      <c r="FE132" s="62"/>
      <c r="FF132" s="62"/>
      <c r="FG132" s="62"/>
      <c r="FH132" s="62"/>
      <c r="FI132" s="62"/>
      <c r="FJ132" s="62"/>
      <c r="FK132" s="62"/>
      <c r="FL132" s="62"/>
      <c r="FM132" s="62"/>
      <c r="FN132" s="62"/>
      <c r="FO132" s="62"/>
      <c r="FP132" s="62"/>
      <c r="FQ132" s="62"/>
      <c r="FR132" s="62"/>
      <c r="FS132" s="62"/>
      <c r="FT132" s="62"/>
      <c r="FU132" s="62"/>
      <c r="FV132" s="62"/>
    </row>
    <row r="133" spans="1:178" ht="13.8">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62"/>
      <c r="DR133" s="62"/>
      <c r="DS133" s="62"/>
      <c r="DT133" s="62"/>
      <c r="DU133" s="62"/>
      <c r="DV133" s="62"/>
      <c r="DW133" s="62"/>
      <c r="DX133" s="62"/>
      <c r="DY133" s="62"/>
      <c r="DZ133" s="62"/>
      <c r="EA133" s="62"/>
      <c r="EB133" s="62"/>
      <c r="EC133" s="62"/>
      <c r="ED133" s="62"/>
      <c r="EE133" s="62"/>
      <c r="EF133" s="62"/>
      <c r="EG133" s="62"/>
      <c r="EH133" s="62"/>
      <c r="EI133" s="62"/>
      <c r="EJ133" s="62"/>
      <c r="EK133" s="62"/>
      <c r="EL133" s="62"/>
      <c r="EM133" s="62"/>
      <c r="EN133" s="62"/>
      <c r="EO133" s="62"/>
      <c r="EP133" s="62"/>
      <c r="EQ133" s="62"/>
      <c r="ER133" s="62"/>
      <c r="ES133" s="62"/>
      <c r="ET133" s="62"/>
      <c r="EU133" s="62"/>
      <c r="EV133" s="62"/>
      <c r="EW133" s="62"/>
      <c r="EX133" s="62"/>
      <c r="EY133" s="62"/>
      <c r="EZ133" s="62"/>
      <c r="FA133" s="62"/>
      <c r="FB133" s="62"/>
      <c r="FC133" s="62"/>
      <c r="FD133" s="62"/>
      <c r="FE133" s="62"/>
      <c r="FF133" s="62"/>
      <c r="FG133" s="62"/>
      <c r="FH133" s="62"/>
      <c r="FI133" s="62"/>
      <c r="FJ133" s="62"/>
      <c r="FK133" s="62"/>
      <c r="FL133" s="62"/>
      <c r="FM133" s="62"/>
      <c r="FN133" s="62"/>
      <c r="FO133" s="62"/>
      <c r="FP133" s="62"/>
      <c r="FQ133" s="62"/>
      <c r="FR133" s="62"/>
      <c r="FS133" s="62"/>
      <c r="FT133" s="62"/>
      <c r="FU133" s="62"/>
      <c r="FV133" s="62"/>
    </row>
    <row r="134" spans="1:178" ht="13.8">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c r="CB134" s="62"/>
      <c r="CC134" s="62"/>
      <c r="CD134" s="62"/>
      <c r="CE134" s="62"/>
      <c r="CF134" s="62"/>
      <c r="CG134" s="62"/>
      <c r="CH134" s="62"/>
      <c r="CI134" s="62"/>
      <c r="CJ134" s="62"/>
      <c r="CK134" s="62"/>
      <c r="CL134" s="62"/>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c r="DO134" s="62"/>
      <c r="DP134" s="62"/>
      <c r="DQ134" s="62"/>
      <c r="DR134" s="62"/>
      <c r="DS134" s="62"/>
      <c r="DT134" s="62"/>
      <c r="DU134" s="62"/>
      <c r="DV134" s="62"/>
      <c r="DW134" s="62"/>
      <c r="DX134" s="62"/>
      <c r="DY134" s="62"/>
      <c r="DZ134" s="62"/>
      <c r="EA134" s="62"/>
      <c r="EB134" s="62"/>
      <c r="EC134" s="62"/>
      <c r="ED134" s="62"/>
      <c r="EE134" s="62"/>
      <c r="EF134" s="62"/>
      <c r="EG134" s="62"/>
      <c r="EH134" s="62"/>
      <c r="EI134" s="62"/>
      <c r="EJ134" s="62"/>
      <c r="EK134" s="62"/>
      <c r="EL134" s="62"/>
      <c r="EM134" s="62"/>
      <c r="EN134" s="62"/>
      <c r="EO134" s="62"/>
      <c r="EP134" s="62"/>
      <c r="EQ134" s="62"/>
      <c r="ER134" s="62"/>
      <c r="ES134" s="62"/>
      <c r="ET134" s="62"/>
      <c r="EU134" s="62"/>
      <c r="EV134" s="62"/>
      <c r="EW134" s="62"/>
      <c r="EX134" s="62"/>
      <c r="EY134" s="62"/>
      <c r="EZ134" s="62"/>
      <c r="FA134" s="62"/>
      <c r="FB134" s="62"/>
      <c r="FC134" s="62"/>
      <c r="FD134" s="62"/>
      <c r="FE134" s="62"/>
      <c r="FF134" s="62"/>
      <c r="FG134" s="62"/>
      <c r="FH134" s="62"/>
      <c r="FI134" s="62"/>
      <c r="FJ134" s="62"/>
      <c r="FK134" s="62"/>
      <c r="FL134" s="62"/>
      <c r="FM134" s="62"/>
      <c r="FN134" s="62"/>
      <c r="FO134" s="62"/>
      <c r="FP134" s="62"/>
      <c r="FQ134" s="62"/>
      <c r="FR134" s="62"/>
      <c r="FS134" s="62"/>
      <c r="FT134" s="62"/>
      <c r="FU134" s="62"/>
      <c r="FV134" s="62"/>
    </row>
    <row r="135" spans="1:178" ht="13.8">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c r="CC135" s="62"/>
      <c r="CD135" s="62"/>
      <c r="CE135" s="62"/>
      <c r="CF135" s="62"/>
      <c r="CG135" s="62"/>
      <c r="CH135" s="62"/>
      <c r="CI135" s="62"/>
      <c r="CJ135" s="62"/>
      <c r="CK135" s="62"/>
      <c r="CL135" s="62"/>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c r="DO135" s="62"/>
      <c r="DP135" s="62"/>
      <c r="DQ135" s="62"/>
      <c r="DR135" s="62"/>
      <c r="DS135" s="62"/>
      <c r="DT135" s="62"/>
      <c r="DU135" s="62"/>
      <c r="DV135" s="62"/>
      <c r="DW135" s="62"/>
      <c r="DX135" s="62"/>
      <c r="DY135" s="62"/>
      <c r="DZ135" s="62"/>
      <c r="EA135" s="62"/>
      <c r="EB135" s="62"/>
      <c r="EC135" s="62"/>
      <c r="ED135" s="62"/>
      <c r="EE135" s="62"/>
      <c r="EF135" s="62"/>
      <c r="EG135" s="62"/>
      <c r="EH135" s="62"/>
      <c r="EI135" s="62"/>
      <c r="EJ135" s="62"/>
      <c r="EK135" s="62"/>
      <c r="EL135" s="62"/>
      <c r="EM135" s="62"/>
      <c r="EN135" s="62"/>
      <c r="EO135" s="62"/>
      <c r="EP135" s="62"/>
      <c r="EQ135" s="62"/>
      <c r="ER135" s="62"/>
      <c r="ES135" s="62"/>
      <c r="ET135" s="62"/>
      <c r="EU135" s="62"/>
      <c r="EV135" s="62"/>
      <c r="EW135" s="62"/>
      <c r="EX135" s="62"/>
      <c r="EY135" s="62"/>
      <c r="EZ135" s="62"/>
      <c r="FA135" s="62"/>
      <c r="FB135" s="62"/>
      <c r="FC135" s="62"/>
      <c r="FD135" s="62"/>
      <c r="FE135" s="62"/>
      <c r="FF135" s="62"/>
      <c r="FG135" s="62"/>
      <c r="FH135" s="62"/>
      <c r="FI135" s="62"/>
      <c r="FJ135" s="62"/>
      <c r="FK135" s="62"/>
      <c r="FL135" s="62"/>
      <c r="FM135" s="62"/>
      <c r="FN135" s="62"/>
      <c r="FO135" s="62"/>
      <c r="FP135" s="62"/>
      <c r="FQ135" s="62"/>
      <c r="FR135" s="62"/>
      <c r="FS135" s="62"/>
      <c r="FT135" s="62"/>
      <c r="FU135" s="62"/>
      <c r="FV135" s="62"/>
    </row>
    <row r="136" spans="1:178" ht="13.8">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62"/>
      <c r="AZ136" s="62"/>
      <c r="BA136" s="62"/>
      <c r="BB136" s="62"/>
      <c r="BC136" s="62"/>
      <c r="BD136" s="62"/>
      <c r="BE136" s="62"/>
      <c r="BF136" s="62"/>
      <c r="BG136" s="62"/>
      <c r="BH136" s="62"/>
      <c r="BI136" s="62"/>
      <c r="BJ136" s="62"/>
      <c r="BK136" s="62"/>
      <c r="BL136" s="62"/>
      <c r="BM136" s="62"/>
      <c r="BN136" s="62"/>
      <c r="BO136" s="62"/>
      <c r="BP136" s="62"/>
      <c r="BQ136" s="62"/>
      <c r="BR136" s="62"/>
      <c r="BS136" s="62"/>
      <c r="BT136" s="62"/>
      <c r="BU136" s="62"/>
      <c r="BV136" s="62"/>
      <c r="BW136" s="62"/>
      <c r="BX136" s="62"/>
      <c r="BY136" s="62"/>
      <c r="BZ136" s="62"/>
      <c r="CA136" s="62"/>
      <c r="CB136" s="62"/>
      <c r="CC136" s="62"/>
      <c r="CD136" s="62"/>
      <c r="CE136" s="62"/>
      <c r="CF136" s="62"/>
      <c r="CG136" s="62"/>
      <c r="CH136" s="62"/>
      <c r="CI136" s="62"/>
      <c r="CJ136" s="62"/>
      <c r="CK136" s="62"/>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62"/>
      <c r="DR136" s="62"/>
      <c r="DS136" s="62"/>
      <c r="DT136" s="62"/>
      <c r="DU136" s="62"/>
      <c r="DV136" s="62"/>
      <c r="DW136" s="62"/>
      <c r="DX136" s="62"/>
      <c r="DY136" s="62"/>
      <c r="DZ136" s="62"/>
      <c r="EA136" s="62"/>
      <c r="EB136" s="62"/>
      <c r="EC136" s="62"/>
      <c r="ED136" s="62"/>
      <c r="EE136" s="62"/>
      <c r="EF136" s="62"/>
      <c r="EG136" s="62"/>
      <c r="EH136" s="62"/>
      <c r="EI136" s="62"/>
      <c r="EJ136" s="62"/>
      <c r="EK136" s="62"/>
      <c r="EL136" s="62"/>
      <c r="EM136" s="62"/>
      <c r="EN136" s="62"/>
      <c r="EO136" s="62"/>
      <c r="EP136" s="62"/>
      <c r="EQ136" s="62"/>
      <c r="ER136" s="62"/>
      <c r="ES136" s="62"/>
      <c r="ET136" s="62"/>
      <c r="EU136" s="62"/>
      <c r="EV136" s="62"/>
      <c r="EW136" s="62"/>
      <c r="EX136" s="62"/>
      <c r="EY136" s="62"/>
      <c r="EZ136" s="62"/>
      <c r="FA136" s="62"/>
      <c r="FB136" s="62"/>
      <c r="FC136" s="62"/>
      <c r="FD136" s="62"/>
      <c r="FE136" s="62"/>
      <c r="FF136" s="62"/>
      <c r="FG136" s="62"/>
      <c r="FH136" s="62"/>
      <c r="FI136" s="62"/>
      <c r="FJ136" s="62"/>
      <c r="FK136" s="62"/>
      <c r="FL136" s="62"/>
      <c r="FM136" s="62"/>
      <c r="FN136" s="62"/>
      <c r="FO136" s="62"/>
      <c r="FP136" s="62"/>
      <c r="FQ136" s="62"/>
      <c r="FR136" s="62"/>
      <c r="FS136" s="62"/>
      <c r="FT136" s="62"/>
      <c r="FU136" s="62"/>
      <c r="FV136" s="62"/>
    </row>
    <row r="137" spans="1:178" ht="13.8">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c r="CC137" s="62"/>
      <c r="CD137" s="62"/>
      <c r="CE137" s="62"/>
      <c r="CF137" s="62"/>
      <c r="CG137" s="62"/>
      <c r="CH137" s="62"/>
      <c r="CI137" s="62"/>
      <c r="CJ137" s="62"/>
      <c r="CK137" s="62"/>
      <c r="CL137" s="62"/>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c r="DO137" s="62"/>
      <c r="DP137" s="62"/>
      <c r="DQ137" s="62"/>
      <c r="DR137" s="62"/>
      <c r="DS137" s="62"/>
      <c r="DT137" s="62"/>
      <c r="DU137" s="62"/>
      <c r="DV137" s="62"/>
      <c r="DW137" s="62"/>
      <c r="DX137" s="62"/>
      <c r="DY137" s="62"/>
      <c r="DZ137" s="62"/>
      <c r="EA137" s="62"/>
      <c r="EB137" s="62"/>
      <c r="EC137" s="62"/>
      <c r="ED137" s="62"/>
      <c r="EE137" s="62"/>
      <c r="EF137" s="62"/>
      <c r="EG137" s="62"/>
      <c r="EH137" s="62"/>
      <c r="EI137" s="62"/>
      <c r="EJ137" s="62"/>
      <c r="EK137" s="62"/>
      <c r="EL137" s="62"/>
      <c r="EM137" s="62"/>
      <c r="EN137" s="62"/>
      <c r="EO137" s="62"/>
      <c r="EP137" s="62"/>
      <c r="EQ137" s="62"/>
      <c r="ER137" s="62"/>
      <c r="ES137" s="62"/>
      <c r="ET137" s="62"/>
      <c r="EU137" s="62"/>
      <c r="EV137" s="62"/>
      <c r="EW137" s="62"/>
      <c r="EX137" s="62"/>
      <c r="EY137" s="62"/>
      <c r="EZ137" s="62"/>
      <c r="FA137" s="62"/>
      <c r="FB137" s="62"/>
      <c r="FC137" s="62"/>
      <c r="FD137" s="62"/>
      <c r="FE137" s="62"/>
      <c r="FF137" s="62"/>
      <c r="FG137" s="62"/>
      <c r="FH137" s="62"/>
      <c r="FI137" s="62"/>
      <c r="FJ137" s="62"/>
      <c r="FK137" s="62"/>
      <c r="FL137" s="62"/>
      <c r="FM137" s="62"/>
      <c r="FN137" s="62"/>
      <c r="FO137" s="62"/>
      <c r="FP137" s="62"/>
      <c r="FQ137" s="62"/>
      <c r="FR137" s="62"/>
      <c r="FS137" s="62"/>
      <c r="FT137" s="62"/>
      <c r="FU137" s="62"/>
      <c r="FV137" s="62"/>
    </row>
    <row r="138" spans="1:178" ht="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62"/>
      <c r="AZ138" s="62"/>
      <c r="BA138" s="62"/>
      <c r="BB138" s="62"/>
      <c r="BC138" s="62"/>
      <c r="BD138" s="62"/>
      <c r="BE138" s="62"/>
      <c r="BF138" s="62"/>
      <c r="BG138" s="62"/>
      <c r="BH138" s="62"/>
      <c r="BI138" s="62"/>
      <c r="BJ138" s="62"/>
      <c r="BK138" s="62"/>
      <c r="BL138" s="62"/>
      <c r="BM138" s="62"/>
      <c r="BN138" s="62"/>
      <c r="BO138" s="62"/>
      <c r="BP138" s="62"/>
      <c r="BQ138" s="62"/>
      <c r="BR138" s="62"/>
      <c r="BS138" s="62"/>
      <c r="BT138" s="62"/>
      <c r="BU138" s="62"/>
      <c r="BV138" s="62"/>
      <c r="BW138" s="62"/>
      <c r="BX138" s="62"/>
      <c r="BY138" s="62"/>
      <c r="BZ138" s="62"/>
      <c r="CA138" s="62"/>
      <c r="CB138" s="62"/>
      <c r="CC138" s="62"/>
      <c r="CD138" s="62"/>
      <c r="CE138" s="62"/>
      <c r="CF138" s="62"/>
      <c r="CG138" s="62"/>
      <c r="CH138" s="62"/>
      <c r="CI138" s="62"/>
      <c r="CJ138" s="62"/>
      <c r="CK138" s="62"/>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62"/>
      <c r="DR138" s="62"/>
      <c r="DS138" s="62"/>
      <c r="DT138" s="62"/>
      <c r="DU138" s="62"/>
      <c r="DV138" s="62"/>
      <c r="DW138" s="62"/>
      <c r="DX138" s="62"/>
      <c r="DY138" s="62"/>
      <c r="DZ138" s="62"/>
      <c r="EA138" s="62"/>
      <c r="EB138" s="62"/>
      <c r="EC138" s="62"/>
      <c r="ED138" s="62"/>
      <c r="EE138" s="62"/>
      <c r="EF138" s="62"/>
      <c r="EG138" s="62"/>
      <c r="EH138" s="62"/>
      <c r="EI138" s="62"/>
      <c r="EJ138" s="62"/>
      <c r="EK138" s="62"/>
      <c r="EL138" s="62"/>
      <c r="EM138" s="62"/>
      <c r="EN138" s="62"/>
      <c r="EO138" s="62"/>
      <c r="EP138" s="62"/>
      <c r="EQ138" s="62"/>
      <c r="ER138" s="62"/>
      <c r="ES138" s="62"/>
      <c r="ET138" s="62"/>
      <c r="EU138" s="62"/>
      <c r="EV138" s="62"/>
      <c r="EW138" s="62"/>
      <c r="EX138" s="62"/>
      <c r="EY138" s="62"/>
      <c r="EZ138" s="62"/>
      <c r="FA138" s="62"/>
      <c r="FB138" s="62"/>
      <c r="FC138" s="62"/>
      <c r="FD138" s="62"/>
      <c r="FE138" s="62"/>
      <c r="FF138" s="62"/>
      <c r="FG138" s="62"/>
      <c r="FH138" s="62"/>
      <c r="FI138" s="62"/>
      <c r="FJ138" s="62"/>
      <c r="FK138" s="62"/>
      <c r="FL138" s="62"/>
      <c r="FM138" s="62"/>
      <c r="FN138" s="62"/>
      <c r="FO138" s="62"/>
      <c r="FP138" s="62"/>
      <c r="FQ138" s="62"/>
      <c r="FR138" s="62"/>
      <c r="FS138" s="62"/>
      <c r="FT138" s="62"/>
      <c r="FU138" s="62"/>
      <c r="FV138" s="62"/>
    </row>
    <row r="139" spans="1:178" ht="13.8">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c r="CC139" s="62"/>
      <c r="CD139" s="62"/>
      <c r="CE139" s="62"/>
      <c r="CF139" s="62"/>
      <c r="CG139" s="62"/>
      <c r="CH139" s="62"/>
      <c r="CI139" s="62"/>
      <c r="CJ139" s="62"/>
      <c r="CK139" s="62"/>
      <c r="CL139" s="62"/>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c r="DO139" s="62"/>
      <c r="DP139" s="62"/>
      <c r="DQ139" s="62"/>
      <c r="DR139" s="62"/>
      <c r="DS139" s="62"/>
      <c r="DT139" s="62"/>
      <c r="DU139" s="62"/>
      <c r="DV139" s="62"/>
      <c r="DW139" s="62"/>
      <c r="DX139" s="62"/>
      <c r="DY139" s="62"/>
      <c r="DZ139" s="62"/>
      <c r="EA139" s="62"/>
      <c r="EB139" s="62"/>
      <c r="EC139" s="62"/>
      <c r="ED139" s="62"/>
      <c r="EE139" s="62"/>
      <c r="EF139" s="62"/>
      <c r="EG139" s="62"/>
      <c r="EH139" s="62"/>
      <c r="EI139" s="62"/>
      <c r="EJ139" s="62"/>
      <c r="EK139" s="62"/>
      <c r="EL139" s="62"/>
      <c r="EM139" s="62"/>
      <c r="EN139" s="62"/>
      <c r="EO139" s="62"/>
      <c r="EP139" s="62"/>
      <c r="EQ139" s="62"/>
      <c r="ER139" s="62"/>
      <c r="ES139" s="62"/>
      <c r="ET139" s="62"/>
      <c r="EU139" s="62"/>
      <c r="EV139" s="62"/>
      <c r="EW139" s="62"/>
      <c r="EX139" s="62"/>
      <c r="EY139" s="62"/>
      <c r="EZ139" s="62"/>
      <c r="FA139" s="62"/>
      <c r="FB139" s="62"/>
      <c r="FC139" s="62"/>
      <c r="FD139" s="62"/>
      <c r="FE139" s="62"/>
      <c r="FF139" s="62"/>
      <c r="FG139" s="62"/>
      <c r="FH139" s="62"/>
      <c r="FI139" s="62"/>
      <c r="FJ139" s="62"/>
      <c r="FK139" s="62"/>
      <c r="FL139" s="62"/>
      <c r="FM139" s="62"/>
      <c r="FN139" s="62"/>
      <c r="FO139" s="62"/>
      <c r="FP139" s="62"/>
      <c r="FQ139" s="62"/>
      <c r="FR139" s="62"/>
      <c r="FS139" s="62"/>
      <c r="FT139" s="62"/>
      <c r="FU139" s="62"/>
      <c r="FV139" s="62"/>
    </row>
    <row r="140" spans="1:178" ht="13.8">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2"/>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62"/>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c r="DO140" s="62"/>
      <c r="DP140" s="62"/>
      <c r="DQ140" s="62"/>
      <c r="DR140" s="62"/>
      <c r="DS140" s="62"/>
      <c r="DT140" s="62"/>
      <c r="DU140" s="62"/>
      <c r="DV140" s="62"/>
      <c r="DW140" s="62"/>
      <c r="DX140" s="62"/>
      <c r="DY140" s="62"/>
      <c r="DZ140" s="62"/>
      <c r="EA140" s="62"/>
      <c r="EB140" s="62"/>
      <c r="EC140" s="62"/>
      <c r="ED140" s="62"/>
      <c r="EE140" s="62"/>
      <c r="EF140" s="62"/>
      <c r="EG140" s="62"/>
      <c r="EH140" s="62"/>
      <c r="EI140" s="62"/>
      <c r="EJ140" s="62"/>
      <c r="EK140" s="62"/>
      <c r="EL140" s="62"/>
      <c r="EM140" s="62"/>
      <c r="EN140" s="62"/>
      <c r="EO140" s="62"/>
      <c r="EP140" s="62"/>
      <c r="EQ140" s="62"/>
      <c r="ER140" s="62"/>
      <c r="ES140" s="62"/>
      <c r="ET140" s="62"/>
      <c r="EU140" s="62"/>
      <c r="EV140" s="62"/>
      <c r="EW140" s="62"/>
      <c r="EX140" s="62"/>
      <c r="EY140" s="62"/>
      <c r="EZ140" s="62"/>
      <c r="FA140" s="62"/>
      <c r="FB140" s="62"/>
      <c r="FC140" s="62"/>
      <c r="FD140" s="62"/>
      <c r="FE140" s="62"/>
      <c r="FF140" s="62"/>
      <c r="FG140" s="62"/>
      <c r="FH140" s="62"/>
      <c r="FI140" s="62"/>
      <c r="FJ140" s="62"/>
      <c r="FK140" s="62"/>
      <c r="FL140" s="62"/>
      <c r="FM140" s="62"/>
      <c r="FN140" s="62"/>
      <c r="FO140" s="62"/>
      <c r="FP140" s="62"/>
      <c r="FQ140" s="62"/>
      <c r="FR140" s="62"/>
      <c r="FS140" s="62"/>
      <c r="FT140" s="62"/>
      <c r="FU140" s="62"/>
      <c r="FV140" s="62"/>
    </row>
    <row r="141" spans="1:178" ht="13.8">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62"/>
      <c r="DR141" s="62"/>
      <c r="DS141" s="62"/>
      <c r="DT141" s="62"/>
      <c r="DU141" s="62"/>
      <c r="DV141" s="62"/>
      <c r="DW141" s="62"/>
      <c r="DX141" s="62"/>
      <c r="DY141" s="62"/>
      <c r="DZ141" s="62"/>
      <c r="EA141" s="62"/>
      <c r="EB141" s="62"/>
      <c r="EC141" s="62"/>
      <c r="ED141" s="62"/>
      <c r="EE141" s="62"/>
      <c r="EF141" s="62"/>
      <c r="EG141" s="62"/>
      <c r="EH141" s="62"/>
      <c r="EI141" s="62"/>
      <c r="EJ141" s="62"/>
      <c r="EK141" s="62"/>
      <c r="EL141" s="62"/>
      <c r="EM141" s="62"/>
      <c r="EN141" s="62"/>
      <c r="EO141" s="62"/>
      <c r="EP141" s="62"/>
      <c r="EQ141" s="62"/>
      <c r="ER141" s="62"/>
      <c r="ES141" s="62"/>
      <c r="ET141" s="62"/>
      <c r="EU141" s="62"/>
      <c r="EV141" s="62"/>
      <c r="EW141" s="62"/>
      <c r="EX141" s="62"/>
      <c r="EY141" s="62"/>
      <c r="EZ141" s="62"/>
      <c r="FA141" s="62"/>
      <c r="FB141" s="62"/>
      <c r="FC141" s="62"/>
      <c r="FD141" s="62"/>
      <c r="FE141" s="62"/>
      <c r="FF141" s="62"/>
      <c r="FG141" s="62"/>
      <c r="FH141" s="62"/>
      <c r="FI141" s="62"/>
      <c r="FJ141" s="62"/>
      <c r="FK141" s="62"/>
      <c r="FL141" s="62"/>
      <c r="FM141" s="62"/>
      <c r="FN141" s="62"/>
      <c r="FO141" s="62"/>
      <c r="FP141" s="62"/>
      <c r="FQ141" s="62"/>
      <c r="FR141" s="62"/>
      <c r="FS141" s="62"/>
      <c r="FT141" s="62"/>
      <c r="FU141" s="62"/>
      <c r="FV141" s="62"/>
    </row>
    <row r="142" spans="1:178" ht="13.8">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62"/>
      <c r="BD142" s="62"/>
      <c r="BE142" s="62"/>
      <c r="BF142" s="62"/>
      <c r="BG142" s="62"/>
      <c r="BH142" s="62"/>
      <c r="BI142" s="62"/>
      <c r="BJ142" s="62"/>
      <c r="BK142" s="62"/>
      <c r="BL142" s="62"/>
      <c r="BM142" s="62"/>
      <c r="BN142" s="62"/>
      <c r="BO142" s="62"/>
      <c r="BP142" s="62"/>
      <c r="BQ142" s="62"/>
      <c r="BR142" s="62"/>
      <c r="BS142" s="62"/>
      <c r="BT142" s="62"/>
      <c r="BU142" s="62"/>
      <c r="BV142" s="62"/>
      <c r="BW142" s="62"/>
      <c r="BX142" s="62"/>
      <c r="BY142" s="62"/>
      <c r="BZ142" s="62"/>
      <c r="CA142" s="62"/>
      <c r="CB142" s="62"/>
      <c r="CC142" s="62"/>
      <c r="CD142" s="62"/>
      <c r="CE142" s="62"/>
      <c r="CF142" s="62"/>
      <c r="CG142" s="62"/>
      <c r="CH142" s="62"/>
      <c r="CI142" s="62"/>
      <c r="CJ142" s="62"/>
      <c r="CK142" s="62"/>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62"/>
      <c r="DR142" s="62"/>
      <c r="DS142" s="62"/>
      <c r="DT142" s="62"/>
      <c r="DU142" s="62"/>
      <c r="DV142" s="62"/>
      <c r="DW142" s="62"/>
      <c r="DX142" s="62"/>
      <c r="DY142" s="62"/>
      <c r="DZ142" s="62"/>
      <c r="EA142" s="62"/>
      <c r="EB142" s="62"/>
      <c r="EC142" s="62"/>
      <c r="ED142" s="62"/>
      <c r="EE142" s="62"/>
      <c r="EF142" s="62"/>
      <c r="EG142" s="62"/>
      <c r="EH142" s="62"/>
      <c r="EI142" s="62"/>
      <c r="EJ142" s="62"/>
      <c r="EK142" s="62"/>
      <c r="EL142" s="62"/>
      <c r="EM142" s="62"/>
      <c r="EN142" s="62"/>
      <c r="EO142" s="62"/>
      <c r="EP142" s="62"/>
      <c r="EQ142" s="62"/>
      <c r="ER142" s="62"/>
      <c r="ES142" s="62"/>
      <c r="ET142" s="62"/>
      <c r="EU142" s="62"/>
      <c r="EV142" s="62"/>
      <c r="EW142" s="62"/>
      <c r="EX142" s="62"/>
      <c r="EY142" s="62"/>
      <c r="EZ142" s="62"/>
      <c r="FA142" s="62"/>
      <c r="FB142" s="62"/>
      <c r="FC142" s="62"/>
      <c r="FD142" s="62"/>
      <c r="FE142" s="62"/>
      <c r="FF142" s="62"/>
      <c r="FG142" s="62"/>
      <c r="FH142" s="62"/>
      <c r="FI142" s="62"/>
      <c r="FJ142" s="62"/>
      <c r="FK142" s="62"/>
      <c r="FL142" s="62"/>
      <c r="FM142" s="62"/>
      <c r="FN142" s="62"/>
      <c r="FO142" s="62"/>
      <c r="FP142" s="62"/>
      <c r="FQ142" s="62"/>
      <c r="FR142" s="62"/>
      <c r="FS142" s="62"/>
      <c r="FT142" s="62"/>
      <c r="FU142" s="62"/>
      <c r="FV142" s="62"/>
    </row>
    <row r="143" spans="1:178" ht="13.8">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c r="DU143" s="62"/>
      <c r="DV143" s="62"/>
      <c r="DW143" s="62"/>
      <c r="DX143" s="62"/>
      <c r="DY143" s="62"/>
      <c r="DZ143" s="62"/>
      <c r="EA143" s="62"/>
      <c r="EB143" s="62"/>
      <c r="EC143" s="62"/>
      <c r="ED143" s="62"/>
      <c r="EE143" s="62"/>
      <c r="EF143" s="62"/>
      <c r="EG143" s="62"/>
      <c r="EH143" s="62"/>
      <c r="EI143" s="62"/>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c r="FK143" s="62"/>
      <c r="FL143" s="62"/>
      <c r="FM143" s="62"/>
      <c r="FN143" s="62"/>
      <c r="FO143" s="62"/>
      <c r="FP143" s="62"/>
      <c r="FQ143" s="62"/>
      <c r="FR143" s="62"/>
      <c r="FS143" s="62"/>
      <c r="FT143" s="62"/>
      <c r="FU143" s="62"/>
      <c r="FV143" s="62"/>
    </row>
    <row r="144" spans="1:178" ht="13.8">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row>
    <row r="145" spans="1:178" ht="13.8">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62"/>
      <c r="DR145" s="62"/>
      <c r="DS145" s="62"/>
      <c r="DT145" s="62"/>
      <c r="DU145" s="62"/>
      <c r="DV145" s="62"/>
      <c r="DW145" s="62"/>
      <c r="DX145" s="62"/>
      <c r="DY145" s="62"/>
      <c r="DZ145" s="62"/>
      <c r="EA145" s="62"/>
      <c r="EB145" s="62"/>
      <c r="EC145" s="62"/>
      <c r="ED145" s="62"/>
      <c r="EE145" s="62"/>
      <c r="EF145" s="62"/>
      <c r="EG145" s="62"/>
      <c r="EH145" s="62"/>
      <c r="EI145" s="62"/>
      <c r="EJ145" s="62"/>
      <c r="EK145" s="62"/>
      <c r="EL145" s="62"/>
      <c r="EM145" s="62"/>
      <c r="EN145" s="62"/>
      <c r="EO145" s="62"/>
      <c r="EP145" s="62"/>
      <c r="EQ145" s="62"/>
      <c r="ER145" s="62"/>
      <c r="ES145" s="62"/>
      <c r="ET145" s="62"/>
      <c r="EU145" s="62"/>
      <c r="EV145" s="62"/>
      <c r="EW145" s="62"/>
      <c r="EX145" s="62"/>
      <c r="EY145" s="62"/>
      <c r="EZ145" s="62"/>
      <c r="FA145" s="62"/>
      <c r="FB145" s="62"/>
      <c r="FC145" s="62"/>
      <c r="FD145" s="62"/>
      <c r="FE145" s="62"/>
      <c r="FF145" s="62"/>
      <c r="FG145" s="62"/>
      <c r="FH145" s="62"/>
      <c r="FI145" s="62"/>
      <c r="FJ145" s="62"/>
      <c r="FK145" s="62"/>
      <c r="FL145" s="62"/>
      <c r="FM145" s="62"/>
      <c r="FN145" s="62"/>
      <c r="FO145" s="62"/>
      <c r="FP145" s="62"/>
      <c r="FQ145" s="62"/>
      <c r="FR145" s="62"/>
      <c r="FS145" s="62"/>
      <c r="FT145" s="62"/>
      <c r="FU145" s="62"/>
      <c r="FV145" s="62"/>
    </row>
    <row r="146" spans="1:178" ht="13.8">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row>
    <row r="147" spans="1:178" ht="13.8">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row>
    <row r="148" spans="1:178" ht="13.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row>
    <row r="149" spans="1:178" ht="13.8">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row>
    <row r="150" spans="1:178" ht="13.8">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row>
    <row r="151" spans="1:178" ht="13.8">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2"/>
      <c r="EX151" s="62"/>
      <c r="EY151" s="62"/>
      <c r="EZ151" s="62"/>
      <c r="FA151" s="62"/>
      <c r="FB151" s="62"/>
      <c r="FC151" s="62"/>
      <c r="FD151" s="62"/>
      <c r="FE151" s="62"/>
      <c r="FF151" s="62"/>
      <c r="FG151" s="62"/>
      <c r="FH151" s="62"/>
      <c r="FI151" s="62"/>
      <c r="FJ151" s="62"/>
      <c r="FK151" s="62"/>
      <c r="FL151" s="62"/>
      <c r="FM151" s="62"/>
      <c r="FN151" s="62"/>
      <c r="FO151" s="62"/>
      <c r="FP151" s="62"/>
      <c r="FQ151" s="62"/>
      <c r="FR151" s="62"/>
      <c r="FS151" s="62"/>
      <c r="FT151" s="62"/>
      <c r="FU151" s="62"/>
      <c r="FV151" s="62"/>
    </row>
    <row r="152" spans="1:178" ht="13.8">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62"/>
      <c r="DR152" s="62"/>
      <c r="DS152" s="62"/>
      <c r="DT152" s="62"/>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2"/>
      <c r="EX152" s="62"/>
      <c r="EY152" s="62"/>
      <c r="EZ152" s="62"/>
      <c r="FA152" s="62"/>
      <c r="FB152" s="62"/>
      <c r="FC152" s="62"/>
      <c r="FD152" s="62"/>
      <c r="FE152" s="62"/>
      <c r="FF152" s="62"/>
      <c r="FG152" s="62"/>
      <c r="FH152" s="62"/>
      <c r="FI152" s="62"/>
      <c r="FJ152" s="62"/>
      <c r="FK152" s="62"/>
      <c r="FL152" s="62"/>
      <c r="FM152" s="62"/>
      <c r="FN152" s="62"/>
      <c r="FO152" s="62"/>
      <c r="FP152" s="62"/>
      <c r="FQ152" s="62"/>
      <c r="FR152" s="62"/>
      <c r="FS152" s="62"/>
      <c r="FT152" s="62"/>
      <c r="FU152" s="62"/>
      <c r="FV152" s="62"/>
    </row>
    <row r="153" spans="1:178" ht="13.8">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62"/>
      <c r="DR153" s="62"/>
      <c r="DS153" s="62"/>
      <c r="DT153" s="62"/>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2"/>
      <c r="EX153" s="62"/>
      <c r="EY153" s="62"/>
      <c r="EZ153" s="62"/>
      <c r="FA153" s="62"/>
      <c r="FB153" s="62"/>
      <c r="FC153" s="62"/>
      <c r="FD153" s="62"/>
      <c r="FE153" s="62"/>
      <c r="FF153" s="62"/>
      <c r="FG153" s="62"/>
      <c r="FH153" s="62"/>
      <c r="FI153" s="62"/>
      <c r="FJ153" s="62"/>
      <c r="FK153" s="62"/>
      <c r="FL153" s="62"/>
      <c r="FM153" s="62"/>
      <c r="FN153" s="62"/>
      <c r="FO153" s="62"/>
      <c r="FP153" s="62"/>
      <c r="FQ153" s="62"/>
      <c r="FR153" s="62"/>
      <c r="FS153" s="62"/>
      <c r="FT153" s="62"/>
      <c r="FU153" s="62"/>
      <c r="FV153" s="62"/>
    </row>
    <row r="154" spans="1:178" ht="13.8">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62"/>
      <c r="DR154" s="62"/>
      <c r="DS154" s="62"/>
      <c r="DT154" s="62"/>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2"/>
      <c r="EX154" s="62"/>
      <c r="EY154" s="62"/>
      <c r="EZ154" s="62"/>
      <c r="FA154" s="62"/>
      <c r="FB154" s="62"/>
      <c r="FC154" s="62"/>
      <c r="FD154" s="62"/>
      <c r="FE154" s="62"/>
      <c r="FF154" s="62"/>
      <c r="FG154" s="62"/>
      <c r="FH154" s="62"/>
      <c r="FI154" s="62"/>
      <c r="FJ154" s="62"/>
      <c r="FK154" s="62"/>
      <c r="FL154" s="62"/>
      <c r="FM154" s="62"/>
      <c r="FN154" s="62"/>
      <c r="FO154" s="62"/>
      <c r="FP154" s="62"/>
      <c r="FQ154" s="62"/>
      <c r="FR154" s="62"/>
      <c r="FS154" s="62"/>
      <c r="FT154" s="62"/>
      <c r="FU154" s="62"/>
      <c r="FV154" s="62"/>
    </row>
    <row r="155" spans="1:178" ht="13.8">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62"/>
      <c r="DR155" s="62"/>
      <c r="DS155" s="62"/>
      <c r="DT155" s="62"/>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2"/>
      <c r="EX155" s="62"/>
      <c r="EY155" s="62"/>
      <c r="EZ155" s="62"/>
      <c r="FA155" s="62"/>
      <c r="FB155" s="62"/>
      <c r="FC155" s="62"/>
      <c r="FD155" s="62"/>
      <c r="FE155" s="62"/>
      <c r="FF155" s="62"/>
      <c r="FG155" s="62"/>
      <c r="FH155" s="62"/>
      <c r="FI155" s="62"/>
      <c r="FJ155" s="62"/>
      <c r="FK155" s="62"/>
      <c r="FL155" s="62"/>
      <c r="FM155" s="62"/>
      <c r="FN155" s="62"/>
      <c r="FO155" s="62"/>
      <c r="FP155" s="62"/>
      <c r="FQ155" s="62"/>
      <c r="FR155" s="62"/>
      <c r="FS155" s="62"/>
      <c r="FT155" s="62"/>
      <c r="FU155" s="62"/>
      <c r="FV155" s="62"/>
    </row>
    <row r="156" spans="1:178" ht="13.8">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2"/>
      <c r="EX156" s="62"/>
      <c r="EY156" s="62"/>
      <c r="EZ156" s="62"/>
      <c r="FA156" s="62"/>
      <c r="FB156" s="62"/>
      <c r="FC156" s="62"/>
      <c r="FD156" s="62"/>
      <c r="FE156" s="62"/>
      <c r="FF156" s="62"/>
      <c r="FG156" s="62"/>
      <c r="FH156" s="62"/>
      <c r="FI156" s="62"/>
      <c r="FJ156" s="62"/>
      <c r="FK156" s="62"/>
      <c r="FL156" s="62"/>
      <c r="FM156" s="62"/>
      <c r="FN156" s="62"/>
      <c r="FO156" s="62"/>
      <c r="FP156" s="62"/>
      <c r="FQ156" s="62"/>
      <c r="FR156" s="62"/>
      <c r="FS156" s="62"/>
      <c r="FT156" s="62"/>
      <c r="FU156" s="62"/>
      <c r="FV156" s="62"/>
    </row>
    <row r="157" spans="1:178" ht="13.8">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62"/>
      <c r="DR157" s="62"/>
      <c r="DS157" s="62"/>
      <c r="DT157" s="62"/>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2"/>
      <c r="EX157" s="62"/>
      <c r="EY157" s="62"/>
      <c r="EZ157" s="62"/>
      <c r="FA157" s="62"/>
      <c r="FB157" s="62"/>
      <c r="FC157" s="62"/>
      <c r="FD157" s="62"/>
      <c r="FE157" s="62"/>
      <c r="FF157" s="62"/>
      <c r="FG157" s="62"/>
      <c r="FH157" s="62"/>
      <c r="FI157" s="62"/>
      <c r="FJ157" s="62"/>
      <c r="FK157" s="62"/>
      <c r="FL157" s="62"/>
      <c r="FM157" s="62"/>
      <c r="FN157" s="62"/>
      <c r="FO157" s="62"/>
      <c r="FP157" s="62"/>
      <c r="FQ157" s="62"/>
      <c r="FR157" s="62"/>
      <c r="FS157" s="62"/>
      <c r="FT157" s="62"/>
      <c r="FU157" s="62"/>
      <c r="FV157" s="62"/>
    </row>
    <row r="158" spans="1:178" ht="13.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62"/>
      <c r="DR158" s="62"/>
      <c r="DS158" s="62"/>
      <c r="DT158" s="62"/>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2"/>
      <c r="EX158" s="62"/>
      <c r="EY158" s="62"/>
      <c r="EZ158" s="62"/>
      <c r="FA158" s="62"/>
      <c r="FB158" s="62"/>
      <c r="FC158" s="62"/>
      <c r="FD158" s="62"/>
      <c r="FE158" s="62"/>
      <c r="FF158" s="62"/>
      <c r="FG158" s="62"/>
      <c r="FH158" s="62"/>
      <c r="FI158" s="62"/>
      <c r="FJ158" s="62"/>
      <c r="FK158" s="62"/>
      <c r="FL158" s="62"/>
      <c r="FM158" s="62"/>
      <c r="FN158" s="62"/>
      <c r="FO158" s="62"/>
      <c r="FP158" s="62"/>
      <c r="FQ158" s="62"/>
      <c r="FR158" s="62"/>
      <c r="FS158" s="62"/>
      <c r="FT158" s="62"/>
      <c r="FU158" s="62"/>
      <c r="FV158" s="62"/>
    </row>
    <row r="159" spans="1:178" ht="13.8">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2"/>
      <c r="EX159" s="62"/>
      <c r="EY159" s="62"/>
      <c r="EZ159" s="62"/>
      <c r="FA159" s="62"/>
      <c r="FB159" s="62"/>
      <c r="FC159" s="62"/>
      <c r="FD159" s="62"/>
      <c r="FE159" s="62"/>
      <c r="FF159" s="62"/>
      <c r="FG159" s="62"/>
      <c r="FH159" s="62"/>
      <c r="FI159" s="62"/>
      <c r="FJ159" s="62"/>
      <c r="FK159" s="62"/>
      <c r="FL159" s="62"/>
      <c r="FM159" s="62"/>
      <c r="FN159" s="62"/>
      <c r="FO159" s="62"/>
      <c r="FP159" s="62"/>
      <c r="FQ159" s="62"/>
      <c r="FR159" s="62"/>
      <c r="FS159" s="62"/>
      <c r="FT159" s="62"/>
      <c r="FU159" s="62"/>
      <c r="FV159" s="62"/>
    </row>
    <row r="160" spans="1:178" ht="13.8">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62"/>
      <c r="DR160" s="62"/>
      <c r="DS160" s="62"/>
      <c r="DT160" s="62"/>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c r="FK160" s="62"/>
      <c r="FL160" s="62"/>
      <c r="FM160" s="62"/>
      <c r="FN160" s="62"/>
      <c r="FO160" s="62"/>
      <c r="FP160" s="62"/>
      <c r="FQ160" s="62"/>
      <c r="FR160" s="62"/>
      <c r="FS160" s="62"/>
      <c r="FT160" s="62"/>
      <c r="FU160" s="62"/>
      <c r="FV160" s="62"/>
    </row>
    <row r="161" spans="1:178" ht="13.8">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62"/>
      <c r="CX161" s="62"/>
      <c r="CY161" s="62"/>
      <c r="CZ161" s="62"/>
      <c r="DA161" s="62"/>
      <c r="DB161" s="62"/>
      <c r="DC161" s="62"/>
      <c r="DD161" s="62"/>
      <c r="DE161" s="62"/>
      <c r="DF161" s="62"/>
      <c r="DG161" s="62"/>
      <c r="DH161" s="62"/>
      <c r="DI161" s="62"/>
      <c r="DJ161" s="62"/>
      <c r="DK161" s="62"/>
      <c r="DL161" s="62"/>
      <c r="DM161" s="62"/>
      <c r="DN161" s="62"/>
      <c r="DO161" s="62"/>
      <c r="DP161" s="62"/>
      <c r="DQ161" s="62"/>
      <c r="DR161" s="62"/>
      <c r="DS161" s="62"/>
      <c r="DT161" s="62"/>
      <c r="DU161" s="62"/>
      <c r="DV161" s="62"/>
      <c r="DW161" s="62"/>
      <c r="DX161" s="62"/>
      <c r="DY161" s="62"/>
      <c r="DZ161" s="62"/>
      <c r="EA161" s="62"/>
      <c r="EB161" s="62"/>
      <c r="EC161" s="62"/>
      <c r="ED161" s="62"/>
      <c r="EE161" s="62"/>
      <c r="EF161" s="62"/>
      <c r="EG161" s="62"/>
      <c r="EH161" s="62"/>
      <c r="EI161" s="62"/>
      <c r="EJ161" s="62"/>
      <c r="EK161" s="62"/>
      <c r="EL161" s="62"/>
      <c r="EM161" s="62"/>
      <c r="EN161" s="62"/>
      <c r="EO161" s="62"/>
      <c r="EP161" s="62"/>
      <c r="EQ161" s="62"/>
      <c r="ER161" s="62"/>
      <c r="ES161" s="62"/>
      <c r="ET161" s="62"/>
      <c r="EU161" s="62"/>
      <c r="EV161" s="62"/>
      <c r="EW161" s="62"/>
      <c r="EX161" s="62"/>
      <c r="EY161" s="62"/>
      <c r="EZ161" s="62"/>
      <c r="FA161" s="62"/>
      <c r="FB161" s="62"/>
      <c r="FC161" s="62"/>
      <c r="FD161" s="62"/>
      <c r="FE161" s="62"/>
      <c r="FF161" s="62"/>
      <c r="FG161" s="62"/>
      <c r="FH161" s="62"/>
      <c r="FI161" s="62"/>
      <c r="FJ161" s="62"/>
      <c r="FK161" s="62"/>
      <c r="FL161" s="62"/>
      <c r="FM161" s="62"/>
      <c r="FN161" s="62"/>
      <c r="FO161" s="62"/>
      <c r="FP161" s="62"/>
      <c r="FQ161" s="62"/>
      <c r="FR161" s="62"/>
      <c r="FS161" s="62"/>
      <c r="FT161" s="62"/>
      <c r="FU161" s="62"/>
      <c r="FV161" s="62"/>
    </row>
    <row r="162" spans="1:178" ht="13.8">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c r="AY162" s="62"/>
      <c r="AZ162" s="62"/>
      <c r="BA162" s="62"/>
      <c r="BB162" s="62"/>
      <c r="BC162" s="62"/>
      <c r="BD162" s="62"/>
      <c r="BE162" s="62"/>
      <c r="BF162" s="62"/>
      <c r="BG162" s="62"/>
      <c r="BH162" s="62"/>
      <c r="BI162" s="62"/>
      <c r="BJ162" s="62"/>
      <c r="BK162" s="62"/>
      <c r="BL162" s="62"/>
      <c r="BM162" s="62"/>
      <c r="BN162" s="62"/>
      <c r="BO162" s="62"/>
      <c r="BP162" s="62"/>
      <c r="BQ162" s="62"/>
      <c r="BR162" s="62"/>
      <c r="BS162" s="62"/>
      <c r="BT162" s="62"/>
      <c r="BU162" s="62"/>
      <c r="BV162" s="62"/>
      <c r="BW162" s="62"/>
      <c r="BX162" s="62"/>
      <c r="BY162" s="62"/>
      <c r="BZ162" s="62"/>
      <c r="CA162" s="62"/>
      <c r="CB162" s="62"/>
      <c r="CC162" s="62"/>
      <c r="CD162" s="62"/>
      <c r="CE162" s="62"/>
      <c r="CF162" s="62"/>
      <c r="CG162" s="62"/>
      <c r="CH162" s="62"/>
      <c r="CI162" s="62"/>
      <c r="CJ162" s="62"/>
      <c r="CK162" s="62"/>
      <c r="CL162" s="62"/>
      <c r="CM162" s="62"/>
      <c r="CN162" s="62"/>
      <c r="CO162" s="62"/>
      <c r="CP162" s="62"/>
      <c r="CQ162" s="62"/>
      <c r="CR162" s="62"/>
      <c r="CS162" s="62"/>
      <c r="CT162" s="62"/>
      <c r="CU162" s="62"/>
      <c r="CV162" s="62"/>
      <c r="CW162" s="62"/>
      <c r="CX162" s="62"/>
      <c r="CY162" s="62"/>
      <c r="CZ162" s="62"/>
      <c r="DA162" s="62"/>
      <c r="DB162" s="62"/>
      <c r="DC162" s="62"/>
      <c r="DD162" s="62"/>
      <c r="DE162" s="62"/>
      <c r="DF162" s="62"/>
      <c r="DG162" s="62"/>
      <c r="DH162" s="62"/>
      <c r="DI162" s="62"/>
      <c r="DJ162" s="62"/>
      <c r="DK162" s="62"/>
      <c r="DL162" s="62"/>
      <c r="DM162" s="62"/>
      <c r="DN162" s="62"/>
      <c r="DO162" s="62"/>
      <c r="DP162" s="62"/>
      <c r="DQ162" s="62"/>
      <c r="DR162" s="62"/>
      <c r="DS162" s="62"/>
      <c r="DT162" s="62"/>
      <c r="DU162" s="62"/>
      <c r="DV162" s="62"/>
      <c r="DW162" s="62"/>
      <c r="DX162" s="62"/>
      <c r="DY162" s="62"/>
      <c r="DZ162" s="62"/>
      <c r="EA162" s="62"/>
      <c r="EB162" s="62"/>
      <c r="EC162" s="62"/>
      <c r="ED162" s="62"/>
      <c r="EE162" s="62"/>
      <c r="EF162" s="62"/>
      <c r="EG162" s="62"/>
      <c r="EH162" s="62"/>
      <c r="EI162" s="62"/>
      <c r="EJ162" s="62"/>
      <c r="EK162" s="62"/>
      <c r="EL162" s="62"/>
      <c r="EM162" s="62"/>
      <c r="EN162" s="62"/>
      <c r="EO162" s="62"/>
      <c r="EP162" s="62"/>
      <c r="EQ162" s="62"/>
      <c r="ER162" s="62"/>
      <c r="ES162" s="62"/>
      <c r="ET162" s="62"/>
      <c r="EU162" s="62"/>
      <c r="EV162" s="62"/>
      <c r="EW162" s="62"/>
      <c r="EX162" s="62"/>
      <c r="EY162" s="62"/>
      <c r="EZ162" s="62"/>
      <c r="FA162" s="62"/>
      <c r="FB162" s="62"/>
      <c r="FC162" s="62"/>
      <c r="FD162" s="62"/>
      <c r="FE162" s="62"/>
      <c r="FF162" s="62"/>
      <c r="FG162" s="62"/>
      <c r="FH162" s="62"/>
      <c r="FI162" s="62"/>
      <c r="FJ162" s="62"/>
      <c r="FK162" s="62"/>
      <c r="FL162" s="62"/>
      <c r="FM162" s="62"/>
      <c r="FN162" s="62"/>
      <c r="FO162" s="62"/>
      <c r="FP162" s="62"/>
      <c r="FQ162" s="62"/>
      <c r="FR162" s="62"/>
      <c r="FS162" s="62"/>
      <c r="FT162" s="62"/>
      <c r="FU162" s="62"/>
      <c r="FV162" s="62"/>
    </row>
    <row r="163" spans="1:178" ht="13.8">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2"/>
      <c r="CP163" s="62"/>
      <c r="CQ163" s="62"/>
      <c r="CR163" s="62"/>
      <c r="CS163" s="62"/>
      <c r="CT163" s="62"/>
      <c r="CU163" s="62"/>
      <c r="CV163" s="62"/>
      <c r="CW163" s="62"/>
      <c r="CX163" s="62"/>
      <c r="CY163" s="62"/>
      <c r="CZ163" s="62"/>
      <c r="DA163" s="62"/>
      <c r="DB163" s="62"/>
      <c r="DC163" s="62"/>
      <c r="DD163" s="62"/>
      <c r="DE163" s="62"/>
      <c r="DF163" s="62"/>
      <c r="DG163" s="62"/>
      <c r="DH163" s="62"/>
      <c r="DI163" s="62"/>
      <c r="DJ163" s="62"/>
      <c r="DK163" s="62"/>
      <c r="DL163" s="62"/>
      <c r="DM163" s="62"/>
      <c r="DN163" s="62"/>
      <c r="DO163" s="62"/>
      <c r="DP163" s="62"/>
      <c r="DQ163" s="62"/>
      <c r="DR163" s="62"/>
      <c r="DS163" s="62"/>
      <c r="DT163" s="62"/>
      <c r="DU163" s="62"/>
      <c r="DV163" s="62"/>
      <c r="DW163" s="62"/>
      <c r="DX163" s="62"/>
      <c r="DY163" s="62"/>
      <c r="DZ163" s="62"/>
      <c r="EA163" s="62"/>
      <c r="EB163" s="62"/>
      <c r="EC163" s="62"/>
      <c r="ED163" s="62"/>
      <c r="EE163" s="62"/>
      <c r="EF163" s="62"/>
      <c r="EG163" s="62"/>
      <c r="EH163" s="62"/>
      <c r="EI163" s="62"/>
      <c r="EJ163" s="62"/>
      <c r="EK163" s="62"/>
      <c r="EL163" s="62"/>
      <c r="EM163" s="62"/>
      <c r="EN163" s="62"/>
      <c r="EO163" s="62"/>
      <c r="EP163" s="62"/>
      <c r="EQ163" s="62"/>
      <c r="ER163" s="62"/>
      <c r="ES163" s="62"/>
      <c r="ET163" s="62"/>
      <c r="EU163" s="62"/>
      <c r="EV163" s="62"/>
      <c r="EW163" s="62"/>
      <c r="EX163" s="62"/>
      <c r="EY163" s="62"/>
      <c r="EZ163" s="62"/>
      <c r="FA163" s="62"/>
      <c r="FB163" s="62"/>
      <c r="FC163" s="62"/>
      <c r="FD163" s="62"/>
      <c r="FE163" s="62"/>
      <c r="FF163" s="62"/>
      <c r="FG163" s="62"/>
      <c r="FH163" s="62"/>
      <c r="FI163" s="62"/>
      <c r="FJ163" s="62"/>
      <c r="FK163" s="62"/>
      <c r="FL163" s="62"/>
      <c r="FM163" s="62"/>
      <c r="FN163" s="62"/>
      <c r="FO163" s="62"/>
      <c r="FP163" s="62"/>
      <c r="FQ163" s="62"/>
      <c r="FR163" s="62"/>
      <c r="FS163" s="62"/>
      <c r="FT163" s="62"/>
      <c r="FU163" s="62"/>
      <c r="FV163" s="62"/>
    </row>
    <row r="164" spans="1:178" ht="13.8">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2"/>
      <c r="CG164" s="62"/>
      <c r="CH164" s="62"/>
      <c r="CI164" s="62"/>
      <c r="CJ164" s="62"/>
      <c r="CK164" s="62"/>
      <c r="CL164" s="62"/>
      <c r="CM164" s="62"/>
      <c r="CN164" s="62"/>
      <c r="CO164" s="62"/>
      <c r="CP164" s="62"/>
      <c r="CQ164" s="62"/>
      <c r="CR164" s="62"/>
      <c r="CS164" s="62"/>
      <c r="CT164" s="62"/>
      <c r="CU164" s="62"/>
      <c r="CV164" s="62"/>
      <c r="CW164" s="62"/>
      <c r="CX164" s="62"/>
      <c r="CY164" s="62"/>
      <c r="CZ164" s="62"/>
      <c r="DA164" s="62"/>
      <c r="DB164" s="62"/>
      <c r="DC164" s="62"/>
      <c r="DD164" s="62"/>
      <c r="DE164" s="62"/>
      <c r="DF164" s="62"/>
      <c r="DG164" s="62"/>
      <c r="DH164" s="62"/>
      <c r="DI164" s="62"/>
      <c r="DJ164" s="62"/>
      <c r="DK164" s="62"/>
      <c r="DL164" s="62"/>
      <c r="DM164" s="62"/>
      <c r="DN164" s="62"/>
      <c r="DO164" s="62"/>
      <c r="DP164" s="62"/>
      <c r="DQ164" s="62"/>
      <c r="DR164" s="62"/>
      <c r="DS164" s="62"/>
      <c r="DT164" s="62"/>
      <c r="DU164" s="62"/>
      <c r="DV164" s="62"/>
      <c r="DW164" s="62"/>
      <c r="DX164" s="62"/>
      <c r="DY164" s="62"/>
      <c r="DZ164" s="62"/>
      <c r="EA164" s="62"/>
      <c r="EB164" s="62"/>
      <c r="EC164" s="62"/>
      <c r="ED164" s="62"/>
      <c r="EE164" s="62"/>
      <c r="EF164" s="62"/>
      <c r="EG164" s="62"/>
      <c r="EH164" s="62"/>
      <c r="EI164" s="62"/>
      <c r="EJ164" s="62"/>
      <c r="EK164" s="62"/>
      <c r="EL164" s="62"/>
      <c r="EM164" s="62"/>
      <c r="EN164" s="62"/>
      <c r="EO164" s="62"/>
      <c r="EP164" s="62"/>
      <c r="EQ164" s="62"/>
      <c r="ER164" s="62"/>
      <c r="ES164" s="62"/>
      <c r="ET164" s="62"/>
      <c r="EU164" s="62"/>
      <c r="EV164" s="62"/>
      <c r="EW164" s="62"/>
      <c r="EX164" s="62"/>
      <c r="EY164" s="62"/>
      <c r="EZ164" s="62"/>
      <c r="FA164" s="62"/>
      <c r="FB164" s="62"/>
      <c r="FC164" s="62"/>
      <c r="FD164" s="62"/>
      <c r="FE164" s="62"/>
      <c r="FF164" s="62"/>
      <c r="FG164" s="62"/>
      <c r="FH164" s="62"/>
      <c r="FI164" s="62"/>
      <c r="FJ164" s="62"/>
      <c r="FK164" s="62"/>
      <c r="FL164" s="62"/>
      <c r="FM164" s="62"/>
      <c r="FN164" s="62"/>
      <c r="FO164" s="62"/>
      <c r="FP164" s="62"/>
      <c r="FQ164" s="62"/>
      <c r="FR164" s="62"/>
      <c r="FS164" s="62"/>
      <c r="FT164" s="62"/>
      <c r="FU164" s="62"/>
      <c r="FV164" s="62"/>
    </row>
    <row r="165" spans="1:178" ht="13.8">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2"/>
      <c r="CP165" s="62"/>
      <c r="CQ165" s="62"/>
      <c r="CR165" s="62"/>
      <c r="CS165" s="62"/>
      <c r="CT165" s="62"/>
      <c r="CU165" s="62"/>
      <c r="CV165" s="62"/>
      <c r="CW165" s="62"/>
      <c r="CX165" s="62"/>
      <c r="CY165" s="62"/>
      <c r="CZ165" s="62"/>
      <c r="DA165" s="62"/>
      <c r="DB165" s="62"/>
      <c r="DC165" s="62"/>
      <c r="DD165" s="62"/>
      <c r="DE165" s="62"/>
      <c r="DF165" s="62"/>
      <c r="DG165" s="62"/>
      <c r="DH165" s="62"/>
      <c r="DI165" s="62"/>
      <c r="DJ165" s="62"/>
      <c r="DK165" s="62"/>
      <c r="DL165" s="62"/>
      <c r="DM165" s="62"/>
      <c r="DN165" s="62"/>
      <c r="DO165" s="62"/>
      <c r="DP165" s="62"/>
      <c r="DQ165" s="62"/>
      <c r="DR165" s="62"/>
      <c r="DS165" s="62"/>
      <c r="DT165" s="62"/>
      <c r="DU165" s="62"/>
      <c r="DV165" s="62"/>
      <c r="DW165" s="62"/>
      <c r="DX165" s="62"/>
      <c r="DY165" s="62"/>
      <c r="DZ165" s="62"/>
      <c r="EA165" s="62"/>
      <c r="EB165" s="62"/>
      <c r="EC165" s="62"/>
      <c r="ED165" s="62"/>
      <c r="EE165" s="62"/>
      <c r="EF165" s="62"/>
      <c r="EG165" s="62"/>
      <c r="EH165" s="62"/>
      <c r="EI165" s="62"/>
      <c r="EJ165" s="62"/>
      <c r="EK165" s="62"/>
      <c r="EL165" s="62"/>
      <c r="EM165" s="62"/>
      <c r="EN165" s="62"/>
      <c r="EO165" s="62"/>
      <c r="EP165" s="62"/>
      <c r="EQ165" s="62"/>
      <c r="ER165" s="62"/>
      <c r="ES165" s="62"/>
      <c r="ET165" s="62"/>
      <c r="EU165" s="62"/>
      <c r="EV165" s="62"/>
      <c r="EW165" s="62"/>
      <c r="EX165" s="62"/>
      <c r="EY165" s="62"/>
      <c r="EZ165" s="62"/>
      <c r="FA165" s="62"/>
      <c r="FB165" s="62"/>
      <c r="FC165" s="62"/>
      <c r="FD165" s="62"/>
      <c r="FE165" s="62"/>
      <c r="FF165" s="62"/>
      <c r="FG165" s="62"/>
      <c r="FH165" s="62"/>
      <c r="FI165" s="62"/>
      <c r="FJ165" s="62"/>
      <c r="FK165" s="62"/>
      <c r="FL165" s="62"/>
      <c r="FM165" s="62"/>
      <c r="FN165" s="62"/>
      <c r="FO165" s="62"/>
      <c r="FP165" s="62"/>
      <c r="FQ165" s="62"/>
      <c r="FR165" s="62"/>
      <c r="FS165" s="62"/>
      <c r="FT165" s="62"/>
      <c r="FU165" s="62"/>
      <c r="FV165" s="62"/>
    </row>
    <row r="166" spans="1:178" ht="13.8">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c r="AY166" s="62"/>
      <c r="AZ166" s="62"/>
      <c r="BA166" s="62"/>
      <c r="BB166" s="62"/>
      <c r="BC166" s="62"/>
      <c r="BD166" s="62"/>
      <c r="BE166" s="62"/>
      <c r="BF166" s="62"/>
      <c r="BG166" s="62"/>
      <c r="BH166" s="62"/>
      <c r="BI166" s="62"/>
      <c r="BJ166" s="62"/>
      <c r="BK166" s="62"/>
      <c r="BL166" s="62"/>
      <c r="BM166" s="62"/>
      <c r="BN166" s="62"/>
      <c r="BO166" s="62"/>
      <c r="BP166" s="62"/>
      <c r="BQ166" s="62"/>
      <c r="BR166" s="62"/>
      <c r="BS166" s="62"/>
      <c r="BT166" s="62"/>
      <c r="BU166" s="62"/>
      <c r="BV166" s="62"/>
      <c r="BW166" s="62"/>
      <c r="BX166" s="62"/>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62"/>
      <c r="CX166" s="62"/>
      <c r="CY166" s="62"/>
      <c r="CZ166" s="62"/>
      <c r="DA166" s="62"/>
      <c r="DB166" s="62"/>
      <c r="DC166" s="62"/>
      <c r="DD166" s="62"/>
      <c r="DE166" s="62"/>
      <c r="DF166" s="62"/>
      <c r="DG166" s="62"/>
      <c r="DH166" s="62"/>
      <c r="DI166" s="62"/>
      <c r="DJ166" s="62"/>
      <c r="DK166" s="62"/>
      <c r="DL166" s="62"/>
      <c r="DM166" s="62"/>
      <c r="DN166" s="62"/>
      <c r="DO166" s="62"/>
      <c r="DP166" s="62"/>
      <c r="DQ166" s="62"/>
      <c r="DR166" s="62"/>
      <c r="DS166" s="62"/>
      <c r="DT166" s="62"/>
      <c r="DU166" s="62"/>
      <c r="DV166" s="62"/>
      <c r="DW166" s="62"/>
      <c r="DX166" s="62"/>
      <c r="DY166" s="62"/>
      <c r="DZ166" s="62"/>
      <c r="EA166" s="62"/>
      <c r="EB166" s="62"/>
      <c r="EC166" s="62"/>
      <c r="ED166" s="62"/>
      <c r="EE166" s="62"/>
      <c r="EF166" s="62"/>
      <c r="EG166" s="62"/>
      <c r="EH166" s="62"/>
      <c r="EI166" s="62"/>
      <c r="EJ166" s="62"/>
      <c r="EK166" s="62"/>
      <c r="EL166" s="62"/>
      <c r="EM166" s="62"/>
      <c r="EN166" s="62"/>
      <c r="EO166" s="62"/>
      <c r="EP166" s="62"/>
      <c r="EQ166" s="62"/>
      <c r="ER166" s="62"/>
      <c r="ES166" s="62"/>
      <c r="ET166" s="62"/>
      <c r="EU166" s="62"/>
      <c r="EV166" s="62"/>
      <c r="EW166" s="62"/>
      <c r="EX166" s="62"/>
      <c r="EY166" s="62"/>
      <c r="EZ166" s="62"/>
      <c r="FA166" s="62"/>
      <c r="FB166" s="62"/>
      <c r="FC166" s="62"/>
      <c r="FD166" s="62"/>
      <c r="FE166" s="62"/>
      <c r="FF166" s="62"/>
      <c r="FG166" s="62"/>
      <c r="FH166" s="62"/>
      <c r="FI166" s="62"/>
      <c r="FJ166" s="62"/>
      <c r="FK166" s="62"/>
      <c r="FL166" s="62"/>
      <c r="FM166" s="62"/>
      <c r="FN166" s="62"/>
      <c r="FO166" s="62"/>
      <c r="FP166" s="62"/>
      <c r="FQ166" s="62"/>
      <c r="FR166" s="62"/>
      <c r="FS166" s="62"/>
      <c r="FT166" s="62"/>
      <c r="FU166" s="62"/>
      <c r="FV166" s="62"/>
    </row>
    <row r="167" spans="1:178" ht="13.8">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62"/>
      <c r="DR167" s="62"/>
      <c r="DS167" s="62"/>
      <c r="DT167" s="62"/>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row>
    <row r="168" spans="1:178" ht="13.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62"/>
      <c r="AZ168" s="62"/>
      <c r="BA168" s="62"/>
      <c r="BB168" s="62"/>
      <c r="BC168" s="62"/>
      <c r="BD168" s="62"/>
      <c r="BE168" s="62"/>
      <c r="BF168" s="62"/>
      <c r="BG168" s="62"/>
      <c r="BH168" s="62"/>
      <c r="BI168" s="62"/>
      <c r="BJ168" s="62"/>
      <c r="BK168" s="62"/>
      <c r="BL168" s="62"/>
      <c r="BM168" s="62"/>
      <c r="BN168" s="62"/>
      <c r="BO168" s="62"/>
      <c r="BP168" s="62"/>
      <c r="BQ168" s="62"/>
      <c r="BR168" s="62"/>
      <c r="BS168" s="62"/>
      <c r="BT168" s="62"/>
      <c r="BU168" s="62"/>
      <c r="BV168" s="62"/>
      <c r="BW168" s="62"/>
      <c r="BX168" s="62"/>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62"/>
      <c r="CX168" s="62"/>
      <c r="CY168" s="62"/>
      <c r="CZ168" s="62"/>
      <c r="DA168" s="62"/>
      <c r="DB168" s="62"/>
      <c r="DC168" s="62"/>
      <c r="DD168" s="62"/>
      <c r="DE168" s="62"/>
      <c r="DF168" s="62"/>
      <c r="DG168" s="62"/>
      <c r="DH168" s="62"/>
      <c r="DI168" s="62"/>
      <c r="DJ168" s="62"/>
      <c r="DK168" s="62"/>
      <c r="DL168" s="62"/>
      <c r="DM168" s="62"/>
      <c r="DN168" s="62"/>
      <c r="DO168" s="62"/>
      <c r="DP168" s="62"/>
      <c r="DQ168" s="62"/>
      <c r="DR168" s="62"/>
      <c r="DS168" s="62"/>
      <c r="DT168" s="62"/>
      <c r="DU168" s="62"/>
      <c r="DV168" s="62"/>
      <c r="DW168" s="62"/>
      <c r="DX168" s="62"/>
      <c r="DY168" s="62"/>
      <c r="DZ168" s="62"/>
      <c r="EA168" s="62"/>
      <c r="EB168" s="62"/>
      <c r="EC168" s="62"/>
      <c r="ED168" s="62"/>
      <c r="EE168" s="62"/>
      <c r="EF168" s="62"/>
      <c r="EG168" s="62"/>
      <c r="EH168" s="62"/>
      <c r="EI168" s="62"/>
      <c r="EJ168" s="62"/>
      <c r="EK168" s="62"/>
      <c r="EL168" s="62"/>
      <c r="EM168" s="62"/>
      <c r="EN168" s="62"/>
      <c r="EO168" s="62"/>
      <c r="EP168" s="62"/>
      <c r="EQ168" s="62"/>
      <c r="ER168" s="62"/>
      <c r="ES168" s="62"/>
      <c r="ET168" s="62"/>
      <c r="EU168" s="62"/>
      <c r="EV168" s="62"/>
      <c r="EW168" s="62"/>
      <c r="EX168" s="62"/>
      <c r="EY168" s="62"/>
      <c r="EZ168" s="62"/>
      <c r="FA168" s="62"/>
      <c r="FB168" s="62"/>
      <c r="FC168" s="62"/>
      <c r="FD168" s="62"/>
      <c r="FE168" s="62"/>
      <c r="FF168" s="62"/>
      <c r="FG168" s="62"/>
      <c r="FH168" s="62"/>
      <c r="FI168" s="62"/>
      <c r="FJ168" s="62"/>
      <c r="FK168" s="62"/>
      <c r="FL168" s="62"/>
      <c r="FM168" s="62"/>
      <c r="FN168" s="62"/>
      <c r="FO168" s="62"/>
      <c r="FP168" s="62"/>
      <c r="FQ168" s="62"/>
      <c r="FR168" s="62"/>
      <c r="FS168" s="62"/>
      <c r="FT168" s="62"/>
      <c r="FU168" s="62"/>
      <c r="FV168" s="62"/>
    </row>
    <row r="169" spans="1:178" ht="13.8">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2"/>
      <c r="CP169" s="62"/>
      <c r="CQ169" s="62"/>
      <c r="CR169" s="62"/>
      <c r="CS169" s="62"/>
      <c r="CT169" s="62"/>
      <c r="CU169" s="62"/>
      <c r="CV169" s="62"/>
      <c r="CW169" s="62"/>
      <c r="CX169" s="62"/>
      <c r="CY169" s="62"/>
      <c r="CZ169" s="62"/>
      <c r="DA169" s="62"/>
      <c r="DB169" s="62"/>
      <c r="DC169" s="62"/>
      <c r="DD169" s="62"/>
      <c r="DE169" s="62"/>
      <c r="DF169" s="62"/>
      <c r="DG169" s="62"/>
      <c r="DH169" s="62"/>
      <c r="DI169" s="62"/>
      <c r="DJ169" s="62"/>
      <c r="DK169" s="62"/>
      <c r="DL169" s="62"/>
      <c r="DM169" s="62"/>
      <c r="DN169" s="62"/>
      <c r="DO169" s="62"/>
      <c r="DP169" s="62"/>
      <c r="DQ169" s="62"/>
      <c r="DR169" s="62"/>
      <c r="DS169" s="62"/>
      <c r="DT169" s="62"/>
      <c r="DU169" s="62"/>
      <c r="DV169" s="62"/>
      <c r="DW169" s="62"/>
      <c r="DX169" s="62"/>
      <c r="DY169" s="62"/>
      <c r="DZ169" s="62"/>
      <c r="EA169" s="62"/>
      <c r="EB169" s="62"/>
      <c r="EC169" s="62"/>
      <c r="ED169" s="62"/>
      <c r="EE169" s="62"/>
      <c r="EF169" s="62"/>
      <c r="EG169" s="62"/>
      <c r="EH169" s="62"/>
      <c r="EI169" s="62"/>
      <c r="EJ169" s="62"/>
      <c r="EK169" s="62"/>
      <c r="EL169" s="62"/>
      <c r="EM169" s="62"/>
      <c r="EN169" s="62"/>
      <c r="EO169" s="62"/>
      <c r="EP169" s="62"/>
      <c r="EQ169" s="62"/>
      <c r="ER169" s="62"/>
      <c r="ES169" s="62"/>
      <c r="ET169" s="62"/>
      <c r="EU169" s="62"/>
      <c r="EV169" s="62"/>
      <c r="EW169" s="62"/>
      <c r="EX169" s="62"/>
      <c r="EY169" s="62"/>
      <c r="EZ169" s="62"/>
      <c r="FA169" s="62"/>
      <c r="FB169" s="62"/>
      <c r="FC169" s="62"/>
      <c r="FD169" s="62"/>
      <c r="FE169" s="62"/>
      <c r="FF169" s="62"/>
      <c r="FG169" s="62"/>
      <c r="FH169" s="62"/>
      <c r="FI169" s="62"/>
      <c r="FJ169" s="62"/>
      <c r="FK169" s="62"/>
      <c r="FL169" s="62"/>
      <c r="FM169" s="62"/>
      <c r="FN169" s="62"/>
      <c r="FO169" s="62"/>
      <c r="FP169" s="62"/>
      <c r="FQ169" s="62"/>
      <c r="FR169" s="62"/>
      <c r="FS169" s="62"/>
      <c r="FT169" s="62"/>
      <c r="FU169" s="62"/>
      <c r="FV169" s="62"/>
    </row>
    <row r="170" spans="1:178" ht="13.8">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62"/>
      <c r="AZ170" s="62"/>
      <c r="BA170" s="62"/>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c r="CC170" s="62"/>
      <c r="CD170" s="62"/>
      <c r="CE170" s="62"/>
      <c r="CF170" s="62"/>
      <c r="CG170" s="62"/>
      <c r="CH170" s="62"/>
      <c r="CI170" s="62"/>
      <c r="CJ170" s="62"/>
      <c r="CK170" s="62"/>
      <c r="CL170" s="62"/>
      <c r="CM170" s="62"/>
      <c r="CN170" s="62"/>
      <c r="CO170" s="62"/>
      <c r="CP170" s="62"/>
      <c r="CQ170" s="62"/>
      <c r="CR170" s="62"/>
      <c r="CS170" s="62"/>
      <c r="CT170" s="62"/>
      <c r="CU170" s="62"/>
      <c r="CV170" s="62"/>
      <c r="CW170" s="62"/>
      <c r="CX170" s="62"/>
      <c r="CY170" s="62"/>
      <c r="CZ170" s="62"/>
      <c r="DA170" s="62"/>
      <c r="DB170" s="62"/>
      <c r="DC170" s="62"/>
      <c r="DD170" s="62"/>
      <c r="DE170" s="62"/>
      <c r="DF170" s="62"/>
      <c r="DG170" s="62"/>
      <c r="DH170" s="62"/>
      <c r="DI170" s="62"/>
      <c r="DJ170" s="62"/>
      <c r="DK170" s="62"/>
      <c r="DL170" s="62"/>
      <c r="DM170" s="62"/>
      <c r="DN170" s="62"/>
      <c r="DO170" s="62"/>
      <c r="DP170" s="62"/>
      <c r="DQ170" s="62"/>
      <c r="DR170" s="62"/>
      <c r="DS170" s="62"/>
      <c r="DT170" s="62"/>
      <c r="DU170" s="62"/>
      <c r="DV170" s="62"/>
      <c r="DW170" s="62"/>
      <c r="DX170" s="62"/>
      <c r="DY170" s="62"/>
      <c r="DZ170" s="62"/>
      <c r="EA170" s="62"/>
      <c r="EB170" s="62"/>
      <c r="EC170" s="62"/>
      <c r="ED170" s="62"/>
      <c r="EE170" s="62"/>
      <c r="EF170" s="62"/>
      <c r="EG170" s="62"/>
      <c r="EH170" s="62"/>
      <c r="EI170" s="62"/>
      <c r="EJ170" s="62"/>
      <c r="EK170" s="62"/>
      <c r="EL170" s="62"/>
      <c r="EM170" s="62"/>
      <c r="EN170" s="62"/>
      <c r="EO170" s="62"/>
      <c r="EP170" s="62"/>
      <c r="EQ170" s="62"/>
      <c r="ER170" s="62"/>
      <c r="ES170" s="62"/>
      <c r="ET170" s="62"/>
      <c r="EU170" s="62"/>
      <c r="EV170" s="62"/>
      <c r="EW170" s="62"/>
      <c r="EX170" s="62"/>
      <c r="EY170" s="62"/>
      <c r="EZ170" s="62"/>
      <c r="FA170" s="62"/>
      <c r="FB170" s="62"/>
      <c r="FC170" s="62"/>
      <c r="FD170" s="62"/>
      <c r="FE170" s="62"/>
      <c r="FF170" s="62"/>
      <c r="FG170" s="62"/>
      <c r="FH170" s="62"/>
      <c r="FI170" s="62"/>
      <c r="FJ170" s="62"/>
      <c r="FK170" s="62"/>
      <c r="FL170" s="62"/>
      <c r="FM170" s="62"/>
      <c r="FN170" s="62"/>
      <c r="FO170" s="62"/>
      <c r="FP170" s="62"/>
      <c r="FQ170" s="62"/>
      <c r="FR170" s="62"/>
      <c r="FS170" s="62"/>
      <c r="FT170" s="62"/>
      <c r="FU170" s="62"/>
      <c r="FV170" s="62"/>
    </row>
    <row r="171" spans="1:178" ht="13.8">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62"/>
      <c r="CX171" s="62"/>
      <c r="CY171" s="62"/>
      <c r="CZ171" s="62"/>
      <c r="DA171" s="62"/>
      <c r="DB171" s="62"/>
      <c r="DC171" s="62"/>
      <c r="DD171" s="62"/>
      <c r="DE171" s="62"/>
      <c r="DF171" s="62"/>
      <c r="DG171" s="62"/>
      <c r="DH171" s="62"/>
      <c r="DI171" s="62"/>
      <c r="DJ171" s="62"/>
      <c r="DK171" s="62"/>
      <c r="DL171" s="62"/>
      <c r="DM171" s="62"/>
      <c r="DN171" s="62"/>
      <c r="DO171" s="62"/>
      <c r="DP171" s="62"/>
      <c r="DQ171" s="62"/>
      <c r="DR171" s="62"/>
      <c r="DS171" s="62"/>
      <c r="DT171" s="62"/>
      <c r="DU171" s="62"/>
      <c r="DV171" s="62"/>
      <c r="DW171" s="62"/>
      <c r="DX171" s="62"/>
      <c r="DY171" s="62"/>
      <c r="DZ171" s="62"/>
      <c r="EA171" s="62"/>
      <c r="EB171" s="62"/>
      <c r="EC171" s="62"/>
      <c r="ED171" s="62"/>
      <c r="EE171" s="62"/>
      <c r="EF171" s="62"/>
      <c r="EG171" s="62"/>
      <c r="EH171" s="62"/>
      <c r="EI171" s="62"/>
      <c r="EJ171" s="62"/>
      <c r="EK171" s="62"/>
      <c r="EL171" s="62"/>
      <c r="EM171" s="62"/>
      <c r="EN171" s="62"/>
      <c r="EO171" s="62"/>
      <c r="EP171" s="62"/>
      <c r="EQ171" s="62"/>
      <c r="ER171" s="62"/>
      <c r="ES171" s="62"/>
      <c r="ET171" s="62"/>
      <c r="EU171" s="62"/>
      <c r="EV171" s="62"/>
      <c r="EW171" s="62"/>
      <c r="EX171" s="62"/>
      <c r="EY171" s="62"/>
      <c r="EZ171" s="62"/>
      <c r="FA171" s="62"/>
      <c r="FB171" s="62"/>
      <c r="FC171" s="62"/>
      <c r="FD171" s="62"/>
      <c r="FE171" s="62"/>
      <c r="FF171" s="62"/>
      <c r="FG171" s="62"/>
      <c r="FH171" s="62"/>
      <c r="FI171" s="62"/>
      <c r="FJ171" s="62"/>
      <c r="FK171" s="62"/>
      <c r="FL171" s="62"/>
      <c r="FM171" s="62"/>
      <c r="FN171" s="62"/>
      <c r="FO171" s="62"/>
      <c r="FP171" s="62"/>
      <c r="FQ171" s="62"/>
      <c r="FR171" s="62"/>
      <c r="FS171" s="62"/>
      <c r="FT171" s="62"/>
      <c r="FU171" s="62"/>
      <c r="FV171" s="62"/>
    </row>
    <row r="172" spans="1:178" ht="13.8">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62"/>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2"/>
      <c r="DV172" s="62"/>
      <c r="DW172" s="62"/>
      <c r="DX172" s="62"/>
      <c r="DY172" s="62"/>
      <c r="DZ172" s="62"/>
      <c r="EA172" s="62"/>
      <c r="EB172" s="62"/>
      <c r="EC172" s="62"/>
      <c r="ED172" s="62"/>
      <c r="EE172" s="62"/>
      <c r="EF172" s="62"/>
      <c r="EG172" s="62"/>
      <c r="EH172" s="62"/>
      <c r="EI172" s="62"/>
      <c r="EJ172" s="62"/>
      <c r="EK172" s="62"/>
      <c r="EL172" s="62"/>
      <c r="EM172" s="62"/>
      <c r="EN172" s="62"/>
      <c r="EO172" s="62"/>
      <c r="EP172" s="62"/>
      <c r="EQ172" s="62"/>
      <c r="ER172" s="62"/>
      <c r="ES172" s="62"/>
      <c r="ET172" s="62"/>
      <c r="EU172" s="62"/>
      <c r="EV172" s="62"/>
      <c r="EW172" s="62"/>
      <c r="EX172" s="62"/>
      <c r="EY172" s="62"/>
      <c r="EZ172" s="62"/>
      <c r="FA172" s="62"/>
      <c r="FB172" s="62"/>
      <c r="FC172" s="62"/>
      <c r="FD172" s="62"/>
      <c r="FE172" s="62"/>
      <c r="FF172" s="62"/>
      <c r="FG172" s="62"/>
      <c r="FH172" s="62"/>
      <c r="FI172" s="62"/>
      <c r="FJ172" s="62"/>
      <c r="FK172" s="62"/>
      <c r="FL172" s="62"/>
      <c r="FM172" s="62"/>
      <c r="FN172" s="62"/>
      <c r="FO172" s="62"/>
      <c r="FP172" s="62"/>
      <c r="FQ172" s="62"/>
      <c r="FR172" s="62"/>
      <c r="FS172" s="62"/>
      <c r="FT172" s="62"/>
      <c r="FU172" s="62"/>
      <c r="FV172" s="62"/>
    </row>
    <row r="173" spans="1:178" ht="13.8">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62"/>
      <c r="CF173" s="62"/>
      <c r="CG173" s="62"/>
      <c r="CH173" s="62"/>
      <c r="CI173" s="62"/>
      <c r="CJ173" s="62"/>
      <c r="CK173" s="62"/>
      <c r="CL173" s="62"/>
      <c r="CM173" s="62"/>
      <c r="CN173" s="62"/>
      <c r="CO173" s="62"/>
      <c r="CP173" s="62"/>
      <c r="CQ173" s="62"/>
      <c r="CR173" s="62"/>
      <c r="CS173" s="62"/>
      <c r="CT173" s="62"/>
      <c r="CU173" s="62"/>
      <c r="CV173" s="62"/>
      <c r="CW173" s="62"/>
      <c r="CX173" s="62"/>
      <c r="CY173" s="62"/>
      <c r="CZ173" s="62"/>
      <c r="DA173" s="62"/>
      <c r="DB173" s="62"/>
      <c r="DC173" s="62"/>
      <c r="DD173" s="62"/>
      <c r="DE173" s="62"/>
      <c r="DF173" s="62"/>
      <c r="DG173" s="62"/>
      <c r="DH173" s="62"/>
      <c r="DI173" s="62"/>
      <c r="DJ173" s="62"/>
      <c r="DK173" s="62"/>
      <c r="DL173" s="62"/>
      <c r="DM173" s="62"/>
      <c r="DN173" s="62"/>
      <c r="DO173" s="62"/>
      <c r="DP173" s="62"/>
      <c r="DQ173" s="62"/>
      <c r="DR173" s="62"/>
      <c r="DS173" s="62"/>
      <c r="DT173" s="62"/>
      <c r="DU173" s="62"/>
      <c r="DV173" s="62"/>
      <c r="DW173" s="62"/>
      <c r="DX173" s="62"/>
      <c r="DY173" s="62"/>
      <c r="DZ173" s="62"/>
      <c r="EA173" s="62"/>
      <c r="EB173" s="62"/>
      <c r="EC173" s="62"/>
      <c r="ED173" s="62"/>
      <c r="EE173" s="62"/>
      <c r="EF173" s="62"/>
      <c r="EG173" s="62"/>
      <c r="EH173" s="62"/>
      <c r="EI173" s="62"/>
      <c r="EJ173" s="62"/>
      <c r="EK173" s="62"/>
      <c r="EL173" s="62"/>
      <c r="EM173" s="62"/>
      <c r="EN173" s="62"/>
      <c r="EO173" s="62"/>
      <c r="EP173" s="62"/>
      <c r="EQ173" s="62"/>
      <c r="ER173" s="62"/>
      <c r="ES173" s="62"/>
      <c r="ET173" s="62"/>
      <c r="EU173" s="62"/>
      <c r="EV173" s="62"/>
      <c r="EW173" s="62"/>
      <c r="EX173" s="62"/>
      <c r="EY173" s="62"/>
      <c r="EZ173" s="62"/>
      <c r="FA173" s="62"/>
      <c r="FB173" s="62"/>
      <c r="FC173" s="62"/>
      <c r="FD173" s="62"/>
      <c r="FE173" s="62"/>
      <c r="FF173" s="62"/>
      <c r="FG173" s="62"/>
      <c r="FH173" s="62"/>
      <c r="FI173" s="62"/>
      <c r="FJ173" s="62"/>
      <c r="FK173" s="62"/>
      <c r="FL173" s="62"/>
      <c r="FM173" s="62"/>
      <c r="FN173" s="62"/>
      <c r="FO173" s="62"/>
      <c r="FP173" s="62"/>
      <c r="FQ173" s="62"/>
      <c r="FR173" s="62"/>
      <c r="FS173" s="62"/>
      <c r="FT173" s="62"/>
      <c r="FU173" s="62"/>
      <c r="FV173" s="62"/>
    </row>
    <row r="174" spans="1:178" ht="13.8">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62"/>
      <c r="AZ174" s="62"/>
      <c r="BA174" s="62"/>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c r="CC174" s="62"/>
      <c r="CD174" s="62"/>
      <c r="CE174" s="62"/>
      <c r="CF174" s="62"/>
      <c r="CG174" s="62"/>
      <c r="CH174" s="62"/>
      <c r="CI174" s="62"/>
      <c r="CJ174" s="62"/>
      <c r="CK174" s="62"/>
      <c r="CL174" s="62"/>
      <c r="CM174" s="62"/>
      <c r="CN174" s="62"/>
      <c r="CO174" s="62"/>
      <c r="CP174" s="62"/>
      <c r="CQ174" s="62"/>
      <c r="CR174" s="62"/>
      <c r="CS174" s="62"/>
      <c r="CT174" s="62"/>
      <c r="CU174" s="62"/>
      <c r="CV174" s="62"/>
      <c r="CW174" s="62"/>
      <c r="CX174" s="62"/>
      <c r="CY174" s="62"/>
      <c r="CZ174" s="62"/>
      <c r="DA174" s="62"/>
      <c r="DB174" s="62"/>
      <c r="DC174" s="62"/>
      <c r="DD174" s="62"/>
      <c r="DE174" s="62"/>
      <c r="DF174" s="62"/>
      <c r="DG174" s="62"/>
      <c r="DH174" s="62"/>
      <c r="DI174" s="62"/>
      <c r="DJ174" s="62"/>
      <c r="DK174" s="62"/>
      <c r="DL174" s="62"/>
      <c r="DM174" s="62"/>
      <c r="DN174" s="62"/>
      <c r="DO174" s="62"/>
      <c r="DP174" s="62"/>
      <c r="DQ174" s="62"/>
      <c r="DR174" s="62"/>
      <c r="DS174" s="62"/>
      <c r="DT174" s="62"/>
      <c r="DU174" s="62"/>
      <c r="DV174" s="62"/>
      <c r="DW174" s="62"/>
      <c r="DX174" s="62"/>
      <c r="DY174" s="62"/>
      <c r="DZ174" s="62"/>
      <c r="EA174" s="62"/>
      <c r="EB174" s="62"/>
      <c r="EC174" s="62"/>
      <c r="ED174" s="62"/>
      <c r="EE174" s="62"/>
      <c r="EF174" s="62"/>
      <c r="EG174" s="62"/>
      <c r="EH174" s="62"/>
      <c r="EI174" s="62"/>
      <c r="EJ174" s="62"/>
      <c r="EK174" s="62"/>
      <c r="EL174" s="62"/>
      <c r="EM174" s="62"/>
      <c r="EN174" s="62"/>
      <c r="EO174" s="62"/>
      <c r="EP174" s="62"/>
      <c r="EQ174" s="62"/>
      <c r="ER174" s="62"/>
      <c r="ES174" s="62"/>
      <c r="ET174" s="62"/>
      <c r="EU174" s="62"/>
      <c r="EV174" s="62"/>
      <c r="EW174" s="62"/>
      <c r="EX174" s="62"/>
      <c r="EY174" s="62"/>
      <c r="EZ174" s="62"/>
      <c r="FA174" s="62"/>
      <c r="FB174" s="62"/>
      <c r="FC174" s="62"/>
      <c r="FD174" s="62"/>
      <c r="FE174" s="62"/>
      <c r="FF174" s="62"/>
      <c r="FG174" s="62"/>
      <c r="FH174" s="62"/>
      <c r="FI174" s="62"/>
      <c r="FJ174" s="62"/>
      <c r="FK174" s="62"/>
      <c r="FL174" s="62"/>
      <c r="FM174" s="62"/>
      <c r="FN174" s="62"/>
      <c r="FO174" s="62"/>
      <c r="FP174" s="62"/>
      <c r="FQ174" s="62"/>
      <c r="FR174" s="62"/>
      <c r="FS174" s="62"/>
      <c r="FT174" s="62"/>
      <c r="FU174" s="62"/>
      <c r="FV174" s="62"/>
    </row>
    <row r="175" spans="1:178" ht="13.8">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2"/>
      <c r="CP175" s="62"/>
      <c r="CQ175" s="62"/>
      <c r="CR175" s="62"/>
      <c r="CS175" s="62"/>
      <c r="CT175" s="62"/>
      <c r="CU175" s="62"/>
      <c r="CV175" s="62"/>
      <c r="CW175" s="62"/>
      <c r="CX175" s="62"/>
      <c r="CY175" s="62"/>
      <c r="CZ175" s="62"/>
      <c r="DA175" s="62"/>
      <c r="DB175" s="62"/>
      <c r="DC175" s="62"/>
      <c r="DD175" s="62"/>
      <c r="DE175" s="62"/>
      <c r="DF175" s="62"/>
      <c r="DG175" s="62"/>
      <c r="DH175" s="62"/>
      <c r="DI175" s="62"/>
      <c r="DJ175" s="62"/>
      <c r="DK175" s="62"/>
      <c r="DL175" s="62"/>
      <c r="DM175" s="62"/>
      <c r="DN175" s="62"/>
      <c r="DO175" s="62"/>
      <c r="DP175" s="62"/>
      <c r="DQ175" s="62"/>
      <c r="DR175" s="62"/>
      <c r="DS175" s="62"/>
      <c r="DT175" s="62"/>
      <c r="DU175" s="62"/>
      <c r="DV175" s="62"/>
      <c r="DW175" s="62"/>
      <c r="DX175" s="62"/>
      <c r="DY175" s="62"/>
      <c r="DZ175" s="62"/>
      <c r="EA175" s="62"/>
      <c r="EB175" s="62"/>
      <c r="EC175" s="62"/>
      <c r="ED175" s="62"/>
      <c r="EE175" s="62"/>
      <c r="EF175" s="62"/>
      <c r="EG175" s="62"/>
      <c r="EH175" s="62"/>
      <c r="EI175" s="62"/>
      <c r="EJ175" s="62"/>
      <c r="EK175" s="62"/>
      <c r="EL175" s="62"/>
      <c r="EM175" s="62"/>
      <c r="EN175" s="62"/>
      <c r="EO175" s="62"/>
      <c r="EP175" s="62"/>
      <c r="EQ175" s="62"/>
      <c r="ER175" s="62"/>
      <c r="ES175" s="62"/>
      <c r="ET175" s="62"/>
      <c r="EU175" s="62"/>
      <c r="EV175" s="62"/>
      <c r="EW175" s="62"/>
      <c r="EX175" s="62"/>
      <c r="EY175" s="62"/>
      <c r="EZ175" s="62"/>
      <c r="FA175" s="62"/>
      <c r="FB175" s="62"/>
      <c r="FC175" s="62"/>
      <c r="FD175" s="62"/>
      <c r="FE175" s="62"/>
      <c r="FF175" s="62"/>
      <c r="FG175" s="62"/>
      <c r="FH175" s="62"/>
      <c r="FI175" s="62"/>
      <c r="FJ175" s="62"/>
      <c r="FK175" s="62"/>
      <c r="FL175" s="62"/>
      <c r="FM175" s="62"/>
      <c r="FN175" s="62"/>
      <c r="FO175" s="62"/>
      <c r="FP175" s="62"/>
      <c r="FQ175" s="62"/>
      <c r="FR175" s="62"/>
      <c r="FS175" s="62"/>
      <c r="FT175" s="62"/>
      <c r="FU175" s="62"/>
      <c r="FV175" s="62"/>
    </row>
    <row r="176" spans="1:178" ht="13.8">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2"/>
      <c r="CS176" s="62"/>
      <c r="CT176" s="62"/>
      <c r="CU176" s="62"/>
      <c r="CV176" s="62"/>
      <c r="CW176" s="62"/>
      <c r="CX176" s="62"/>
      <c r="CY176" s="62"/>
      <c r="CZ176" s="62"/>
      <c r="DA176" s="62"/>
      <c r="DB176" s="62"/>
      <c r="DC176" s="62"/>
      <c r="DD176" s="62"/>
      <c r="DE176" s="62"/>
      <c r="DF176" s="62"/>
      <c r="DG176" s="62"/>
      <c r="DH176" s="62"/>
      <c r="DI176" s="62"/>
      <c r="DJ176" s="62"/>
      <c r="DK176" s="62"/>
      <c r="DL176" s="62"/>
      <c r="DM176" s="62"/>
      <c r="DN176" s="62"/>
      <c r="DO176" s="62"/>
      <c r="DP176" s="62"/>
      <c r="DQ176" s="62"/>
      <c r="DR176" s="62"/>
      <c r="DS176" s="62"/>
      <c r="DT176" s="62"/>
      <c r="DU176" s="62"/>
      <c r="DV176" s="62"/>
      <c r="DW176" s="62"/>
      <c r="DX176" s="62"/>
      <c r="DY176" s="62"/>
      <c r="DZ176" s="62"/>
      <c r="EA176" s="62"/>
      <c r="EB176" s="62"/>
      <c r="EC176" s="62"/>
      <c r="ED176" s="62"/>
      <c r="EE176" s="62"/>
      <c r="EF176" s="62"/>
      <c r="EG176" s="62"/>
      <c r="EH176" s="62"/>
      <c r="EI176" s="62"/>
      <c r="EJ176" s="62"/>
      <c r="EK176" s="62"/>
      <c r="EL176" s="62"/>
      <c r="EM176" s="62"/>
      <c r="EN176" s="62"/>
      <c r="EO176" s="62"/>
      <c r="EP176" s="62"/>
      <c r="EQ176" s="62"/>
      <c r="ER176" s="62"/>
      <c r="ES176" s="62"/>
      <c r="ET176" s="62"/>
      <c r="EU176" s="62"/>
      <c r="EV176" s="62"/>
      <c r="EW176" s="62"/>
      <c r="EX176" s="62"/>
      <c r="EY176" s="62"/>
      <c r="EZ176" s="62"/>
      <c r="FA176" s="62"/>
      <c r="FB176" s="62"/>
      <c r="FC176" s="62"/>
      <c r="FD176" s="62"/>
      <c r="FE176" s="62"/>
      <c r="FF176" s="62"/>
      <c r="FG176" s="62"/>
      <c r="FH176" s="62"/>
      <c r="FI176" s="62"/>
      <c r="FJ176" s="62"/>
      <c r="FK176" s="62"/>
      <c r="FL176" s="62"/>
      <c r="FM176" s="62"/>
      <c r="FN176" s="62"/>
      <c r="FO176" s="62"/>
      <c r="FP176" s="62"/>
      <c r="FQ176" s="62"/>
      <c r="FR176" s="62"/>
      <c r="FS176" s="62"/>
      <c r="FT176" s="62"/>
      <c r="FU176" s="62"/>
      <c r="FV176" s="62"/>
    </row>
    <row r="177" spans="1:178" ht="13.8">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62"/>
      <c r="CX177" s="62"/>
      <c r="CY177" s="62"/>
      <c r="CZ177" s="62"/>
      <c r="DA177" s="62"/>
      <c r="DB177" s="62"/>
      <c r="DC177" s="62"/>
      <c r="DD177" s="62"/>
      <c r="DE177" s="62"/>
      <c r="DF177" s="62"/>
      <c r="DG177" s="62"/>
      <c r="DH177" s="62"/>
      <c r="DI177" s="62"/>
      <c r="DJ177" s="62"/>
      <c r="DK177" s="62"/>
      <c r="DL177" s="62"/>
      <c r="DM177" s="62"/>
      <c r="DN177" s="62"/>
      <c r="DO177" s="62"/>
      <c r="DP177" s="62"/>
      <c r="DQ177" s="62"/>
      <c r="DR177" s="62"/>
      <c r="DS177" s="62"/>
      <c r="DT177" s="62"/>
      <c r="DU177" s="62"/>
      <c r="DV177" s="62"/>
      <c r="DW177" s="62"/>
      <c r="DX177" s="62"/>
      <c r="DY177" s="62"/>
      <c r="DZ177" s="62"/>
      <c r="EA177" s="62"/>
      <c r="EB177" s="62"/>
      <c r="EC177" s="62"/>
      <c r="ED177" s="62"/>
      <c r="EE177" s="62"/>
      <c r="EF177" s="62"/>
      <c r="EG177" s="62"/>
      <c r="EH177" s="62"/>
      <c r="EI177" s="62"/>
      <c r="EJ177" s="62"/>
      <c r="EK177" s="62"/>
      <c r="EL177" s="62"/>
      <c r="EM177" s="62"/>
      <c r="EN177" s="62"/>
      <c r="EO177" s="62"/>
      <c r="EP177" s="62"/>
      <c r="EQ177" s="62"/>
      <c r="ER177" s="62"/>
      <c r="ES177" s="62"/>
      <c r="ET177" s="62"/>
      <c r="EU177" s="62"/>
      <c r="EV177" s="62"/>
      <c r="EW177" s="62"/>
      <c r="EX177" s="62"/>
      <c r="EY177" s="62"/>
      <c r="EZ177" s="62"/>
      <c r="FA177" s="62"/>
      <c r="FB177" s="62"/>
      <c r="FC177" s="62"/>
      <c r="FD177" s="62"/>
      <c r="FE177" s="62"/>
      <c r="FF177" s="62"/>
      <c r="FG177" s="62"/>
      <c r="FH177" s="62"/>
      <c r="FI177" s="62"/>
      <c r="FJ177" s="62"/>
      <c r="FK177" s="62"/>
      <c r="FL177" s="62"/>
      <c r="FM177" s="62"/>
      <c r="FN177" s="62"/>
      <c r="FO177" s="62"/>
      <c r="FP177" s="62"/>
      <c r="FQ177" s="62"/>
      <c r="FR177" s="62"/>
      <c r="FS177" s="62"/>
      <c r="FT177" s="62"/>
      <c r="FU177" s="62"/>
      <c r="FV177" s="62"/>
    </row>
    <row r="178" spans="1:178" ht="13.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c r="CC178" s="62"/>
      <c r="CD178" s="62"/>
      <c r="CE178" s="62"/>
      <c r="CF178" s="62"/>
      <c r="CG178" s="62"/>
      <c r="CH178" s="62"/>
      <c r="CI178" s="62"/>
      <c r="CJ178" s="62"/>
      <c r="CK178" s="62"/>
      <c r="CL178" s="62"/>
      <c r="CM178" s="62"/>
      <c r="CN178" s="62"/>
      <c r="CO178" s="62"/>
      <c r="CP178" s="62"/>
      <c r="CQ178" s="62"/>
      <c r="CR178" s="62"/>
      <c r="CS178" s="62"/>
      <c r="CT178" s="62"/>
      <c r="CU178" s="62"/>
      <c r="CV178" s="62"/>
      <c r="CW178" s="62"/>
      <c r="CX178" s="62"/>
      <c r="CY178" s="62"/>
      <c r="CZ178" s="62"/>
      <c r="DA178" s="62"/>
      <c r="DB178" s="62"/>
      <c r="DC178" s="62"/>
      <c r="DD178" s="62"/>
      <c r="DE178" s="62"/>
      <c r="DF178" s="62"/>
      <c r="DG178" s="62"/>
      <c r="DH178" s="62"/>
      <c r="DI178" s="62"/>
      <c r="DJ178" s="62"/>
      <c r="DK178" s="62"/>
      <c r="DL178" s="62"/>
      <c r="DM178" s="62"/>
      <c r="DN178" s="62"/>
      <c r="DO178" s="62"/>
      <c r="DP178" s="62"/>
      <c r="DQ178" s="62"/>
      <c r="DR178" s="62"/>
      <c r="DS178" s="62"/>
      <c r="DT178" s="62"/>
      <c r="DU178" s="62"/>
      <c r="DV178" s="62"/>
      <c r="DW178" s="62"/>
      <c r="DX178" s="62"/>
      <c r="DY178" s="62"/>
      <c r="DZ178" s="62"/>
      <c r="EA178" s="62"/>
      <c r="EB178" s="62"/>
      <c r="EC178" s="62"/>
      <c r="ED178" s="62"/>
      <c r="EE178" s="62"/>
      <c r="EF178" s="62"/>
      <c r="EG178" s="62"/>
      <c r="EH178" s="62"/>
      <c r="EI178" s="62"/>
      <c r="EJ178" s="62"/>
      <c r="EK178" s="62"/>
      <c r="EL178" s="62"/>
      <c r="EM178" s="62"/>
      <c r="EN178" s="62"/>
      <c r="EO178" s="62"/>
      <c r="EP178" s="62"/>
      <c r="EQ178" s="62"/>
      <c r="ER178" s="62"/>
      <c r="ES178" s="62"/>
      <c r="ET178" s="62"/>
      <c r="EU178" s="62"/>
      <c r="EV178" s="62"/>
      <c r="EW178" s="62"/>
      <c r="EX178" s="62"/>
      <c r="EY178" s="62"/>
      <c r="EZ178" s="62"/>
      <c r="FA178" s="62"/>
      <c r="FB178" s="62"/>
      <c r="FC178" s="62"/>
      <c r="FD178" s="62"/>
      <c r="FE178" s="62"/>
      <c r="FF178" s="62"/>
      <c r="FG178" s="62"/>
      <c r="FH178" s="62"/>
      <c r="FI178" s="62"/>
      <c r="FJ178" s="62"/>
      <c r="FK178" s="62"/>
      <c r="FL178" s="62"/>
      <c r="FM178" s="62"/>
      <c r="FN178" s="62"/>
      <c r="FO178" s="62"/>
      <c r="FP178" s="62"/>
      <c r="FQ178" s="62"/>
      <c r="FR178" s="62"/>
      <c r="FS178" s="62"/>
      <c r="FT178" s="62"/>
      <c r="FU178" s="62"/>
      <c r="FV178" s="62"/>
    </row>
    <row r="179" spans="1:178" ht="13.8">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62"/>
      <c r="CF179" s="62"/>
      <c r="CG179" s="62"/>
      <c r="CH179" s="62"/>
      <c r="CI179" s="62"/>
      <c r="CJ179" s="62"/>
      <c r="CK179" s="62"/>
      <c r="CL179" s="62"/>
      <c r="CM179" s="62"/>
      <c r="CN179" s="62"/>
      <c r="CO179" s="62"/>
      <c r="CP179" s="62"/>
      <c r="CQ179" s="62"/>
      <c r="CR179" s="62"/>
      <c r="CS179" s="62"/>
      <c r="CT179" s="62"/>
      <c r="CU179" s="62"/>
      <c r="CV179" s="62"/>
      <c r="CW179" s="62"/>
      <c r="CX179" s="62"/>
      <c r="CY179" s="62"/>
      <c r="CZ179" s="62"/>
      <c r="DA179" s="62"/>
      <c r="DB179" s="62"/>
      <c r="DC179" s="62"/>
      <c r="DD179" s="62"/>
      <c r="DE179" s="62"/>
      <c r="DF179" s="62"/>
      <c r="DG179" s="62"/>
      <c r="DH179" s="62"/>
      <c r="DI179" s="62"/>
      <c r="DJ179" s="62"/>
      <c r="DK179" s="62"/>
      <c r="DL179" s="62"/>
      <c r="DM179" s="62"/>
      <c r="DN179" s="62"/>
      <c r="DO179" s="62"/>
      <c r="DP179" s="62"/>
      <c r="DQ179" s="62"/>
      <c r="DR179" s="62"/>
      <c r="DS179" s="62"/>
      <c r="DT179" s="62"/>
      <c r="DU179" s="62"/>
      <c r="DV179" s="62"/>
      <c r="DW179" s="62"/>
      <c r="DX179" s="62"/>
      <c r="DY179" s="62"/>
      <c r="DZ179" s="62"/>
      <c r="EA179" s="62"/>
      <c r="EB179" s="62"/>
      <c r="EC179" s="62"/>
      <c r="ED179" s="62"/>
      <c r="EE179" s="62"/>
      <c r="EF179" s="62"/>
      <c r="EG179" s="62"/>
      <c r="EH179" s="62"/>
      <c r="EI179" s="62"/>
      <c r="EJ179" s="62"/>
      <c r="EK179" s="62"/>
      <c r="EL179" s="62"/>
      <c r="EM179" s="62"/>
      <c r="EN179" s="62"/>
      <c r="EO179" s="62"/>
      <c r="EP179" s="62"/>
      <c r="EQ179" s="62"/>
      <c r="ER179" s="62"/>
      <c r="ES179" s="62"/>
      <c r="ET179" s="62"/>
      <c r="EU179" s="62"/>
      <c r="EV179" s="62"/>
      <c r="EW179" s="62"/>
      <c r="EX179" s="62"/>
      <c r="EY179" s="62"/>
      <c r="EZ179" s="62"/>
      <c r="FA179" s="62"/>
      <c r="FB179" s="62"/>
      <c r="FC179" s="62"/>
      <c r="FD179" s="62"/>
      <c r="FE179" s="62"/>
      <c r="FF179" s="62"/>
      <c r="FG179" s="62"/>
      <c r="FH179" s="62"/>
      <c r="FI179" s="62"/>
      <c r="FJ179" s="62"/>
      <c r="FK179" s="62"/>
      <c r="FL179" s="62"/>
      <c r="FM179" s="62"/>
      <c r="FN179" s="62"/>
      <c r="FO179" s="62"/>
      <c r="FP179" s="62"/>
      <c r="FQ179" s="62"/>
      <c r="FR179" s="62"/>
      <c r="FS179" s="62"/>
      <c r="FT179" s="62"/>
      <c r="FU179" s="62"/>
      <c r="FV179" s="62"/>
    </row>
    <row r="180" spans="1:178" ht="13.8">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62"/>
      <c r="AZ180" s="62"/>
      <c r="BA180" s="62"/>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c r="CC180" s="62"/>
      <c r="CD180" s="62"/>
      <c r="CE180" s="62"/>
      <c r="CF180" s="62"/>
      <c r="CG180" s="62"/>
      <c r="CH180" s="62"/>
      <c r="CI180" s="62"/>
      <c r="CJ180" s="62"/>
      <c r="CK180" s="62"/>
      <c r="CL180" s="62"/>
      <c r="CM180" s="62"/>
      <c r="CN180" s="62"/>
      <c r="CO180" s="62"/>
      <c r="CP180" s="62"/>
      <c r="CQ180" s="62"/>
      <c r="CR180" s="62"/>
      <c r="CS180" s="62"/>
      <c r="CT180" s="62"/>
      <c r="CU180" s="62"/>
      <c r="CV180" s="62"/>
      <c r="CW180" s="62"/>
      <c r="CX180" s="62"/>
      <c r="CY180" s="62"/>
      <c r="CZ180" s="62"/>
      <c r="DA180" s="62"/>
      <c r="DB180" s="62"/>
      <c r="DC180" s="62"/>
      <c r="DD180" s="62"/>
      <c r="DE180" s="62"/>
      <c r="DF180" s="62"/>
      <c r="DG180" s="62"/>
      <c r="DH180" s="62"/>
      <c r="DI180" s="62"/>
      <c r="DJ180" s="62"/>
      <c r="DK180" s="62"/>
      <c r="DL180" s="62"/>
      <c r="DM180" s="62"/>
      <c r="DN180" s="62"/>
      <c r="DO180" s="62"/>
      <c r="DP180" s="62"/>
      <c r="DQ180" s="62"/>
      <c r="DR180" s="62"/>
      <c r="DS180" s="62"/>
      <c r="DT180" s="62"/>
      <c r="DU180" s="62"/>
      <c r="DV180" s="62"/>
      <c r="DW180" s="62"/>
      <c r="DX180" s="62"/>
      <c r="DY180" s="62"/>
      <c r="DZ180" s="62"/>
      <c r="EA180" s="62"/>
      <c r="EB180" s="62"/>
      <c r="EC180" s="62"/>
      <c r="ED180" s="62"/>
      <c r="EE180" s="62"/>
      <c r="EF180" s="62"/>
      <c r="EG180" s="62"/>
      <c r="EH180" s="62"/>
      <c r="EI180" s="62"/>
      <c r="EJ180" s="62"/>
      <c r="EK180" s="62"/>
      <c r="EL180" s="62"/>
      <c r="EM180" s="62"/>
      <c r="EN180" s="62"/>
      <c r="EO180" s="62"/>
      <c r="EP180" s="62"/>
      <c r="EQ180" s="62"/>
      <c r="ER180" s="62"/>
      <c r="ES180" s="62"/>
      <c r="ET180" s="62"/>
      <c r="EU180" s="62"/>
      <c r="EV180" s="62"/>
      <c r="EW180" s="62"/>
      <c r="EX180" s="62"/>
      <c r="EY180" s="62"/>
      <c r="EZ180" s="62"/>
      <c r="FA180" s="62"/>
      <c r="FB180" s="62"/>
      <c r="FC180" s="62"/>
      <c r="FD180" s="62"/>
      <c r="FE180" s="62"/>
      <c r="FF180" s="62"/>
      <c r="FG180" s="62"/>
      <c r="FH180" s="62"/>
      <c r="FI180" s="62"/>
      <c r="FJ180" s="62"/>
      <c r="FK180" s="62"/>
      <c r="FL180" s="62"/>
      <c r="FM180" s="62"/>
      <c r="FN180" s="62"/>
      <c r="FO180" s="62"/>
      <c r="FP180" s="62"/>
      <c r="FQ180" s="62"/>
      <c r="FR180" s="62"/>
      <c r="FS180" s="62"/>
      <c r="FT180" s="62"/>
      <c r="FU180" s="62"/>
      <c r="FV180" s="62"/>
    </row>
    <row r="181" spans="1:178" ht="13.8">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2"/>
      <c r="CP181" s="62"/>
      <c r="CQ181" s="62"/>
      <c r="CR181" s="62"/>
      <c r="CS181" s="62"/>
      <c r="CT181" s="62"/>
      <c r="CU181" s="62"/>
      <c r="CV181" s="62"/>
      <c r="CW181" s="62"/>
      <c r="CX181" s="62"/>
      <c r="CY181" s="62"/>
      <c r="CZ181" s="62"/>
      <c r="DA181" s="62"/>
      <c r="DB181" s="62"/>
      <c r="DC181" s="62"/>
      <c r="DD181" s="62"/>
      <c r="DE181" s="62"/>
      <c r="DF181" s="62"/>
      <c r="DG181" s="62"/>
      <c r="DH181" s="62"/>
      <c r="DI181" s="62"/>
      <c r="DJ181" s="62"/>
      <c r="DK181" s="62"/>
      <c r="DL181" s="62"/>
      <c r="DM181" s="62"/>
      <c r="DN181" s="62"/>
      <c r="DO181" s="62"/>
      <c r="DP181" s="62"/>
      <c r="DQ181" s="62"/>
      <c r="DR181" s="62"/>
      <c r="DS181" s="62"/>
      <c r="DT181" s="62"/>
      <c r="DU181" s="62"/>
      <c r="DV181" s="62"/>
      <c r="DW181" s="62"/>
      <c r="DX181" s="62"/>
      <c r="DY181" s="62"/>
      <c r="DZ181" s="62"/>
      <c r="EA181" s="62"/>
      <c r="EB181" s="62"/>
      <c r="EC181" s="62"/>
      <c r="ED181" s="62"/>
      <c r="EE181" s="62"/>
      <c r="EF181" s="62"/>
      <c r="EG181" s="62"/>
      <c r="EH181" s="62"/>
      <c r="EI181" s="62"/>
      <c r="EJ181" s="62"/>
      <c r="EK181" s="62"/>
      <c r="EL181" s="62"/>
      <c r="EM181" s="62"/>
      <c r="EN181" s="62"/>
      <c r="EO181" s="62"/>
      <c r="EP181" s="62"/>
      <c r="EQ181" s="62"/>
      <c r="ER181" s="62"/>
      <c r="ES181" s="62"/>
      <c r="ET181" s="62"/>
      <c r="EU181" s="62"/>
      <c r="EV181" s="62"/>
      <c r="EW181" s="62"/>
      <c r="EX181" s="62"/>
      <c r="EY181" s="62"/>
      <c r="EZ181" s="62"/>
      <c r="FA181" s="62"/>
      <c r="FB181" s="62"/>
      <c r="FC181" s="62"/>
      <c r="FD181" s="62"/>
      <c r="FE181" s="62"/>
      <c r="FF181" s="62"/>
      <c r="FG181" s="62"/>
      <c r="FH181" s="62"/>
      <c r="FI181" s="62"/>
      <c r="FJ181" s="62"/>
      <c r="FK181" s="62"/>
      <c r="FL181" s="62"/>
      <c r="FM181" s="62"/>
      <c r="FN181" s="62"/>
      <c r="FO181" s="62"/>
      <c r="FP181" s="62"/>
      <c r="FQ181" s="62"/>
      <c r="FR181" s="62"/>
      <c r="FS181" s="62"/>
      <c r="FT181" s="62"/>
      <c r="FU181" s="62"/>
      <c r="FV181" s="62"/>
    </row>
    <row r="182" spans="1:178" ht="13.8">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2"/>
      <c r="DV182" s="62"/>
      <c r="DW182" s="62"/>
      <c r="DX182" s="62"/>
      <c r="DY182" s="62"/>
      <c r="DZ182" s="62"/>
      <c r="EA182" s="62"/>
      <c r="EB182" s="62"/>
      <c r="EC182" s="62"/>
      <c r="ED182" s="62"/>
      <c r="EE182" s="62"/>
      <c r="EF182" s="62"/>
      <c r="EG182" s="62"/>
      <c r="EH182" s="62"/>
      <c r="EI182" s="62"/>
      <c r="EJ182" s="62"/>
      <c r="EK182" s="62"/>
      <c r="EL182" s="62"/>
      <c r="EM182" s="62"/>
      <c r="EN182" s="62"/>
      <c r="EO182" s="62"/>
      <c r="EP182" s="62"/>
      <c r="EQ182" s="62"/>
      <c r="ER182" s="62"/>
      <c r="ES182" s="62"/>
      <c r="ET182" s="62"/>
      <c r="EU182" s="62"/>
      <c r="EV182" s="62"/>
      <c r="EW182" s="62"/>
      <c r="EX182" s="62"/>
      <c r="EY182" s="62"/>
      <c r="EZ182" s="62"/>
      <c r="FA182" s="62"/>
      <c r="FB182" s="62"/>
      <c r="FC182" s="62"/>
      <c r="FD182" s="62"/>
      <c r="FE182" s="62"/>
      <c r="FF182" s="62"/>
      <c r="FG182" s="62"/>
      <c r="FH182" s="62"/>
      <c r="FI182" s="62"/>
      <c r="FJ182" s="62"/>
      <c r="FK182" s="62"/>
      <c r="FL182" s="62"/>
      <c r="FM182" s="62"/>
      <c r="FN182" s="62"/>
      <c r="FO182" s="62"/>
      <c r="FP182" s="62"/>
      <c r="FQ182" s="62"/>
      <c r="FR182" s="62"/>
      <c r="FS182" s="62"/>
      <c r="FT182" s="62"/>
      <c r="FU182" s="62"/>
      <c r="FV182" s="62"/>
    </row>
    <row r="183" spans="1:178" ht="13.8">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2"/>
      <c r="CP183" s="62"/>
      <c r="CQ183" s="62"/>
      <c r="CR183" s="62"/>
      <c r="CS183" s="62"/>
      <c r="CT183" s="62"/>
      <c r="CU183" s="62"/>
      <c r="CV183" s="62"/>
      <c r="CW183" s="62"/>
      <c r="CX183" s="62"/>
      <c r="CY183" s="62"/>
      <c r="CZ183" s="62"/>
      <c r="DA183" s="62"/>
      <c r="DB183" s="62"/>
      <c r="DC183" s="62"/>
      <c r="DD183" s="62"/>
      <c r="DE183" s="62"/>
      <c r="DF183" s="62"/>
      <c r="DG183" s="62"/>
      <c r="DH183" s="62"/>
      <c r="DI183" s="62"/>
      <c r="DJ183" s="62"/>
      <c r="DK183" s="62"/>
      <c r="DL183" s="62"/>
      <c r="DM183" s="62"/>
      <c r="DN183" s="62"/>
      <c r="DO183" s="62"/>
      <c r="DP183" s="62"/>
      <c r="DQ183" s="62"/>
      <c r="DR183" s="62"/>
      <c r="DS183" s="62"/>
      <c r="DT183" s="62"/>
      <c r="DU183" s="62"/>
      <c r="DV183" s="62"/>
      <c r="DW183" s="62"/>
      <c r="DX183" s="62"/>
      <c r="DY183" s="62"/>
      <c r="DZ183" s="62"/>
      <c r="EA183" s="62"/>
      <c r="EB183" s="62"/>
      <c r="EC183" s="62"/>
      <c r="ED183" s="62"/>
      <c r="EE183" s="62"/>
      <c r="EF183" s="62"/>
      <c r="EG183" s="62"/>
      <c r="EH183" s="62"/>
      <c r="EI183" s="62"/>
      <c r="EJ183" s="62"/>
      <c r="EK183" s="62"/>
      <c r="EL183" s="62"/>
      <c r="EM183" s="62"/>
      <c r="EN183" s="62"/>
      <c r="EO183" s="62"/>
      <c r="EP183" s="62"/>
      <c r="EQ183" s="62"/>
      <c r="ER183" s="62"/>
      <c r="ES183" s="62"/>
      <c r="ET183" s="62"/>
      <c r="EU183" s="62"/>
      <c r="EV183" s="62"/>
      <c r="EW183" s="62"/>
      <c r="EX183" s="62"/>
      <c r="EY183" s="62"/>
      <c r="EZ183" s="62"/>
      <c r="FA183" s="62"/>
      <c r="FB183" s="62"/>
      <c r="FC183" s="62"/>
      <c r="FD183" s="62"/>
      <c r="FE183" s="62"/>
      <c r="FF183" s="62"/>
      <c r="FG183" s="62"/>
      <c r="FH183" s="62"/>
      <c r="FI183" s="62"/>
      <c r="FJ183" s="62"/>
      <c r="FK183" s="62"/>
      <c r="FL183" s="62"/>
      <c r="FM183" s="62"/>
      <c r="FN183" s="62"/>
      <c r="FO183" s="62"/>
      <c r="FP183" s="62"/>
      <c r="FQ183" s="62"/>
      <c r="FR183" s="62"/>
      <c r="FS183" s="62"/>
      <c r="FT183" s="62"/>
      <c r="FU183" s="62"/>
      <c r="FV183" s="62"/>
    </row>
    <row r="184" spans="1:178" ht="13.8">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62"/>
      <c r="AZ184" s="62"/>
      <c r="BA184" s="62"/>
      <c r="BB184" s="62"/>
      <c r="BC184" s="62"/>
      <c r="BD184" s="62"/>
      <c r="BE184" s="62"/>
      <c r="BF184" s="62"/>
      <c r="BG184" s="62"/>
      <c r="BH184" s="62"/>
      <c r="BI184" s="62"/>
      <c r="BJ184" s="62"/>
      <c r="BK184" s="62"/>
      <c r="BL184" s="62"/>
      <c r="BM184" s="62"/>
      <c r="BN184" s="62"/>
      <c r="BO184" s="62"/>
      <c r="BP184" s="62"/>
      <c r="BQ184" s="62"/>
      <c r="BR184" s="62"/>
      <c r="BS184" s="62"/>
      <c r="BT184" s="62"/>
      <c r="BU184" s="62"/>
      <c r="BV184" s="62"/>
      <c r="BW184" s="62"/>
      <c r="BX184" s="62"/>
      <c r="BY184" s="62"/>
      <c r="BZ184" s="62"/>
      <c r="CA184" s="62"/>
      <c r="CB184" s="62"/>
      <c r="CC184" s="62"/>
      <c r="CD184" s="62"/>
      <c r="CE184" s="62"/>
      <c r="CF184" s="62"/>
      <c r="CG184" s="62"/>
      <c r="CH184" s="62"/>
      <c r="CI184" s="62"/>
      <c r="CJ184" s="62"/>
      <c r="CK184" s="62"/>
      <c r="CL184" s="62"/>
      <c r="CM184" s="62"/>
      <c r="CN184" s="62"/>
      <c r="CO184" s="62"/>
      <c r="CP184" s="62"/>
      <c r="CQ184" s="62"/>
      <c r="CR184" s="62"/>
      <c r="CS184" s="62"/>
      <c r="CT184" s="62"/>
      <c r="CU184" s="62"/>
      <c r="CV184" s="62"/>
      <c r="CW184" s="62"/>
      <c r="CX184" s="62"/>
      <c r="CY184" s="62"/>
      <c r="CZ184" s="62"/>
      <c r="DA184" s="62"/>
      <c r="DB184" s="62"/>
      <c r="DC184" s="62"/>
      <c r="DD184" s="62"/>
      <c r="DE184" s="62"/>
      <c r="DF184" s="62"/>
      <c r="DG184" s="62"/>
      <c r="DH184" s="62"/>
      <c r="DI184" s="62"/>
      <c r="DJ184" s="62"/>
      <c r="DK184" s="62"/>
      <c r="DL184" s="62"/>
      <c r="DM184" s="62"/>
      <c r="DN184" s="62"/>
      <c r="DO184" s="62"/>
      <c r="DP184" s="62"/>
      <c r="DQ184" s="62"/>
      <c r="DR184" s="62"/>
      <c r="DS184" s="62"/>
      <c r="DT184" s="62"/>
      <c r="DU184" s="62"/>
      <c r="DV184" s="62"/>
      <c r="DW184" s="62"/>
      <c r="DX184" s="62"/>
      <c r="DY184" s="62"/>
      <c r="DZ184" s="62"/>
      <c r="EA184" s="62"/>
      <c r="EB184" s="62"/>
      <c r="EC184" s="62"/>
      <c r="ED184" s="62"/>
      <c r="EE184" s="62"/>
      <c r="EF184" s="62"/>
      <c r="EG184" s="62"/>
      <c r="EH184" s="62"/>
      <c r="EI184" s="62"/>
      <c r="EJ184" s="62"/>
      <c r="EK184" s="62"/>
      <c r="EL184" s="62"/>
      <c r="EM184" s="62"/>
      <c r="EN184" s="62"/>
      <c r="EO184" s="62"/>
      <c r="EP184" s="62"/>
      <c r="EQ184" s="62"/>
      <c r="ER184" s="62"/>
      <c r="ES184" s="62"/>
      <c r="ET184" s="62"/>
      <c r="EU184" s="62"/>
      <c r="EV184" s="62"/>
      <c r="EW184" s="62"/>
      <c r="EX184" s="62"/>
      <c r="EY184" s="62"/>
      <c r="EZ184" s="62"/>
      <c r="FA184" s="62"/>
      <c r="FB184" s="62"/>
      <c r="FC184" s="62"/>
      <c r="FD184" s="62"/>
      <c r="FE184" s="62"/>
      <c r="FF184" s="62"/>
      <c r="FG184" s="62"/>
      <c r="FH184" s="62"/>
      <c r="FI184" s="62"/>
      <c r="FJ184" s="62"/>
      <c r="FK184" s="62"/>
      <c r="FL184" s="62"/>
      <c r="FM184" s="62"/>
      <c r="FN184" s="62"/>
      <c r="FO184" s="62"/>
      <c r="FP184" s="62"/>
      <c r="FQ184" s="62"/>
      <c r="FR184" s="62"/>
      <c r="FS184" s="62"/>
      <c r="FT184" s="62"/>
      <c r="FU184" s="62"/>
      <c r="FV184" s="62"/>
    </row>
    <row r="185" spans="1:178" ht="13.8">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2"/>
      <c r="CP185" s="62"/>
      <c r="CQ185" s="62"/>
      <c r="CR185" s="62"/>
      <c r="CS185" s="62"/>
      <c r="CT185" s="62"/>
      <c r="CU185" s="62"/>
      <c r="CV185" s="62"/>
      <c r="CW185" s="62"/>
      <c r="CX185" s="62"/>
      <c r="CY185" s="62"/>
      <c r="CZ185" s="62"/>
      <c r="DA185" s="62"/>
      <c r="DB185" s="62"/>
      <c r="DC185" s="62"/>
      <c r="DD185" s="62"/>
      <c r="DE185" s="62"/>
      <c r="DF185" s="62"/>
      <c r="DG185" s="62"/>
      <c r="DH185" s="62"/>
      <c r="DI185" s="62"/>
      <c r="DJ185" s="62"/>
      <c r="DK185" s="62"/>
      <c r="DL185" s="62"/>
      <c r="DM185" s="62"/>
      <c r="DN185" s="62"/>
      <c r="DO185" s="62"/>
      <c r="DP185" s="62"/>
      <c r="DQ185" s="62"/>
      <c r="DR185" s="62"/>
      <c r="DS185" s="62"/>
      <c r="DT185" s="62"/>
      <c r="DU185" s="62"/>
      <c r="DV185" s="62"/>
      <c r="DW185" s="62"/>
      <c r="DX185" s="62"/>
      <c r="DY185" s="62"/>
      <c r="DZ185" s="62"/>
      <c r="EA185" s="62"/>
      <c r="EB185" s="62"/>
      <c r="EC185" s="62"/>
      <c r="ED185" s="62"/>
      <c r="EE185" s="62"/>
      <c r="EF185" s="62"/>
      <c r="EG185" s="62"/>
      <c r="EH185" s="62"/>
      <c r="EI185" s="62"/>
      <c r="EJ185" s="62"/>
      <c r="EK185" s="62"/>
      <c r="EL185" s="62"/>
      <c r="EM185" s="62"/>
      <c r="EN185" s="62"/>
      <c r="EO185" s="62"/>
      <c r="EP185" s="62"/>
      <c r="EQ185" s="62"/>
      <c r="ER185" s="62"/>
      <c r="ES185" s="62"/>
      <c r="ET185" s="62"/>
      <c r="EU185" s="62"/>
      <c r="EV185" s="62"/>
      <c r="EW185" s="62"/>
      <c r="EX185" s="62"/>
      <c r="EY185" s="62"/>
      <c r="EZ185" s="62"/>
      <c r="FA185" s="62"/>
      <c r="FB185" s="62"/>
      <c r="FC185" s="62"/>
      <c r="FD185" s="62"/>
      <c r="FE185" s="62"/>
      <c r="FF185" s="62"/>
      <c r="FG185" s="62"/>
      <c r="FH185" s="62"/>
      <c r="FI185" s="62"/>
      <c r="FJ185" s="62"/>
      <c r="FK185" s="62"/>
      <c r="FL185" s="62"/>
      <c r="FM185" s="62"/>
      <c r="FN185" s="62"/>
      <c r="FO185" s="62"/>
      <c r="FP185" s="62"/>
      <c r="FQ185" s="62"/>
      <c r="FR185" s="62"/>
      <c r="FS185" s="62"/>
      <c r="FT185" s="62"/>
      <c r="FU185" s="62"/>
      <c r="FV185" s="62"/>
    </row>
    <row r="186" spans="1:178" ht="13.8">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62"/>
      <c r="AZ186" s="62"/>
      <c r="BA186" s="62"/>
      <c r="BB186" s="62"/>
      <c r="BC186" s="62"/>
      <c r="BD186" s="62"/>
      <c r="BE186" s="62"/>
      <c r="BF186" s="62"/>
      <c r="BG186" s="62"/>
      <c r="BH186" s="62"/>
      <c r="BI186" s="62"/>
      <c r="BJ186" s="62"/>
      <c r="BK186" s="62"/>
      <c r="BL186" s="62"/>
      <c r="BM186" s="62"/>
      <c r="BN186" s="62"/>
      <c r="BO186" s="62"/>
      <c r="BP186" s="62"/>
      <c r="BQ186" s="62"/>
      <c r="BR186" s="62"/>
      <c r="BS186" s="62"/>
      <c r="BT186" s="62"/>
      <c r="BU186" s="62"/>
      <c r="BV186" s="62"/>
      <c r="BW186" s="62"/>
      <c r="BX186" s="62"/>
      <c r="BY186" s="62"/>
      <c r="BZ186" s="62"/>
      <c r="CA186" s="62"/>
      <c r="CB186" s="62"/>
      <c r="CC186" s="62"/>
      <c r="CD186" s="62"/>
      <c r="CE186" s="62"/>
      <c r="CF186" s="62"/>
      <c r="CG186" s="62"/>
      <c r="CH186" s="62"/>
      <c r="CI186" s="62"/>
      <c r="CJ186" s="62"/>
      <c r="CK186" s="62"/>
      <c r="CL186" s="62"/>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c r="DO186" s="62"/>
      <c r="DP186" s="62"/>
      <c r="DQ186" s="62"/>
      <c r="DR186" s="62"/>
      <c r="DS186" s="62"/>
      <c r="DT186" s="62"/>
      <c r="DU186" s="62"/>
      <c r="DV186" s="62"/>
      <c r="DW186" s="62"/>
      <c r="DX186" s="62"/>
      <c r="DY186" s="62"/>
      <c r="DZ186" s="62"/>
      <c r="EA186" s="62"/>
      <c r="EB186" s="62"/>
      <c r="EC186" s="62"/>
      <c r="ED186" s="62"/>
      <c r="EE186" s="62"/>
      <c r="EF186" s="62"/>
      <c r="EG186" s="62"/>
      <c r="EH186" s="62"/>
      <c r="EI186" s="62"/>
      <c r="EJ186" s="62"/>
      <c r="EK186" s="62"/>
      <c r="EL186" s="62"/>
      <c r="EM186" s="62"/>
      <c r="EN186" s="62"/>
      <c r="EO186" s="62"/>
      <c r="EP186" s="62"/>
      <c r="EQ186" s="62"/>
      <c r="ER186" s="62"/>
      <c r="ES186" s="62"/>
      <c r="ET186" s="62"/>
      <c r="EU186" s="62"/>
      <c r="EV186" s="62"/>
      <c r="EW186" s="62"/>
      <c r="EX186" s="62"/>
      <c r="EY186" s="62"/>
      <c r="EZ186" s="62"/>
      <c r="FA186" s="62"/>
      <c r="FB186" s="62"/>
      <c r="FC186" s="62"/>
      <c r="FD186" s="62"/>
      <c r="FE186" s="62"/>
      <c r="FF186" s="62"/>
      <c r="FG186" s="62"/>
      <c r="FH186" s="62"/>
      <c r="FI186" s="62"/>
      <c r="FJ186" s="62"/>
      <c r="FK186" s="62"/>
      <c r="FL186" s="62"/>
      <c r="FM186" s="62"/>
      <c r="FN186" s="62"/>
      <c r="FO186" s="62"/>
      <c r="FP186" s="62"/>
      <c r="FQ186" s="62"/>
      <c r="FR186" s="62"/>
      <c r="FS186" s="62"/>
      <c r="FT186" s="62"/>
      <c r="FU186" s="62"/>
      <c r="FV186" s="62"/>
    </row>
    <row r="187" spans="1:178" ht="13.8">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62"/>
      <c r="CF187" s="62"/>
      <c r="CG187" s="62"/>
      <c r="CH187" s="62"/>
      <c r="CI187" s="62"/>
      <c r="CJ187" s="62"/>
      <c r="CK187" s="62"/>
      <c r="CL187" s="62"/>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c r="DO187" s="62"/>
      <c r="DP187" s="62"/>
      <c r="DQ187" s="62"/>
      <c r="DR187" s="62"/>
      <c r="DS187" s="62"/>
      <c r="DT187" s="62"/>
      <c r="DU187" s="62"/>
      <c r="DV187" s="62"/>
      <c r="DW187" s="62"/>
      <c r="DX187" s="62"/>
      <c r="DY187" s="62"/>
      <c r="DZ187" s="62"/>
      <c r="EA187" s="62"/>
      <c r="EB187" s="62"/>
      <c r="EC187" s="62"/>
      <c r="ED187" s="62"/>
      <c r="EE187" s="62"/>
      <c r="EF187" s="62"/>
      <c r="EG187" s="62"/>
      <c r="EH187" s="62"/>
      <c r="EI187" s="62"/>
      <c r="EJ187" s="62"/>
      <c r="EK187" s="62"/>
      <c r="EL187" s="62"/>
      <c r="EM187" s="62"/>
      <c r="EN187" s="62"/>
      <c r="EO187" s="62"/>
      <c r="EP187" s="62"/>
      <c r="EQ187" s="62"/>
      <c r="ER187" s="62"/>
      <c r="ES187" s="62"/>
      <c r="ET187" s="62"/>
      <c r="EU187" s="62"/>
      <c r="EV187" s="62"/>
      <c r="EW187" s="62"/>
      <c r="EX187" s="62"/>
      <c r="EY187" s="62"/>
      <c r="EZ187" s="62"/>
      <c r="FA187" s="62"/>
      <c r="FB187" s="62"/>
      <c r="FC187" s="62"/>
      <c r="FD187" s="62"/>
      <c r="FE187" s="62"/>
      <c r="FF187" s="62"/>
      <c r="FG187" s="62"/>
      <c r="FH187" s="62"/>
      <c r="FI187" s="62"/>
      <c r="FJ187" s="62"/>
      <c r="FK187" s="62"/>
      <c r="FL187" s="62"/>
      <c r="FM187" s="62"/>
      <c r="FN187" s="62"/>
      <c r="FO187" s="62"/>
      <c r="FP187" s="62"/>
      <c r="FQ187" s="62"/>
      <c r="FR187" s="62"/>
      <c r="FS187" s="62"/>
      <c r="FT187" s="62"/>
      <c r="FU187" s="62"/>
      <c r="FV187" s="62"/>
    </row>
    <row r="188" spans="1:178" ht="13.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2"/>
      <c r="BD188" s="62"/>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62"/>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c r="DO188" s="62"/>
      <c r="DP188" s="62"/>
      <c r="DQ188" s="62"/>
      <c r="DR188" s="62"/>
      <c r="DS188" s="62"/>
      <c r="DT188" s="62"/>
      <c r="DU188" s="62"/>
      <c r="DV188" s="62"/>
      <c r="DW188" s="62"/>
      <c r="DX188" s="62"/>
      <c r="DY188" s="62"/>
      <c r="DZ188" s="62"/>
      <c r="EA188" s="62"/>
      <c r="EB188" s="62"/>
      <c r="EC188" s="62"/>
      <c r="ED188" s="62"/>
      <c r="EE188" s="62"/>
      <c r="EF188" s="62"/>
      <c r="EG188" s="62"/>
      <c r="EH188" s="62"/>
      <c r="EI188" s="62"/>
      <c r="EJ188" s="62"/>
      <c r="EK188" s="62"/>
      <c r="EL188" s="62"/>
      <c r="EM188" s="62"/>
      <c r="EN188" s="62"/>
      <c r="EO188" s="62"/>
      <c r="EP188" s="62"/>
      <c r="EQ188" s="62"/>
      <c r="ER188" s="62"/>
      <c r="ES188" s="62"/>
      <c r="ET188" s="62"/>
      <c r="EU188" s="62"/>
      <c r="EV188" s="62"/>
      <c r="EW188" s="62"/>
      <c r="EX188" s="62"/>
      <c r="EY188" s="62"/>
      <c r="EZ188" s="62"/>
      <c r="FA188" s="62"/>
      <c r="FB188" s="62"/>
      <c r="FC188" s="62"/>
      <c r="FD188" s="62"/>
      <c r="FE188" s="62"/>
      <c r="FF188" s="62"/>
      <c r="FG188" s="62"/>
      <c r="FH188" s="62"/>
      <c r="FI188" s="62"/>
      <c r="FJ188" s="62"/>
      <c r="FK188" s="62"/>
      <c r="FL188" s="62"/>
      <c r="FM188" s="62"/>
      <c r="FN188" s="62"/>
      <c r="FO188" s="62"/>
      <c r="FP188" s="62"/>
      <c r="FQ188" s="62"/>
      <c r="FR188" s="62"/>
      <c r="FS188" s="62"/>
      <c r="FT188" s="62"/>
      <c r="FU188" s="62"/>
      <c r="FV188" s="62"/>
    </row>
    <row r="189" spans="1:178" ht="13.8">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62"/>
      <c r="CF189" s="62"/>
      <c r="CG189" s="62"/>
      <c r="CH189" s="62"/>
      <c r="CI189" s="62"/>
      <c r="CJ189" s="62"/>
      <c r="CK189" s="62"/>
      <c r="CL189" s="62"/>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c r="DO189" s="62"/>
      <c r="DP189" s="62"/>
      <c r="DQ189" s="62"/>
      <c r="DR189" s="62"/>
      <c r="DS189" s="62"/>
      <c r="DT189" s="62"/>
      <c r="DU189" s="62"/>
      <c r="DV189" s="62"/>
      <c r="DW189" s="62"/>
      <c r="DX189" s="62"/>
      <c r="DY189" s="62"/>
      <c r="DZ189" s="62"/>
      <c r="EA189" s="62"/>
      <c r="EB189" s="62"/>
      <c r="EC189" s="62"/>
      <c r="ED189" s="62"/>
      <c r="EE189" s="62"/>
      <c r="EF189" s="62"/>
      <c r="EG189" s="62"/>
      <c r="EH189" s="62"/>
      <c r="EI189" s="62"/>
      <c r="EJ189" s="62"/>
      <c r="EK189" s="62"/>
      <c r="EL189" s="62"/>
      <c r="EM189" s="62"/>
      <c r="EN189" s="62"/>
      <c r="EO189" s="62"/>
      <c r="EP189" s="62"/>
      <c r="EQ189" s="62"/>
      <c r="ER189" s="62"/>
      <c r="ES189" s="62"/>
      <c r="ET189" s="62"/>
      <c r="EU189" s="62"/>
      <c r="EV189" s="62"/>
      <c r="EW189" s="62"/>
      <c r="EX189" s="62"/>
      <c r="EY189" s="62"/>
      <c r="EZ189" s="62"/>
      <c r="FA189" s="62"/>
      <c r="FB189" s="62"/>
      <c r="FC189" s="62"/>
      <c r="FD189" s="62"/>
      <c r="FE189" s="62"/>
      <c r="FF189" s="62"/>
      <c r="FG189" s="62"/>
      <c r="FH189" s="62"/>
      <c r="FI189" s="62"/>
      <c r="FJ189" s="62"/>
      <c r="FK189" s="62"/>
      <c r="FL189" s="62"/>
      <c r="FM189" s="62"/>
      <c r="FN189" s="62"/>
      <c r="FO189" s="62"/>
      <c r="FP189" s="62"/>
      <c r="FQ189" s="62"/>
      <c r="FR189" s="62"/>
      <c r="FS189" s="62"/>
      <c r="FT189" s="62"/>
      <c r="FU189" s="62"/>
      <c r="FV189" s="62"/>
    </row>
    <row r="190" spans="1:178" ht="13.8">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c r="AY190" s="62"/>
      <c r="AZ190" s="62"/>
      <c r="BA190" s="62"/>
      <c r="BB190" s="62"/>
      <c r="BC190" s="62"/>
      <c r="BD190" s="62"/>
      <c r="BE190" s="62"/>
      <c r="BF190" s="62"/>
      <c r="BG190" s="62"/>
      <c r="BH190" s="62"/>
      <c r="BI190" s="62"/>
      <c r="BJ190" s="62"/>
      <c r="BK190" s="62"/>
      <c r="BL190" s="62"/>
      <c r="BM190" s="62"/>
      <c r="BN190" s="62"/>
      <c r="BO190" s="62"/>
      <c r="BP190" s="62"/>
      <c r="BQ190" s="62"/>
      <c r="BR190" s="62"/>
      <c r="BS190" s="62"/>
      <c r="BT190" s="62"/>
      <c r="BU190" s="62"/>
      <c r="BV190" s="62"/>
      <c r="BW190" s="62"/>
      <c r="BX190" s="62"/>
      <c r="BY190" s="62"/>
      <c r="BZ190" s="62"/>
      <c r="CA190" s="62"/>
      <c r="CB190" s="62"/>
      <c r="CC190" s="62"/>
      <c r="CD190" s="62"/>
      <c r="CE190" s="62"/>
      <c r="CF190" s="62"/>
      <c r="CG190" s="62"/>
      <c r="CH190" s="62"/>
      <c r="CI190" s="62"/>
      <c r="CJ190" s="62"/>
      <c r="CK190" s="62"/>
      <c r="CL190" s="62"/>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c r="DO190" s="62"/>
      <c r="DP190" s="62"/>
      <c r="DQ190" s="62"/>
      <c r="DR190" s="62"/>
      <c r="DS190" s="62"/>
      <c r="DT190" s="62"/>
      <c r="DU190" s="62"/>
      <c r="DV190" s="62"/>
      <c r="DW190" s="62"/>
      <c r="DX190" s="62"/>
      <c r="DY190" s="62"/>
      <c r="DZ190" s="62"/>
      <c r="EA190" s="62"/>
      <c r="EB190" s="62"/>
      <c r="EC190" s="62"/>
      <c r="ED190" s="62"/>
      <c r="EE190" s="62"/>
      <c r="EF190" s="62"/>
      <c r="EG190" s="62"/>
      <c r="EH190" s="62"/>
      <c r="EI190" s="62"/>
      <c r="EJ190" s="62"/>
      <c r="EK190" s="62"/>
      <c r="EL190" s="62"/>
      <c r="EM190" s="62"/>
      <c r="EN190" s="62"/>
      <c r="EO190" s="62"/>
      <c r="EP190" s="62"/>
      <c r="EQ190" s="62"/>
      <c r="ER190" s="62"/>
      <c r="ES190" s="62"/>
      <c r="ET190" s="62"/>
      <c r="EU190" s="62"/>
      <c r="EV190" s="62"/>
      <c r="EW190" s="62"/>
      <c r="EX190" s="62"/>
      <c r="EY190" s="62"/>
      <c r="EZ190" s="62"/>
      <c r="FA190" s="62"/>
      <c r="FB190" s="62"/>
      <c r="FC190" s="62"/>
      <c r="FD190" s="62"/>
      <c r="FE190" s="62"/>
      <c r="FF190" s="62"/>
      <c r="FG190" s="62"/>
      <c r="FH190" s="62"/>
      <c r="FI190" s="62"/>
      <c r="FJ190" s="62"/>
      <c r="FK190" s="62"/>
      <c r="FL190" s="62"/>
      <c r="FM190" s="62"/>
      <c r="FN190" s="62"/>
      <c r="FO190" s="62"/>
      <c r="FP190" s="62"/>
      <c r="FQ190" s="62"/>
      <c r="FR190" s="62"/>
      <c r="FS190" s="62"/>
      <c r="FT190" s="62"/>
      <c r="FU190" s="62"/>
      <c r="FV190" s="62"/>
    </row>
    <row r="191" spans="1:178" ht="13.8">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62"/>
      <c r="CF191" s="62"/>
      <c r="CG191" s="62"/>
      <c r="CH191" s="62"/>
      <c r="CI191" s="62"/>
      <c r="CJ191" s="62"/>
      <c r="CK191" s="62"/>
      <c r="CL191" s="62"/>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c r="DO191" s="62"/>
      <c r="DP191" s="62"/>
      <c r="DQ191" s="62"/>
      <c r="DR191" s="62"/>
      <c r="DS191" s="62"/>
      <c r="DT191" s="62"/>
      <c r="DU191" s="62"/>
      <c r="DV191" s="62"/>
      <c r="DW191" s="62"/>
      <c r="DX191" s="62"/>
      <c r="DY191" s="62"/>
      <c r="DZ191" s="62"/>
      <c r="EA191" s="62"/>
      <c r="EB191" s="62"/>
      <c r="EC191" s="62"/>
      <c r="ED191" s="62"/>
      <c r="EE191" s="62"/>
      <c r="EF191" s="62"/>
      <c r="EG191" s="62"/>
      <c r="EH191" s="62"/>
      <c r="EI191" s="62"/>
      <c r="EJ191" s="62"/>
      <c r="EK191" s="62"/>
      <c r="EL191" s="62"/>
      <c r="EM191" s="62"/>
      <c r="EN191" s="62"/>
      <c r="EO191" s="62"/>
      <c r="EP191" s="62"/>
      <c r="EQ191" s="62"/>
      <c r="ER191" s="62"/>
      <c r="ES191" s="62"/>
      <c r="ET191" s="62"/>
      <c r="EU191" s="62"/>
      <c r="EV191" s="62"/>
      <c r="EW191" s="62"/>
      <c r="EX191" s="62"/>
      <c r="EY191" s="62"/>
      <c r="EZ191" s="62"/>
      <c r="FA191" s="62"/>
      <c r="FB191" s="62"/>
      <c r="FC191" s="62"/>
      <c r="FD191" s="62"/>
      <c r="FE191" s="62"/>
      <c r="FF191" s="62"/>
      <c r="FG191" s="62"/>
      <c r="FH191" s="62"/>
      <c r="FI191" s="62"/>
      <c r="FJ191" s="62"/>
      <c r="FK191" s="62"/>
      <c r="FL191" s="62"/>
      <c r="FM191" s="62"/>
      <c r="FN191" s="62"/>
      <c r="FO191" s="62"/>
      <c r="FP191" s="62"/>
      <c r="FQ191" s="62"/>
      <c r="FR191" s="62"/>
      <c r="FS191" s="62"/>
      <c r="FT191" s="62"/>
      <c r="FU191" s="62"/>
      <c r="FV191" s="62"/>
    </row>
    <row r="192" spans="1:178" ht="13.8">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62"/>
      <c r="AZ192" s="62"/>
      <c r="BA192" s="62"/>
      <c r="BB192" s="62"/>
      <c r="BC192" s="62"/>
      <c r="BD192" s="62"/>
      <c r="BE192" s="62"/>
      <c r="BF192" s="62"/>
      <c r="BG192" s="62"/>
      <c r="BH192" s="62"/>
      <c r="BI192" s="62"/>
      <c r="BJ192" s="62"/>
      <c r="BK192" s="62"/>
      <c r="BL192" s="62"/>
      <c r="BM192" s="62"/>
      <c r="BN192" s="62"/>
      <c r="BO192" s="62"/>
      <c r="BP192" s="62"/>
      <c r="BQ192" s="62"/>
      <c r="BR192" s="62"/>
      <c r="BS192" s="62"/>
      <c r="BT192" s="62"/>
      <c r="BU192" s="62"/>
      <c r="BV192" s="62"/>
      <c r="BW192" s="62"/>
      <c r="BX192" s="62"/>
      <c r="BY192" s="62"/>
      <c r="BZ192" s="62"/>
      <c r="CA192" s="62"/>
      <c r="CB192" s="62"/>
      <c r="CC192" s="62"/>
      <c r="CD192" s="62"/>
      <c r="CE192" s="62"/>
      <c r="CF192" s="62"/>
      <c r="CG192" s="62"/>
      <c r="CH192" s="62"/>
      <c r="CI192" s="62"/>
      <c r="CJ192" s="62"/>
      <c r="CK192" s="62"/>
      <c r="CL192" s="62"/>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c r="DO192" s="62"/>
      <c r="DP192" s="62"/>
      <c r="DQ192" s="62"/>
      <c r="DR192" s="62"/>
      <c r="DS192" s="62"/>
      <c r="DT192" s="62"/>
      <c r="DU192" s="62"/>
      <c r="DV192" s="62"/>
      <c r="DW192" s="62"/>
      <c r="DX192" s="62"/>
      <c r="DY192" s="62"/>
      <c r="DZ192" s="62"/>
      <c r="EA192" s="62"/>
      <c r="EB192" s="62"/>
      <c r="EC192" s="62"/>
      <c r="ED192" s="62"/>
      <c r="EE192" s="62"/>
      <c r="EF192" s="62"/>
      <c r="EG192" s="62"/>
      <c r="EH192" s="62"/>
      <c r="EI192" s="62"/>
      <c r="EJ192" s="62"/>
      <c r="EK192" s="62"/>
      <c r="EL192" s="62"/>
      <c r="EM192" s="62"/>
      <c r="EN192" s="62"/>
      <c r="EO192" s="62"/>
      <c r="EP192" s="62"/>
      <c r="EQ192" s="62"/>
      <c r="ER192" s="62"/>
      <c r="ES192" s="62"/>
      <c r="ET192" s="62"/>
      <c r="EU192" s="62"/>
      <c r="EV192" s="62"/>
      <c r="EW192" s="62"/>
      <c r="EX192" s="62"/>
      <c r="EY192" s="62"/>
      <c r="EZ192" s="62"/>
      <c r="FA192" s="62"/>
      <c r="FB192" s="62"/>
      <c r="FC192" s="62"/>
      <c r="FD192" s="62"/>
      <c r="FE192" s="62"/>
      <c r="FF192" s="62"/>
      <c r="FG192" s="62"/>
      <c r="FH192" s="62"/>
      <c r="FI192" s="62"/>
      <c r="FJ192" s="62"/>
      <c r="FK192" s="62"/>
      <c r="FL192" s="62"/>
      <c r="FM192" s="62"/>
      <c r="FN192" s="62"/>
      <c r="FO192" s="62"/>
      <c r="FP192" s="62"/>
      <c r="FQ192" s="62"/>
      <c r="FR192" s="62"/>
      <c r="FS192" s="62"/>
      <c r="FT192" s="62"/>
      <c r="FU192" s="62"/>
      <c r="FV192" s="62"/>
    </row>
    <row r="193" spans="1:178" ht="13.8">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62"/>
      <c r="DR193" s="62"/>
      <c r="DS193" s="62"/>
      <c r="DT193" s="62"/>
      <c r="DU193" s="62"/>
      <c r="DV193" s="62"/>
      <c r="DW193" s="62"/>
      <c r="DX193" s="62"/>
      <c r="DY193" s="62"/>
      <c r="DZ193" s="62"/>
      <c r="EA193" s="62"/>
      <c r="EB193" s="62"/>
      <c r="EC193" s="62"/>
      <c r="ED193" s="62"/>
      <c r="EE193" s="62"/>
      <c r="EF193" s="62"/>
      <c r="EG193" s="62"/>
      <c r="EH193" s="62"/>
      <c r="EI193" s="62"/>
      <c r="EJ193" s="62"/>
      <c r="EK193" s="62"/>
      <c r="EL193" s="62"/>
      <c r="EM193" s="62"/>
      <c r="EN193" s="62"/>
      <c r="EO193" s="62"/>
      <c r="EP193" s="62"/>
      <c r="EQ193" s="62"/>
      <c r="ER193" s="62"/>
      <c r="ES193" s="62"/>
      <c r="ET193" s="62"/>
      <c r="EU193" s="62"/>
      <c r="EV193" s="62"/>
      <c r="EW193" s="62"/>
      <c r="EX193" s="62"/>
      <c r="EY193" s="62"/>
      <c r="EZ193" s="62"/>
      <c r="FA193" s="62"/>
      <c r="FB193" s="62"/>
      <c r="FC193" s="62"/>
      <c r="FD193" s="62"/>
      <c r="FE193" s="62"/>
      <c r="FF193" s="62"/>
      <c r="FG193" s="62"/>
      <c r="FH193" s="62"/>
      <c r="FI193" s="62"/>
      <c r="FJ193" s="62"/>
      <c r="FK193" s="62"/>
      <c r="FL193" s="62"/>
      <c r="FM193" s="62"/>
      <c r="FN193" s="62"/>
      <c r="FO193" s="62"/>
      <c r="FP193" s="62"/>
      <c r="FQ193" s="62"/>
      <c r="FR193" s="62"/>
      <c r="FS193" s="62"/>
      <c r="FT193" s="62"/>
      <c r="FU193" s="62"/>
      <c r="FV193" s="62"/>
    </row>
    <row r="194" spans="1:178" ht="13.8">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62"/>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c r="DO194" s="62"/>
      <c r="DP194" s="62"/>
      <c r="DQ194" s="62"/>
      <c r="DR194" s="62"/>
      <c r="DS194" s="62"/>
      <c r="DT194" s="62"/>
      <c r="DU194" s="62"/>
      <c r="DV194" s="62"/>
      <c r="DW194" s="62"/>
      <c r="DX194" s="62"/>
      <c r="DY194" s="62"/>
      <c r="DZ194" s="62"/>
      <c r="EA194" s="62"/>
      <c r="EB194" s="62"/>
      <c r="EC194" s="62"/>
      <c r="ED194" s="62"/>
      <c r="EE194" s="62"/>
      <c r="EF194" s="62"/>
      <c r="EG194" s="62"/>
      <c r="EH194" s="62"/>
      <c r="EI194" s="62"/>
      <c r="EJ194" s="62"/>
      <c r="EK194" s="62"/>
      <c r="EL194" s="62"/>
      <c r="EM194" s="62"/>
      <c r="EN194" s="62"/>
      <c r="EO194" s="62"/>
      <c r="EP194" s="62"/>
      <c r="EQ194" s="62"/>
      <c r="ER194" s="62"/>
      <c r="ES194" s="62"/>
      <c r="ET194" s="62"/>
      <c r="EU194" s="62"/>
      <c r="EV194" s="62"/>
      <c r="EW194" s="62"/>
      <c r="EX194" s="62"/>
      <c r="EY194" s="62"/>
      <c r="EZ194" s="62"/>
      <c r="FA194" s="62"/>
      <c r="FB194" s="62"/>
      <c r="FC194" s="62"/>
      <c r="FD194" s="62"/>
      <c r="FE194" s="62"/>
      <c r="FF194" s="62"/>
      <c r="FG194" s="62"/>
      <c r="FH194" s="62"/>
      <c r="FI194" s="62"/>
      <c r="FJ194" s="62"/>
      <c r="FK194" s="62"/>
      <c r="FL194" s="62"/>
      <c r="FM194" s="62"/>
      <c r="FN194" s="62"/>
      <c r="FO194" s="62"/>
      <c r="FP194" s="62"/>
      <c r="FQ194" s="62"/>
      <c r="FR194" s="62"/>
      <c r="FS194" s="62"/>
      <c r="FT194" s="62"/>
      <c r="FU194" s="62"/>
      <c r="FV194" s="62"/>
    </row>
    <row r="195" spans="1:178" ht="13.8">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c r="DU195" s="62"/>
      <c r="DV195" s="62"/>
      <c r="DW195" s="62"/>
      <c r="DX195" s="62"/>
      <c r="DY195" s="62"/>
      <c r="DZ195" s="62"/>
      <c r="EA195" s="62"/>
      <c r="EB195" s="62"/>
      <c r="EC195" s="62"/>
      <c r="ED195" s="62"/>
      <c r="EE195" s="62"/>
      <c r="EF195" s="62"/>
      <c r="EG195" s="62"/>
      <c r="EH195" s="62"/>
      <c r="EI195" s="62"/>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c r="FK195" s="62"/>
      <c r="FL195" s="62"/>
      <c r="FM195" s="62"/>
      <c r="FN195" s="62"/>
      <c r="FO195" s="62"/>
      <c r="FP195" s="62"/>
      <c r="FQ195" s="62"/>
      <c r="FR195" s="62"/>
      <c r="FS195" s="62"/>
      <c r="FT195" s="62"/>
      <c r="FU195" s="62"/>
      <c r="FV195" s="62"/>
    </row>
    <row r="196" spans="1:178" ht="13.8">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row>
    <row r="197" spans="1:178" ht="13.8">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62"/>
      <c r="DR197" s="62"/>
      <c r="DS197" s="62"/>
      <c r="DT197" s="62"/>
      <c r="DU197" s="62"/>
      <c r="DV197" s="62"/>
      <c r="DW197" s="62"/>
      <c r="DX197" s="62"/>
      <c r="DY197" s="62"/>
      <c r="DZ197" s="62"/>
      <c r="EA197" s="62"/>
      <c r="EB197" s="62"/>
      <c r="EC197" s="62"/>
      <c r="ED197" s="62"/>
      <c r="EE197" s="62"/>
      <c r="EF197" s="62"/>
      <c r="EG197" s="62"/>
      <c r="EH197" s="62"/>
      <c r="EI197" s="62"/>
      <c r="EJ197" s="62"/>
      <c r="EK197" s="62"/>
      <c r="EL197" s="62"/>
      <c r="EM197" s="62"/>
      <c r="EN197" s="62"/>
      <c r="EO197" s="62"/>
      <c r="EP197" s="62"/>
      <c r="EQ197" s="62"/>
      <c r="ER197" s="62"/>
      <c r="ES197" s="62"/>
      <c r="ET197" s="62"/>
      <c r="EU197" s="62"/>
      <c r="EV197" s="62"/>
      <c r="EW197" s="62"/>
      <c r="EX197" s="62"/>
      <c r="EY197" s="62"/>
      <c r="EZ197" s="62"/>
      <c r="FA197" s="62"/>
      <c r="FB197" s="62"/>
      <c r="FC197" s="62"/>
      <c r="FD197" s="62"/>
      <c r="FE197" s="62"/>
      <c r="FF197" s="62"/>
      <c r="FG197" s="62"/>
      <c r="FH197" s="62"/>
      <c r="FI197" s="62"/>
      <c r="FJ197" s="62"/>
      <c r="FK197" s="62"/>
      <c r="FL197" s="62"/>
      <c r="FM197" s="62"/>
      <c r="FN197" s="62"/>
      <c r="FO197" s="62"/>
      <c r="FP197" s="62"/>
      <c r="FQ197" s="62"/>
      <c r="FR197" s="62"/>
      <c r="FS197" s="62"/>
      <c r="FT197" s="62"/>
      <c r="FU197" s="62"/>
      <c r="FV197" s="62"/>
    </row>
    <row r="198" spans="1:178" ht="13.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row>
    <row r="199" spans="1:178" ht="13.8">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row>
    <row r="200" spans="1:178" ht="13.8">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row>
    <row r="201" spans="1:178" ht="13.8">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row>
    <row r="202" spans="1:178" ht="13.8">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row>
    <row r="203" spans="1:178" ht="13.8">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row>
    <row r="204" spans="1:178" ht="13.8">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row>
    <row r="205" spans="1:178" ht="13.8">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row>
    <row r="206" spans="1:178" ht="13.8">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62"/>
      <c r="BA206" s="62"/>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row>
    <row r="207" spans="1:178" ht="13.8">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row>
    <row r="208" spans="1:178" ht="13.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62"/>
      <c r="AZ208" s="62"/>
      <c r="BA208" s="62"/>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row>
    <row r="209" spans="1:178" ht="13.8">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row>
    <row r="210" spans="1:178" ht="13.8">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62"/>
      <c r="BA210" s="62"/>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row>
    <row r="211" spans="1:178" ht="13.8">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62"/>
      <c r="DR211" s="62"/>
      <c r="DS211" s="62"/>
      <c r="DT211" s="62"/>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2"/>
      <c r="EX211" s="62"/>
      <c r="EY211" s="62"/>
      <c r="EZ211" s="62"/>
      <c r="FA211" s="62"/>
      <c r="FB211" s="62"/>
      <c r="FC211" s="62"/>
      <c r="FD211" s="62"/>
      <c r="FE211" s="62"/>
      <c r="FF211" s="62"/>
      <c r="FG211" s="62"/>
      <c r="FH211" s="62"/>
      <c r="FI211" s="62"/>
      <c r="FJ211" s="62"/>
      <c r="FK211" s="62"/>
      <c r="FL211" s="62"/>
      <c r="FM211" s="62"/>
      <c r="FN211" s="62"/>
      <c r="FO211" s="62"/>
      <c r="FP211" s="62"/>
      <c r="FQ211" s="62"/>
      <c r="FR211" s="62"/>
      <c r="FS211" s="62"/>
      <c r="FT211" s="62"/>
      <c r="FU211" s="62"/>
      <c r="FV211" s="62"/>
    </row>
    <row r="212" spans="1:178" ht="13.8">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62"/>
      <c r="DR212" s="62"/>
      <c r="DS212" s="62"/>
      <c r="DT212" s="62"/>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2"/>
      <c r="EX212" s="62"/>
      <c r="EY212" s="62"/>
      <c r="EZ212" s="62"/>
      <c r="FA212" s="62"/>
      <c r="FB212" s="62"/>
      <c r="FC212" s="62"/>
      <c r="FD212" s="62"/>
      <c r="FE212" s="62"/>
      <c r="FF212" s="62"/>
      <c r="FG212" s="62"/>
      <c r="FH212" s="62"/>
      <c r="FI212" s="62"/>
      <c r="FJ212" s="62"/>
      <c r="FK212" s="62"/>
      <c r="FL212" s="62"/>
      <c r="FM212" s="62"/>
      <c r="FN212" s="62"/>
      <c r="FO212" s="62"/>
      <c r="FP212" s="62"/>
      <c r="FQ212" s="62"/>
      <c r="FR212" s="62"/>
      <c r="FS212" s="62"/>
      <c r="FT212" s="62"/>
      <c r="FU212" s="62"/>
      <c r="FV212" s="62"/>
    </row>
    <row r="213" spans="1:178" ht="13.8">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2"/>
      <c r="EX213" s="62"/>
      <c r="EY213" s="62"/>
      <c r="EZ213" s="62"/>
      <c r="FA213" s="62"/>
      <c r="FB213" s="62"/>
      <c r="FC213" s="62"/>
      <c r="FD213" s="62"/>
      <c r="FE213" s="62"/>
      <c r="FF213" s="62"/>
      <c r="FG213" s="62"/>
      <c r="FH213" s="62"/>
      <c r="FI213" s="62"/>
      <c r="FJ213" s="62"/>
      <c r="FK213" s="62"/>
      <c r="FL213" s="62"/>
      <c r="FM213" s="62"/>
      <c r="FN213" s="62"/>
      <c r="FO213" s="62"/>
      <c r="FP213" s="62"/>
      <c r="FQ213" s="62"/>
      <c r="FR213" s="62"/>
      <c r="FS213" s="62"/>
      <c r="FT213" s="62"/>
      <c r="FU213" s="62"/>
      <c r="FV213" s="62"/>
    </row>
    <row r="214" spans="1:178" ht="13.8">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2"/>
      <c r="EX214" s="62"/>
      <c r="EY214" s="62"/>
      <c r="EZ214" s="62"/>
      <c r="FA214" s="62"/>
      <c r="FB214" s="62"/>
      <c r="FC214" s="62"/>
      <c r="FD214" s="62"/>
      <c r="FE214" s="62"/>
      <c r="FF214" s="62"/>
      <c r="FG214" s="62"/>
      <c r="FH214" s="62"/>
      <c r="FI214" s="62"/>
      <c r="FJ214" s="62"/>
      <c r="FK214" s="62"/>
      <c r="FL214" s="62"/>
      <c r="FM214" s="62"/>
      <c r="FN214" s="62"/>
      <c r="FO214" s="62"/>
      <c r="FP214" s="62"/>
      <c r="FQ214" s="62"/>
      <c r="FR214" s="62"/>
      <c r="FS214" s="62"/>
      <c r="FT214" s="62"/>
      <c r="FU214" s="62"/>
      <c r="FV214" s="62"/>
    </row>
    <row r="215" spans="1:178" ht="13.8">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62"/>
      <c r="BA215" s="62"/>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2"/>
      <c r="EX215" s="62"/>
      <c r="EY215" s="62"/>
      <c r="EZ215" s="62"/>
      <c r="FA215" s="62"/>
      <c r="FB215" s="62"/>
      <c r="FC215" s="62"/>
      <c r="FD215" s="62"/>
      <c r="FE215" s="62"/>
      <c r="FF215" s="62"/>
      <c r="FG215" s="62"/>
      <c r="FH215" s="62"/>
      <c r="FI215" s="62"/>
      <c r="FJ215" s="62"/>
      <c r="FK215" s="62"/>
      <c r="FL215" s="62"/>
      <c r="FM215" s="62"/>
      <c r="FN215" s="62"/>
      <c r="FO215" s="62"/>
      <c r="FP215" s="62"/>
      <c r="FQ215" s="62"/>
      <c r="FR215" s="62"/>
      <c r="FS215" s="62"/>
      <c r="FT215" s="62"/>
      <c r="FU215" s="62"/>
      <c r="FV215" s="62"/>
    </row>
    <row r="216" spans="1:178" ht="13.8">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62"/>
      <c r="BA216" s="62"/>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2"/>
      <c r="EX216" s="62"/>
      <c r="EY216" s="62"/>
      <c r="EZ216" s="62"/>
      <c r="FA216" s="62"/>
      <c r="FB216" s="62"/>
      <c r="FC216" s="62"/>
      <c r="FD216" s="62"/>
      <c r="FE216" s="62"/>
      <c r="FF216" s="62"/>
      <c r="FG216" s="62"/>
      <c r="FH216" s="62"/>
      <c r="FI216" s="62"/>
      <c r="FJ216" s="62"/>
      <c r="FK216" s="62"/>
      <c r="FL216" s="62"/>
      <c r="FM216" s="62"/>
      <c r="FN216" s="62"/>
      <c r="FO216" s="62"/>
      <c r="FP216" s="62"/>
      <c r="FQ216" s="62"/>
      <c r="FR216" s="62"/>
      <c r="FS216" s="62"/>
      <c r="FT216" s="62"/>
      <c r="FU216" s="62"/>
      <c r="FV216" s="62"/>
    </row>
    <row r="217" spans="1:178" ht="13.8">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62"/>
      <c r="BA217" s="62"/>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2"/>
      <c r="EX217" s="62"/>
      <c r="EY217" s="62"/>
      <c r="EZ217" s="62"/>
      <c r="FA217" s="62"/>
      <c r="FB217" s="62"/>
      <c r="FC217" s="62"/>
      <c r="FD217" s="62"/>
      <c r="FE217" s="62"/>
      <c r="FF217" s="62"/>
      <c r="FG217" s="62"/>
      <c r="FH217" s="62"/>
      <c r="FI217" s="62"/>
      <c r="FJ217" s="62"/>
      <c r="FK217" s="62"/>
      <c r="FL217" s="62"/>
      <c r="FM217" s="62"/>
      <c r="FN217" s="62"/>
      <c r="FO217" s="62"/>
      <c r="FP217" s="62"/>
      <c r="FQ217" s="62"/>
      <c r="FR217" s="62"/>
      <c r="FS217" s="62"/>
      <c r="FT217" s="62"/>
      <c r="FU217" s="62"/>
      <c r="FV217" s="62"/>
    </row>
    <row r="218" spans="1:178" ht="13.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62"/>
      <c r="BA218" s="62"/>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2"/>
      <c r="EX218" s="62"/>
      <c r="EY218" s="62"/>
      <c r="EZ218" s="62"/>
      <c r="FA218" s="62"/>
      <c r="FB218" s="62"/>
      <c r="FC218" s="62"/>
      <c r="FD218" s="62"/>
      <c r="FE218" s="62"/>
      <c r="FF218" s="62"/>
      <c r="FG218" s="62"/>
      <c r="FH218" s="62"/>
      <c r="FI218" s="62"/>
      <c r="FJ218" s="62"/>
      <c r="FK218" s="62"/>
      <c r="FL218" s="62"/>
      <c r="FM218" s="62"/>
      <c r="FN218" s="62"/>
      <c r="FO218" s="62"/>
      <c r="FP218" s="62"/>
      <c r="FQ218" s="62"/>
      <c r="FR218" s="62"/>
      <c r="FS218" s="62"/>
      <c r="FT218" s="62"/>
      <c r="FU218" s="62"/>
      <c r="FV218" s="62"/>
    </row>
    <row r="219" spans="1:178" ht="13.8">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62"/>
      <c r="DR219" s="62"/>
      <c r="DS219" s="62"/>
      <c r="DT219" s="62"/>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2"/>
      <c r="EX219" s="62"/>
      <c r="EY219" s="62"/>
      <c r="EZ219" s="62"/>
      <c r="FA219" s="62"/>
      <c r="FB219" s="62"/>
      <c r="FC219" s="62"/>
      <c r="FD219" s="62"/>
      <c r="FE219" s="62"/>
      <c r="FF219" s="62"/>
      <c r="FG219" s="62"/>
      <c r="FH219" s="62"/>
      <c r="FI219" s="62"/>
      <c r="FJ219" s="62"/>
      <c r="FK219" s="62"/>
      <c r="FL219" s="62"/>
      <c r="FM219" s="62"/>
      <c r="FN219" s="62"/>
      <c r="FO219" s="62"/>
      <c r="FP219" s="62"/>
      <c r="FQ219" s="62"/>
      <c r="FR219" s="62"/>
      <c r="FS219" s="62"/>
      <c r="FT219" s="62"/>
      <c r="FU219" s="62"/>
      <c r="FV219" s="62"/>
    </row>
    <row r="220" spans="1:178" ht="13.8">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62"/>
      <c r="AZ220" s="62"/>
      <c r="BA220" s="62"/>
      <c r="BB220" s="62"/>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62"/>
      <c r="DR220" s="62"/>
      <c r="DS220" s="62"/>
      <c r="DT220" s="62"/>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2"/>
      <c r="EX220" s="62"/>
      <c r="EY220" s="62"/>
      <c r="EZ220" s="62"/>
      <c r="FA220" s="62"/>
      <c r="FB220" s="62"/>
      <c r="FC220" s="62"/>
      <c r="FD220" s="62"/>
      <c r="FE220" s="62"/>
      <c r="FF220" s="62"/>
      <c r="FG220" s="62"/>
      <c r="FH220" s="62"/>
      <c r="FI220" s="62"/>
      <c r="FJ220" s="62"/>
      <c r="FK220" s="62"/>
      <c r="FL220" s="62"/>
      <c r="FM220" s="62"/>
      <c r="FN220" s="62"/>
      <c r="FO220" s="62"/>
      <c r="FP220" s="62"/>
      <c r="FQ220" s="62"/>
      <c r="FR220" s="62"/>
      <c r="FS220" s="62"/>
      <c r="FT220" s="62"/>
      <c r="FU220" s="62"/>
      <c r="FV220" s="62"/>
    </row>
    <row r="221" spans="1:178" ht="13.8">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62"/>
      <c r="DR221" s="62"/>
      <c r="DS221" s="62"/>
      <c r="DT221" s="62"/>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2"/>
      <c r="EX221" s="62"/>
      <c r="EY221" s="62"/>
      <c r="EZ221" s="62"/>
      <c r="FA221" s="62"/>
      <c r="FB221" s="62"/>
      <c r="FC221" s="62"/>
      <c r="FD221" s="62"/>
      <c r="FE221" s="62"/>
      <c r="FF221" s="62"/>
      <c r="FG221" s="62"/>
      <c r="FH221" s="62"/>
      <c r="FI221" s="62"/>
      <c r="FJ221" s="62"/>
      <c r="FK221" s="62"/>
      <c r="FL221" s="62"/>
      <c r="FM221" s="62"/>
      <c r="FN221" s="62"/>
      <c r="FO221" s="62"/>
      <c r="FP221" s="62"/>
      <c r="FQ221" s="62"/>
      <c r="FR221" s="62"/>
      <c r="FS221" s="62"/>
      <c r="FT221" s="62"/>
      <c r="FU221" s="62"/>
      <c r="FV221" s="62"/>
    </row>
    <row r="222" spans="1:178" ht="13.8">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62"/>
      <c r="AZ222" s="62"/>
      <c r="BA222" s="62"/>
      <c r="BB222" s="62"/>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62"/>
      <c r="DR222" s="62"/>
      <c r="DS222" s="62"/>
      <c r="DT222" s="62"/>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2"/>
      <c r="EX222" s="62"/>
      <c r="EY222" s="62"/>
      <c r="EZ222" s="62"/>
      <c r="FA222" s="62"/>
      <c r="FB222" s="62"/>
      <c r="FC222" s="62"/>
      <c r="FD222" s="62"/>
      <c r="FE222" s="62"/>
      <c r="FF222" s="62"/>
      <c r="FG222" s="62"/>
      <c r="FH222" s="62"/>
      <c r="FI222" s="62"/>
      <c r="FJ222" s="62"/>
      <c r="FK222" s="62"/>
      <c r="FL222" s="62"/>
      <c r="FM222" s="62"/>
      <c r="FN222" s="62"/>
      <c r="FO222" s="62"/>
      <c r="FP222" s="62"/>
      <c r="FQ222" s="62"/>
      <c r="FR222" s="62"/>
      <c r="FS222" s="62"/>
      <c r="FT222" s="62"/>
      <c r="FU222" s="62"/>
      <c r="FV222" s="62"/>
    </row>
    <row r="223" spans="1:178" ht="13.8">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62"/>
      <c r="AZ223" s="62"/>
      <c r="BA223" s="62"/>
      <c r="BB223" s="62"/>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62"/>
      <c r="DR223" s="62"/>
      <c r="DS223" s="62"/>
      <c r="DT223" s="62"/>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2"/>
      <c r="EX223" s="62"/>
      <c r="EY223" s="62"/>
      <c r="EZ223" s="62"/>
      <c r="FA223" s="62"/>
      <c r="FB223" s="62"/>
      <c r="FC223" s="62"/>
      <c r="FD223" s="62"/>
      <c r="FE223" s="62"/>
      <c r="FF223" s="62"/>
      <c r="FG223" s="62"/>
      <c r="FH223" s="62"/>
      <c r="FI223" s="62"/>
      <c r="FJ223" s="62"/>
      <c r="FK223" s="62"/>
      <c r="FL223" s="62"/>
      <c r="FM223" s="62"/>
      <c r="FN223" s="62"/>
      <c r="FO223" s="62"/>
      <c r="FP223" s="62"/>
      <c r="FQ223" s="62"/>
      <c r="FR223" s="62"/>
      <c r="FS223" s="62"/>
      <c r="FT223" s="62"/>
      <c r="FU223" s="62"/>
      <c r="FV223" s="62"/>
    </row>
    <row r="224" spans="1:178" ht="13.8">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62"/>
      <c r="DR224" s="62"/>
      <c r="DS224" s="62"/>
      <c r="DT224" s="62"/>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2"/>
      <c r="EX224" s="62"/>
      <c r="EY224" s="62"/>
      <c r="EZ224" s="62"/>
      <c r="FA224" s="62"/>
      <c r="FB224" s="62"/>
      <c r="FC224" s="62"/>
      <c r="FD224" s="62"/>
      <c r="FE224" s="62"/>
      <c r="FF224" s="62"/>
      <c r="FG224" s="62"/>
      <c r="FH224" s="62"/>
      <c r="FI224" s="62"/>
      <c r="FJ224" s="62"/>
      <c r="FK224" s="62"/>
      <c r="FL224" s="62"/>
      <c r="FM224" s="62"/>
      <c r="FN224" s="62"/>
      <c r="FO224" s="62"/>
      <c r="FP224" s="62"/>
      <c r="FQ224" s="62"/>
      <c r="FR224" s="62"/>
      <c r="FS224" s="62"/>
      <c r="FT224" s="62"/>
      <c r="FU224" s="62"/>
      <c r="FV224" s="62"/>
    </row>
    <row r="225" spans="1:178" ht="13.8">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62"/>
      <c r="BA225" s="62"/>
      <c r="BB225" s="62"/>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62"/>
      <c r="CX225" s="62"/>
      <c r="CY225" s="62"/>
      <c r="CZ225" s="62"/>
      <c r="DA225" s="62"/>
      <c r="DB225" s="62"/>
      <c r="DC225" s="62"/>
      <c r="DD225" s="62"/>
      <c r="DE225" s="62"/>
      <c r="DF225" s="62"/>
      <c r="DG225" s="62"/>
      <c r="DH225" s="62"/>
      <c r="DI225" s="62"/>
      <c r="DJ225" s="62"/>
      <c r="DK225" s="62"/>
      <c r="DL225" s="62"/>
      <c r="DM225" s="62"/>
      <c r="DN225" s="62"/>
      <c r="DO225" s="62"/>
      <c r="DP225" s="62"/>
      <c r="DQ225" s="62"/>
      <c r="DR225" s="62"/>
      <c r="DS225" s="62"/>
      <c r="DT225" s="62"/>
      <c r="DU225" s="62"/>
      <c r="DV225" s="62"/>
      <c r="DW225" s="62"/>
      <c r="DX225" s="62"/>
      <c r="DY225" s="62"/>
      <c r="DZ225" s="62"/>
      <c r="EA225" s="62"/>
      <c r="EB225" s="62"/>
      <c r="EC225" s="62"/>
      <c r="ED225" s="62"/>
      <c r="EE225" s="62"/>
      <c r="EF225" s="62"/>
      <c r="EG225" s="62"/>
      <c r="EH225" s="62"/>
      <c r="EI225" s="62"/>
      <c r="EJ225" s="62"/>
      <c r="EK225" s="62"/>
      <c r="EL225" s="62"/>
      <c r="EM225" s="62"/>
      <c r="EN225" s="62"/>
      <c r="EO225" s="62"/>
      <c r="EP225" s="62"/>
      <c r="EQ225" s="62"/>
      <c r="ER225" s="62"/>
      <c r="ES225" s="62"/>
      <c r="ET225" s="62"/>
      <c r="EU225" s="62"/>
      <c r="EV225" s="62"/>
      <c r="EW225" s="62"/>
      <c r="EX225" s="62"/>
      <c r="EY225" s="62"/>
      <c r="EZ225" s="62"/>
      <c r="FA225" s="62"/>
      <c r="FB225" s="62"/>
      <c r="FC225" s="62"/>
      <c r="FD225" s="62"/>
      <c r="FE225" s="62"/>
      <c r="FF225" s="62"/>
      <c r="FG225" s="62"/>
      <c r="FH225" s="62"/>
      <c r="FI225" s="62"/>
      <c r="FJ225" s="62"/>
      <c r="FK225" s="62"/>
      <c r="FL225" s="62"/>
      <c r="FM225" s="62"/>
      <c r="FN225" s="62"/>
      <c r="FO225" s="62"/>
      <c r="FP225" s="62"/>
      <c r="FQ225" s="62"/>
      <c r="FR225" s="62"/>
      <c r="FS225" s="62"/>
      <c r="FT225" s="62"/>
      <c r="FU225" s="62"/>
      <c r="FV225" s="62"/>
    </row>
    <row r="226" spans="1:178" ht="13.8">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62"/>
      <c r="DR226" s="62"/>
      <c r="DS226" s="62"/>
      <c r="DT226" s="62"/>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2"/>
      <c r="EX226" s="62"/>
      <c r="EY226" s="62"/>
      <c r="EZ226" s="62"/>
      <c r="FA226" s="62"/>
      <c r="FB226" s="62"/>
      <c r="FC226" s="62"/>
      <c r="FD226" s="62"/>
      <c r="FE226" s="62"/>
      <c r="FF226" s="62"/>
      <c r="FG226" s="62"/>
      <c r="FH226" s="62"/>
      <c r="FI226" s="62"/>
      <c r="FJ226" s="62"/>
      <c r="FK226" s="62"/>
      <c r="FL226" s="62"/>
      <c r="FM226" s="62"/>
      <c r="FN226" s="62"/>
      <c r="FO226" s="62"/>
      <c r="FP226" s="62"/>
      <c r="FQ226" s="62"/>
      <c r="FR226" s="62"/>
      <c r="FS226" s="62"/>
      <c r="FT226" s="62"/>
      <c r="FU226" s="62"/>
      <c r="FV226" s="62"/>
    </row>
    <row r="227" spans="1:178" ht="13.8">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2"/>
      <c r="EX227" s="62"/>
      <c r="EY227" s="62"/>
      <c r="EZ227" s="62"/>
      <c r="FA227" s="62"/>
      <c r="FB227" s="62"/>
      <c r="FC227" s="62"/>
      <c r="FD227" s="62"/>
      <c r="FE227" s="62"/>
      <c r="FF227" s="62"/>
      <c r="FG227" s="62"/>
      <c r="FH227" s="62"/>
      <c r="FI227" s="62"/>
      <c r="FJ227" s="62"/>
      <c r="FK227" s="62"/>
      <c r="FL227" s="62"/>
      <c r="FM227" s="62"/>
      <c r="FN227" s="62"/>
      <c r="FO227" s="62"/>
      <c r="FP227" s="62"/>
      <c r="FQ227" s="62"/>
      <c r="FR227" s="62"/>
      <c r="FS227" s="62"/>
      <c r="FT227" s="62"/>
      <c r="FU227" s="62"/>
      <c r="FV227" s="62"/>
    </row>
    <row r="228" spans="1:178" ht="13.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2"/>
      <c r="EX228" s="62"/>
      <c r="EY228" s="62"/>
      <c r="EZ228" s="62"/>
      <c r="FA228" s="62"/>
      <c r="FB228" s="62"/>
      <c r="FC228" s="62"/>
      <c r="FD228" s="62"/>
      <c r="FE228" s="62"/>
      <c r="FF228" s="62"/>
      <c r="FG228" s="62"/>
      <c r="FH228" s="62"/>
      <c r="FI228" s="62"/>
      <c r="FJ228" s="62"/>
      <c r="FK228" s="62"/>
      <c r="FL228" s="62"/>
      <c r="FM228" s="62"/>
      <c r="FN228" s="62"/>
      <c r="FO228" s="62"/>
      <c r="FP228" s="62"/>
      <c r="FQ228" s="62"/>
      <c r="FR228" s="62"/>
      <c r="FS228" s="62"/>
      <c r="FT228" s="62"/>
      <c r="FU228" s="62"/>
      <c r="FV228" s="62"/>
    </row>
    <row r="229" spans="1:178" ht="13.8">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2"/>
      <c r="EX229" s="62"/>
      <c r="EY229" s="62"/>
      <c r="EZ229" s="62"/>
      <c r="FA229" s="62"/>
      <c r="FB229" s="62"/>
      <c r="FC229" s="62"/>
      <c r="FD229" s="62"/>
      <c r="FE229" s="62"/>
      <c r="FF229" s="62"/>
      <c r="FG229" s="62"/>
      <c r="FH229" s="62"/>
      <c r="FI229" s="62"/>
      <c r="FJ229" s="62"/>
      <c r="FK229" s="62"/>
      <c r="FL229" s="62"/>
      <c r="FM229" s="62"/>
      <c r="FN229" s="62"/>
      <c r="FO229" s="62"/>
      <c r="FP229" s="62"/>
      <c r="FQ229" s="62"/>
      <c r="FR229" s="62"/>
      <c r="FS229" s="62"/>
      <c r="FT229" s="62"/>
      <c r="FU229" s="62"/>
      <c r="FV229" s="62"/>
    </row>
    <row r="230" spans="1:178" ht="13.8">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c r="FK230" s="62"/>
      <c r="FL230" s="62"/>
      <c r="FM230" s="62"/>
      <c r="FN230" s="62"/>
      <c r="FO230" s="62"/>
      <c r="FP230" s="62"/>
      <c r="FQ230" s="62"/>
      <c r="FR230" s="62"/>
      <c r="FS230" s="62"/>
      <c r="FT230" s="62"/>
      <c r="FU230" s="62"/>
      <c r="FV230" s="62"/>
    </row>
    <row r="231" spans="1:178" ht="13.8">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c r="FK231" s="62"/>
      <c r="FL231" s="62"/>
      <c r="FM231" s="62"/>
      <c r="FN231" s="62"/>
      <c r="FO231" s="62"/>
      <c r="FP231" s="62"/>
      <c r="FQ231" s="62"/>
      <c r="FR231" s="62"/>
      <c r="FS231" s="62"/>
      <c r="FT231" s="62"/>
      <c r="FU231" s="62"/>
      <c r="FV231" s="62"/>
    </row>
    <row r="232" spans="1:178" ht="13.8">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c r="FK232" s="62"/>
      <c r="FL232" s="62"/>
      <c r="FM232" s="62"/>
      <c r="FN232" s="62"/>
      <c r="FO232" s="62"/>
      <c r="FP232" s="62"/>
      <c r="FQ232" s="62"/>
      <c r="FR232" s="62"/>
      <c r="FS232" s="62"/>
      <c r="FT232" s="62"/>
      <c r="FU232" s="62"/>
      <c r="FV232" s="62"/>
    </row>
    <row r="233" spans="1:178" ht="13.8">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c r="FK233" s="62"/>
      <c r="FL233" s="62"/>
      <c r="FM233" s="62"/>
      <c r="FN233" s="62"/>
      <c r="FO233" s="62"/>
      <c r="FP233" s="62"/>
      <c r="FQ233" s="62"/>
      <c r="FR233" s="62"/>
      <c r="FS233" s="62"/>
      <c r="FT233" s="62"/>
      <c r="FU233" s="62"/>
      <c r="FV233" s="62"/>
    </row>
    <row r="234" spans="1:178" ht="13.8">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c r="FK234" s="62"/>
      <c r="FL234" s="62"/>
      <c r="FM234" s="62"/>
      <c r="FN234" s="62"/>
      <c r="FO234" s="62"/>
      <c r="FP234" s="62"/>
      <c r="FQ234" s="62"/>
      <c r="FR234" s="62"/>
      <c r="FS234" s="62"/>
      <c r="FT234" s="62"/>
      <c r="FU234" s="62"/>
      <c r="FV234" s="62"/>
    </row>
    <row r="235" spans="1:178" ht="13.8">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2"/>
      <c r="EX235" s="62"/>
      <c r="EY235" s="62"/>
      <c r="EZ235" s="62"/>
      <c r="FA235" s="62"/>
      <c r="FB235" s="62"/>
      <c r="FC235" s="62"/>
      <c r="FD235" s="62"/>
      <c r="FE235" s="62"/>
      <c r="FF235" s="62"/>
      <c r="FG235" s="62"/>
      <c r="FH235" s="62"/>
      <c r="FI235" s="62"/>
      <c r="FJ235" s="62"/>
      <c r="FK235" s="62"/>
      <c r="FL235" s="62"/>
      <c r="FM235" s="62"/>
      <c r="FN235" s="62"/>
      <c r="FO235" s="62"/>
      <c r="FP235" s="62"/>
      <c r="FQ235" s="62"/>
      <c r="FR235" s="62"/>
      <c r="FS235" s="62"/>
      <c r="FT235" s="62"/>
      <c r="FU235" s="62"/>
      <c r="FV235" s="62"/>
    </row>
    <row r="236" spans="1:178" ht="13.8">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2"/>
      <c r="EX236" s="62"/>
      <c r="EY236" s="62"/>
      <c r="EZ236" s="62"/>
      <c r="FA236" s="62"/>
      <c r="FB236" s="62"/>
      <c r="FC236" s="62"/>
      <c r="FD236" s="62"/>
      <c r="FE236" s="62"/>
      <c r="FF236" s="62"/>
      <c r="FG236" s="62"/>
      <c r="FH236" s="62"/>
      <c r="FI236" s="62"/>
      <c r="FJ236" s="62"/>
      <c r="FK236" s="62"/>
      <c r="FL236" s="62"/>
      <c r="FM236" s="62"/>
      <c r="FN236" s="62"/>
      <c r="FO236" s="62"/>
      <c r="FP236" s="62"/>
      <c r="FQ236" s="62"/>
      <c r="FR236" s="62"/>
      <c r="FS236" s="62"/>
      <c r="FT236" s="62"/>
      <c r="FU236" s="62"/>
      <c r="FV236" s="62"/>
    </row>
    <row r="237" spans="1:178" ht="13.8">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2"/>
      <c r="EX237" s="62"/>
      <c r="EY237" s="62"/>
      <c r="EZ237" s="62"/>
      <c r="FA237" s="62"/>
      <c r="FB237" s="62"/>
      <c r="FC237" s="62"/>
      <c r="FD237" s="62"/>
      <c r="FE237" s="62"/>
      <c r="FF237" s="62"/>
      <c r="FG237" s="62"/>
      <c r="FH237" s="62"/>
      <c r="FI237" s="62"/>
      <c r="FJ237" s="62"/>
      <c r="FK237" s="62"/>
      <c r="FL237" s="62"/>
      <c r="FM237" s="62"/>
      <c r="FN237" s="62"/>
      <c r="FO237" s="62"/>
      <c r="FP237" s="62"/>
      <c r="FQ237" s="62"/>
      <c r="FR237" s="62"/>
      <c r="FS237" s="62"/>
      <c r="FT237" s="62"/>
      <c r="FU237" s="62"/>
      <c r="FV237" s="62"/>
    </row>
    <row r="238" spans="1:178" ht="1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2"/>
      <c r="EX238" s="62"/>
      <c r="EY238" s="62"/>
      <c r="EZ238" s="62"/>
      <c r="FA238" s="62"/>
      <c r="FB238" s="62"/>
      <c r="FC238" s="62"/>
      <c r="FD238" s="62"/>
      <c r="FE238" s="62"/>
      <c r="FF238" s="62"/>
      <c r="FG238" s="62"/>
      <c r="FH238" s="62"/>
      <c r="FI238" s="62"/>
      <c r="FJ238" s="62"/>
      <c r="FK238" s="62"/>
      <c r="FL238" s="62"/>
      <c r="FM238" s="62"/>
      <c r="FN238" s="62"/>
      <c r="FO238" s="62"/>
      <c r="FP238" s="62"/>
      <c r="FQ238" s="62"/>
      <c r="FR238" s="62"/>
      <c r="FS238" s="62"/>
      <c r="FT238" s="62"/>
      <c r="FU238" s="62"/>
      <c r="FV238" s="62"/>
    </row>
    <row r="239" spans="1:178" ht="13.8">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2"/>
      <c r="EX239" s="62"/>
      <c r="EY239" s="62"/>
      <c r="EZ239" s="62"/>
      <c r="FA239" s="62"/>
      <c r="FB239" s="62"/>
      <c r="FC239" s="62"/>
      <c r="FD239" s="62"/>
      <c r="FE239" s="62"/>
      <c r="FF239" s="62"/>
      <c r="FG239" s="62"/>
      <c r="FH239" s="62"/>
      <c r="FI239" s="62"/>
      <c r="FJ239" s="62"/>
      <c r="FK239" s="62"/>
      <c r="FL239" s="62"/>
      <c r="FM239" s="62"/>
      <c r="FN239" s="62"/>
      <c r="FO239" s="62"/>
      <c r="FP239" s="62"/>
      <c r="FQ239" s="62"/>
      <c r="FR239" s="62"/>
      <c r="FS239" s="62"/>
      <c r="FT239" s="62"/>
      <c r="FU239" s="62"/>
      <c r="FV239" s="62"/>
    </row>
    <row r="240" spans="1:178" ht="13.8">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62"/>
      <c r="DR240" s="62"/>
      <c r="DS240" s="62"/>
      <c r="DT240" s="62"/>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2"/>
      <c r="EX240" s="62"/>
      <c r="EY240" s="62"/>
      <c r="EZ240" s="62"/>
      <c r="FA240" s="62"/>
      <c r="FB240" s="62"/>
      <c r="FC240" s="62"/>
      <c r="FD240" s="62"/>
      <c r="FE240" s="62"/>
      <c r="FF240" s="62"/>
      <c r="FG240" s="62"/>
      <c r="FH240" s="62"/>
      <c r="FI240" s="62"/>
      <c r="FJ240" s="62"/>
      <c r="FK240" s="62"/>
      <c r="FL240" s="62"/>
      <c r="FM240" s="62"/>
      <c r="FN240" s="62"/>
      <c r="FO240" s="62"/>
      <c r="FP240" s="62"/>
      <c r="FQ240" s="62"/>
      <c r="FR240" s="62"/>
      <c r="FS240" s="62"/>
      <c r="FT240" s="62"/>
      <c r="FU240" s="62"/>
      <c r="FV240" s="62"/>
    </row>
    <row r="241" spans="1:178" ht="13.8">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62"/>
      <c r="DR241" s="62"/>
      <c r="DS241" s="62"/>
      <c r="DT241" s="62"/>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2"/>
      <c r="EX241" s="62"/>
      <c r="EY241" s="62"/>
      <c r="EZ241" s="62"/>
      <c r="FA241" s="62"/>
      <c r="FB241" s="62"/>
      <c r="FC241" s="62"/>
      <c r="FD241" s="62"/>
      <c r="FE241" s="62"/>
      <c r="FF241" s="62"/>
      <c r="FG241" s="62"/>
      <c r="FH241" s="62"/>
      <c r="FI241" s="62"/>
      <c r="FJ241" s="62"/>
      <c r="FK241" s="62"/>
      <c r="FL241" s="62"/>
      <c r="FM241" s="62"/>
      <c r="FN241" s="62"/>
      <c r="FO241" s="62"/>
      <c r="FP241" s="62"/>
      <c r="FQ241" s="62"/>
      <c r="FR241" s="62"/>
      <c r="FS241" s="62"/>
      <c r="FT241" s="62"/>
      <c r="FU241" s="62"/>
      <c r="FV241" s="62"/>
    </row>
    <row r="242" spans="1:178" ht="13.8">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62"/>
      <c r="DR242" s="62"/>
      <c r="DS242" s="62"/>
      <c r="DT242" s="62"/>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2"/>
      <c r="EX242" s="62"/>
      <c r="EY242" s="62"/>
      <c r="EZ242" s="62"/>
      <c r="FA242" s="62"/>
      <c r="FB242" s="62"/>
      <c r="FC242" s="62"/>
      <c r="FD242" s="62"/>
      <c r="FE242" s="62"/>
      <c r="FF242" s="62"/>
      <c r="FG242" s="62"/>
      <c r="FH242" s="62"/>
      <c r="FI242" s="62"/>
      <c r="FJ242" s="62"/>
      <c r="FK242" s="62"/>
      <c r="FL242" s="62"/>
      <c r="FM242" s="62"/>
      <c r="FN242" s="62"/>
      <c r="FO242" s="62"/>
      <c r="FP242" s="62"/>
      <c r="FQ242" s="62"/>
      <c r="FR242" s="62"/>
      <c r="FS242" s="62"/>
      <c r="FT242" s="62"/>
      <c r="FU242" s="62"/>
      <c r="FV242" s="62"/>
    </row>
    <row r="243" spans="1:178" ht="13.8">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62"/>
      <c r="DR243" s="62"/>
      <c r="DS243" s="62"/>
      <c r="DT243" s="62"/>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2"/>
      <c r="EX243" s="62"/>
      <c r="EY243" s="62"/>
      <c r="EZ243" s="62"/>
      <c r="FA243" s="62"/>
      <c r="FB243" s="62"/>
      <c r="FC243" s="62"/>
      <c r="FD243" s="62"/>
      <c r="FE243" s="62"/>
      <c r="FF243" s="62"/>
      <c r="FG243" s="62"/>
      <c r="FH243" s="62"/>
      <c r="FI243" s="62"/>
      <c r="FJ243" s="62"/>
      <c r="FK243" s="62"/>
      <c r="FL243" s="62"/>
      <c r="FM243" s="62"/>
      <c r="FN243" s="62"/>
      <c r="FO243" s="62"/>
      <c r="FP243" s="62"/>
      <c r="FQ243" s="62"/>
      <c r="FR243" s="62"/>
      <c r="FS243" s="62"/>
      <c r="FT243" s="62"/>
      <c r="FU243" s="62"/>
      <c r="FV243" s="62"/>
    </row>
    <row r="244" spans="1:178" ht="13.8">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62"/>
      <c r="DR244" s="62"/>
      <c r="DS244" s="62"/>
      <c r="DT244" s="62"/>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2"/>
      <c r="EX244" s="62"/>
      <c r="EY244" s="62"/>
      <c r="EZ244" s="62"/>
      <c r="FA244" s="62"/>
      <c r="FB244" s="62"/>
      <c r="FC244" s="62"/>
      <c r="FD244" s="62"/>
      <c r="FE244" s="62"/>
      <c r="FF244" s="62"/>
      <c r="FG244" s="62"/>
      <c r="FH244" s="62"/>
      <c r="FI244" s="62"/>
      <c r="FJ244" s="62"/>
      <c r="FK244" s="62"/>
      <c r="FL244" s="62"/>
      <c r="FM244" s="62"/>
      <c r="FN244" s="62"/>
      <c r="FO244" s="62"/>
      <c r="FP244" s="62"/>
      <c r="FQ244" s="62"/>
      <c r="FR244" s="62"/>
      <c r="FS244" s="62"/>
      <c r="FT244" s="62"/>
      <c r="FU244" s="62"/>
      <c r="FV244" s="62"/>
    </row>
    <row r="245" spans="1:178" ht="13.8">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62"/>
      <c r="DR245" s="62"/>
      <c r="DS245" s="62"/>
      <c r="DT245" s="62"/>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2"/>
      <c r="EX245" s="62"/>
      <c r="EY245" s="62"/>
      <c r="EZ245" s="62"/>
      <c r="FA245" s="62"/>
      <c r="FB245" s="62"/>
      <c r="FC245" s="62"/>
      <c r="FD245" s="62"/>
      <c r="FE245" s="62"/>
      <c r="FF245" s="62"/>
      <c r="FG245" s="62"/>
      <c r="FH245" s="62"/>
      <c r="FI245" s="62"/>
      <c r="FJ245" s="62"/>
      <c r="FK245" s="62"/>
      <c r="FL245" s="62"/>
      <c r="FM245" s="62"/>
      <c r="FN245" s="62"/>
      <c r="FO245" s="62"/>
      <c r="FP245" s="62"/>
      <c r="FQ245" s="62"/>
      <c r="FR245" s="62"/>
      <c r="FS245" s="62"/>
      <c r="FT245" s="62"/>
      <c r="FU245" s="62"/>
      <c r="FV245" s="62"/>
    </row>
    <row r="246" spans="1:178" ht="13.8">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row>
    <row r="247" spans="1:178" ht="13.8">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row>
    <row r="248" spans="1:178" ht="13.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row>
    <row r="249" spans="1:178" ht="13.8">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row>
    <row r="250" spans="1:178" ht="13.8">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row>
    <row r="251" spans="1:178" ht="13.8">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row>
    <row r="252" spans="1:178" ht="13.8">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row>
    <row r="253" spans="1:178" ht="13.8">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row>
    <row r="254" spans="1:178" ht="13.8">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row>
    <row r="255" spans="1:178" ht="13.8">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row>
    <row r="256" spans="1:178" ht="13.8">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row>
    <row r="257" spans="1:178" ht="13.8">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62"/>
      <c r="AZ257" s="62"/>
      <c r="BA257" s="62"/>
      <c r="BB257" s="62"/>
      <c r="BC257" s="62"/>
      <c r="BD257" s="62"/>
      <c r="BE257" s="62"/>
      <c r="BF257" s="62"/>
      <c r="BG257" s="62"/>
      <c r="BH257" s="62"/>
      <c r="BI257" s="62"/>
      <c r="BJ257" s="62"/>
      <c r="BK257" s="62"/>
      <c r="BL257" s="62"/>
      <c r="BM257" s="62"/>
      <c r="BN257" s="62"/>
      <c r="BO257" s="62"/>
      <c r="BP257" s="62"/>
      <c r="BQ257" s="62"/>
      <c r="BR257" s="62"/>
      <c r="BS257" s="62"/>
      <c r="BT257" s="62"/>
      <c r="BU257" s="62"/>
      <c r="BV257" s="62"/>
      <c r="BW257" s="62"/>
      <c r="BX257" s="62"/>
      <c r="BY257" s="62"/>
      <c r="BZ257" s="62"/>
      <c r="CA257" s="62"/>
      <c r="CB257" s="62"/>
      <c r="CC257" s="62"/>
      <c r="CD257" s="62"/>
      <c r="CE257" s="62"/>
      <c r="CF257" s="62"/>
      <c r="CG257" s="62"/>
      <c r="CH257" s="62"/>
      <c r="CI257" s="62"/>
      <c r="CJ257" s="62"/>
      <c r="CK257" s="62"/>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62"/>
      <c r="DR257" s="62"/>
      <c r="DS257" s="62"/>
      <c r="DT257" s="62"/>
      <c r="DU257" s="62"/>
      <c r="DV257" s="62"/>
      <c r="DW257" s="62"/>
      <c r="DX257" s="62"/>
      <c r="DY257" s="62"/>
      <c r="DZ257" s="62"/>
      <c r="EA257" s="62"/>
      <c r="EB257" s="62"/>
      <c r="EC257" s="62"/>
      <c r="ED257" s="62"/>
      <c r="EE257" s="62"/>
      <c r="EF257" s="62"/>
      <c r="EG257" s="62"/>
      <c r="EH257" s="62"/>
      <c r="EI257" s="62"/>
      <c r="EJ257" s="62"/>
      <c r="EK257" s="62"/>
      <c r="EL257" s="62"/>
      <c r="EM257" s="62"/>
      <c r="EN257" s="62"/>
      <c r="EO257" s="62"/>
      <c r="EP257" s="62"/>
      <c r="EQ257" s="62"/>
      <c r="ER257" s="62"/>
      <c r="ES257" s="62"/>
      <c r="ET257" s="62"/>
      <c r="EU257" s="62"/>
      <c r="EV257" s="62"/>
      <c r="EW257" s="62"/>
      <c r="EX257" s="62"/>
      <c r="EY257" s="62"/>
      <c r="EZ257" s="62"/>
      <c r="FA257" s="62"/>
      <c r="FB257" s="62"/>
      <c r="FC257" s="62"/>
      <c r="FD257" s="62"/>
      <c r="FE257" s="62"/>
      <c r="FF257" s="62"/>
      <c r="FG257" s="62"/>
      <c r="FH257" s="62"/>
      <c r="FI257" s="62"/>
      <c r="FJ257" s="62"/>
      <c r="FK257" s="62"/>
      <c r="FL257" s="62"/>
      <c r="FM257" s="62"/>
      <c r="FN257" s="62"/>
      <c r="FO257" s="62"/>
      <c r="FP257" s="62"/>
      <c r="FQ257" s="62"/>
      <c r="FR257" s="62"/>
      <c r="FS257" s="62"/>
      <c r="FT257" s="62"/>
      <c r="FU257" s="62"/>
      <c r="FV257" s="62"/>
    </row>
    <row r="258" spans="1:178" ht="13.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c r="AY258" s="62"/>
      <c r="AZ258" s="62"/>
      <c r="BA258" s="62"/>
      <c r="BB258" s="62"/>
      <c r="BC258" s="62"/>
      <c r="BD258" s="62"/>
      <c r="BE258" s="62"/>
      <c r="BF258" s="62"/>
      <c r="BG258" s="62"/>
      <c r="BH258" s="62"/>
      <c r="BI258" s="62"/>
      <c r="BJ258" s="62"/>
      <c r="BK258" s="62"/>
      <c r="BL258" s="62"/>
      <c r="BM258" s="62"/>
      <c r="BN258" s="62"/>
      <c r="BO258" s="62"/>
      <c r="BP258" s="62"/>
      <c r="BQ258" s="62"/>
      <c r="BR258" s="62"/>
      <c r="BS258" s="62"/>
      <c r="BT258" s="62"/>
      <c r="BU258" s="62"/>
      <c r="BV258" s="62"/>
      <c r="BW258" s="62"/>
      <c r="BX258" s="62"/>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c r="DU258" s="62"/>
      <c r="DV258" s="62"/>
      <c r="DW258" s="62"/>
      <c r="DX258" s="62"/>
      <c r="DY258" s="62"/>
      <c r="DZ258" s="62"/>
      <c r="EA258" s="62"/>
      <c r="EB258" s="62"/>
      <c r="EC258" s="62"/>
      <c r="ED258" s="62"/>
      <c r="EE258" s="62"/>
      <c r="EF258" s="62"/>
      <c r="EG258" s="62"/>
      <c r="EH258" s="62"/>
      <c r="EI258" s="62"/>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c r="FK258" s="62"/>
      <c r="FL258" s="62"/>
      <c r="FM258" s="62"/>
      <c r="FN258" s="62"/>
      <c r="FO258" s="62"/>
      <c r="FP258" s="62"/>
      <c r="FQ258" s="62"/>
      <c r="FR258" s="62"/>
      <c r="FS258" s="62"/>
      <c r="FT258" s="62"/>
      <c r="FU258" s="62"/>
      <c r="FV258" s="62"/>
    </row>
    <row r="259" spans="1:178" ht="13.8">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c r="AY259" s="62"/>
      <c r="AZ259" s="62"/>
      <c r="BA259" s="62"/>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row>
    <row r="260" spans="1:178" ht="13.8">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c r="AY260" s="62"/>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row>
    <row r="261" spans="1:178" ht="13.8">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row>
    <row r="262" spans="1:178" ht="13.8">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62"/>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row>
    <row r="263" spans="1:178" ht="13.8">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c r="AY263" s="62"/>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row>
    <row r="264" spans="1:178" ht="13.8">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c r="AY264" s="62"/>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row>
    <row r="265" spans="1:178" ht="13.8">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c r="AY265" s="62"/>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row>
    <row r="266" spans="1:178" ht="13.8">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c r="AY266" s="62"/>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c r="DU266" s="62"/>
      <c r="DV266" s="62"/>
      <c r="DW266" s="62"/>
      <c r="DX266" s="62"/>
      <c r="DY266" s="62"/>
      <c r="DZ266" s="62"/>
      <c r="EA266" s="62"/>
      <c r="EB266" s="62"/>
      <c r="EC266" s="62"/>
      <c r="ED266" s="62"/>
      <c r="EE266" s="62"/>
      <c r="EF266" s="62"/>
      <c r="EG266" s="62"/>
      <c r="EH266" s="62"/>
      <c r="EI266" s="62"/>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c r="FK266" s="62"/>
      <c r="FL266" s="62"/>
      <c r="FM266" s="62"/>
      <c r="FN266" s="62"/>
      <c r="FO266" s="62"/>
      <c r="FP266" s="62"/>
      <c r="FQ266" s="62"/>
      <c r="FR266" s="62"/>
      <c r="FS266" s="62"/>
      <c r="FT266" s="62"/>
      <c r="FU266" s="62"/>
      <c r="FV266" s="62"/>
    </row>
    <row r="267" spans="1:178" ht="13.8">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row>
    <row r="268" spans="1:178" ht="13.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62"/>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row>
    <row r="269" spans="1:178" ht="13.8">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c r="AY269" s="62"/>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row>
    <row r="270" spans="1:178" ht="13.8">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62"/>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row>
    <row r="271" spans="1:178" ht="13.8">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c r="AY271" s="62"/>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62"/>
      <c r="DR271" s="62"/>
      <c r="DS271" s="62"/>
      <c r="DT271" s="62"/>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2"/>
      <c r="EX271" s="62"/>
      <c r="EY271" s="62"/>
      <c r="EZ271" s="62"/>
      <c r="FA271" s="62"/>
      <c r="FB271" s="62"/>
      <c r="FC271" s="62"/>
      <c r="FD271" s="62"/>
      <c r="FE271" s="62"/>
      <c r="FF271" s="62"/>
      <c r="FG271" s="62"/>
      <c r="FH271" s="62"/>
      <c r="FI271" s="62"/>
      <c r="FJ271" s="62"/>
      <c r="FK271" s="62"/>
      <c r="FL271" s="62"/>
      <c r="FM271" s="62"/>
      <c r="FN271" s="62"/>
      <c r="FO271" s="62"/>
      <c r="FP271" s="62"/>
      <c r="FQ271" s="62"/>
      <c r="FR271" s="62"/>
      <c r="FS271" s="62"/>
      <c r="FT271" s="62"/>
      <c r="FU271" s="62"/>
      <c r="FV271" s="62"/>
    </row>
    <row r="272" spans="1:178" ht="13.8">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c r="AY272" s="62"/>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62"/>
      <c r="DR272" s="62"/>
      <c r="DS272" s="62"/>
      <c r="DT272" s="62"/>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2"/>
      <c r="EX272" s="62"/>
      <c r="EY272" s="62"/>
      <c r="EZ272" s="62"/>
      <c r="FA272" s="62"/>
      <c r="FB272" s="62"/>
      <c r="FC272" s="62"/>
      <c r="FD272" s="62"/>
      <c r="FE272" s="62"/>
      <c r="FF272" s="62"/>
      <c r="FG272" s="62"/>
      <c r="FH272" s="62"/>
      <c r="FI272" s="62"/>
      <c r="FJ272" s="62"/>
      <c r="FK272" s="62"/>
      <c r="FL272" s="62"/>
      <c r="FM272" s="62"/>
      <c r="FN272" s="62"/>
      <c r="FO272" s="62"/>
      <c r="FP272" s="62"/>
      <c r="FQ272" s="62"/>
      <c r="FR272" s="62"/>
      <c r="FS272" s="62"/>
      <c r="FT272" s="62"/>
      <c r="FU272" s="62"/>
      <c r="FV272" s="62"/>
    </row>
    <row r="273" spans="1:178" ht="13.8">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62"/>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62"/>
      <c r="DR273" s="62"/>
      <c r="DS273" s="62"/>
      <c r="DT273" s="62"/>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2"/>
      <c r="EX273" s="62"/>
      <c r="EY273" s="62"/>
      <c r="EZ273" s="62"/>
      <c r="FA273" s="62"/>
      <c r="FB273" s="62"/>
      <c r="FC273" s="62"/>
      <c r="FD273" s="62"/>
      <c r="FE273" s="62"/>
      <c r="FF273" s="62"/>
      <c r="FG273" s="62"/>
      <c r="FH273" s="62"/>
      <c r="FI273" s="62"/>
      <c r="FJ273" s="62"/>
      <c r="FK273" s="62"/>
      <c r="FL273" s="62"/>
      <c r="FM273" s="62"/>
      <c r="FN273" s="62"/>
      <c r="FO273" s="62"/>
      <c r="FP273" s="62"/>
      <c r="FQ273" s="62"/>
      <c r="FR273" s="62"/>
      <c r="FS273" s="62"/>
      <c r="FT273" s="62"/>
      <c r="FU273" s="62"/>
      <c r="FV273" s="62"/>
    </row>
    <row r="274" spans="1:178" ht="13.8">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62"/>
      <c r="DR274" s="62"/>
      <c r="DS274" s="62"/>
      <c r="DT274" s="62"/>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2"/>
      <c r="EX274" s="62"/>
      <c r="EY274" s="62"/>
      <c r="EZ274" s="62"/>
      <c r="FA274" s="62"/>
      <c r="FB274" s="62"/>
      <c r="FC274" s="62"/>
      <c r="FD274" s="62"/>
      <c r="FE274" s="62"/>
      <c r="FF274" s="62"/>
      <c r="FG274" s="62"/>
      <c r="FH274" s="62"/>
      <c r="FI274" s="62"/>
      <c r="FJ274" s="62"/>
      <c r="FK274" s="62"/>
      <c r="FL274" s="62"/>
      <c r="FM274" s="62"/>
      <c r="FN274" s="62"/>
      <c r="FO274" s="62"/>
      <c r="FP274" s="62"/>
      <c r="FQ274" s="62"/>
      <c r="FR274" s="62"/>
      <c r="FS274" s="62"/>
      <c r="FT274" s="62"/>
      <c r="FU274" s="62"/>
      <c r="FV274" s="62"/>
    </row>
    <row r="275" spans="1:178" ht="13.8">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62"/>
      <c r="DR275" s="62"/>
      <c r="DS275" s="62"/>
      <c r="DT275" s="62"/>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2"/>
      <c r="EX275" s="62"/>
      <c r="EY275" s="62"/>
      <c r="EZ275" s="62"/>
      <c r="FA275" s="62"/>
      <c r="FB275" s="62"/>
      <c r="FC275" s="62"/>
      <c r="FD275" s="62"/>
      <c r="FE275" s="62"/>
      <c r="FF275" s="62"/>
      <c r="FG275" s="62"/>
      <c r="FH275" s="62"/>
      <c r="FI275" s="62"/>
      <c r="FJ275" s="62"/>
      <c r="FK275" s="62"/>
      <c r="FL275" s="62"/>
      <c r="FM275" s="62"/>
      <c r="FN275" s="62"/>
      <c r="FO275" s="62"/>
      <c r="FP275" s="62"/>
      <c r="FQ275" s="62"/>
      <c r="FR275" s="62"/>
      <c r="FS275" s="62"/>
      <c r="FT275" s="62"/>
      <c r="FU275" s="62"/>
      <c r="FV275" s="62"/>
    </row>
    <row r="276" spans="1:178" ht="13.8">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62"/>
      <c r="DR276" s="62"/>
      <c r="DS276" s="62"/>
      <c r="DT276" s="62"/>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2"/>
      <c r="EX276" s="62"/>
      <c r="EY276" s="62"/>
      <c r="EZ276" s="62"/>
      <c r="FA276" s="62"/>
      <c r="FB276" s="62"/>
      <c r="FC276" s="62"/>
      <c r="FD276" s="62"/>
      <c r="FE276" s="62"/>
      <c r="FF276" s="62"/>
      <c r="FG276" s="62"/>
      <c r="FH276" s="62"/>
      <c r="FI276" s="62"/>
      <c r="FJ276" s="62"/>
      <c r="FK276" s="62"/>
      <c r="FL276" s="62"/>
      <c r="FM276" s="62"/>
      <c r="FN276" s="62"/>
      <c r="FO276" s="62"/>
      <c r="FP276" s="62"/>
      <c r="FQ276" s="62"/>
      <c r="FR276" s="62"/>
      <c r="FS276" s="62"/>
      <c r="FT276" s="62"/>
      <c r="FU276" s="62"/>
      <c r="FV276" s="62"/>
    </row>
    <row r="277" spans="1:178" ht="13.8">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62"/>
      <c r="DR277" s="62"/>
      <c r="DS277" s="62"/>
      <c r="DT277" s="62"/>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2"/>
      <c r="EX277" s="62"/>
      <c r="EY277" s="62"/>
      <c r="EZ277" s="62"/>
      <c r="FA277" s="62"/>
      <c r="FB277" s="62"/>
      <c r="FC277" s="62"/>
      <c r="FD277" s="62"/>
      <c r="FE277" s="62"/>
      <c r="FF277" s="62"/>
      <c r="FG277" s="62"/>
      <c r="FH277" s="62"/>
      <c r="FI277" s="62"/>
      <c r="FJ277" s="62"/>
      <c r="FK277" s="62"/>
      <c r="FL277" s="62"/>
      <c r="FM277" s="62"/>
      <c r="FN277" s="62"/>
      <c r="FO277" s="62"/>
      <c r="FP277" s="62"/>
      <c r="FQ277" s="62"/>
      <c r="FR277" s="62"/>
      <c r="FS277" s="62"/>
      <c r="FT277" s="62"/>
      <c r="FU277" s="62"/>
      <c r="FV277" s="62"/>
    </row>
    <row r="278" spans="1:178" ht="13.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62"/>
      <c r="DR278" s="62"/>
      <c r="DS278" s="62"/>
      <c r="DT278" s="62"/>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2"/>
      <c r="EX278" s="62"/>
      <c r="EY278" s="62"/>
      <c r="EZ278" s="62"/>
      <c r="FA278" s="62"/>
      <c r="FB278" s="62"/>
      <c r="FC278" s="62"/>
      <c r="FD278" s="62"/>
      <c r="FE278" s="62"/>
      <c r="FF278" s="62"/>
      <c r="FG278" s="62"/>
      <c r="FH278" s="62"/>
      <c r="FI278" s="62"/>
      <c r="FJ278" s="62"/>
      <c r="FK278" s="62"/>
      <c r="FL278" s="62"/>
      <c r="FM278" s="62"/>
      <c r="FN278" s="62"/>
      <c r="FO278" s="62"/>
      <c r="FP278" s="62"/>
      <c r="FQ278" s="62"/>
      <c r="FR278" s="62"/>
      <c r="FS278" s="62"/>
      <c r="FT278" s="62"/>
      <c r="FU278" s="62"/>
      <c r="FV278" s="62"/>
    </row>
    <row r="279" spans="1:178" ht="13.8">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c r="AY279" s="62"/>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62"/>
      <c r="DR279" s="62"/>
      <c r="DS279" s="62"/>
      <c r="DT279" s="62"/>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2"/>
      <c r="EX279" s="62"/>
      <c r="EY279" s="62"/>
      <c r="EZ279" s="62"/>
      <c r="FA279" s="62"/>
      <c r="FB279" s="62"/>
      <c r="FC279" s="62"/>
      <c r="FD279" s="62"/>
      <c r="FE279" s="62"/>
      <c r="FF279" s="62"/>
      <c r="FG279" s="62"/>
      <c r="FH279" s="62"/>
      <c r="FI279" s="62"/>
      <c r="FJ279" s="62"/>
      <c r="FK279" s="62"/>
      <c r="FL279" s="62"/>
      <c r="FM279" s="62"/>
      <c r="FN279" s="62"/>
      <c r="FO279" s="62"/>
      <c r="FP279" s="62"/>
      <c r="FQ279" s="62"/>
      <c r="FR279" s="62"/>
      <c r="FS279" s="62"/>
      <c r="FT279" s="62"/>
      <c r="FU279" s="62"/>
      <c r="FV279" s="62"/>
    </row>
    <row r="280" spans="1:178" ht="13.8">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c r="AY280" s="62"/>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2"/>
      <c r="EX280" s="62"/>
      <c r="EY280" s="62"/>
      <c r="EZ280" s="62"/>
      <c r="FA280" s="62"/>
      <c r="FB280" s="62"/>
      <c r="FC280" s="62"/>
      <c r="FD280" s="62"/>
      <c r="FE280" s="62"/>
      <c r="FF280" s="62"/>
      <c r="FG280" s="62"/>
      <c r="FH280" s="62"/>
      <c r="FI280" s="62"/>
      <c r="FJ280" s="62"/>
      <c r="FK280" s="62"/>
      <c r="FL280" s="62"/>
      <c r="FM280" s="62"/>
      <c r="FN280" s="62"/>
      <c r="FO280" s="62"/>
      <c r="FP280" s="62"/>
      <c r="FQ280" s="62"/>
      <c r="FR280" s="62"/>
      <c r="FS280" s="62"/>
      <c r="FT280" s="62"/>
      <c r="FU280" s="62"/>
      <c r="FV280" s="62"/>
    </row>
    <row r="281" spans="1:178" ht="13.8">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c r="AY281" s="62"/>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2"/>
      <c r="EX281" s="62"/>
      <c r="EY281" s="62"/>
      <c r="EZ281" s="62"/>
      <c r="FA281" s="62"/>
      <c r="FB281" s="62"/>
      <c r="FC281" s="62"/>
      <c r="FD281" s="62"/>
      <c r="FE281" s="62"/>
      <c r="FF281" s="62"/>
      <c r="FG281" s="62"/>
      <c r="FH281" s="62"/>
      <c r="FI281" s="62"/>
      <c r="FJ281" s="62"/>
      <c r="FK281" s="62"/>
      <c r="FL281" s="62"/>
      <c r="FM281" s="62"/>
      <c r="FN281" s="62"/>
      <c r="FO281" s="62"/>
      <c r="FP281" s="62"/>
      <c r="FQ281" s="62"/>
      <c r="FR281" s="62"/>
      <c r="FS281" s="62"/>
      <c r="FT281" s="62"/>
      <c r="FU281" s="62"/>
      <c r="FV281" s="62"/>
    </row>
    <row r="282" spans="1:178" ht="13.8">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c r="AY282" s="62"/>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2"/>
      <c r="EX282" s="62"/>
      <c r="EY282" s="62"/>
      <c r="EZ282" s="62"/>
      <c r="FA282" s="62"/>
      <c r="FB282" s="62"/>
      <c r="FC282" s="62"/>
      <c r="FD282" s="62"/>
      <c r="FE282" s="62"/>
      <c r="FF282" s="62"/>
      <c r="FG282" s="62"/>
      <c r="FH282" s="62"/>
      <c r="FI282" s="62"/>
      <c r="FJ282" s="62"/>
      <c r="FK282" s="62"/>
      <c r="FL282" s="62"/>
      <c r="FM282" s="62"/>
      <c r="FN282" s="62"/>
      <c r="FO282" s="62"/>
      <c r="FP282" s="62"/>
      <c r="FQ282" s="62"/>
      <c r="FR282" s="62"/>
      <c r="FS282" s="62"/>
      <c r="FT282" s="62"/>
      <c r="FU282" s="62"/>
      <c r="FV282" s="62"/>
    </row>
    <row r="283" spans="1:178" ht="13.8">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c r="AY283" s="62"/>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2"/>
      <c r="EX283" s="62"/>
      <c r="EY283" s="62"/>
      <c r="EZ283" s="62"/>
      <c r="FA283" s="62"/>
      <c r="FB283" s="62"/>
      <c r="FC283" s="62"/>
      <c r="FD283" s="62"/>
      <c r="FE283" s="62"/>
      <c r="FF283" s="62"/>
      <c r="FG283" s="62"/>
      <c r="FH283" s="62"/>
      <c r="FI283" s="62"/>
      <c r="FJ283" s="62"/>
      <c r="FK283" s="62"/>
      <c r="FL283" s="62"/>
      <c r="FM283" s="62"/>
      <c r="FN283" s="62"/>
      <c r="FO283" s="62"/>
      <c r="FP283" s="62"/>
      <c r="FQ283" s="62"/>
      <c r="FR283" s="62"/>
      <c r="FS283" s="62"/>
      <c r="FT283" s="62"/>
      <c r="FU283" s="62"/>
      <c r="FV283" s="62"/>
    </row>
    <row r="284" spans="1:178" ht="13.8">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c r="AY284" s="62"/>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2"/>
      <c r="EX284" s="62"/>
      <c r="EY284" s="62"/>
      <c r="EZ284" s="62"/>
      <c r="FA284" s="62"/>
      <c r="FB284" s="62"/>
      <c r="FC284" s="62"/>
      <c r="FD284" s="62"/>
      <c r="FE284" s="62"/>
      <c r="FF284" s="62"/>
      <c r="FG284" s="62"/>
      <c r="FH284" s="62"/>
      <c r="FI284" s="62"/>
      <c r="FJ284" s="62"/>
      <c r="FK284" s="62"/>
      <c r="FL284" s="62"/>
      <c r="FM284" s="62"/>
      <c r="FN284" s="62"/>
      <c r="FO284" s="62"/>
      <c r="FP284" s="62"/>
      <c r="FQ284" s="62"/>
      <c r="FR284" s="62"/>
      <c r="FS284" s="62"/>
      <c r="FT284" s="62"/>
      <c r="FU284" s="62"/>
      <c r="FV284" s="62"/>
    </row>
    <row r="285" spans="1:178" ht="13.8">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2"/>
      <c r="EX285" s="62"/>
      <c r="EY285" s="62"/>
      <c r="EZ285" s="62"/>
      <c r="FA285" s="62"/>
      <c r="FB285" s="62"/>
      <c r="FC285" s="62"/>
      <c r="FD285" s="62"/>
      <c r="FE285" s="62"/>
      <c r="FF285" s="62"/>
      <c r="FG285" s="62"/>
      <c r="FH285" s="62"/>
      <c r="FI285" s="62"/>
      <c r="FJ285" s="62"/>
      <c r="FK285" s="62"/>
      <c r="FL285" s="62"/>
      <c r="FM285" s="62"/>
      <c r="FN285" s="62"/>
      <c r="FO285" s="62"/>
      <c r="FP285" s="62"/>
      <c r="FQ285" s="62"/>
      <c r="FR285" s="62"/>
      <c r="FS285" s="62"/>
      <c r="FT285" s="62"/>
      <c r="FU285" s="62"/>
      <c r="FV285" s="62"/>
    </row>
    <row r="286" spans="1:178" ht="13.8">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2"/>
      <c r="EX286" s="62"/>
      <c r="EY286" s="62"/>
      <c r="EZ286" s="62"/>
      <c r="FA286" s="62"/>
      <c r="FB286" s="62"/>
      <c r="FC286" s="62"/>
      <c r="FD286" s="62"/>
      <c r="FE286" s="62"/>
      <c r="FF286" s="62"/>
      <c r="FG286" s="62"/>
      <c r="FH286" s="62"/>
      <c r="FI286" s="62"/>
      <c r="FJ286" s="62"/>
      <c r="FK286" s="62"/>
      <c r="FL286" s="62"/>
      <c r="FM286" s="62"/>
      <c r="FN286" s="62"/>
      <c r="FO286" s="62"/>
      <c r="FP286" s="62"/>
      <c r="FQ286" s="62"/>
      <c r="FR286" s="62"/>
      <c r="FS286" s="62"/>
      <c r="FT286" s="62"/>
      <c r="FU286" s="62"/>
      <c r="FV286" s="62"/>
    </row>
    <row r="287" spans="1:178" ht="13.8">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c r="AY287" s="62"/>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2"/>
      <c r="EX287" s="62"/>
      <c r="EY287" s="62"/>
      <c r="EZ287" s="62"/>
      <c r="FA287" s="62"/>
      <c r="FB287" s="62"/>
      <c r="FC287" s="62"/>
      <c r="FD287" s="62"/>
      <c r="FE287" s="62"/>
      <c r="FF287" s="62"/>
      <c r="FG287" s="62"/>
      <c r="FH287" s="62"/>
      <c r="FI287" s="62"/>
      <c r="FJ287" s="62"/>
      <c r="FK287" s="62"/>
      <c r="FL287" s="62"/>
      <c r="FM287" s="62"/>
      <c r="FN287" s="62"/>
      <c r="FO287" s="62"/>
      <c r="FP287" s="62"/>
      <c r="FQ287" s="62"/>
      <c r="FR287" s="62"/>
      <c r="FS287" s="62"/>
      <c r="FT287" s="62"/>
      <c r="FU287" s="62"/>
      <c r="FV287" s="62"/>
    </row>
    <row r="288" spans="1:178" ht="13.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2"/>
      <c r="EX288" s="62"/>
      <c r="EY288" s="62"/>
      <c r="EZ288" s="62"/>
      <c r="FA288" s="62"/>
      <c r="FB288" s="62"/>
      <c r="FC288" s="62"/>
      <c r="FD288" s="62"/>
      <c r="FE288" s="62"/>
      <c r="FF288" s="62"/>
      <c r="FG288" s="62"/>
      <c r="FH288" s="62"/>
      <c r="FI288" s="62"/>
      <c r="FJ288" s="62"/>
      <c r="FK288" s="62"/>
      <c r="FL288" s="62"/>
      <c r="FM288" s="62"/>
      <c r="FN288" s="62"/>
      <c r="FO288" s="62"/>
      <c r="FP288" s="62"/>
      <c r="FQ288" s="62"/>
      <c r="FR288" s="62"/>
      <c r="FS288" s="62"/>
      <c r="FT288" s="62"/>
      <c r="FU288" s="62"/>
      <c r="FV288" s="62"/>
    </row>
    <row r="289" spans="1:178" ht="13.8">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2"/>
      <c r="EX289" s="62"/>
      <c r="EY289" s="62"/>
      <c r="EZ289" s="62"/>
      <c r="FA289" s="62"/>
      <c r="FB289" s="62"/>
      <c r="FC289" s="62"/>
      <c r="FD289" s="62"/>
      <c r="FE289" s="62"/>
      <c r="FF289" s="62"/>
      <c r="FG289" s="62"/>
      <c r="FH289" s="62"/>
      <c r="FI289" s="62"/>
      <c r="FJ289" s="62"/>
      <c r="FK289" s="62"/>
      <c r="FL289" s="62"/>
      <c r="FM289" s="62"/>
      <c r="FN289" s="62"/>
      <c r="FO289" s="62"/>
      <c r="FP289" s="62"/>
      <c r="FQ289" s="62"/>
      <c r="FR289" s="62"/>
      <c r="FS289" s="62"/>
      <c r="FT289" s="62"/>
      <c r="FU289" s="62"/>
      <c r="FV289" s="62"/>
    </row>
    <row r="290" spans="1:178" ht="13.8">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2"/>
      <c r="EX290" s="62"/>
      <c r="EY290" s="62"/>
      <c r="EZ290" s="62"/>
      <c r="FA290" s="62"/>
      <c r="FB290" s="62"/>
      <c r="FC290" s="62"/>
      <c r="FD290" s="62"/>
      <c r="FE290" s="62"/>
      <c r="FF290" s="62"/>
      <c r="FG290" s="62"/>
      <c r="FH290" s="62"/>
      <c r="FI290" s="62"/>
      <c r="FJ290" s="62"/>
      <c r="FK290" s="62"/>
      <c r="FL290" s="62"/>
      <c r="FM290" s="62"/>
      <c r="FN290" s="62"/>
      <c r="FO290" s="62"/>
      <c r="FP290" s="62"/>
      <c r="FQ290" s="62"/>
      <c r="FR290" s="62"/>
      <c r="FS290" s="62"/>
      <c r="FT290" s="62"/>
      <c r="FU290" s="62"/>
      <c r="FV290" s="62"/>
    </row>
    <row r="291" spans="1:178" ht="13.8">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c r="AY291" s="62"/>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2"/>
      <c r="EX291" s="62"/>
      <c r="EY291" s="62"/>
      <c r="EZ291" s="62"/>
      <c r="FA291" s="62"/>
      <c r="FB291" s="62"/>
      <c r="FC291" s="62"/>
      <c r="FD291" s="62"/>
      <c r="FE291" s="62"/>
      <c r="FF291" s="62"/>
      <c r="FG291" s="62"/>
      <c r="FH291" s="62"/>
      <c r="FI291" s="62"/>
      <c r="FJ291" s="62"/>
      <c r="FK291" s="62"/>
      <c r="FL291" s="62"/>
      <c r="FM291" s="62"/>
      <c r="FN291" s="62"/>
      <c r="FO291" s="62"/>
      <c r="FP291" s="62"/>
      <c r="FQ291" s="62"/>
      <c r="FR291" s="62"/>
      <c r="FS291" s="62"/>
      <c r="FT291" s="62"/>
      <c r="FU291" s="62"/>
      <c r="FV291" s="62"/>
    </row>
    <row r="292" spans="1:178" ht="13.8">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2"/>
      <c r="EX292" s="62"/>
      <c r="EY292" s="62"/>
      <c r="EZ292" s="62"/>
      <c r="FA292" s="62"/>
      <c r="FB292" s="62"/>
      <c r="FC292" s="62"/>
      <c r="FD292" s="62"/>
      <c r="FE292" s="62"/>
      <c r="FF292" s="62"/>
      <c r="FG292" s="62"/>
      <c r="FH292" s="62"/>
      <c r="FI292" s="62"/>
      <c r="FJ292" s="62"/>
      <c r="FK292" s="62"/>
      <c r="FL292" s="62"/>
      <c r="FM292" s="62"/>
      <c r="FN292" s="62"/>
      <c r="FO292" s="62"/>
      <c r="FP292" s="62"/>
      <c r="FQ292" s="62"/>
      <c r="FR292" s="62"/>
      <c r="FS292" s="62"/>
      <c r="FT292" s="62"/>
      <c r="FU292" s="62"/>
      <c r="FV292" s="62"/>
    </row>
    <row r="293" spans="1:178" ht="13.8">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c r="AY293" s="62"/>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2"/>
      <c r="EX293" s="62"/>
      <c r="EY293" s="62"/>
      <c r="EZ293" s="62"/>
      <c r="FA293" s="62"/>
      <c r="FB293" s="62"/>
      <c r="FC293" s="62"/>
      <c r="FD293" s="62"/>
      <c r="FE293" s="62"/>
      <c r="FF293" s="62"/>
      <c r="FG293" s="62"/>
      <c r="FH293" s="62"/>
      <c r="FI293" s="62"/>
      <c r="FJ293" s="62"/>
      <c r="FK293" s="62"/>
      <c r="FL293" s="62"/>
      <c r="FM293" s="62"/>
      <c r="FN293" s="62"/>
      <c r="FO293" s="62"/>
      <c r="FP293" s="62"/>
      <c r="FQ293" s="62"/>
      <c r="FR293" s="62"/>
      <c r="FS293" s="62"/>
      <c r="FT293" s="62"/>
      <c r="FU293" s="62"/>
      <c r="FV293" s="62"/>
    </row>
    <row r="294" spans="1:178" ht="13.8">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2"/>
      <c r="EX294" s="62"/>
      <c r="EY294" s="62"/>
      <c r="EZ294" s="62"/>
      <c r="FA294" s="62"/>
      <c r="FB294" s="62"/>
      <c r="FC294" s="62"/>
      <c r="FD294" s="62"/>
      <c r="FE294" s="62"/>
      <c r="FF294" s="62"/>
      <c r="FG294" s="62"/>
      <c r="FH294" s="62"/>
      <c r="FI294" s="62"/>
      <c r="FJ294" s="62"/>
      <c r="FK294" s="62"/>
      <c r="FL294" s="62"/>
      <c r="FM294" s="62"/>
      <c r="FN294" s="62"/>
      <c r="FO294" s="62"/>
      <c r="FP294" s="62"/>
      <c r="FQ294" s="62"/>
      <c r="FR294" s="62"/>
      <c r="FS294" s="62"/>
      <c r="FT294" s="62"/>
      <c r="FU294" s="62"/>
      <c r="FV294" s="62"/>
    </row>
    <row r="295" spans="1:178" ht="13.8">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2"/>
      <c r="EX295" s="62"/>
      <c r="EY295" s="62"/>
      <c r="EZ295" s="62"/>
      <c r="FA295" s="62"/>
      <c r="FB295" s="62"/>
      <c r="FC295" s="62"/>
      <c r="FD295" s="62"/>
      <c r="FE295" s="62"/>
      <c r="FF295" s="62"/>
      <c r="FG295" s="62"/>
      <c r="FH295" s="62"/>
      <c r="FI295" s="62"/>
      <c r="FJ295" s="62"/>
      <c r="FK295" s="62"/>
      <c r="FL295" s="62"/>
      <c r="FM295" s="62"/>
      <c r="FN295" s="62"/>
      <c r="FO295" s="62"/>
      <c r="FP295" s="62"/>
      <c r="FQ295" s="62"/>
      <c r="FR295" s="62"/>
      <c r="FS295" s="62"/>
      <c r="FT295" s="62"/>
      <c r="FU295" s="62"/>
      <c r="FV295" s="62"/>
    </row>
    <row r="296" spans="1:178" ht="13.8">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2"/>
      <c r="EX296" s="62"/>
      <c r="EY296" s="62"/>
      <c r="EZ296" s="62"/>
      <c r="FA296" s="62"/>
      <c r="FB296" s="62"/>
      <c r="FC296" s="62"/>
      <c r="FD296" s="62"/>
      <c r="FE296" s="62"/>
      <c r="FF296" s="62"/>
      <c r="FG296" s="62"/>
      <c r="FH296" s="62"/>
      <c r="FI296" s="62"/>
      <c r="FJ296" s="62"/>
      <c r="FK296" s="62"/>
      <c r="FL296" s="62"/>
      <c r="FM296" s="62"/>
      <c r="FN296" s="62"/>
      <c r="FO296" s="62"/>
      <c r="FP296" s="62"/>
      <c r="FQ296" s="62"/>
      <c r="FR296" s="62"/>
      <c r="FS296" s="62"/>
      <c r="FT296" s="62"/>
      <c r="FU296" s="62"/>
      <c r="FV296" s="62"/>
    </row>
    <row r="297" spans="1:178" ht="13.8">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62"/>
      <c r="EU297" s="62"/>
      <c r="EV297" s="62"/>
      <c r="EW297" s="62"/>
      <c r="EX297" s="62"/>
      <c r="EY297" s="62"/>
      <c r="EZ297" s="62"/>
      <c r="FA297" s="62"/>
      <c r="FB297" s="62"/>
      <c r="FC297" s="62"/>
      <c r="FD297" s="62"/>
      <c r="FE297" s="62"/>
      <c r="FF297" s="62"/>
      <c r="FG297" s="62"/>
      <c r="FH297" s="62"/>
      <c r="FI297" s="62"/>
      <c r="FJ297" s="62"/>
      <c r="FK297" s="62"/>
      <c r="FL297" s="62"/>
      <c r="FM297" s="62"/>
      <c r="FN297" s="62"/>
      <c r="FO297" s="62"/>
      <c r="FP297" s="62"/>
      <c r="FQ297" s="62"/>
      <c r="FR297" s="62"/>
      <c r="FS297" s="62"/>
      <c r="FT297" s="62"/>
      <c r="FU297" s="62"/>
      <c r="FV297" s="62"/>
    </row>
    <row r="298" spans="1:178" ht="13.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2"/>
      <c r="EX298" s="62"/>
      <c r="EY298" s="62"/>
      <c r="EZ298" s="62"/>
      <c r="FA298" s="62"/>
      <c r="FB298" s="62"/>
      <c r="FC298" s="62"/>
      <c r="FD298" s="62"/>
      <c r="FE298" s="62"/>
      <c r="FF298" s="62"/>
      <c r="FG298" s="62"/>
      <c r="FH298" s="62"/>
      <c r="FI298" s="62"/>
      <c r="FJ298" s="62"/>
      <c r="FK298" s="62"/>
      <c r="FL298" s="62"/>
      <c r="FM298" s="62"/>
      <c r="FN298" s="62"/>
      <c r="FO298" s="62"/>
      <c r="FP298" s="62"/>
      <c r="FQ298" s="62"/>
      <c r="FR298" s="62"/>
      <c r="FS298" s="62"/>
      <c r="FT298" s="62"/>
      <c r="FU298" s="62"/>
      <c r="FV298" s="62"/>
    </row>
    <row r="299" spans="1:178" ht="13.8">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c r="AY299" s="62"/>
      <c r="AZ299" s="62"/>
      <c r="BA299" s="62"/>
      <c r="BB299" s="62"/>
      <c r="BC299" s="62"/>
      <c r="BD299" s="62"/>
      <c r="BE299" s="62"/>
      <c r="BF299" s="62"/>
      <c r="BG299" s="62"/>
      <c r="BH299" s="62"/>
      <c r="BI299" s="62"/>
      <c r="BJ299" s="62"/>
      <c r="BK299" s="62"/>
      <c r="BL299" s="62"/>
      <c r="BM299" s="62"/>
      <c r="BN299" s="62"/>
      <c r="BO299" s="62"/>
      <c r="BP299" s="62"/>
      <c r="BQ299" s="62"/>
      <c r="BR299" s="62"/>
      <c r="BS299" s="62"/>
      <c r="BT299" s="62"/>
      <c r="BU299" s="62"/>
      <c r="BV299" s="62"/>
      <c r="BW299" s="62"/>
      <c r="BX299" s="62"/>
      <c r="BY299" s="62"/>
      <c r="BZ299" s="62"/>
      <c r="CA299" s="62"/>
      <c r="CB299" s="62"/>
      <c r="CC299" s="62"/>
      <c r="CD299" s="62"/>
      <c r="CE299" s="62"/>
      <c r="CF299" s="62"/>
      <c r="CG299" s="62"/>
      <c r="CH299" s="62"/>
      <c r="CI299" s="62"/>
      <c r="CJ299" s="62"/>
      <c r="CK299" s="62"/>
      <c r="CL299" s="62"/>
      <c r="CM299" s="62"/>
      <c r="CN299" s="62"/>
      <c r="CO299" s="62"/>
      <c r="CP299" s="62"/>
      <c r="CQ299" s="62"/>
      <c r="CR299" s="62"/>
      <c r="CS299" s="62"/>
      <c r="CT299" s="62"/>
      <c r="CU299" s="62"/>
      <c r="CV299" s="62"/>
      <c r="CW299" s="62"/>
      <c r="CX299" s="62"/>
      <c r="CY299" s="62"/>
      <c r="CZ299" s="62"/>
      <c r="DA299" s="62"/>
      <c r="DB299" s="62"/>
      <c r="DC299" s="62"/>
      <c r="DD299" s="62"/>
      <c r="DE299" s="62"/>
      <c r="DF299" s="62"/>
      <c r="DG299" s="62"/>
      <c r="DH299" s="62"/>
      <c r="DI299" s="62"/>
      <c r="DJ299" s="62"/>
      <c r="DK299" s="62"/>
      <c r="DL299" s="62"/>
      <c r="DM299" s="62"/>
      <c r="DN299" s="62"/>
      <c r="DO299" s="62"/>
      <c r="DP299" s="62"/>
      <c r="DQ299" s="62"/>
      <c r="DR299" s="62"/>
      <c r="DS299" s="62"/>
      <c r="DT299" s="62"/>
      <c r="DU299" s="62"/>
      <c r="DV299" s="62"/>
      <c r="DW299" s="62"/>
      <c r="DX299" s="62"/>
      <c r="DY299" s="62"/>
      <c r="DZ299" s="62"/>
      <c r="EA299" s="62"/>
      <c r="EB299" s="62"/>
      <c r="EC299" s="62"/>
      <c r="ED299" s="62"/>
      <c r="EE299" s="62"/>
      <c r="EF299" s="62"/>
      <c r="EG299" s="62"/>
      <c r="EH299" s="62"/>
      <c r="EI299" s="62"/>
      <c r="EJ299" s="62"/>
      <c r="EK299" s="62"/>
      <c r="EL299" s="62"/>
      <c r="EM299" s="62"/>
      <c r="EN299" s="62"/>
      <c r="EO299" s="62"/>
      <c r="EP299" s="62"/>
      <c r="EQ299" s="62"/>
      <c r="ER299" s="62"/>
      <c r="ES299" s="62"/>
      <c r="ET299" s="62"/>
      <c r="EU299" s="62"/>
      <c r="EV299" s="62"/>
      <c r="EW299" s="62"/>
      <c r="EX299" s="62"/>
      <c r="EY299" s="62"/>
      <c r="EZ299" s="62"/>
      <c r="FA299" s="62"/>
      <c r="FB299" s="62"/>
      <c r="FC299" s="62"/>
      <c r="FD299" s="62"/>
      <c r="FE299" s="62"/>
      <c r="FF299" s="62"/>
      <c r="FG299" s="62"/>
      <c r="FH299" s="62"/>
      <c r="FI299" s="62"/>
      <c r="FJ299" s="62"/>
      <c r="FK299" s="62"/>
      <c r="FL299" s="62"/>
      <c r="FM299" s="62"/>
      <c r="FN299" s="62"/>
      <c r="FO299" s="62"/>
      <c r="FP299" s="62"/>
      <c r="FQ299" s="62"/>
      <c r="FR299" s="62"/>
      <c r="FS299" s="62"/>
      <c r="FT299" s="62"/>
      <c r="FU299" s="62"/>
      <c r="FV299" s="62"/>
    </row>
    <row r="300" spans="1:178" ht="13.8">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c r="AY300" s="62"/>
      <c r="AZ300" s="62"/>
      <c r="BA300" s="62"/>
      <c r="BB300" s="62"/>
      <c r="BC300" s="62"/>
      <c r="BD300" s="62"/>
      <c r="BE300" s="62"/>
      <c r="BF300" s="62"/>
      <c r="BG300" s="62"/>
      <c r="BH300" s="62"/>
      <c r="BI300" s="62"/>
      <c r="BJ300" s="62"/>
      <c r="BK300" s="62"/>
      <c r="BL300" s="62"/>
      <c r="BM300" s="62"/>
      <c r="BN300" s="62"/>
      <c r="BO300" s="62"/>
      <c r="BP300" s="62"/>
      <c r="BQ300" s="62"/>
      <c r="BR300" s="62"/>
      <c r="BS300" s="62"/>
      <c r="BT300" s="62"/>
      <c r="BU300" s="62"/>
      <c r="BV300" s="62"/>
      <c r="BW300" s="62"/>
      <c r="BX300" s="62"/>
      <c r="BY300" s="62"/>
      <c r="BZ300" s="62"/>
      <c r="CA300" s="62"/>
      <c r="CB300" s="62"/>
      <c r="CC300" s="62"/>
      <c r="CD300" s="62"/>
      <c r="CE300" s="62"/>
      <c r="CF300" s="62"/>
      <c r="CG300" s="62"/>
      <c r="CH300" s="62"/>
      <c r="CI300" s="62"/>
      <c r="CJ300" s="62"/>
      <c r="CK300" s="62"/>
      <c r="CL300" s="62"/>
      <c r="CM300" s="62"/>
      <c r="CN300" s="62"/>
      <c r="CO300" s="62"/>
      <c r="CP300" s="62"/>
      <c r="CQ300" s="62"/>
      <c r="CR300" s="62"/>
      <c r="CS300" s="62"/>
      <c r="CT300" s="62"/>
      <c r="CU300" s="62"/>
      <c r="CV300" s="62"/>
      <c r="CW300" s="62"/>
      <c r="CX300" s="62"/>
      <c r="CY300" s="62"/>
      <c r="CZ300" s="62"/>
      <c r="DA300" s="62"/>
      <c r="DB300" s="62"/>
      <c r="DC300" s="62"/>
      <c r="DD300" s="62"/>
      <c r="DE300" s="62"/>
      <c r="DF300" s="62"/>
      <c r="DG300" s="62"/>
      <c r="DH300" s="62"/>
      <c r="DI300" s="62"/>
      <c r="DJ300" s="62"/>
      <c r="DK300" s="62"/>
      <c r="DL300" s="62"/>
      <c r="DM300" s="62"/>
      <c r="DN300" s="62"/>
      <c r="DO300" s="62"/>
      <c r="DP300" s="62"/>
      <c r="DQ300" s="62"/>
      <c r="DR300" s="62"/>
      <c r="DS300" s="62"/>
      <c r="DT300" s="62"/>
      <c r="DU300" s="62"/>
      <c r="DV300" s="62"/>
      <c r="DW300" s="62"/>
      <c r="DX300" s="62"/>
      <c r="DY300" s="62"/>
      <c r="DZ300" s="62"/>
      <c r="EA300" s="62"/>
      <c r="EB300" s="62"/>
      <c r="EC300" s="62"/>
      <c r="ED300" s="62"/>
      <c r="EE300" s="62"/>
      <c r="EF300" s="62"/>
      <c r="EG300" s="62"/>
      <c r="EH300" s="62"/>
      <c r="EI300" s="62"/>
      <c r="EJ300" s="62"/>
      <c r="EK300" s="62"/>
      <c r="EL300" s="62"/>
      <c r="EM300" s="62"/>
      <c r="EN300" s="62"/>
      <c r="EO300" s="62"/>
      <c r="EP300" s="62"/>
      <c r="EQ300" s="62"/>
      <c r="ER300" s="62"/>
      <c r="ES300" s="62"/>
      <c r="ET300" s="62"/>
      <c r="EU300" s="62"/>
      <c r="EV300" s="62"/>
      <c r="EW300" s="62"/>
      <c r="EX300" s="62"/>
      <c r="EY300" s="62"/>
      <c r="EZ300" s="62"/>
      <c r="FA300" s="62"/>
      <c r="FB300" s="62"/>
      <c r="FC300" s="62"/>
      <c r="FD300" s="62"/>
      <c r="FE300" s="62"/>
      <c r="FF300" s="62"/>
      <c r="FG300" s="62"/>
      <c r="FH300" s="62"/>
      <c r="FI300" s="62"/>
      <c r="FJ300" s="62"/>
      <c r="FK300" s="62"/>
      <c r="FL300" s="62"/>
      <c r="FM300" s="62"/>
      <c r="FN300" s="62"/>
      <c r="FO300" s="62"/>
      <c r="FP300" s="62"/>
      <c r="FQ300" s="62"/>
      <c r="FR300" s="62"/>
      <c r="FS300" s="62"/>
      <c r="FT300" s="62"/>
      <c r="FU300" s="62"/>
      <c r="FV300" s="62"/>
    </row>
    <row r="301" spans="1:178" ht="13.8">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c r="AY301" s="62"/>
      <c r="AZ301" s="62"/>
      <c r="BA301" s="62"/>
      <c r="BB301" s="62"/>
      <c r="BC301" s="62"/>
      <c r="BD301" s="62"/>
      <c r="BE301" s="62"/>
      <c r="BF301" s="62"/>
      <c r="BG301" s="62"/>
      <c r="BH301" s="62"/>
      <c r="BI301" s="62"/>
      <c r="BJ301" s="62"/>
      <c r="BK301" s="62"/>
      <c r="BL301" s="62"/>
      <c r="BM301" s="62"/>
      <c r="BN301" s="62"/>
      <c r="BO301" s="62"/>
      <c r="BP301" s="62"/>
      <c r="BQ301" s="62"/>
      <c r="BR301" s="62"/>
      <c r="BS301" s="62"/>
      <c r="BT301" s="62"/>
      <c r="BU301" s="62"/>
      <c r="BV301" s="62"/>
      <c r="BW301" s="62"/>
      <c r="BX301" s="62"/>
      <c r="BY301" s="62"/>
      <c r="BZ301" s="62"/>
      <c r="CA301" s="62"/>
      <c r="CB301" s="62"/>
      <c r="CC301" s="62"/>
      <c r="CD301" s="62"/>
      <c r="CE301" s="62"/>
      <c r="CF301" s="62"/>
      <c r="CG301" s="62"/>
      <c r="CH301" s="62"/>
      <c r="CI301" s="62"/>
      <c r="CJ301" s="62"/>
      <c r="CK301" s="62"/>
      <c r="CL301" s="62"/>
      <c r="CM301" s="62"/>
      <c r="CN301" s="62"/>
      <c r="CO301" s="62"/>
      <c r="CP301" s="62"/>
      <c r="CQ301" s="62"/>
      <c r="CR301" s="62"/>
      <c r="CS301" s="62"/>
      <c r="CT301" s="62"/>
      <c r="CU301" s="62"/>
      <c r="CV301" s="62"/>
      <c r="CW301" s="62"/>
      <c r="CX301" s="62"/>
      <c r="CY301" s="62"/>
      <c r="CZ301" s="62"/>
      <c r="DA301" s="62"/>
      <c r="DB301" s="62"/>
      <c r="DC301" s="62"/>
      <c r="DD301" s="62"/>
      <c r="DE301" s="62"/>
      <c r="DF301" s="62"/>
      <c r="DG301" s="62"/>
      <c r="DH301" s="62"/>
      <c r="DI301" s="62"/>
      <c r="DJ301" s="62"/>
      <c r="DK301" s="62"/>
      <c r="DL301" s="62"/>
      <c r="DM301" s="62"/>
      <c r="DN301" s="62"/>
      <c r="DO301" s="62"/>
      <c r="DP301" s="62"/>
      <c r="DQ301" s="62"/>
      <c r="DR301" s="62"/>
      <c r="DS301" s="62"/>
      <c r="DT301" s="62"/>
      <c r="DU301" s="62"/>
      <c r="DV301" s="62"/>
      <c r="DW301" s="62"/>
      <c r="DX301" s="62"/>
      <c r="DY301" s="62"/>
      <c r="DZ301" s="62"/>
      <c r="EA301" s="62"/>
      <c r="EB301" s="62"/>
      <c r="EC301" s="62"/>
      <c r="ED301" s="62"/>
      <c r="EE301" s="62"/>
      <c r="EF301" s="62"/>
      <c r="EG301" s="62"/>
      <c r="EH301" s="62"/>
      <c r="EI301" s="62"/>
      <c r="EJ301" s="62"/>
      <c r="EK301" s="62"/>
      <c r="EL301" s="62"/>
      <c r="EM301" s="62"/>
      <c r="EN301" s="62"/>
      <c r="EO301" s="62"/>
      <c r="EP301" s="62"/>
      <c r="EQ301" s="62"/>
      <c r="ER301" s="62"/>
      <c r="ES301" s="62"/>
      <c r="ET301" s="62"/>
      <c r="EU301" s="62"/>
      <c r="EV301" s="62"/>
      <c r="EW301" s="62"/>
      <c r="EX301" s="62"/>
      <c r="EY301" s="62"/>
      <c r="EZ301" s="62"/>
      <c r="FA301" s="62"/>
      <c r="FB301" s="62"/>
      <c r="FC301" s="62"/>
      <c r="FD301" s="62"/>
      <c r="FE301" s="62"/>
      <c r="FF301" s="62"/>
      <c r="FG301" s="62"/>
      <c r="FH301" s="62"/>
      <c r="FI301" s="62"/>
      <c r="FJ301" s="62"/>
      <c r="FK301" s="62"/>
      <c r="FL301" s="62"/>
      <c r="FM301" s="62"/>
      <c r="FN301" s="62"/>
      <c r="FO301" s="62"/>
      <c r="FP301" s="62"/>
      <c r="FQ301" s="62"/>
      <c r="FR301" s="62"/>
      <c r="FS301" s="62"/>
      <c r="FT301" s="62"/>
      <c r="FU301" s="62"/>
      <c r="FV301" s="62"/>
    </row>
    <row r="302" spans="1:178" ht="13.8">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c r="AY302" s="62"/>
      <c r="AZ302" s="62"/>
      <c r="BA302" s="62"/>
      <c r="BB302" s="62"/>
      <c r="BC302" s="62"/>
      <c r="BD302" s="62"/>
      <c r="BE302" s="62"/>
      <c r="BF302" s="62"/>
      <c r="BG302" s="62"/>
      <c r="BH302" s="62"/>
      <c r="BI302" s="62"/>
      <c r="BJ302" s="62"/>
      <c r="BK302" s="62"/>
      <c r="BL302" s="62"/>
      <c r="BM302" s="62"/>
      <c r="BN302" s="62"/>
      <c r="BO302" s="62"/>
      <c r="BP302" s="62"/>
      <c r="BQ302" s="62"/>
      <c r="BR302" s="62"/>
      <c r="BS302" s="62"/>
      <c r="BT302" s="62"/>
      <c r="BU302" s="62"/>
      <c r="BV302" s="62"/>
      <c r="BW302" s="62"/>
      <c r="BX302" s="62"/>
      <c r="BY302" s="62"/>
      <c r="BZ302" s="62"/>
      <c r="CA302" s="62"/>
      <c r="CB302" s="62"/>
      <c r="CC302" s="62"/>
      <c r="CD302" s="62"/>
      <c r="CE302" s="62"/>
      <c r="CF302" s="62"/>
      <c r="CG302" s="62"/>
      <c r="CH302" s="62"/>
      <c r="CI302" s="62"/>
      <c r="CJ302" s="62"/>
      <c r="CK302" s="62"/>
      <c r="CL302" s="62"/>
      <c r="CM302" s="62"/>
      <c r="CN302" s="62"/>
      <c r="CO302" s="62"/>
      <c r="CP302" s="62"/>
      <c r="CQ302" s="62"/>
      <c r="CR302" s="62"/>
      <c r="CS302" s="62"/>
      <c r="CT302" s="62"/>
      <c r="CU302" s="62"/>
      <c r="CV302" s="62"/>
      <c r="CW302" s="62"/>
      <c r="CX302" s="62"/>
      <c r="CY302" s="62"/>
      <c r="CZ302" s="62"/>
      <c r="DA302" s="62"/>
      <c r="DB302" s="62"/>
      <c r="DC302" s="62"/>
      <c r="DD302" s="62"/>
      <c r="DE302" s="62"/>
      <c r="DF302" s="62"/>
      <c r="DG302" s="62"/>
      <c r="DH302" s="62"/>
      <c r="DI302" s="62"/>
      <c r="DJ302" s="62"/>
      <c r="DK302" s="62"/>
      <c r="DL302" s="62"/>
      <c r="DM302" s="62"/>
      <c r="DN302" s="62"/>
      <c r="DO302" s="62"/>
      <c r="DP302" s="62"/>
      <c r="DQ302" s="62"/>
      <c r="DR302" s="62"/>
      <c r="DS302" s="62"/>
      <c r="DT302" s="62"/>
      <c r="DU302" s="62"/>
      <c r="DV302" s="62"/>
      <c r="DW302" s="62"/>
      <c r="DX302" s="62"/>
      <c r="DY302" s="62"/>
      <c r="DZ302" s="62"/>
      <c r="EA302" s="62"/>
      <c r="EB302" s="62"/>
      <c r="EC302" s="62"/>
      <c r="ED302" s="62"/>
      <c r="EE302" s="62"/>
      <c r="EF302" s="62"/>
      <c r="EG302" s="62"/>
      <c r="EH302" s="62"/>
      <c r="EI302" s="62"/>
      <c r="EJ302" s="62"/>
      <c r="EK302" s="62"/>
      <c r="EL302" s="62"/>
      <c r="EM302" s="62"/>
      <c r="EN302" s="62"/>
      <c r="EO302" s="62"/>
      <c r="EP302" s="62"/>
      <c r="EQ302" s="62"/>
      <c r="ER302" s="62"/>
      <c r="ES302" s="62"/>
      <c r="ET302" s="62"/>
      <c r="EU302" s="62"/>
      <c r="EV302" s="62"/>
      <c r="EW302" s="62"/>
      <c r="EX302" s="62"/>
      <c r="EY302" s="62"/>
      <c r="EZ302" s="62"/>
      <c r="FA302" s="62"/>
      <c r="FB302" s="62"/>
      <c r="FC302" s="62"/>
      <c r="FD302" s="62"/>
      <c r="FE302" s="62"/>
      <c r="FF302" s="62"/>
      <c r="FG302" s="62"/>
      <c r="FH302" s="62"/>
      <c r="FI302" s="62"/>
      <c r="FJ302" s="62"/>
      <c r="FK302" s="62"/>
      <c r="FL302" s="62"/>
      <c r="FM302" s="62"/>
      <c r="FN302" s="62"/>
      <c r="FO302" s="62"/>
      <c r="FP302" s="62"/>
      <c r="FQ302" s="62"/>
      <c r="FR302" s="62"/>
      <c r="FS302" s="62"/>
      <c r="FT302" s="62"/>
      <c r="FU302" s="62"/>
      <c r="FV302" s="62"/>
    </row>
    <row r="303" spans="1:178" ht="13.8">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62"/>
      <c r="AZ303" s="62"/>
      <c r="BA303" s="62"/>
      <c r="BB303" s="62"/>
      <c r="BC303" s="62"/>
      <c r="BD303" s="62"/>
      <c r="BE303" s="62"/>
      <c r="BF303" s="62"/>
      <c r="BG303" s="62"/>
      <c r="BH303" s="62"/>
      <c r="BI303" s="62"/>
      <c r="BJ303" s="62"/>
      <c r="BK303" s="62"/>
      <c r="BL303" s="62"/>
      <c r="BM303" s="62"/>
      <c r="BN303" s="62"/>
      <c r="BO303" s="62"/>
      <c r="BP303" s="62"/>
      <c r="BQ303" s="62"/>
      <c r="BR303" s="62"/>
      <c r="BS303" s="62"/>
      <c r="BT303" s="62"/>
      <c r="BU303" s="62"/>
      <c r="BV303" s="62"/>
      <c r="BW303" s="62"/>
      <c r="BX303" s="62"/>
      <c r="BY303" s="62"/>
      <c r="BZ303" s="62"/>
      <c r="CA303" s="62"/>
      <c r="CB303" s="62"/>
      <c r="CC303" s="62"/>
      <c r="CD303" s="62"/>
      <c r="CE303" s="62"/>
      <c r="CF303" s="62"/>
      <c r="CG303" s="62"/>
      <c r="CH303" s="62"/>
      <c r="CI303" s="62"/>
      <c r="CJ303" s="62"/>
      <c r="CK303" s="62"/>
      <c r="CL303" s="62"/>
      <c r="CM303" s="62"/>
      <c r="CN303" s="62"/>
      <c r="CO303" s="62"/>
      <c r="CP303" s="62"/>
      <c r="CQ303" s="62"/>
      <c r="CR303" s="62"/>
      <c r="CS303" s="62"/>
      <c r="CT303" s="62"/>
      <c r="CU303" s="62"/>
      <c r="CV303" s="62"/>
      <c r="CW303" s="62"/>
      <c r="CX303" s="62"/>
      <c r="CY303" s="62"/>
      <c r="CZ303" s="62"/>
      <c r="DA303" s="62"/>
      <c r="DB303" s="62"/>
      <c r="DC303" s="62"/>
      <c r="DD303" s="62"/>
      <c r="DE303" s="62"/>
      <c r="DF303" s="62"/>
      <c r="DG303" s="62"/>
      <c r="DH303" s="62"/>
      <c r="DI303" s="62"/>
      <c r="DJ303" s="62"/>
      <c r="DK303" s="62"/>
      <c r="DL303" s="62"/>
      <c r="DM303" s="62"/>
      <c r="DN303" s="62"/>
      <c r="DO303" s="62"/>
      <c r="DP303" s="62"/>
      <c r="DQ303" s="62"/>
      <c r="DR303" s="62"/>
      <c r="DS303" s="62"/>
      <c r="DT303" s="62"/>
      <c r="DU303" s="62"/>
      <c r="DV303" s="62"/>
      <c r="DW303" s="62"/>
      <c r="DX303" s="62"/>
      <c r="DY303" s="62"/>
      <c r="DZ303" s="62"/>
      <c r="EA303" s="62"/>
      <c r="EB303" s="62"/>
      <c r="EC303" s="62"/>
      <c r="ED303" s="62"/>
      <c r="EE303" s="62"/>
      <c r="EF303" s="62"/>
      <c r="EG303" s="62"/>
      <c r="EH303" s="62"/>
      <c r="EI303" s="62"/>
      <c r="EJ303" s="62"/>
      <c r="EK303" s="62"/>
      <c r="EL303" s="62"/>
      <c r="EM303" s="62"/>
      <c r="EN303" s="62"/>
      <c r="EO303" s="62"/>
      <c r="EP303" s="62"/>
      <c r="EQ303" s="62"/>
      <c r="ER303" s="62"/>
      <c r="ES303" s="62"/>
      <c r="ET303" s="62"/>
      <c r="EU303" s="62"/>
      <c r="EV303" s="62"/>
      <c r="EW303" s="62"/>
      <c r="EX303" s="62"/>
      <c r="EY303" s="62"/>
      <c r="EZ303" s="62"/>
      <c r="FA303" s="62"/>
      <c r="FB303" s="62"/>
      <c r="FC303" s="62"/>
      <c r="FD303" s="62"/>
      <c r="FE303" s="62"/>
      <c r="FF303" s="62"/>
      <c r="FG303" s="62"/>
      <c r="FH303" s="62"/>
      <c r="FI303" s="62"/>
      <c r="FJ303" s="62"/>
      <c r="FK303" s="62"/>
      <c r="FL303" s="62"/>
      <c r="FM303" s="62"/>
      <c r="FN303" s="62"/>
      <c r="FO303" s="62"/>
      <c r="FP303" s="62"/>
      <c r="FQ303" s="62"/>
      <c r="FR303" s="62"/>
      <c r="FS303" s="62"/>
      <c r="FT303" s="62"/>
      <c r="FU303" s="62"/>
      <c r="FV303" s="62"/>
    </row>
    <row r="304" spans="1:178" ht="13.8">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c r="AY304" s="62"/>
      <c r="AZ304" s="62"/>
      <c r="BA304" s="62"/>
      <c r="BB304" s="62"/>
      <c r="BC304" s="62"/>
      <c r="BD304" s="62"/>
      <c r="BE304" s="62"/>
      <c r="BF304" s="62"/>
      <c r="BG304" s="62"/>
      <c r="BH304" s="62"/>
      <c r="BI304" s="62"/>
      <c r="BJ304" s="62"/>
      <c r="BK304" s="62"/>
      <c r="BL304" s="62"/>
      <c r="BM304" s="62"/>
      <c r="BN304" s="62"/>
      <c r="BO304" s="62"/>
      <c r="BP304" s="62"/>
      <c r="BQ304" s="62"/>
      <c r="BR304" s="62"/>
      <c r="BS304" s="62"/>
      <c r="BT304" s="62"/>
      <c r="BU304" s="62"/>
      <c r="BV304" s="62"/>
      <c r="BW304" s="62"/>
      <c r="BX304" s="62"/>
      <c r="BY304" s="62"/>
      <c r="BZ304" s="62"/>
      <c r="CA304" s="62"/>
      <c r="CB304" s="62"/>
      <c r="CC304" s="62"/>
      <c r="CD304" s="62"/>
      <c r="CE304" s="62"/>
      <c r="CF304" s="62"/>
      <c r="CG304" s="62"/>
      <c r="CH304" s="62"/>
      <c r="CI304" s="62"/>
      <c r="CJ304" s="62"/>
      <c r="CK304" s="62"/>
      <c r="CL304" s="62"/>
      <c r="CM304" s="62"/>
      <c r="CN304" s="62"/>
      <c r="CO304" s="62"/>
      <c r="CP304" s="62"/>
      <c r="CQ304" s="62"/>
      <c r="CR304" s="62"/>
      <c r="CS304" s="62"/>
      <c r="CT304" s="62"/>
      <c r="CU304" s="62"/>
      <c r="CV304" s="62"/>
      <c r="CW304" s="62"/>
      <c r="CX304" s="62"/>
      <c r="CY304" s="62"/>
      <c r="CZ304" s="62"/>
      <c r="DA304" s="62"/>
      <c r="DB304" s="62"/>
      <c r="DC304" s="62"/>
      <c r="DD304" s="62"/>
      <c r="DE304" s="62"/>
      <c r="DF304" s="62"/>
      <c r="DG304" s="62"/>
      <c r="DH304" s="62"/>
      <c r="DI304" s="62"/>
      <c r="DJ304" s="62"/>
      <c r="DK304" s="62"/>
      <c r="DL304" s="62"/>
      <c r="DM304" s="62"/>
      <c r="DN304" s="62"/>
      <c r="DO304" s="62"/>
      <c r="DP304" s="62"/>
      <c r="DQ304" s="62"/>
      <c r="DR304" s="62"/>
      <c r="DS304" s="62"/>
      <c r="DT304" s="62"/>
      <c r="DU304" s="62"/>
      <c r="DV304" s="62"/>
      <c r="DW304" s="62"/>
      <c r="DX304" s="62"/>
      <c r="DY304" s="62"/>
      <c r="DZ304" s="62"/>
      <c r="EA304" s="62"/>
      <c r="EB304" s="62"/>
      <c r="EC304" s="62"/>
      <c r="ED304" s="62"/>
      <c r="EE304" s="62"/>
      <c r="EF304" s="62"/>
      <c r="EG304" s="62"/>
      <c r="EH304" s="62"/>
      <c r="EI304" s="62"/>
      <c r="EJ304" s="62"/>
      <c r="EK304" s="62"/>
      <c r="EL304" s="62"/>
      <c r="EM304" s="62"/>
      <c r="EN304" s="62"/>
      <c r="EO304" s="62"/>
      <c r="EP304" s="62"/>
      <c r="EQ304" s="62"/>
      <c r="ER304" s="62"/>
      <c r="ES304" s="62"/>
      <c r="ET304" s="62"/>
      <c r="EU304" s="62"/>
      <c r="EV304" s="62"/>
      <c r="EW304" s="62"/>
      <c r="EX304" s="62"/>
      <c r="EY304" s="62"/>
      <c r="EZ304" s="62"/>
      <c r="FA304" s="62"/>
      <c r="FB304" s="62"/>
      <c r="FC304" s="62"/>
      <c r="FD304" s="62"/>
      <c r="FE304" s="62"/>
      <c r="FF304" s="62"/>
      <c r="FG304" s="62"/>
      <c r="FH304" s="62"/>
      <c r="FI304" s="62"/>
      <c r="FJ304" s="62"/>
      <c r="FK304" s="62"/>
      <c r="FL304" s="62"/>
      <c r="FM304" s="62"/>
      <c r="FN304" s="62"/>
      <c r="FO304" s="62"/>
      <c r="FP304" s="62"/>
      <c r="FQ304" s="62"/>
      <c r="FR304" s="62"/>
      <c r="FS304" s="62"/>
      <c r="FT304" s="62"/>
      <c r="FU304" s="62"/>
      <c r="FV304" s="62"/>
    </row>
    <row r="305" spans="1:178" ht="13.8">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62"/>
      <c r="BD305" s="62"/>
      <c r="BE305" s="62"/>
      <c r="BF305" s="62"/>
      <c r="BG305" s="62"/>
      <c r="BH305" s="62"/>
      <c r="BI305" s="62"/>
      <c r="BJ305" s="62"/>
      <c r="BK305" s="62"/>
      <c r="BL305" s="62"/>
      <c r="BM305" s="62"/>
      <c r="BN305" s="62"/>
      <c r="BO305" s="62"/>
      <c r="BP305" s="62"/>
      <c r="BQ305" s="62"/>
      <c r="BR305" s="62"/>
      <c r="BS305" s="62"/>
      <c r="BT305" s="62"/>
      <c r="BU305" s="62"/>
      <c r="BV305" s="62"/>
      <c r="BW305" s="62"/>
      <c r="BX305" s="62"/>
      <c r="BY305" s="62"/>
      <c r="BZ305" s="62"/>
      <c r="CA305" s="62"/>
      <c r="CB305" s="62"/>
      <c r="CC305" s="62"/>
      <c r="CD305" s="62"/>
      <c r="CE305" s="62"/>
      <c r="CF305" s="62"/>
      <c r="CG305" s="62"/>
      <c r="CH305" s="62"/>
      <c r="CI305" s="62"/>
      <c r="CJ305" s="62"/>
      <c r="CK305" s="62"/>
      <c r="CL305" s="62"/>
      <c r="CM305" s="62"/>
      <c r="CN305" s="62"/>
      <c r="CO305" s="62"/>
      <c r="CP305" s="62"/>
      <c r="CQ305" s="62"/>
      <c r="CR305" s="62"/>
      <c r="CS305" s="62"/>
      <c r="CT305" s="62"/>
      <c r="CU305" s="62"/>
      <c r="CV305" s="62"/>
      <c r="CW305" s="62"/>
      <c r="CX305" s="62"/>
      <c r="CY305" s="62"/>
      <c r="CZ305" s="62"/>
      <c r="DA305" s="62"/>
      <c r="DB305" s="62"/>
      <c r="DC305" s="62"/>
      <c r="DD305" s="62"/>
      <c r="DE305" s="62"/>
      <c r="DF305" s="62"/>
      <c r="DG305" s="62"/>
      <c r="DH305" s="62"/>
      <c r="DI305" s="62"/>
      <c r="DJ305" s="62"/>
      <c r="DK305" s="62"/>
      <c r="DL305" s="62"/>
      <c r="DM305" s="62"/>
      <c r="DN305" s="62"/>
      <c r="DO305" s="62"/>
      <c r="DP305" s="62"/>
      <c r="DQ305" s="62"/>
      <c r="DR305" s="62"/>
      <c r="DS305" s="62"/>
      <c r="DT305" s="62"/>
      <c r="DU305" s="62"/>
      <c r="DV305" s="62"/>
      <c r="DW305" s="62"/>
      <c r="DX305" s="62"/>
      <c r="DY305" s="62"/>
      <c r="DZ305" s="62"/>
      <c r="EA305" s="62"/>
      <c r="EB305" s="62"/>
      <c r="EC305" s="62"/>
      <c r="ED305" s="62"/>
      <c r="EE305" s="62"/>
      <c r="EF305" s="62"/>
      <c r="EG305" s="62"/>
      <c r="EH305" s="62"/>
      <c r="EI305" s="62"/>
      <c r="EJ305" s="62"/>
      <c r="EK305" s="62"/>
      <c r="EL305" s="62"/>
      <c r="EM305" s="62"/>
      <c r="EN305" s="62"/>
      <c r="EO305" s="62"/>
      <c r="EP305" s="62"/>
      <c r="EQ305" s="62"/>
      <c r="ER305" s="62"/>
      <c r="ES305" s="62"/>
      <c r="ET305" s="62"/>
      <c r="EU305" s="62"/>
      <c r="EV305" s="62"/>
      <c r="EW305" s="62"/>
      <c r="EX305" s="62"/>
      <c r="EY305" s="62"/>
      <c r="EZ305" s="62"/>
      <c r="FA305" s="62"/>
      <c r="FB305" s="62"/>
      <c r="FC305" s="62"/>
      <c r="FD305" s="62"/>
      <c r="FE305" s="62"/>
      <c r="FF305" s="62"/>
      <c r="FG305" s="62"/>
      <c r="FH305" s="62"/>
      <c r="FI305" s="62"/>
      <c r="FJ305" s="62"/>
      <c r="FK305" s="62"/>
      <c r="FL305" s="62"/>
      <c r="FM305" s="62"/>
      <c r="FN305" s="62"/>
      <c r="FO305" s="62"/>
      <c r="FP305" s="62"/>
      <c r="FQ305" s="62"/>
      <c r="FR305" s="62"/>
      <c r="FS305" s="62"/>
      <c r="FT305" s="62"/>
      <c r="FU305" s="62"/>
      <c r="FV305" s="62"/>
    </row>
    <row r="306" spans="1:178" ht="13.8">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c r="AY306" s="62"/>
      <c r="AZ306" s="62"/>
      <c r="BA306" s="62"/>
      <c r="BB306" s="62"/>
      <c r="BC306" s="62"/>
      <c r="BD306" s="62"/>
      <c r="BE306" s="62"/>
      <c r="BF306" s="62"/>
      <c r="BG306" s="62"/>
      <c r="BH306" s="62"/>
      <c r="BI306" s="62"/>
      <c r="BJ306" s="62"/>
      <c r="BK306" s="62"/>
      <c r="BL306" s="62"/>
      <c r="BM306" s="62"/>
      <c r="BN306" s="62"/>
      <c r="BO306" s="62"/>
      <c r="BP306" s="62"/>
      <c r="BQ306" s="62"/>
      <c r="BR306" s="62"/>
      <c r="BS306" s="62"/>
      <c r="BT306" s="62"/>
      <c r="BU306" s="62"/>
      <c r="BV306" s="62"/>
      <c r="BW306" s="62"/>
      <c r="BX306" s="62"/>
      <c r="BY306" s="62"/>
      <c r="BZ306" s="62"/>
      <c r="CA306" s="62"/>
      <c r="CB306" s="62"/>
      <c r="CC306" s="62"/>
      <c r="CD306" s="62"/>
      <c r="CE306" s="62"/>
      <c r="CF306" s="62"/>
      <c r="CG306" s="62"/>
      <c r="CH306" s="62"/>
      <c r="CI306" s="62"/>
      <c r="CJ306" s="62"/>
      <c r="CK306" s="62"/>
      <c r="CL306" s="62"/>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c r="DO306" s="62"/>
      <c r="DP306" s="62"/>
      <c r="DQ306" s="62"/>
      <c r="DR306" s="62"/>
      <c r="DS306" s="62"/>
      <c r="DT306" s="62"/>
      <c r="DU306" s="62"/>
      <c r="DV306" s="62"/>
      <c r="DW306" s="62"/>
      <c r="DX306" s="62"/>
      <c r="DY306" s="62"/>
      <c r="DZ306" s="62"/>
      <c r="EA306" s="62"/>
      <c r="EB306" s="62"/>
      <c r="EC306" s="62"/>
      <c r="ED306" s="62"/>
      <c r="EE306" s="62"/>
      <c r="EF306" s="62"/>
      <c r="EG306" s="62"/>
      <c r="EH306" s="62"/>
      <c r="EI306" s="62"/>
      <c r="EJ306" s="62"/>
      <c r="EK306" s="62"/>
      <c r="EL306" s="62"/>
      <c r="EM306" s="62"/>
      <c r="EN306" s="62"/>
      <c r="EO306" s="62"/>
      <c r="EP306" s="62"/>
      <c r="EQ306" s="62"/>
      <c r="ER306" s="62"/>
      <c r="ES306" s="62"/>
      <c r="ET306" s="62"/>
      <c r="EU306" s="62"/>
      <c r="EV306" s="62"/>
      <c r="EW306" s="62"/>
      <c r="EX306" s="62"/>
      <c r="EY306" s="62"/>
      <c r="EZ306" s="62"/>
      <c r="FA306" s="62"/>
      <c r="FB306" s="62"/>
      <c r="FC306" s="62"/>
      <c r="FD306" s="62"/>
      <c r="FE306" s="62"/>
      <c r="FF306" s="62"/>
      <c r="FG306" s="62"/>
      <c r="FH306" s="62"/>
      <c r="FI306" s="62"/>
      <c r="FJ306" s="62"/>
      <c r="FK306" s="62"/>
      <c r="FL306" s="62"/>
      <c r="FM306" s="62"/>
      <c r="FN306" s="62"/>
      <c r="FO306" s="62"/>
      <c r="FP306" s="62"/>
      <c r="FQ306" s="62"/>
      <c r="FR306" s="62"/>
      <c r="FS306" s="62"/>
      <c r="FT306" s="62"/>
      <c r="FU306" s="62"/>
      <c r="FV306" s="62"/>
    </row>
    <row r="307" spans="1:178" ht="13.8">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62"/>
      <c r="AZ307" s="62"/>
      <c r="BA307" s="62"/>
      <c r="BB307" s="62"/>
      <c r="BC307" s="62"/>
      <c r="BD307" s="62"/>
      <c r="BE307" s="62"/>
      <c r="BF307" s="62"/>
      <c r="BG307" s="62"/>
      <c r="BH307" s="62"/>
      <c r="BI307" s="62"/>
      <c r="BJ307" s="62"/>
      <c r="BK307" s="62"/>
      <c r="BL307" s="62"/>
      <c r="BM307" s="62"/>
      <c r="BN307" s="62"/>
      <c r="BO307" s="62"/>
      <c r="BP307" s="62"/>
      <c r="BQ307" s="62"/>
      <c r="BR307" s="62"/>
      <c r="BS307" s="62"/>
      <c r="BT307" s="62"/>
      <c r="BU307" s="62"/>
      <c r="BV307" s="62"/>
      <c r="BW307" s="62"/>
      <c r="BX307" s="62"/>
      <c r="BY307" s="62"/>
      <c r="BZ307" s="62"/>
      <c r="CA307" s="62"/>
      <c r="CB307" s="62"/>
      <c r="CC307" s="62"/>
      <c r="CD307" s="62"/>
      <c r="CE307" s="62"/>
      <c r="CF307" s="62"/>
      <c r="CG307" s="62"/>
      <c r="CH307" s="62"/>
      <c r="CI307" s="62"/>
      <c r="CJ307" s="62"/>
      <c r="CK307" s="62"/>
      <c r="CL307" s="62"/>
      <c r="CM307" s="62"/>
      <c r="CN307" s="62"/>
      <c r="CO307" s="62"/>
      <c r="CP307" s="62"/>
      <c r="CQ307" s="62"/>
      <c r="CR307" s="62"/>
      <c r="CS307" s="62"/>
      <c r="CT307" s="62"/>
      <c r="CU307" s="62"/>
      <c r="CV307" s="62"/>
      <c r="CW307" s="62"/>
      <c r="CX307" s="62"/>
      <c r="CY307" s="62"/>
      <c r="CZ307" s="62"/>
      <c r="DA307" s="62"/>
      <c r="DB307" s="62"/>
      <c r="DC307" s="62"/>
      <c r="DD307" s="62"/>
      <c r="DE307" s="62"/>
      <c r="DF307" s="62"/>
      <c r="DG307" s="62"/>
      <c r="DH307" s="62"/>
      <c r="DI307" s="62"/>
      <c r="DJ307" s="62"/>
      <c r="DK307" s="62"/>
      <c r="DL307" s="62"/>
      <c r="DM307" s="62"/>
      <c r="DN307" s="62"/>
      <c r="DO307" s="62"/>
      <c r="DP307" s="62"/>
      <c r="DQ307" s="62"/>
      <c r="DR307" s="62"/>
      <c r="DS307" s="62"/>
      <c r="DT307" s="62"/>
      <c r="DU307" s="62"/>
      <c r="DV307" s="62"/>
      <c r="DW307" s="62"/>
      <c r="DX307" s="62"/>
      <c r="DY307" s="62"/>
      <c r="DZ307" s="62"/>
      <c r="EA307" s="62"/>
      <c r="EB307" s="62"/>
      <c r="EC307" s="62"/>
      <c r="ED307" s="62"/>
      <c r="EE307" s="62"/>
      <c r="EF307" s="62"/>
      <c r="EG307" s="62"/>
      <c r="EH307" s="62"/>
      <c r="EI307" s="62"/>
      <c r="EJ307" s="62"/>
      <c r="EK307" s="62"/>
      <c r="EL307" s="62"/>
      <c r="EM307" s="62"/>
      <c r="EN307" s="62"/>
      <c r="EO307" s="62"/>
      <c r="EP307" s="62"/>
      <c r="EQ307" s="62"/>
      <c r="ER307" s="62"/>
      <c r="ES307" s="62"/>
      <c r="ET307" s="62"/>
      <c r="EU307" s="62"/>
      <c r="EV307" s="62"/>
      <c r="EW307" s="62"/>
      <c r="EX307" s="62"/>
      <c r="EY307" s="62"/>
      <c r="EZ307" s="62"/>
      <c r="FA307" s="62"/>
      <c r="FB307" s="62"/>
      <c r="FC307" s="62"/>
      <c r="FD307" s="62"/>
      <c r="FE307" s="62"/>
      <c r="FF307" s="62"/>
      <c r="FG307" s="62"/>
      <c r="FH307" s="62"/>
      <c r="FI307" s="62"/>
      <c r="FJ307" s="62"/>
      <c r="FK307" s="62"/>
      <c r="FL307" s="62"/>
      <c r="FM307" s="62"/>
      <c r="FN307" s="62"/>
      <c r="FO307" s="62"/>
      <c r="FP307" s="62"/>
      <c r="FQ307" s="62"/>
      <c r="FR307" s="62"/>
      <c r="FS307" s="62"/>
      <c r="FT307" s="62"/>
      <c r="FU307" s="62"/>
      <c r="FV307" s="62"/>
    </row>
    <row r="308" spans="1:178" ht="13.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2"/>
      <c r="BI308" s="62"/>
      <c r="BJ308" s="62"/>
      <c r="BK308" s="62"/>
      <c r="BL308" s="62"/>
      <c r="BM308" s="62"/>
      <c r="BN308" s="62"/>
      <c r="BO308" s="62"/>
      <c r="BP308" s="62"/>
      <c r="BQ308" s="62"/>
      <c r="BR308" s="62"/>
      <c r="BS308" s="62"/>
      <c r="BT308" s="62"/>
      <c r="BU308" s="62"/>
      <c r="BV308" s="62"/>
      <c r="BW308" s="62"/>
      <c r="BX308" s="62"/>
      <c r="BY308" s="62"/>
      <c r="BZ308" s="62"/>
      <c r="CA308" s="62"/>
      <c r="CB308" s="62"/>
      <c r="CC308" s="62"/>
      <c r="CD308" s="62"/>
      <c r="CE308" s="62"/>
      <c r="CF308" s="62"/>
      <c r="CG308" s="62"/>
      <c r="CH308" s="62"/>
      <c r="CI308" s="62"/>
      <c r="CJ308" s="62"/>
      <c r="CK308" s="62"/>
      <c r="CL308" s="62"/>
      <c r="CM308" s="62"/>
      <c r="CN308" s="62"/>
      <c r="CO308" s="62"/>
      <c r="CP308" s="62"/>
      <c r="CQ308" s="62"/>
      <c r="CR308" s="62"/>
      <c r="CS308" s="62"/>
      <c r="CT308" s="62"/>
      <c r="CU308" s="62"/>
      <c r="CV308" s="62"/>
      <c r="CW308" s="62"/>
      <c r="CX308" s="62"/>
      <c r="CY308" s="62"/>
      <c r="CZ308" s="62"/>
      <c r="DA308" s="62"/>
      <c r="DB308" s="62"/>
      <c r="DC308" s="62"/>
      <c r="DD308" s="62"/>
      <c r="DE308" s="62"/>
      <c r="DF308" s="62"/>
      <c r="DG308" s="62"/>
      <c r="DH308" s="62"/>
      <c r="DI308" s="62"/>
      <c r="DJ308" s="62"/>
      <c r="DK308" s="62"/>
      <c r="DL308" s="62"/>
      <c r="DM308" s="62"/>
      <c r="DN308" s="62"/>
      <c r="DO308" s="62"/>
      <c r="DP308" s="62"/>
      <c r="DQ308" s="62"/>
      <c r="DR308" s="62"/>
      <c r="DS308" s="62"/>
      <c r="DT308" s="62"/>
      <c r="DU308" s="62"/>
      <c r="DV308" s="62"/>
      <c r="DW308" s="62"/>
      <c r="DX308" s="62"/>
      <c r="DY308" s="62"/>
      <c r="DZ308" s="62"/>
      <c r="EA308" s="62"/>
      <c r="EB308" s="62"/>
      <c r="EC308" s="62"/>
      <c r="ED308" s="62"/>
      <c r="EE308" s="62"/>
      <c r="EF308" s="62"/>
      <c r="EG308" s="62"/>
      <c r="EH308" s="62"/>
      <c r="EI308" s="62"/>
      <c r="EJ308" s="62"/>
      <c r="EK308" s="62"/>
      <c r="EL308" s="62"/>
      <c r="EM308" s="62"/>
      <c r="EN308" s="62"/>
      <c r="EO308" s="62"/>
      <c r="EP308" s="62"/>
      <c r="EQ308" s="62"/>
      <c r="ER308" s="62"/>
      <c r="ES308" s="62"/>
      <c r="ET308" s="62"/>
      <c r="EU308" s="62"/>
      <c r="EV308" s="62"/>
      <c r="EW308" s="62"/>
      <c r="EX308" s="62"/>
      <c r="EY308" s="62"/>
      <c r="EZ308" s="62"/>
      <c r="FA308" s="62"/>
      <c r="FB308" s="62"/>
      <c r="FC308" s="62"/>
      <c r="FD308" s="62"/>
      <c r="FE308" s="62"/>
      <c r="FF308" s="62"/>
      <c r="FG308" s="62"/>
      <c r="FH308" s="62"/>
      <c r="FI308" s="62"/>
      <c r="FJ308" s="62"/>
      <c r="FK308" s="62"/>
      <c r="FL308" s="62"/>
      <c r="FM308" s="62"/>
      <c r="FN308" s="62"/>
      <c r="FO308" s="62"/>
      <c r="FP308" s="62"/>
      <c r="FQ308" s="62"/>
      <c r="FR308" s="62"/>
      <c r="FS308" s="62"/>
      <c r="FT308" s="62"/>
      <c r="FU308" s="62"/>
      <c r="FV308" s="62"/>
    </row>
    <row r="309" spans="1:178" ht="13.8">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c r="CC309" s="62"/>
      <c r="CD309" s="62"/>
      <c r="CE309" s="62"/>
      <c r="CF309" s="62"/>
      <c r="CG309" s="62"/>
      <c r="CH309" s="62"/>
      <c r="CI309" s="62"/>
      <c r="CJ309" s="62"/>
      <c r="CK309" s="62"/>
      <c r="CL309" s="62"/>
      <c r="CM309" s="62"/>
      <c r="CN309" s="62"/>
      <c r="CO309" s="62"/>
      <c r="CP309" s="62"/>
      <c r="CQ309" s="62"/>
      <c r="CR309" s="62"/>
      <c r="CS309" s="62"/>
      <c r="CT309" s="62"/>
      <c r="CU309" s="62"/>
      <c r="CV309" s="62"/>
      <c r="CW309" s="62"/>
      <c r="CX309" s="62"/>
      <c r="CY309" s="62"/>
      <c r="CZ309" s="62"/>
      <c r="DA309" s="62"/>
      <c r="DB309" s="62"/>
      <c r="DC309" s="62"/>
      <c r="DD309" s="62"/>
      <c r="DE309" s="62"/>
      <c r="DF309" s="62"/>
      <c r="DG309" s="62"/>
      <c r="DH309" s="62"/>
      <c r="DI309" s="62"/>
      <c r="DJ309" s="62"/>
      <c r="DK309" s="62"/>
      <c r="DL309" s="62"/>
      <c r="DM309" s="62"/>
      <c r="DN309" s="62"/>
      <c r="DO309" s="62"/>
      <c r="DP309" s="62"/>
      <c r="DQ309" s="62"/>
      <c r="DR309" s="62"/>
      <c r="DS309" s="62"/>
      <c r="DT309" s="62"/>
      <c r="DU309" s="62"/>
      <c r="DV309" s="62"/>
      <c r="DW309" s="62"/>
      <c r="DX309" s="62"/>
      <c r="DY309" s="62"/>
      <c r="DZ309" s="62"/>
      <c r="EA309" s="62"/>
      <c r="EB309" s="62"/>
      <c r="EC309" s="62"/>
      <c r="ED309" s="62"/>
      <c r="EE309" s="62"/>
      <c r="EF309" s="62"/>
      <c r="EG309" s="62"/>
      <c r="EH309" s="62"/>
      <c r="EI309" s="62"/>
      <c r="EJ309" s="62"/>
      <c r="EK309" s="62"/>
      <c r="EL309" s="62"/>
      <c r="EM309" s="62"/>
      <c r="EN309" s="62"/>
      <c r="EO309" s="62"/>
      <c r="EP309" s="62"/>
      <c r="EQ309" s="62"/>
      <c r="ER309" s="62"/>
      <c r="ES309" s="62"/>
      <c r="ET309" s="62"/>
      <c r="EU309" s="62"/>
      <c r="EV309" s="62"/>
      <c r="EW309" s="62"/>
      <c r="EX309" s="62"/>
      <c r="EY309" s="62"/>
      <c r="EZ309" s="62"/>
      <c r="FA309" s="62"/>
      <c r="FB309" s="62"/>
      <c r="FC309" s="62"/>
      <c r="FD309" s="62"/>
      <c r="FE309" s="62"/>
      <c r="FF309" s="62"/>
      <c r="FG309" s="62"/>
      <c r="FH309" s="62"/>
      <c r="FI309" s="62"/>
      <c r="FJ309" s="62"/>
      <c r="FK309" s="62"/>
      <c r="FL309" s="62"/>
      <c r="FM309" s="62"/>
      <c r="FN309" s="62"/>
      <c r="FO309" s="62"/>
      <c r="FP309" s="62"/>
      <c r="FQ309" s="62"/>
      <c r="FR309" s="62"/>
      <c r="FS309" s="62"/>
      <c r="FT309" s="62"/>
      <c r="FU309" s="62"/>
      <c r="FV309" s="62"/>
    </row>
    <row r="310" spans="1:178" ht="13.8">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62"/>
      <c r="BD310" s="62"/>
      <c r="BE310" s="62"/>
      <c r="BF310" s="62"/>
      <c r="BG310" s="62"/>
      <c r="BH310" s="62"/>
      <c r="BI310" s="62"/>
      <c r="BJ310" s="62"/>
      <c r="BK310" s="62"/>
      <c r="BL310" s="62"/>
      <c r="BM310" s="62"/>
      <c r="BN310" s="62"/>
      <c r="BO310" s="62"/>
      <c r="BP310" s="62"/>
      <c r="BQ310" s="62"/>
      <c r="BR310" s="62"/>
      <c r="BS310" s="62"/>
      <c r="BT310" s="62"/>
      <c r="BU310" s="62"/>
      <c r="BV310" s="62"/>
      <c r="BW310" s="62"/>
      <c r="BX310" s="62"/>
      <c r="BY310" s="62"/>
      <c r="BZ310" s="62"/>
      <c r="CA310" s="62"/>
      <c r="CB310" s="62"/>
      <c r="CC310" s="62"/>
      <c r="CD310" s="62"/>
      <c r="CE310" s="62"/>
      <c r="CF310" s="62"/>
      <c r="CG310" s="62"/>
      <c r="CH310" s="62"/>
      <c r="CI310" s="62"/>
      <c r="CJ310" s="62"/>
      <c r="CK310" s="62"/>
      <c r="CL310" s="62"/>
      <c r="CM310" s="62"/>
      <c r="CN310" s="62"/>
      <c r="CO310" s="62"/>
      <c r="CP310" s="62"/>
      <c r="CQ310" s="62"/>
      <c r="CR310" s="62"/>
      <c r="CS310" s="62"/>
      <c r="CT310" s="62"/>
      <c r="CU310" s="62"/>
      <c r="CV310" s="62"/>
      <c r="CW310" s="62"/>
      <c r="CX310" s="62"/>
      <c r="CY310" s="62"/>
      <c r="CZ310" s="62"/>
      <c r="DA310" s="62"/>
      <c r="DB310" s="62"/>
      <c r="DC310" s="62"/>
      <c r="DD310" s="62"/>
      <c r="DE310" s="62"/>
      <c r="DF310" s="62"/>
      <c r="DG310" s="62"/>
      <c r="DH310" s="62"/>
      <c r="DI310" s="62"/>
      <c r="DJ310" s="62"/>
      <c r="DK310" s="62"/>
      <c r="DL310" s="62"/>
      <c r="DM310" s="62"/>
      <c r="DN310" s="62"/>
      <c r="DO310" s="62"/>
      <c r="DP310" s="62"/>
      <c r="DQ310" s="62"/>
      <c r="DR310" s="62"/>
      <c r="DS310" s="62"/>
      <c r="DT310" s="62"/>
      <c r="DU310" s="62"/>
      <c r="DV310" s="62"/>
      <c r="DW310" s="62"/>
      <c r="DX310" s="62"/>
      <c r="DY310" s="62"/>
      <c r="DZ310" s="62"/>
      <c r="EA310" s="62"/>
      <c r="EB310" s="62"/>
      <c r="EC310" s="62"/>
      <c r="ED310" s="62"/>
      <c r="EE310" s="62"/>
      <c r="EF310" s="62"/>
      <c r="EG310" s="62"/>
      <c r="EH310" s="62"/>
      <c r="EI310" s="62"/>
      <c r="EJ310" s="62"/>
      <c r="EK310" s="62"/>
      <c r="EL310" s="62"/>
      <c r="EM310" s="62"/>
      <c r="EN310" s="62"/>
      <c r="EO310" s="62"/>
      <c r="EP310" s="62"/>
      <c r="EQ310" s="62"/>
      <c r="ER310" s="62"/>
      <c r="ES310" s="62"/>
      <c r="ET310" s="62"/>
      <c r="EU310" s="62"/>
      <c r="EV310" s="62"/>
      <c r="EW310" s="62"/>
      <c r="EX310" s="62"/>
      <c r="EY310" s="62"/>
      <c r="EZ310" s="62"/>
      <c r="FA310" s="62"/>
      <c r="FB310" s="62"/>
      <c r="FC310" s="62"/>
      <c r="FD310" s="62"/>
      <c r="FE310" s="62"/>
      <c r="FF310" s="62"/>
      <c r="FG310" s="62"/>
      <c r="FH310" s="62"/>
      <c r="FI310" s="62"/>
      <c r="FJ310" s="62"/>
      <c r="FK310" s="62"/>
      <c r="FL310" s="62"/>
      <c r="FM310" s="62"/>
      <c r="FN310" s="62"/>
      <c r="FO310" s="62"/>
      <c r="FP310" s="62"/>
      <c r="FQ310" s="62"/>
      <c r="FR310" s="62"/>
      <c r="FS310" s="62"/>
      <c r="FT310" s="62"/>
      <c r="FU310" s="62"/>
      <c r="FV310" s="62"/>
    </row>
    <row r="311" spans="1:178" ht="13.8">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c r="AT311" s="62"/>
      <c r="AU311" s="62"/>
      <c r="AV311" s="62"/>
      <c r="AW311" s="62"/>
      <c r="AX311" s="62"/>
      <c r="AY311" s="62"/>
      <c r="AZ311" s="62"/>
      <c r="BA311" s="62"/>
      <c r="BB311" s="62"/>
      <c r="BC311" s="62"/>
      <c r="BD311" s="62"/>
      <c r="BE311" s="62"/>
      <c r="BF311" s="62"/>
      <c r="BG311" s="62"/>
      <c r="BH311" s="62"/>
      <c r="BI311" s="62"/>
      <c r="BJ311" s="62"/>
      <c r="BK311" s="62"/>
      <c r="BL311" s="62"/>
      <c r="BM311" s="62"/>
      <c r="BN311" s="62"/>
      <c r="BO311" s="62"/>
      <c r="BP311" s="62"/>
      <c r="BQ311" s="62"/>
      <c r="BR311" s="62"/>
      <c r="BS311" s="62"/>
      <c r="BT311" s="62"/>
      <c r="BU311" s="62"/>
      <c r="BV311" s="62"/>
      <c r="BW311" s="62"/>
      <c r="BX311" s="62"/>
      <c r="BY311" s="62"/>
      <c r="BZ311" s="62"/>
      <c r="CA311" s="62"/>
      <c r="CB311" s="62"/>
      <c r="CC311" s="62"/>
      <c r="CD311" s="62"/>
      <c r="CE311" s="62"/>
      <c r="CF311" s="62"/>
      <c r="CG311" s="62"/>
      <c r="CH311" s="62"/>
      <c r="CI311" s="62"/>
      <c r="CJ311" s="62"/>
      <c r="CK311" s="62"/>
      <c r="CL311" s="62"/>
      <c r="CM311" s="62"/>
      <c r="CN311" s="62"/>
      <c r="CO311" s="62"/>
      <c r="CP311" s="62"/>
      <c r="CQ311" s="62"/>
      <c r="CR311" s="62"/>
      <c r="CS311" s="62"/>
      <c r="CT311" s="62"/>
      <c r="CU311" s="62"/>
      <c r="CV311" s="62"/>
      <c r="CW311" s="62"/>
      <c r="CX311" s="62"/>
      <c r="CY311" s="62"/>
      <c r="CZ311" s="62"/>
      <c r="DA311" s="62"/>
      <c r="DB311" s="62"/>
      <c r="DC311" s="62"/>
      <c r="DD311" s="62"/>
      <c r="DE311" s="62"/>
      <c r="DF311" s="62"/>
      <c r="DG311" s="62"/>
      <c r="DH311" s="62"/>
      <c r="DI311" s="62"/>
      <c r="DJ311" s="62"/>
      <c r="DK311" s="62"/>
      <c r="DL311" s="62"/>
      <c r="DM311" s="62"/>
      <c r="DN311" s="62"/>
      <c r="DO311" s="62"/>
      <c r="DP311" s="62"/>
      <c r="DQ311" s="62"/>
      <c r="DR311" s="62"/>
      <c r="DS311" s="62"/>
      <c r="DT311" s="62"/>
      <c r="DU311" s="62"/>
      <c r="DV311" s="62"/>
      <c r="DW311" s="62"/>
      <c r="DX311" s="62"/>
      <c r="DY311" s="62"/>
      <c r="DZ311" s="62"/>
      <c r="EA311" s="62"/>
      <c r="EB311" s="62"/>
      <c r="EC311" s="62"/>
      <c r="ED311" s="62"/>
      <c r="EE311" s="62"/>
      <c r="EF311" s="62"/>
      <c r="EG311" s="62"/>
      <c r="EH311" s="62"/>
      <c r="EI311" s="62"/>
      <c r="EJ311" s="62"/>
      <c r="EK311" s="62"/>
      <c r="EL311" s="62"/>
      <c r="EM311" s="62"/>
      <c r="EN311" s="62"/>
      <c r="EO311" s="62"/>
      <c r="EP311" s="62"/>
      <c r="EQ311" s="62"/>
      <c r="ER311" s="62"/>
      <c r="ES311" s="62"/>
      <c r="ET311" s="62"/>
      <c r="EU311" s="62"/>
      <c r="EV311" s="62"/>
      <c r="EW311" s="62"/>
      <c r="EX311" s="62"/>
      <c r="EY311" s="62"/>
      <c r="EZ311" s="62"/>
      <c r="FA311" s="62"/>
      <c r="FB311" s="62"/>
      <c r="FC311" s="62"/>
      <c r="FD311" s="62"/>
      <c r="FE311" s="62"/>
      <c r="FF311" s="62"/>
      <c r="FG311" s="62"/>
      <c r="FH311" s="62"/>
      <c r="FI311" s="62"/>
      <c r="FJ311" s="62"/>
      <c r="FK311" s="62"/>
      <c r="FL311" s="62"/>
      <c r="FM311" s="62"/>
      <c r="FN311" s="62"/>
      <c r="FO311" s="62"/>
      <c r="FP311" s="62"/>
      <c r="FQ311" s="62"/>
      <c r="FR311" s="62"/>
      <c r="FS311" s="62"/>
      <c r="FT311" s="62"/>
      <c r="FU311" s="62"/>
      <c r="FV311" s="62"/>
    </row>
    <row r="312" spans="1:178" ht="13.8">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62"/>
      <c r="AZ312" s="62"/>
      <c r="BA312" s="62"/>
      <c r="BB312" s="62"/>
      <c r="BC312" s="62"/>
      <c r="BD312" s="62"/>
      <c r="BE312" s="62"/>
      <c r="BF312" s="62"/>
      <c r="BG312" s="62"/>
      <c r="BH312" s="62"/>
      <c r="BI312" s="62"/>
      <c r="BJ312" s="62"/>
      <c r="BK312" s="62"/>
      <c r="BL312" s="62"/>
      <c r="BM312" s="62"/>
      <c r="BN312" s="62"/>
      <c r="BO312" s="62"/>
      <c r="BP312" s="62"/>
      <c r="BQ312" s="62"/>
      <c r="BR312" s="62"/>
      <c r="BS312" s="62"/>
      <c r="BT312" s="62"/>
      <c r="BU312" s="62"/>
      <c r="BV312" s="62"/>
      <c r="BW312" s="62"/>
      <c r="BX312" s="62"/>
      <c r="BY312" s="62"/>
      <c r="BZ312" s="62"/>
      <c r="CA312" s="62"/>
      <c r="CB312" s="62"/>
      <c r="CC312" s="62"/>
      <c r="CD312" s="62"/>
      <c r="CE312" s="62"/>
      <c r="CF312" s="62"/>
      <c r="CG312" s="62"/>
      <c r="CH312" s="62"/>
      <c r="CI312" s="62"/>
      <c r="CJ312" s="62"/>
      <c r="CK312" s="62"/>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62"/>
      <c r="DQ312" s="62"/>
      <c r="DR312" s="62"/>
      <c r="DS312" s="62"/>
      <c r="DT312" s="62"/>
      <c r="DU312" s="62"/>
      <c r="DV312" s="62"/>
      <c r="DW312" s="62"/>
      <c r="DX312" s="62"/>
      <c r="DY312" s="62"/>
      <c r="DZ312" s="62"/>
      <c r="EA312" s="62"/>
      <c r="EB312" s="62"/>
      <c r="EC312" s="62"/>
      <c r="ED312" s="62"/>
      <c r="EE312" s="62"/>
      <c r="EF312" s="62"/>
      <c r="EG312" s="62"/>
      <c r="EH312" s="62"/>
      <c r="EI312" s="62"/>
      <c r="EJ312" s="62"/>
      <c r="EK312" s="62"/>
      <c r="EL312" s="62"/>
      <c r="EM312" s="62"/>
      <c r="EN312" s="62"/>
      <c r="EO312" s="62"/>
      <c r="EP312" s="62"/>
      <c r="EQ312" s="62"/>
      <c r="ER312" s="62"/>
      <c r="ES312" s="62"/>
      <c r="ET312" s="62"/>
      <c r="EU312" s="62"/>
      <c r="EV312" s="62"/>
      <c r="EW312" s="62"/>
      <c r="EX312" s="62"/>
      <c r="EY312" s="62"/>
      <c r="EZ312" s="62"/>
      <c r="FA312" s="62"/>
      <c r="FB312" s="62"/>
      <c r="FC312" s="62"/>
      <c r="FD312" s="62"/>
      <c r="FE312" s="62"/>
      <c r="FF312" s="62"/>
      <c r="FG312" s="62"/>
      <c r="FH312" s="62"/>
      <c r="FI312" s="62"/>
      <c r="FJ312" s="62"/>
      <c r="FK312" s="62"/>
      <c r="FL312" s="62"/>
      <c r="FM312" s="62"/>
      <c r="FN312" s="62"/>
      <c r="FO312" s="62"/>
      <c r="FP312" s="62"/>
      <c r="FQ312" s="62"/>
      <c r="FR312" s="62"/>
      <c r="FS312" s="62"/>
      <c r="FT312" s="62"/>
      <c r="FU312" s="62"/>
      <c r="FV312" s="62"/>
    </row>
    <row r="313" spans="1:178" ht="13.8">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c r="AY313" s="62"/>
      <c r="AZ313" s="62"/>
      <c r="BA313" s="62"/>
      <c r="BB313" s="62"/>
      <c r="BC313" s="62"/>
      <c r="BD313" s="62"/>
      <c r="BE313" s="62"/>
      <c r="BF313" s="62"/>
      <c r="BG313" s="62"/>
      <c r="BH313" s="62"/>
      <c r="BI313" s="62"/>
      <c r="BJ313" s="62"/>
      <c r="BK313" s="62"/>
      <c r="BL313" s="62"/>
      <c r="BM313" s="62"/>
      <c r="BN313" s="62"/>
      <c r="BO313" s="62"/>
      <c r="BP313" s="62"/>
      <c r="BQ313" s="62"/>
      <c r="BR313" s="62"/>
      <c r="BS313" s="62"/>
      <c r="BT313" s="62"/>
      <c r="BU313" s="62"/>
      <c r="BV313" s="62"/>
      <c r="BW313" s="62"/>
      <c r="BX313" s="62"/>
      <c r="BY313" s="62"/>
      <c r="BZ313" s="62"/>
      <c r="CA313" s="62"/>
      <c r="CB313" s="62"/>
      <c r="CC313" s="62"/>
      <c r="CD313" s="62"/>
      <c r="CE313" s="62"/>
      <c r="CF313" s="62"/>
      <c r="CG313" s="62"/>
      <c r="CH313" s="62"/>
      <c r="CI313" s="62"/>
      <c r="CJ313" s="62"/>
      <c r="CK313" s="62"/>
      <c r="CL313" s="62"/>
      <c r="CM313" s="62"/>
      <c r="CN313" s="62"/>
      <c r="CO313" s="62"/>
      <c r="CP313" s="62"/>
      <c r="CQ313" s="62"/>
      <c r="CR313" s="62"/>
      <c r="CS313" s="62"/>
      <c r="CT313" s="62"/>
      <c r="CU313" s="62"/>
      <c r="CV313" s="62"/>
      <c r="CW313" s="62"/>
      <c r="CX313" s="62"/>
      <c r="CY313" s="62"/>
      <c r="CZ313" s="62"/>
      <c r="DA313" s="62"/>
      <c r="DB313" s="62"/>
      <c r="DC313" s="62"/>
      <c r="DD313" s="62"/>
      <c r="DE313" s="62"/>
      <c r="DF313" s="62"/>
      <c r="DG313" s="62"/>
      <c r="DH313" s="62"/>
      <c r="DI313" s="62"/>
      <c r="DJ313" s="62"/>
      <c r="DK313" s="62"/>
      <c r="DL313" s="62"/>
      <c r="DM313" s="62"/>
      <c r="DN313" s="62"/>
      <c r="DO313" s="62"/>
      <c r="DP313" s="62"/>
      <c r="DQ313" s="62"/>
      <c r="DR313" s="62"/>
      <c r="DS313" s="62"/>
      <c r="DT313" s="62"/>
      <c r="DU313" s="62"/>
      <c r="DV313" s="62"/>
      <c r="DW313" s="62"/>
      <c r="DX313" s="62"/>
      <c r="DY313" s="62"/>
      <c r="DZ313" s="62"/>
      <c r="EA313" s="62"/>
      <c r="EB313" s="62"/>
      <c r="EC313" s="62"/>
      <c r="ED313" s="62"/>
      <c r="EE313" s="62"/>
      <c r="EF313" s="62"/>
      <c r="EG313" s="62"/>
      <c r="EH313" s="62"/>
      <c r="EI313" s="62"/>
      <c r="EJ313" s="62"/>
      <c r="EK313" s="62"/>
      <c r="EL313" s="62"/>
      <c r="EM313" s="62"/>
      <c r="EN313" s="62"/>
      <c r="EO313" s="62"/>
      <c r="EP313" s="62"/>
      <c r="EQ313" s="62"/>
      <c r="ER313" s="62"/>
      <c r="ES313" s="62"/>
      <c r="ET313" s="62"/>
      <c r="EU313" s="62"/>
      <c r="EV313" s="62"/>
      <c r="EW313" s="62"/>
      <c r="EX313" s="62"/>
      <c r="EY313" s="62"/>
      <c r="EZ313" s="62"/>
      <c r="FA313" s="62"/>
      <c r="FB313" s="62"/>
      <c r="FC313" s="62"/>
      <c r="FD313" s="62"/>
      <c r="FE313" s="62"/>
      <c r="FF313" s="62"/>
      <c r="FG313" s="62"/>
      <c r="FH313" s="62"/>
      <c r="FI313" s="62"/>
      <c r="FJ313" s="62"/>
      <c r="FK313" s="62"/>
      <c r="FL313" s="62"/>
      <c r="FM313" s="62"/>
      <c r="FN313" s="62"/>
      <c r="FO313" s="62"/>
      <c r="FP313" s="62"/>
      <c r="FQ313" s="62"/>
      <c r="FR313" s="62"/>
      <c r="FS313" s="62"/>
      <c r="FT313" s="62"/>
      <c r="FU313" s="62"/>
      <c r="FV313" s="62"/>
    </row>
    <row r="314" spans="1:178" ht="13.8">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c r="AT314" s="62"/>
      <c r="AU314" s="62"/>
      <c r="AV314" s="62"/>
      <c r="AW314" s="62"/>
      <c r="AX314" s="62"/>
      <c r="AY314" s="62"/>
      <c r="AZ314" s="62"/>
      <c r="BA314" s="62"/>
      <c r="BB314" s="62"/>
      <c r="BC314" s="62"/>
      <c r="BD314" s="62"/>
      <c r="BE314" s="62"/>
      <c r="BF314" s="62"/>
      <c r="BG314" s="62"/>
      <c r="BH314" s="62"/>
      <c r="BI314" s="62"/>
      <c r="BJ314" s="62"/>
      <c r="BK314" s="62"/>
      <c r="BL314" s="62"/>
      <c r="BM314" s="62"/>
      <c r="BN314" s="62"/>
      <c r="BO314" s="62"/>
      <c r="BP314" s="62"/>
      <c r="BQ314" s="62"/>
      <c r="BR314" s="62"/>
      <c r="BS314" s="62"/>
      <c r="BT314" s="62"/>
      <c r="BU314" s="62"/>
      <c r="BV314" s="62"/>
      <c r="BW314" s="62"/>
      <c r="BX314" s="62"/>
      <c r="BY314" s="62"/>
      <c r="BZ314" s="62"/>
      <c r="CA314" s="62"/>
      <c r="CB314" s="62"/>
      <c r="CC314" s="62"/>
      <c r="CD314" s="62"/>
      <c r="CE314" s="62"/>
      <c r="CF314" s="62"/>
      <c r="CG314" s="62"/>
      <c r="CH314" s="62"/>
      <c r="CI314" s="62"/>
      <c r="CJ314" s="62"/>
      <c r="CK314" s="62"/>
      <c r="CL314" s="62"/>
      <c r="CM314" s="62"/>
      <c r="CN314" s="62"/>
      <c r="CO314" s="62"/>
      <c r="CP314" s="62"/>
      <c r="CQ314" s="62"/>
      <c r="CR314" s="62"/>
      <c r="CS314" s="62"/>
      <c r="CT314" s="62"/>
      <c r="CU314" s="62"/>
      <c r="CV314" s="62"/>
      <c r="CW314" s="62"/>
      <c r="CX314" s="62"/>
      <c r="CY314" s="62"/>
      <c r="CZ314" s="62"/>
      <c r="DA314" s="62"/>
      <c r="DB314" s="62"/>
      <c r="DC314" s="62"/>
      <c r="DD314" s="62"/>
      <c r="DE314" s="62"/>
      <c r="DF314" s="62"/>
      <c r="DG314" s="62"/>
      <c r="DH314" s="62"/>
      <c r="DI314" s="62"/>
      <c r="DJ314" s="62"/>
      <c r="DK314" s="62"/>
      <c r="DL314" s="62"/>
      <c r="DM314" s="62"/>
      <c r="DN314" s="62"/>
      <c r="DO314" s="62"/>
      <c r="DP314" s="62"/>
      <c r="DQ314" s="62"/>
      <c r="DR314" s="62"/>
      <c r="DS314" s="62"/>
      <c r="DT314" s="62"/>
      <c r="DU314" s="62"/>
      <c r="DV314" s="62"/>
      <c r="DW314" s="62"/>
      <c r="DX314" s="62"/>
      <c r="DY314" s="62"/>
      <c r="DZ314" s="62"/>
      <c r="EA314" s="62"/>
      <c r="EB314" s="62"/>
      <c r="EC314" s="62"/>
      <c r="ED314" s="62"/>
      <c r="EE314" s="62"/>
      <c r="EF314" s="62"/>
      <c r="EG314" s="62"/>
      <c r="EH314" s="62"/>
      <c r="EI314" s="62"/>
      <c r="EJ314" s="62"/>
      <c r="EK314" s="62"/>
      <c r="EL314" s="62"/>
      <c r="EM314" s="62"/>
      <c r="EN314" s="62"/>
      <c r="EO314" s="62"/>
      <c r="EP314" s="62"/>
      <c r="EQ314" s="62"/>
      <c r="ER314" s="62"/>
      <c r="ES314" s="62"/>
      <c r="ET314" s="62"/>
      <c r="EU314" s="62"/>
      <c r="EV314" s="62"/>
      <c r="EW314" s="62"/>
      <c r="EX314" s="62"/>
      <c r="EY314" s="62"/>
      <c r="EZ314" s="62"/>
      <c r="FA314" s="62"/>
      <c r="FB314" s="62"/>
      <c r="FC314" s="62"/>
      <c r="FD314" s="62"/>
      <c r="FE314" s="62"/>
      <c r="FF314" s="62"/>
      <c r="FG314" s="62"/>
      <c r="FH314" s="62"/>
      <c r="FI314" s="62"/>
      <c r="FJ314" s="62"/>
      <c r="FK314" s="62"/>
      <c r="FL314" s="62"/>
      <c r="FM314" s="62"/>
      <c r="FN314" s="62"/>
      <c r="FO314" s="62"/>
      <c r="FP314" s="62"/>
      <c r="FQ314" s="62"/>
      <c r="FR314" s="62"/>
      <c r="FS314" s="62"/>
      <c r="FT314" s="62"/>
      <c r="FU314" s="62"/>
      <c r="FV314" s="62"/>
    </row>
    <row r="315" spans="1:178" ht="13.8">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c r="AY315" s="62"/>
      <c r="AZ315" s="62"/>
      <c r="BA315" s="62"/>
      <c r="BB315" s="62"/>
      <c r="BC315" s="62"/>
      <c r="BD315" s="62"/>
      <c r="BE315" s="62"/>
      <c r="BF315" s="62"/>
      <c r="BG315" s="62"/>
      <c r="BH315" s="62"/>
      <c r="BI315" s="62"/>
      <c r="BJ315" s="62"/>
      <c r="BK315" s="62"/>
      <c r="BL315" s="62"/>
      <c r="BM315" s="62"/>
      <c r="BN315" s="62"/>
      <c r="BO315" s="62"/>
      <c r="BP315" s="62"/>
      <c r="BQ315" s="62"/>
      <c r="BR315" s="62"/>
      <c r="BS315" s="62"/>
      <c r="BT315" s="62"/>
      <c r="BU315" s="62"/>
      <c r="BV315" s="62"/>
      <c r="BW315" s="62"/>
      <c r="BX315" s="62"/>
      <c r="BY315" s="62"/>
      <c r="BZ315" s="62"/>
      <c r="CA315" s="62"/>
      <c r="CB315" s="62"/>
      <c r="CC315" s="62"/>
      <c r="CD315" s="62"/>
      <c r="CE315" s="62"/>
      <c r="CF315" s="62"/>
      <c r="CG315" s="62"/>
      <c r="CH315" s="62"/>
      <c r="CI315" s="62"/>
      <c r="CJ315" s="62"/>
      <c r="CK315" s="62"/>
      <c r="CL315" s="62"/>
      <c r="CM315" s="62"/>
      <c r="CN315" s="62"/>
      <c r="CO315" s="62"/>
      <c r="CP315" s="62"/>
      <c r="CQ315" s="62"/>
      <c r="CR315" s="62"/>
      <c r="CS315" s="62"/>
      <c r="CT315" s="62"/>
      <c r="CU315" s="62"/>
      <c r="CV315" s="62"/>
      <c r="CW315" s="62"/>
      <c r="CX315" s="62"/>
      <c r="CY315" s="62"/>
      <c r="CZ315" s="62"/>
      <c r="DA315" s="62"/>
      <c r="DB315" s="62"/>
      <c r="DC315" s="62"/>
      <c r="DD315" s="62"/>
      <c r="DE315" s="62"/>
      <c r="DF315" s="62"/>
      <c r="DG315" s="62"/>
      <c r="DH315" s="62"/>
      <c r="DI315" s="62"/>
      <c r="DJ315" s="62"/>
      <c r="DK315" s="62"/>
      <c r="DL315" s="62"/>
      <c r="DM315" s="62"/>
      <c r="DN315" s="62"/>
      <c r="DO315" s="62"/>
      <c r="DP315" s="62"/>
      <c r="DQ315" s="62"/>
      <c r="DR315" s="62"/>
      <c r="DS315" s="62"/>
      <c r="DT315" s="62"/>
      <c r="DU315" s="62"/>
      <c r="DV315" s="62"/>
      <c r="DW315" s="62"/>
      <c r="DX315" s="62"/>
      <c r="DY315" s="62"/>
      <c r="DZ315" s="62"/>
      <c r="EA315" s="62"/>
      <c r="EB315" s="62"/>
      <c r="EC315" s="62"/>
      <c r="ED315" s="62"/>
      <c r="EE315" s="62"/>
      <c r="EF315" s="62"/>
      <c r="EG315" s="62"/>
      <c r="EH315" s="62"/>
      <c r="EI315" s="62"/>
      <c r="EJ315" s="62"/>
      <c r="EK315" s="62"/>
      <c r="EL315" s="62"/>
      <c r="EM315" s="62"/>
      <c r="EN315" s="62"/>
      <c r="EO315" s="62"/>
      <c r="EP315" s="62"/>
      <c r="EQ315" s="62"/>
      <c r="ER315" s="62"/>
      <c r="ES315" s="62"/>
      <c r="ET315" s="62"/>
      <c r="EU315" s="62"/>
      <c r="EV315" s="62"/>
      <c r="EW315" s="62"/>
      <c r="EX315" s="62"/>
      <c r="EY315" s="62"/>
      <c r="EZ315" s="62"/>
      <c r="FA315" s="62"/>
      <c r="FB315" s="62"/>
      <c r="FC315" s="62"/>
      <c r="FD315" s="62"/>
      <c r="FE315" s="62"/>
      <c r="FF315" s="62"/>
      <c r="FG315" s="62"/>
      <c r="FH315" s="62"/>
      <c r="FI315" s="62"/>
      <c r="FJ315" s="62"/>
      <c r="FK315" s="62"/>
      <c r="FL315" s="62"/>
      <c r="FM315" s="62"/>
      <c r="FN315" s="62"/>
      <c r="FO315" s="62"/>
      <c r="FP315" s="62"/>
      <c r="FQ315" s="62"/>
      <c r="FR315" s="62"/>
      <c r="FS315" s="62"/>
      <c r="FT315" s="62"/>
      <c r="FU315" s="62"/>
      <c r="FV315" s="62"/>
    </row>
    <row r="316" spans="1:178" ht="13.8">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c r="AT316" s="62"/>
      <c r="AU316" s="62"/>
      <c r="AV316" s="62"/>
      <c r="AW316" s="62"/>
      <c r="AX316" s="62"/>
      <c r="AY316" s="62"/>
      <c r="AZ316" s="62"/>
      <c r="BA316" s="62"/>
      <c r="BB316" s="62"/>
      <c r="BC316" s="62"/>
      <c r="BD316" s="62"/>
      <c r="BE316" s="62"/>
      <c r="BF316" s="62"/>
      <c r="BG316" s="62"/>
      <c r="BH316" s="62"/>
      <c r="BI316" s="62"/>
      <c r="BJ316" s="62"/>
      <c r="BK316" s="62"/>
      <c r="BL316" s="62"/>
      <c r="BM316" s="62"/>
      <c r="BN316" s="62"/>
      <c r="BO316" s="62"/>
      <c r="BP316" s="62"/>
      <c r="BQ316" s="62"/>
      <c r="BR316" s="62"/>
      <c r="BS316" s="62"/>
      <c r="BT316" s="62"/>
      <c r="BU316" s="62"/>
      <c r="BV316" s="62"/>
      <c r="BW316" s="62"/>
      <c r="BX316" s="62"/>
      <c r="BY316" s="62"/>
      <c r="BZ316" s="62"/>
      <c r="CA316" s="62"/>
      <c r="CB316" s="62"/>
      <c r="CC316" s="62"/>
      <c r="CD316" s="62"/>
      <c r="CE316" s="62"/>
      <c r="CF316" s="62"/>
      <c r="CG316" s="62"/>
      <c r="CH316" s="62"/>
      <c r="CI316" s="62"/>
      <c r="CJ316" s="62"/>
      <c r="CK316" s="62"/>
      <c r="CL316" s="62"/>
      <c r="CM316" s="62"/>
      <c r="CN316" s="62"/>
      <c r="CO316" s="62"/>
      <c r="CP316" s="62"/>
      <c r="CQ316" s="62"/>
      <c r="CR316" s="62"/>
      <c r="CS316" s="62"/>
      <c r="CT316" s="62"/>
      <c r="CU316" s="62"/>
      <c r="CV316" s="62"/>
      <c r="CW316" s="62"/>
      <c r="CX316" s="62"/>
      <c r="CY316" s="62"/>
      <c r="CZ316" s="62"/>
      <c r="DA316" s="62"/>
      <c r="DB316" s="62"/>
      <c r="DC316" s="62"/>
      <c r="DD316" s="62"/>
      <c r="DE316" s="62"/>
      <c r="DF316" s="62"/>
      <c r="DG316" s="62"/>
      <c r="DH316" s="62"/>
      <c r="DI316" s="62"/>
      <c r="DJ316" s="62"/>
      <c r="DK316" s="62"/>
      <c r="DL316" s="62"/>
      <c r="DM316" s="62"/>
      <c r="DN316" s="62"/>
      <c r="DO316" s="62"/>
      <c r="DP316" s="62"/>
      <c r="DQ316" s="62"/>
      <c r="DR316" s="62"/>
      <c r="DS316" s="62"/>
      <c r="DT316" s="62"/>
      <c r="DU316" s="62"/>
      <c r="DV316" s="62"/>
      <c r="DW316" s="62"/>
      <c r="DX316" s="62"/>
      <c r="DY316" s="62"/>
      <c r="DZ316" s="62"/>
      <c r="EA316" s="62"/>
      <c r="EB316" s="62"/>
      <c r="EC316" s="62"/>
      <c r="ED316" s="62"/>
      <c r="EE316" s="62"/>
      <c r="EF316" s="62"/>
      <c r="EG316" s="62"/>
      <c r="EH316" s="62"/>
      <c r="EI316" s="62"/>
      <c r="EJ316" s="62"/>
      <c r="EK316" s="62"/>
      <c r="EL316" s="62"/>
      <c r="EM316" s="62"/>
      <c r="EN316" s="62"/>
      <c r="EO316" s="62"/>
      <c r="EP316" s="62"/>
      <c r="EQ316" s="62"/>
      <c r="ER316" s="62"/>
      <c r="ES316" s="62"/>
      <c r="ET316" s="62"/>
      <c r="EU316" s="62"/>
      <c r="EV316" s="62"/>
      <c r="EW316" s="62"/>
      <c r="EX316" s="62"/>
      <c r="EY316" s="62"/>
      <c r="EZ316" s="62"/>
      <c r="FA316" s="62"/>
      <c r="FB316" s="62"/>
      <c r="FC316" s="62"/>
      <c r="FD316" s="62"/>
      <c r="FE316" s="62"/>
      <c r="FF316" s="62"/>
      <c r="FG316" s="62"/>
      <c r="FH316" s="62"/>
      <c r="FI316" s="62"/>
      <c r="FJ316" s="62"/>
      <c r="FK316" s="62"/>
      <c r="FL316" s="62"/>
      <c r="FM316" s="62"/>
      <c r="FN316" s="62"/>
      <c r="FO316" s="62"/>
      <c r="FP316" s="62"/>
      <c r="FQ316" s="62"/>
      <c r="FR316" s="62"/>
      <c r="FS316" s="62"/>
      <c r="FT316" s="62"/>
      <c r="FU316" s="62"/>
      <c r="FV316" s="62"/>
    </row>
    <row r="317" spans="1:178" ht="13.8">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c r="AT317" s="62"/>
      <c r="AU317" s="62"/>
      <c r="AV317" s="62"/>
      <c r="AW317" s="62"/>
      <c r="AX317" s="62"/>
      <c r="AY317" s="62"/>
      <c r="AZ317" s="62"/>
      <c r="BA317" s="62"/>
      <c r="BB317" s="62"/>
      <c r="BC317" s="62"/>
      <c r="BD317" s="62"/>
      <c r="BE317" s="62"/>
      <c r="BF317" s="62"/>
      <c r="BG317" s="62"/>
      <c r="BH317" s="62"/>
      <c r="BI317" s="62"/>
      <c r="BJ317" s="62"/>
      <c r="BK317" s="62"/>
      <c r="BL317" s="62"/>
      <c r="BM317" s="62"/>
      <c r="BN317" s="62"/>
      <c r="BO317" s="62"/>
      <c r="BP317" s="62"/>
      <c r="BQ317" s="62"/>
      <c r="BR317" s="62"/>
      <c r="BS317" s="62"/>
      <c r="BT317" s="62"/>
      <c r="BU317" s="62"/>
      <c r="BV317" s="62"/>
      <c r="BW317" s="62"/>
      <c r="BX317" s="62"/>
      <c r="BY317" s="62"/>
      <c r="BZ317" s="62"/>
      <c r="CA317" s="62"/>
      <c r="CB317" s="62"/>
      <c r="CC317" s="62"/>
      <c r="CD317" s="62"/>
      <c r="CE317" s="62"/>
      <c r="CF317" s="62"/>
      <c r="CG317" s="62"/>
      <c r="CH317" s="62"/>
      <c r="CI317" s="62"/>
      <c r="CJ317" s="62"/>
      <c r="CK317" s="62"/>
      <c r="CL317" s="62"/>
      <c r="CM317" s="62"/>
      <c r="CN317" s="62"/>
      <c r="CO317" s="62"/>
      <c r="CP317" s="62"/>
      <c r="CQ317" s="62"/>
      <c r="CR317" s="62"/>
      <c r="CS317" s="62"/>
      <c r="CT317" s="62"/>
      <c r="CU317" s="62"/>
      <c r="CV317" s="62"/>
      <c r="CW317" s="62"/>
      <c r="CX317" s="62"/>
      <c r="CY317" s="62"/>
      <c r="CZ317" s="62"/>
      <c r="DA317" s="62"/>
      <c r="DB317" s="62"/>
      <c r="DC317" s="62"/>
      <c r="DD317" s="62"/>
      <c r="DE317" s="62"/>
      <c r="DF317" s="62"/>
      <c r="DG317" s="62"/>
      <c r="DH317" s="62"/>
      <c r="DI317" s="62"/>
      <c r="DJ317" s="62"/>
      <c r="DK317" s="62"/>
      <c r="DL317" s="62"/>
      <c r="DM317" s="62"/>
      <c r="DN317" s="62"/>
      <c r="DO317" s="62"/>
      <c r="DP317" s="62"/>
      <c r="DQ317" s="62"/>
      <c r="DR317" s="62"/>
      <c r="DS317" s="62"/>
      <c r="DT317" s="62"/>
      <c r="DU317" s="62"/>
      <c r="DV317" s="62"/>
      <c r="DW317" s="62"/>
      <c r="DX317" s="62"/>
      <c r="DY317" s="62"/>
      <c r="DZ317" s="62"/>
      <c r="EA317" s="62"/>
      <c r="EB317" s="62"/>
      <c r="EC317" s="62"/>
      <c r="ED317" s="62"/>
      <c r="EE317" s="62"/>
      <c r="EF317" s="62"/>
      <c r="EG317" s="62"/>
      <c r="EH317" s="62"/>
      <c r="EI317" s="62"/>
      <c r="EJ317" s="62"/>
      <c r="EK317" s="62"/>
      <c r="EL317" s="62"/>
      <c r="EM317" s="62"/>
      <c r="EN317" s="62"/>
      <c r="EO317" s="62"/>
      <c r="EP317" s="62"/>
      <c r="EQ317" s="62"/>
      <c r="ER317" s="62"/>
      <c r="ES317" s="62"/>
      <c r="ET317" s="62"/>
      <c r="EU317" s="62"/>
      <c r="EV317" s="62"/>
      <c r="EW317" s="62"/>
      <c r="EX317" s="62"/>
      <c r="EY317" s="62"/>
      <c r="EZ317" s="62"/>
      <c r="FA317" s="62"/>
      <c r="FB317" s="62"/>
      <c r="FC317" s="62"/>
      <c r="FD317" s="62"/>
      <c r="FE317" s="62"/>
      <c r="FF317" s="62"/>
      <c r="FG317" s="62"/>
      <c r="FH317" s="62"/>
      <c r="FI317" s="62"/>
      <c r="FJ317" s="62"/>
      <c r="FK317" s="62"/>
      <c r="FL317" s="62"/>
      <c r="FM317" s="62"/>
      <c r="FN317" s="62"/>
      <c r="FO317" s="62"/>
      <c r="FP317" s="62"/>
      <c r="FQ317" s="62"/>
      <c r="FR317" s="62"/>
      <c r="FS317" s="62"/>
      <c r="FT317" s="62"/>
      <c r="FU317" s="62"/>
      <c r="FV317" s="62"/>
    </row>
    <row r="318" spans="1:178" ht="13.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c r="AT318" s="62"/>
      <c r="AU318" s="62"/>
      <c r="AV318" s="62"/>
      <c r="AW318" s="62"/>
      <c r="AX318" s="62"/>
      <c r="AY318" s="62"/>
      <c r="AZ318" s="62"/>
      <c r="BA318" s="62"/>
      <c r="BB318" s="62"/>
      <c r="BC318" s="62"/>
      <c r="BD318" s="62"/>
      <c r="BE318" s="62"/>
      <c r="BF318" s="62"/>
      <c r="BG318" s="62"/>
      <c r="BH318" s="62"/>
      <c r="BI318" s="62"/>
      <c r="BJ318" s="62"/>
      <c r="BK318" s="62"/>
      <c r="BL318" s="62"/>
      <c r="BM318" s="62"/>
      <c r="BN318" s="62"/>
      <c r="BO318" s="62"/>
      <c r="BP318" s="62"/>
      <c r="BQ318" s="62"/>
      <c r="BR318" s="62"/>
      <c r="BS318" s="62"/>
      <c r="BT318" s="62"/>
      <c r="BU318" s="62"/>
      <c r="BV318" s="62"/>
      <c r="BW318" s="62"/>
      <c r="BX318" s="62"/>
      <c r="BY318" s="62"/>
      <c r="BZ318" s="62"/>
      <c r="CA318" s="62"/>
      <c r="CB318" s="62"/>
      <c r="CC318" s="62"/>
      <c r="CD318" s="62"/>
      <c r="CE318" s="62"/>
      <c r="CF318" s="62"/>
      <c r="CG318" s="62"/>
      <c r="CH318" s="62"/>
      <c r="CI318" s="62"/>
      <c r="CJ318" s="62"/>
      <c r="CK318" s="62"/>
      <c r="CL318" s="62"/>
      <c r="CM318" s="62"/>
      <c r="CN318" s="62"/>
      <c r="CO318" s="62"/>
      <c r="CP318" s="62"/>
      <c r="CQ318" s="62"/>
      <c r="CR318" s="62"/>
      <c r="CS318" s="62"/>
      <c r="CT318" s="62"/>
      <c r="CU318" s="62"/>
      <c r="CV318" s="62"/>
      <c r="CW318" s="62"/>
      <c r="CX318" s="62"/>
      <c r="CY318" s="62"/>
      <c r="CZ318" s="62"/>
      <c r="DA318" s="62"/>
      <c r="DB318" s="62"/>
      <c r="DC318" s="62"/>
      <c r="DD318" s="62"/>
      <c r="DE318" s="62"/>
      <c r="DF318" s="62"/>
      <c r="DG318" s="62"/>
      <c r="DH318" s="62"/>
      <c r="DI318" s="62"/>
      <c r="DJ318" s="62"/>
      <c r="DK318" s="62"/>
      <c r="DL318" s="62"/>
      <c r="DM318" s="62"/>
      <c r="DN318" s="62"/>
      <c r="DO318" s="62"/>
      <c r="DP318" s="62"/>
      <c r="DQ318" s="62"/>
      <c r="DR318" s="62"/>
      <c r="DS318" s="62"/>
      <c r="DT318" s="62"/>
      <c r="DU318" s="62"/>
      <c r="DV318" s="62"/>
      <c r="DW318" s="62"/>
      <c r="DX318" s="62"/>
      <c r="DY318" s="62"/>
      <c r="DZ318" s="62"/>
      <c r="EA318" s="62"/>
      <c r="EB318" s="62"/>
      <c r="EC318" s="62"/>
      <c r="ED318" s="62"/>
      <c r="EE318" s="62"/>
      <c r="EF318" s="62"/>
      <c r="EG318" s="62"/>
      <c r="EH318" s="62"/>
      <c r="EI318" s="62"/>
      <c r="EJ318" s="62"/>
      <c r="EK318" s="62"/>
      <c r="EL318" s="62"/>
      <c r="EM318" s="62"/>
      <c r="EN318" s="62"/>
      <c r="EO318" s="62"/>
      <c r="EP318" s="62"/>
      <c r="EQ318" s="62"/>
      <c r="ER318" s="62"/>
      <c r="ES318" s="62"/>
      <c r="ET318" s="62"/>
      <c r="EU318" s="62"/>
      <c r="EV318" s="62"/>
      <c r="EW318" s="62"/>
      <c r="EX318" s="62"/>
      <c r="EY318" s="62"/>
      <c r="EZ318" s="62"/>
      <c r="FA318" s="62"/>
      <c r="FB318" s="62"/>
      <c r="FC318" s="62"/>
      <c r="FD318" s="62"/>
      <c r="FE318" s="62"/>
      <c r="FF318" s="62"/>
      <c r="FG318" s="62"/>
      <c r="FH318" s="62"/>
      <c r="FI318" s="62"/>
      <c r="FJ318" s="62"/>
      <c r="FK318" s="62"/>
      <c r="FL318" s="62"/>
      <c r="FM318" s="62"/>
      <c r="FN318" s="62"/>
      <c r="FO318" s="62"/>
      <c r="FP318" s="62"/>
      <c r="FQ318" s="62"/>
      <c r="FR318" s="62"/>
      <c r="FS318" s="62"/>
      <c r="FT318" s="62"/>
      <c r="FU318" s="62"/>
      <c r="FV318" s="62"/>
    </row>
    <row r="319" spans="1:178" ht="13.8">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c r="AT319" s="62"/>
      <c r="AU319" s="62"/>
      <c r="AV319" s="62"/>
      <c r="AW319" s="62"/>
      <c r="AX319" s="62"/>
      <c r="AY319" s="62"/>
      <c r="AZ319" s="62"/>
      <c r="BA319" s="62"/>
      <c r="BB319" s="62"/>
      <c r="BC319" s="62"/>
      <c r="BD319" s="62"/>
      <c r="BE319" s="62"/>
      <c r="BF319" s="62"/>
      <c r="BG319" s="62"/>
      <c r="BH319" s="62"/>
      <c r="BI319" s="62"/>
      <c r="BJ319" s="62"/>
      <c r="BK319" s="62"/>
      <c r="BL319" s="62"/>
      <c r="BM319" s="62"/>
      <c r="BN319" s="62"/>
      <c r="BO319" s="62"/>
      <c r="BP319" s="62"/>
      <c r="BQ319" s="62"/>
      <c r="BR319" s="62"/>
      <c r="BS319" s="62"/>
      <c r="BT319" s="62"/>
      <c r="BU319" s="62"/>
      <c r="BV319" s="62"/>
      <c r="BW319" s="62"/>
      <c r="BX319" s="62"/>
      <c r="BY319" s="62"/>
      <c r="BZ319" s="62"/>
      <c r="CA319" s="62"/>
      <c r="CB319" s="62"/>
      <c r="CC319" s="62"/>
      <c r="CD319" s="62"/>
      <c r="CE319" s="62"/>
      <c r="CF319" s="62"/>
      <c r="CG319" s="62"/>
      <c r="CH319" s="62"/>
      <c r="CI319" s="62"/>
      <c r="CJ319" s="62"/>
      <c r="CK319" s="62"/>
      <c r="CL319" s="62"/>
      <c r="CM319" s="62"/>
      <c r="CN319" s="62"/>
      <c r="CO319" s="62"/>
      <c r="CP319" s="62"/>
      <c r="CQ319" s="62"/>
      <c r="CR319" s="62"/>
      <c r="CS319" s="62"/>
      <c r="CT319" s="62"/>
      <c r="CU319" s="62"/>
      <c r="CV319" s="62"/>
      <c r="CW319" s="62"/>
      <c r="CX319" s="62"/>
      <c r="CY319" s="62"/>
      <c r="CZ319" s="62"/>
      <c r="DA319" s="62"/>
      <c r="DB319" s="62"/>
      <c r="DC319" s="62"/>
      <c r="DD319" s="62"/>
      <c r="DE319" s="62"/>
      <c r="DF319" s="62"/>
      <c r="DG319" s="62"/>
      <c r="DH319" s="62"/>
      <c r="DI319" s="62"/>
      <c r="DJ319" s="62"/>
      <c r="DK319" s="62"/>
      <c r="DL319" s="62"/>
      <c r="DM319" s="62"/>
      <c r="DN319" s="62"/>
      <c r="DO319" s="62"/>
      <c r="DP319" s="62"/>
      <c r="DQ319" s="62"/>
      <c r="DR319" s="62"/>
      <c r="DS319" s="62"/>
      <c r="DT319" s="62"/>
      <c r="DU319" s="62"/>
      <c r="DV319" s="62"/>
      <c r="DW319" s="62"/>
      <c r="DX319" s="62"/>
      <c r="DY319" s="62"/>
      <c r="DZ319" s="62"/>
      <c r="EA319" s="62"/>
      <c r="EB319" s="62"/>
      <c r="EC319" s="62"/>
      <c r="ED319" s="62"/>
      <c r="EE319" s="62"/>
      <c r="EF319" s="62"/>
      <c r="EG319" s="62"/>
      <c r="EH319" s="62"/>
      <c r="EI319" s="62"/>
      <c r="EJ319" s="62"/>
      <c r="EK319" s="62"/>
      <c r="EL319" s="62"/>
      <c r="EM319" s="62"/>
      <c r="EN319" s="62"/>
      <c r="EO319" s="62"/>
      <c r="EP319" s="62"/>
      <c r="EQ319" s="62"/>
      <c r="ER319" s="62"/>
      <c r="ES319" s="62"/>
      <c r="ET319" s="62"/>
      <c r="EU319" s="62"/>
      <c r="EV319" s="62"/>
      <c r="EW319" s="62"/>
      <c r="EX319" s="62"/>
      <c r="EY319" s="62"/>
      <c r="EZ319" s="62"/>
      <c r="FA319" s="62"/>
      <c r="FB319" s="62"/>
      <c r="FC319" s="62"/>
      <c r="FD319" s="62"/>
      <c r="FE319" s="62"/>
      <c r="FF319" s="62"/>
      <c r="FG319" s="62"/>
      <c r="FH319" s="62"/>
      <c r="FI319" s="62"/>
      <c r="FJ319" s="62"/>
      <c r="FK319" s="62"/>
      <c r="FL319" s="62"/>
      <c r="FM319" s="62"/>
      <c r="FN319" s="62"/>
      <c r="FO319" s="62"/>
      <c r="FP319" s="62"/>
      <c r="FQ319" s="62"/>
      <c r="FR319" s="62"/>
      <c r="FS319" s="62"/>
      <c r="FT319" s="62"/>
      <c r="FU319" s="62"/>
      <c r="FV319" s="62"/>
    </row>
    <row r="320" spans="1:178" ht="13.8">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c r="AT320" s="62"/>
      <c r="AU320" s="62"/>
      <c r="AV320" s="62"/>
      <c r="AW320" s="62"/>
      <c r="AX320" s="62"/>
      <c r="AY320" s="62"/>
      <c r="AZ320" s="62"/>
      <c r="BA320" s="62"/>
      <c r="BB320" s="62"/>
      <c r="BC320" s="62"/>
      <c r="BD320" s="62"/>
      <c r="BE320" s="62"/>
      <c r="BF320" s="62"/>
      <c r="BG320" s="62"/>
      <c r="BH320" s="62"/>
      <c r="BI320" s="62"/>
      <c r="BJ320" s="62"/>
      <c r="BK320" s="62"/>
      <c r="BL320" s="62"/>
      <c r="BM320" s="62"/>
      <c r="BN320" s="62"/>
      <c r="BO320" s="62"/>
      <c r="BP320" s="62"/>
      <c r="BQ320" s="62"/>
      <c r="BR320" s="62"/>
      <c r="BS320" s="62"/>
      <c r="BT320" s="62"/>
      <c r="BU320" s="62"/>
      <c r="BV320" s="62"/>
      <c r="BW320" s="62"/>
      <c r="BX320" s="62"/>
      <c r="BY320" s="62"/>
      <c r="BZ320" s="62"/>
      <c r="CA320" s="62"/>
      <c r="CB320" s="62"/>
      <c r="CC320" s="62"/>
      <c r="CD320" s="62"/>
      <c r="CE320" s="62"/>
      <c r="CF320" s="62"/>
      <c r="CG320" s="62"/>
      <c r="CH320" s="62"/>
      <c r="CI320" s="62"/>
      <c r="CJ320" s="62"/>
      <c r="CK320" s="62"/>
      <c r="CL320" s="62"/>
      <c r="CM320" s="62"/>
      <c r="CN320" s="62"/>
      <c r="CO320" s="62"/>
      <c r="CP320" s="62"/>
      <c r="CQ320" s="62"/>
      <c r="CR320" s="62"/>
      <c r="CS320" s="62"/>
      <c r="CT320" s="62"/>
      <c r="CU320" s="62"/>
      <c r="CV320" s="62"/>
      <c r="CW320" s="62"/>
      <c r="CX320" s="62"/>
      <c r="CY320" s="62"/>
      <c r="CZ320" s="62"/>
      <c r="DA320" s="62"/>
      <c r="DB320" s="62"/>
      <c r="DC320" s="62"/>
      <c r="DD320" s="62"/>
      <c r="DE320" s="62"/>
      <c r="DF320" s="62"/>
      <c r="DG320" s="62"/>
      <c r="DH320" s="62"/>
      <c r="DI320" s="62"/>
      <c r="DJ320" s="62"/>
      <c r="DK320" s="62"/>
      <c r="DL320" s="62"/>
      <c r="DM320" s="62"/>
      <c r="DN320" s="62"/>
      <c r="DO320" s="62"/>
      <c r="DP320" s="62"/>
      <c r="DQ320" s="62"/>
      <c r="DR320" s="62"/>
      <c r="DS320" s="62"/>
      <c r="DT320" s="62"/>
      <c r="DU320" s="62"/>
      <c r="DV320" s="62"/>
      <c r="DW320" s="62"/>
      <c r="DX320" s="62"/>
      <c r="DY320" s="62"/>
      <c r="DZ320" s="62"/>
      <c r="EA320" s="62"/>
      <c r="EB320" s="62"/>
      <c r="EC320" s="62"/>
      <c r="ED320" s="62"/>
      <c r="EE320" s="62"/>
      <c r="EF320" s="62"/>
      <c r="EG320" s="62"/>
      <c r="EH320" s="62"/>
      <c r="EI320" s="62"/>
      <c r="EJ320" s="62"/>
      <c r="EK320" s="62"/>
      <c r="EL320" s="62"/>
      <c r="EM320" s="62"/>
      <c r="EN320" s="62"/>
      <c r="EO320" s="62"/>
      <c r="EP320" s="62"/>
      <c r="EQ320" s="62"/>
      <c r="ER320" s="62"/>
      <c r="ES320" s="62"/>
      <c r="ET320" s="62"/>
      <c r="EU320" s="62"/>
      <c r="EV320" s="62"/>
      <c r="EW320" s="62"/>
      <c r="EX320" s="62"/>
      <c r="EY320" s="62"/>
      <c r="EZ320" s="62"/>
      <c r="FA320" s="62"/>
      <c r="FB320" s="62"/>
      <c r="FC320" s="62"/>
      <c r="FD320" s="62"/>
      <c r="FE320" s="62"/>
      <c r="FF320" s="62"/>
      <c r="FG320" s="62"/>
      <c r="FH320" s="62"/>
      <c r="FI320" s="62"/>
      <c r="FJ320" s="62"/>
      <c r="FK320" s="62"/>
      <c r="FL320" s="62"/>
      <c r="FM320" s="62"/>
      <c r="FN320" s="62"/>
      <c r="FO320" s="62"/>
      <c r="FP320" s="62"/>
      <c r="FQ320" s="62"/>
      <c r="FR320" s="62"/>
      <c r="FS320" s="62"/>
      <c r="FT320" s="62"/>
      <c r="FU320" s="62"/>
      <c r="FV320" s="62"/>
    </row>
    <row r="321" spans="1:178" ht="13.8">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c r="AT321" s="62"/>
      <c r="AU321" s="62"/>
      <c r="AV321" s="62"/>
      <c r="AW321" s="62"/>
      <c r="AX321" s="62"/>
      <c r="AY321" s="62"/>
      <c r="AZ321" s="62"/>
      <c r="BA321" s="62"/>
      <c r="BB321" s="62"/>
      <c r="BC321" s="62"/>
      <c r="BD321" s="62"/>
      <c r="BE321" s="62"/>
      <c r="BF321" s="62"/>
      <c r="BG321" s="62"/>
      <c r="BH321" s="62"/>
      <c r="BI321" s="62"/>
      <c r="BJ321" s="62"/>
      <c r="BK321" s="62"/>
      <c r="BL321" s="62"/>
      <c r="BM321" s="62"/>
      <c r="BN321" s="62"/>
      <c r="BO321" s="62"/>
      <c r="BP321" s="62"/>
      <c r="BQ321" s="62"/>
      <c r="BR321" s="62"/>
      <c r="BS321" s="62"/>
      <c r="BT321" s="62"/>
      <c r="BU321" s="62"/>
      <c r="BV321" s="62"/>
      <c r="BW321" s="62"/>
      <c r="BX321" s="62"/>
      <c r="BY321" s="62"/>
      <c r="BZ321" s="62"/>
      <c r="CA321" s="62"/>
      <c r="CB321" s="62"/>
      <c r="CC321" s="62"/>
      <c r="CD321" s="62"/>
      <c r="CE321" s="62"/>
      <c r="CF321" s="62"/>
      <c r="CG321" s="62"/>
      <c r="CH321" s="62"/>
      <c r="CI321" s="62"/>
      <c r="CJ321" s="62"/>
      <c r="CK321" s="62"/>
      <c r="CL321" s="62"/>
      <c r="CM321" s="62"/>
      <c r="CN321" s="62"/>
      <c r="CO321" s="62"/>
      <c r="CP321" s="62"/>
      <c r="CQ321" s="62"/>
      <c r="CR321" s="62"/>
      <c r="CS321" s="62"/>
      <c r="CT321" s="62"/>
      <c r="CU321" s="62"/>
      <c r="CV321" s="62"/>
      <c r="CW321" s="62"/>
      <c r="CX321" s="62"/>
      <c r="CY321" s="62"/>
      <c r="CZ321" s="62"/>
      <c r="DA321" s="62"/>
      <c r="DB321" s="62"/>
      <c r="DC321" s="62"/>
      <c r="DD321" s="62"/>
      <c r="DE321" s="62"/>
      <c r="DF321" s="62"/>
      <c r="DG321" s="62"/>
      <c r="DH321" s="62"/>
      <c r="DI321" s="62"/>
      <c r="DJ321" s="62"/>
      <c r="DK321" s="62"/>
      <c r="DL321" s="62"/>
      <c r="DM321" s="62"/>
      <c r="DN321" s="62"/>
      <c r="DO321" s="62"/>
      <c r="DP321" s="62"/>
      <c r="DQ321" s="62"/>
      <c r="DR321" s="62"/>
      <c r="DS321" s="62"/>
      <c r="DT321" s="62"/>
      <c r="DU321" s="62"/>
      <c r="DV321" s="62"/>
      <c r="DW321" s="62"/>
      <c r="DX321" s="62"/>
      <c r="DY321" s="62"/>
      <c r="DZ321" s="62"/>
      <c r="EA321" s="62"/>
      <c r="EB321" s="62"/>
      <c r="EC321" s="62"/>
      <c r="ED321" s="62"/>
      <c r="EE321" s="62"/>
      <c r="EF321" s="62"/>
      <c r="EG321" s="62"/>
      <c r="EH321" s="62"/>
      <c r="EI321" s="62"/>
      <c r="EJ321" s="62"/>
      <c r="EK321" s="62"/>
      <c r="EL321" s="62"/>
      <c r="EM321" s="62"/>
      <c r="EN321" s="62"/>
      <c r="EO321" s="62"/>
      <c r="EP321" s="62"/>
      <c r="EQ321" s="62"/>
      <c r="ER321" s="62"/>
      <c r="ES321" s="62"/>
      <c r="ET321" s="62"/>
      <c r="EU321" s="62"/>
      <c r="EV321" s="62"/>
      <c r="EW321" s="62"/>
      <c r="EX321" s="62"/>
      <c r="EY321" s="62"/>
      <c r="EZ321" s="62"/>
      <c r="FA321" s="62"/>
      <c r="FB321" s="62"/>
      <c r="FC321" s="62"/>
      <c r="FD321" s="62"/>
      <c r="FE321" s="62"/>
      <c r="FF321" s="62"/>
      <c r="FG321" s="62"/>
      <c r="FH321" s="62"/>
      <c r="FI321" s="62"/>
      <c r="FJ321" s="62"/>
      <c r="FK321" s="62"/>
      <c r="FL321" s="62"/>
      <c r="FM321" s="62"/>
      <c r="FN321" s="62"/>
      <c r="FO321" s="62"/>
      <c r="FP321" s="62"/>
      <c r="FQ321" s="62"/>
      <c r="FR321" s="62"/>
      <c r="FS321" s="62"/>
      <c r="FT321" s="62"/>
      <c r="FU321" s="62"/>
      <c r="FV321" s="62"/>
    </row>
    <row r="322" spans="1:178" ht="13.8">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c r="AT322" s="62"/>
      <c r="AU322" s="62"/>
      <c r="AV322" s="62"/>
      <c r="AW322" s="62"/>
      <c r="AX322" s="62"/>
      <c r="AY322" s="62"/>
      <c r="AZ322" s="62"/>
      <c r="BA322" s="62"/>
      <c r="BB322" s="62"/>
      <c r="BC322" s="62"/>
      <c r="BD322" s="62"/>
      <c r="BE322" s="62"/>
      <c r="BF322" s="62"/>
      <c r="BG322" s="62"/>
      <c r="BH322" s="62"/>
      <c r="BI322" s="62"/>
      <c r="BJ322" s="62"/>
      <c r="BK322" s="62"/>
      <c r="BL322" s="62"/>
      <c r="BM322" s="62"/>
      <c r="BN322" s="62"/>
      <c r="BO322" s="62"/>
      <c r="BP322" s="62"/>
      <c r="BQ322" s="62"/>
      <c r="BR322" s="62"/>
      <c r="BS322" s="62"/>
      <c r="BT322" s="62"/>
      <c r="BU322" s="62"/>
      <c r="BV322" s="62"/>
      <c r="BW322" s="62"/>
      <c r="BX322" s="62"/>
      <c r="BY322" s="62"/>
      <c r="BZ322" s="62"/>
      <c r="CA322" s="62"/>
      <c r="CB322" s="62"/>
      <c r="CC322" s="62"/>
      <c r="CD322" s="62"/>
      <c r="CE322" s="62"/>
      <c r="CF322" s="62"/>
      <c r="CG322" s="62"/>
      <c r="CH322" s="62"/>
      <c r="CI322" s="62"/>
      <c r="CJ322" s="62"/>
      <c r="CK322" s="62"/>
      <c r="CL322" s="62"/>
      <c r="CM322" s="62"/>
      <c r="CN322" s="62"/>
      <c r="CO322" s="62"/>
      <c r="CP322" s="62"/>
      <c r="CQ322" s="62"/>
      <c r="CR322" s="62"/>
      <c r="CS322" s="62"/>
      <c r="CT322" s="62"/>
      <c r="CU322" s="62"/>
      <c r="CV322" s="62"/>
      <c r="CW322" s="62"/>
      <c r="CX322" s="62"/>
      <c r="CY322" s="62"/>
      <c r="CZ322" s="62"/>
      <c r="DA322" s="62"/>
      <c r="DB322" s="62"/>
      <c r="DC322" s="62"/>
      <c r="DD322" s="62"/>
      <c r="DE322" s="62"/>
      <c r="DF322" s="62"/>
      <c r="DG322" s="62"/>
      <c r="DH322" s="62"/>
      <c r="DI322" s="62"/>
      <c r="DJ322" s="62"/>
      <c r="DK322" s="62"/>
      <c r="DL322" s="62"/>
      <c r="DM322" s="62"/>
      <c r="DN322" s="62"/>
      <c r="DO322" s="62"/>
      <c r="DP322" s="62"/>
      <c r="DQ322" s="62"/>
      <c r="DR322" s="62"/>
      <c r="DS322" s="62"/>
      <c r="DT322" s="62"/>
      <c r="DU322" s="62"/>
      <c r="DV322" s="62"/>
      <c r="DW322" s="62"/>
      <c r="DX322" s="62"/>
      <c r="DY322" s="62"/>
      <c r="DZ322" s="62"/>
      <c r="EA322" s="62"/>
      <c r="EB322" s="62"/>
      <c r="EC322" s="62"/>
      <c r="ED322" s="62"/>
      <c r="EE322" s="62"/>
      <c r="EF322" s="62"/>
      <c r="EG322" s="62"/>
      <c r="EH322" s="62"/>
      <c r="EI322" s="62"/>
      <c r="EJ322" s="62"/>
      <c r="EK322" s="62"/>
      <c r="EL322" s="62"/>
      <c r="EM322" s="62"/>
      <c r="EN322" s="62"/>
      <c r="EO322" s="62"/>
      <c r="EP322" s="62"/>
      <c r="EQ322" s="62"/>
      <c r="ER322" s="62"/>
      <c r="ES322" s="62"/>
      <c r="ET322" s="62"/>
      <c r="EU322" s="62"/>
      <c r="EV322" s="62"/>
      <c r="EW322" s="62"/>
      <c r="EX322" s="62"/>
      <c r="EY322" s="62"/>
      <c r="EZ322" s="62"/>
      <c r="FA322" s="62"/>
      <c r="FB322" s="62"/>
      <c r="FC322" s="62"/>
      <c r="FD322" s="62"/>
      <c r="FE322" s="62"/>
      <c r="FF322" s="62"/>
      <c r="FG322" s="62"/>
      <c r="FH322" s="62"/>
      <c r="FI322" s="62"/>
      <c r="FJ322" s="62"/>
      <c r="FK322" s="62"/>
      <c r="FL322" s="62"/>
      <c r="FM322" s="62"/>
      <c r="FN322" s="62"/>
      <c r="FO322" s="62"/>
      <c r="FP322" s="62"/>
      <c r="FQ322" s="62"/>
      <c r="FR322" s="62"/>
      <c r="FS322" s="62"/>
      <c r="FT322" s="62"/>
      <c r="FU322" s="62"/>
      <c r="FV322" s="62"/>
    </row>
    <row r="323" spans="1:178" ht="13.8">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c r="AT323" s="62"/>
      <c r="AU323" s="62"/>
      <c r="AV323" s="62"/>
      <c r="AW323" s="62"/>
      <c r="AX323" s="62"/>
      <c r="AY323" s="62"/>
      <c r="AZ323" s="62"/>
      <c r="BA323" s="62"/>
      <c r="BB323" s="62"/>
      <c r="BC323" s="62"/>
      <c r="BD323" s="62"/>
      <c r="BE323" s="62"/>
      <c r="BF323" s="62"/>
      <c r="BG323" s="62"/>
      <c r="BH323" s="62"/>
      <c r="BI323" s="62"/>
      <c r="BJ323" s="62"/>
      <c r="BK323" s="62"/>
      <c r="BL323" s="62"/>
      <c r="BM323" s="62"/>
      <c r="BN323" s="62"/>
      <c r="BO323" s="62"/>
      <c r="BP323" s="62"/>
      <c r="BQ323" s="62"/>
      <c r="BR323" s="62"/>
      <c r="BS323" s="62"/>
      <c r="BT323" s="62"/>
      <c r="BU323" s="62"/>
      <c r="BV323" s="62"/>
      <c r="BW323" s="62"/>
      <c r="BX323" s="62"/>
      <c r="BY323" s="62"/>
      <c r="BZ323" s="62"/>
      <c r="CA323" s="62"/>
      <c r="CB323" s="62"/>
      <c r="CC323" s="62"/>
      <c r="CD323" s="62"/>
      <c r="CE323" s="62"/>
      <c r="CF323" s="62"/>
      <c r="CG323" s="62"/>
      <c r="CH323" s="62"/>
      <c r="CI323" s="62"/>
      <c r="CJ323" s="62"/>
      <c r="CK323" s="62"/>
      <c r="CL323" s="62"/>
      <c r="CM323" s="62"/>
      <c r="CN323" s="62"/>
      <c r="CO323" s="62"/>
      <c r="CP323" s="62"/>
      <c r="CQ323" s="62"/>
      <c r="CR323" s="62"/>
      <c r="CS323" s="62"/>
      <c r="CT323" s="62"/>
      <c r="CU323" s="62"/>
      <c r="CV323" s="62"/>
      <c r="CW323" s="62"/>
      <c r="CX323" s="62"/>
      <c r="CY323" s="62"/>
      <c r="CZ323" s="62"/>
      <c r="DA323" s="62"/>
      <c r="DB323" s="62"/>
      <c r="DC323" s="62"/>
      <c r="DD323" s="62"/>
      <c r="DE323" s="62"/>
      <c r="DF323" s="62"/>
      <c r="DG323" s="62"/>
      <c r="DH323" s="62"/>
      <c r="DI323" s="62"/>
      <c r="DJ323" s="62"/>
      <c r="DK323" s="62"/>
      <c r="DL323" s="62"/>
      <c r="DM323" s="62"/>
      <c r="DN323" s="62"/>
      <c r="DO323" s="62"/>
      <c r="DP323" s="62"/>
      <c r="DQ323" s="62"/>
      <c r="DR323" s="62"/>
      <c r="DS323" s="62"/>
      <c r="DT323" s="62"/>
      <c r="DU323" s="62"/>
      <c r="DV323" s="62"/>
      <c r="DW323" s="62"/>
      <c r="DX323" s="62"/>
      <c r="DY323" s="62"/>
      <c r="DZ323" s="62"/>
      <c r="EA323" s="62"/>
      <c r="EB323" s="62"/>
      <c r="EC323" s="62"/>
      <c r="ED323" s="62"/>
      <c r="EE323" s="62"/>
      <c r="EF323" s="62"/>
      <c r="EG323" s="62"/>
      <c r="EH323" s="62"/>
      <c r="EI323" s="62"/>
      <c r="EJ323" s="62"/>
      <c r="EK323" s="62"/>
      <c r="EL323" s="62"/>
      <c r="EM323" s="62"/>
      <c r="EN323" s="62"/>
      <c r="EO323" s="62"/>
      <c r="EP323" s="62"/>
      <c r="EQ323" s="62"/>
      <c r="ER323" s="62"/>
      <c r="ES323" s="62"/>
      <c r="ET323" s="62"/>
      <c r="EU323" s="62"/>
      <c r="EV323" s="62"/>
      <c r="EW323" s="62"/>
      <c r="EX323" s="62"/>
      <c r="EY323" s="62"/>
      <c r="EZ323" s="62"/>
      <c r="FA323" s="62"/>
      <c r="FB323" s="62"/>
      <c r="FC323" s="62"/>
      <c r="FD323" s="62"/>
      <c r="FE323" s="62"/>
      <c r="FF323" s="62"/>
      <c r="FG323" s="62"/>
      <c r="FH323" s="62"/>
      <c r="FI323" s="62"/>
      <c r="FJ323" s="62"/>
      <c r="FK323" s="62"/>
      <c r="FL323" s="62"/>
      <c r="FM323" s="62"/>
      <c r="FN323" s="62"/>
      <c r="FO323" s="62"/>
      <c r="FP323" s="62"/>
      <c r="FQ323" s="62"/>
      <c r="FR323" s="62"/>
      <c r="FS323" s="62"/>
      <c r="FT323" s="62"/>
      <c r="FU323" s="62"/>
      <c r="FV323" s="62"/>
    </row>
    <row r="324" spans="1:178" ht="13.8">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c r="AT324" s="62"/>
      <c r="AU324" s="62"/>
      <c r="AV324" s="62"/>
      <c r="AW324" s="62"/>
      <c r="AX324" s="62"/>
      <c r="AY324" s="62"/>
      <c r="AZ324" s="62"/>
      <c r="BA324" s="62"/>
      <c r="BB324" s="62"/>
      <c r="BC324" s="62"/>
      <c r="BD324" s="62"/>
      <c r="BE324" s="62"/>
      <c r="BF324" s="62"/>
      <c r="BG324" s="62"/>
      <c r="BH324" s="62"/>
      <c r="BI324" s="62"/>
      <c r="BJ324" s="62"/>
      <c r="BK324" s="62"/>
      <c r="BL324" s="62"/>
      <c r="BM324" s="62"/>
      <c r="BN324" s="62"/>
      <c r="BO324" s="62"/>
      <c r="BP324" s="62"/>
      <c r="BQ324" s="62"/>
      <c r="BR324" s="62"/>
      <c r="BS324" s="62"/>
      <c r="BT324" s="62"/>
      <c r="BU324" s="62"/>
      <c r="BV324" s="62"/>
      <c r="BW324" s="62"/>
      <c r="BX324" s="62"/>
      <c r="BY324" s="62"/>
      <c r="BZ324" s="62"/>
      <c r="CA324" s="62"/>
      <c r="CB324" s="62"/>
      <c r="CC324" s="62"/>
      <c r="CD324" s="62"/>
      <c r="CE324" s="62"/>
      <c r="CF324" s="62"/>
      <c r="CG324" s="62"/>
      <c r="CH324" s="62"/>
      <c r="CI324" s="62"/>
      <c r="CJ324" s="62"/>
      <c r="CK324" s="62"/>
      <c r="CL324" s="62"/>
      <c r="CM324" s="62"/>
      <c r="CN324" s="62"/>
      <c r="CO324" s="62"/>
      <c r="CP324" s="62"/>
      <c r="CQ324" s="62"/>
      <c r="CR324" s="62"/>
      <c r="CS324" s="62"/>
      <c r="CT324" s="62"/>
      <c r="CU324" s="62"/>
      <c r="CV324" s="62"/>
      <c r="CW324" s="62"/>
      <c r="CX324" s="62"/>
      <c r="CY324" s="62"/>
      <c r="CZ324" s="62"/>
      <c r="DA324" s="62"/>
      <c r="DB324" s="62"/>
      <c r="DC324" s="62"/>
      <c r="DD324" s="62"/>
      <c r="DE324" s="62"/>
      <c r="DF324" s="62"/>
      <c r="DG324" s="62"/>
      <c r="DH324" s="62"/>
      <c r="DI324" s="62"/>
      <c r="DJ324" s="62"/>
      <c r="DK324" s="62"/>
      <c r="DL324" s="62"/>
      <c r="DM324" s="62"/>
      <c r="DN324" s="62"/>
      <c r="DO324" s="62"/>
      <c r="DP324" s="62"/>
      <c r="DQ324" s="62"/>
      <c r="DR324" s="62"/>
      <c r="DS324" s="62"/>
      <c r="DT324" s="62"/>
      <c r="DU324" s="62"/>
      <c r="DV324" s="62"/>
      <c r="DW324" s="62"/>
      <c r="DX324" s="62"/>
      <c r="DY324" s="62"/>
      <c r="DZ324" s="62"/>
      <c r="EA324" s="62"/>
      <c r="EB324" s="62"/>
      <c r="EC324" s="62"/>
      <c r="ED324" s="62"/>
      <c r="EE324" s="62"/>
      <c r="EF324" s="62"/>
      <c r="EG324" s="62"/>
      <c r="EH324" s="62"/>
      <c r="EI324" s="62"/>
      <c r="EJ324" s="62"/>
      <c r="EK324" s="62"/>
      <c r="EL324" s="62"/>
      <c r="EM324" s="62"/>
      <c r="EN324" s="62"/>
      <c r="EO324" s="62"/>
      <c r="EP324" s="62"/>
      <c r="EQ324" s="62"/>
      <c r="ER324" s="62"/>
      <c r="ES324" s="62"/>
      <c r="ET324" s="62"/>
      <c r="EU324" s="62"/>
      <c r="EV324" s="62"/>
      <c r="EW324" s="62"/>
      <c r="EX324" s="62"/>
      <c r="EY324" s="62"/>
      <c r="EZ324" s="62"/>
      <c r="FA324" s="62"/>
      <c r="FB324" s="62"/>
      <c r="FC324" s="62"/>
      <c r="FD324" s="62"/>
      <c r="FE324" s="62"/>
      <c r="FF324" s="62"/>
      <c r="FG324" s="62"/>
      <c r="FH324" s="62"/>
      <c r="FI324" s="62"/>
      <c r="FJ324" s="62"/>
      <c r="FK324" s="62"/>
      <c r="FL324" s="62"/>
      <c r="FM324" s="62"/>
      <c r="FN324" s="62"/>
      <c r="FO324" s="62"/>
      <c r="FP324" s="62"/>
      <c r="FQ324" s="62"/>
      <c r="FR324" s="62"/>
      <c r="FS324" s="62"/>
      <c r="FT324" s="62"/>
      <c r="FU324" s="62"/>
      <c r="FV324" s="62"/>
    </row>
    <row r="325" spans="1:178" ht="13.8">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c r="AT325" s="62"/>
      <c r="AU325" s="62"/>
      <c r="AV325" s="62"/>
      <c r="AW325" s="62"/>
      <c r="AX325" s="62"/>
      <c r="AY325" s="62"/>
      <c r="AZ325" s="62"/>
      <c r="BA325" s="62"/>
      <c r="BB325" s="62"/>
      <c r="BC325" s="62"/>
      <c r="BD325" s="62"/>
      <c r="BE325" s="62"/>
      <c r="BF325" s="62"/>
      <c r="BG325" s="62"/>
      <c r="BH325" s="62"/>
      <c r="BI325" s="62"/>
      <c r="BJ325" s="62"/>
      <c r="BK325" s="62"/>
      <c r="BL325" s="62"/>
      <c r="BM325" s="62"/>
      <c r="BN325" s="62"/>
      <c r="BO325" s="62"/>
      <c r="BP325" s="62"/>
      <c r="BQ325" s="62"/>
      <c r="BR325" s="62"/>
      <c r="BS325" s="62"/>
      <c r="BT325" s="62"/>
      <c r="BU325" s="62"/>
      <c r="BV325" s="62"/>
      <c r="BW325" s="62"/>
      <c r="BX325" s="62"/>
      <c r="BY325" s="62"/>
      <c r="BZ325" s="62"/>
      <c r="CA325" s="62"/>
      <c r="CB325" s="62"/>
      <c r="CC325" s="62"/>
      <c r="CD325" s="62"/>
      <c r="CE325" s="62"/>
      <c r="CF325" s="62"/>
      <c r="CG325" s="62"/>
      <c r="CH325" s="62"/>
      <c r="CI325" s="62"/>
      <c r="CJ325" s="62"/>
      <c r="CK325" s="62"/>
      <c r="CL325" s="62"/>
      <c r="CM325" s="62"/>
      <c r="CN325" s="62"/>
      <c r="CO325" s="62"/>
      <c r="CP325" s="62"/>
      <c r="CQ325" s="62"/>
      <c r="CR325" s="62"/>
      <c r="CS325" s="62"/>
      <c r="CT325" s="62"/>
      <c r="CU325" s="62"/>
      <c r="CV325" s="62"/>
      <c r="CW325" s="62"/>
      <c r="CX325" s="62"/>
      <c r="CY325" s="62"/>
      <c r="CZ325" s="62"/>
      <c r="DA325" s="62"/>
      <c r="DB325" s="62"/>
      <c r="DC325" s="62"/>
      <c r="DD325" s="62"/>
      <c r="DE325" s="62"/>
      <c r="DF325" s="62"/>
      <c r="DG325" s="62"/>
      <c r="DH325" s="62"/>
      <c r="DI325" s="62"/>
      <c r="DJ325" s="62"/>
      <c r="DK325" s="62"/>
      <c r="DL325" s="62"/>
      <c r="DM325" s="62"/>
      <c r="DN325" s="62"/>
      <c r="DO325" s="62"/>
      <c r="DP325" s="62"/>
      <c r="DQ325" s="62"/>
      <c r="DR325" s="62"/>
      <c r="DS325" s="62"/>
      <c r="DT325" s="62"/>
      <c r="DU325" s="62"/>
      <c r="DV325" s="62"/>
      <c r="DW325" s="62"/>
      <c r="DX325" s="62"/>
      <c r="DY325" s="62"/>
      <c r="DZ325" s="62"/>
      <c r="EA325" s="62"/>
      <c r="EB325" s="62"/>
      <c r="EC325" s="62"/>
      <c r="ED325" s="62"/>
      <c r="EE325" s="62"/>
      <c r="EF325" s="62"/>
      <c r="EG325" s="62"/>
      <c r="EH325" s="62"/>
      <c r="EI325" s="62"/>
      <c r="EJ325" s="62"/>
      <c r="EK325" s="62"/>
      <c r="EL325" s="62"/>
      <c r="EM325" s="62"/>
      <c r="EN325" s="62"/>
      <c r="EO325" s="62"/>
      <c r="EP325" s="62"/>
      <c r="EQ325" s="62"/>
      <c r="ER325" s="62"/>
      <c r="ES325" s="62"/>
      <c r="ET325" s="62"/>
      <c r="EU325" s="62"/>
      <c r="EV325" s="62"/>
      <c r="EW325" s="62"/>
      <c r="EX325" s="62"/>
      <c r="EY325" s="62"/>
      <c r="EZ325" s="62"/>
      <c r="FA325" s="62"/>
      <c r="FB325" s="62"/>
      <c r="FC325" s="62"/>
      <c r="FD325" s="62"/>
      <c r="FE325" s="62"/>
      <c r="FF325" s="62"/>
      <c r="FG325" s="62"/>
      <c r="FH325" s="62"/>
      <c r="FI325" s="62"/>
      <c r="FJ325" s="62"/>
      <c r="FK325" s="62"/>
      <c r="FL325" s="62"/>
      <c r="FM325" s="62"/>
      <c r="FN325" s="62"/>
      <c r="FO325" s="62"/>
      <c r="FP325" s="62"/>
      <c r="FQ325" s="62"/>
      <c r="FR325" s="62"/>
      <c r="FS325" s="62"/>
      <c r="FT325" s="62"/>
      <c r="FU325" s="62"/>
      <c r="FV325" s="62"/>
    </row>
    <row r="326" spans="1:178" ht="13.8">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c r="AT326" s="62"/>
      <c r="AU326" s="62"/>
      <c r="AV326" s="62"/>
      <c r="AW326" s="62"/>
      <c r="AX326" s="62"/>
      <c r="AY326" s="62"/>
      <c r="AZ326" s="62"/>
      <c r="BA326" s="62"/>
      <c r="BB326" s="62"/>
      <c r="BC326" s="62"/>
      <c r="BD326" s="62"/>
      <c r="BE326" s="62"/>
      <c r="BF326" s="62"/>
      <c r="BG326" s="62"/>
      <c r="BH326" s="62"/>
      <c r="BI326" s="62"/>
      <c r="BJ326" s="62"/>
      <c r="BK326" s="62"/>
      <c r="BL326" s="62"/>
      <c r="BM326" s="62"/>
      <c r="BN326" s="62"/>
      <c r="BO326" s="62"/>
      <c r="BP326" s="62"/>
      <c r="BQ326" s="62"/>
      <c r="BR326" s="62"/>
      <c r="BS326" s="62"/>
      <c r="BT326" s="62"/>
      <c r="BU326" s="62"/>
      <c r="BV326" s="62"/>
      <c r="BW326" s="62"/>
      <c r="BX326" s="62"/>
      <c r="BY326" s="62"/>
      <c r="BZ326" s="62"/>
      <c r="CA326" s="62"/>
      <c r="CB326" s="62"/>
      <c r="CC326" s="62"/>
      <c r="CD326" s="62"/>
      <c r="CE326" s="62"/>
      <c r="CF326" s="62"/>
      <c r="CG326" s="62"/>
      <c r="CH326" s="62"/>
      <c r="CI326" s="62"/>
      <c r="CJ326" s="62"/>
      <c r="CK326" s="62"/>
      <c r="CL326" s="62"/>
      <c r="CM326" s="62"/>
      <c r="CN326" s="62"/>
      <c r="CO326" s="62"/>
      <c r="CP326" s="62"/>
      <c r="CQ326" s="62"/>
      <c r="CR326" s="62"/>
      <c r="CS326" s="62"/>
      <c r="CT326" s="62"/>
      <c r="CU326" s="62"/>
      <c r="CV326" s="62"/>
      <c r="CW326" s="62"/>
      <c r="CX326" s="62"/>
      <c r="CY326" s="62"/>
      <c r="CZ326" s="62"/>
      <c r="DA326" s="62"/>
      <c r="DB326" s="62"/>
      <c r="DC326" s="62"/>
      <c r="DD326" s="62"/>
      <c r="DE326" s="62"/>
      <c r="DF326" s="62"/>
      <c r="DG326" s="62"/>
      <c r="DH326" s="62"/>
      <c r="DI326" s="62"/>
      <c r="DJ326" s="62"/>
      <c r="DK326" s="62"/>
      <c r="DL326" s="62"/>
      <c r="DM326" s="62"/>
      <c r="DN326" s="62"/>
      <c r="DO326" s="62"/>
      <c r="DP326" s="62"/>
      <c r="DQ326" s="62"/>
      <c r="DR326" s="62"/>
      <c r="DS326" s="62"/>
      <c r="DT326" s="62"/>
      <c r="DU326" s="62"/>
      <c r="DV326" s="62"/>
      <c r="DW326" s="62"/>
      <c r="DX326" s="62"/>
      <c r="DY326" s="62"/>
      <c r="DZ326" s="62"/>
      <c r="EA326" s="62"/>
      <c r="EB326" s="62"/>
      <c r="EC326" s="62"/>
      <c r="ED326" s="62"/>
      <c r="EE326" s="62"/>
      <c r="EF326" s="62"/>
      <c r="EG326" s="62"/>
      <c r="EH326" s="62"/>
      <c r="EI326" s="62"/>
      <c r="EJ326" s="62"/>
      <c r="EK326" s="62"/>
      <c r="EL326" s="62"/>
      <c r="EM326" s="62"/>
      <c r="EN326" s="62"/>
      <c r="EO326" s="62"/>
      <c r="EP326" s="62"/>
      <c r="EQ326" s="62"/>
      <c r="ER326" s="62"/>
      <c r="ES326" s="62"/>
      <c r="ET326" s="62"/>
      <c r="EU326" s="62"/>
      <c r="EV326" s="62"/>
      <c r="EW326" s="62"/>
      <c r="EX326" s="62"/>
      <c r="EY326" s="62"/>
      <c r="EZ326" s="62"/>
      <c r="FA326" s="62"/>
      <c r="FB326" s="62"/>
      <c r="FC326" s="62"/>
      <c r="FD326" s="62"/>
      <c r="FE326" s="62"/>
      <c r="FF326" s="62"/>
      <c r="FG326" s="62"/>
      <c r="FH326" s="62"/>
      <c r="FI326" s="62"/>
      <c r="FJ326" s="62"/>
      <c r="FK326" s="62"/>
      <c r="FL326" s="62"/>
      <c r="FM326" s="62"/>
      <c r="FN326" s="62"/>
      <c r="FO326" s="62"/>
      <c r="FP326" s="62"/>
      <c r="FQ326" s="62"/>
      <c r="FR326" s="62"/>
      <c r="FS326" s="62"/>
      <c r="FT326" s="62"/>
      <c r="FU326" s="62"/>
      <c r="FV326" s="62"/>
    </row>
    <row r="327" spans="1:178" ht="13.8">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c r="AT327" s="62"/>
      <c r="AU327" s="62"/>
      <c r="AV327" s="62"/>
      <c r="AW327" s="62"/>
      <c r="AX327" s="62"/>
      <c r="AY327" s="62"/>
      <c r="AZ327" s="62"/>
      <c r="BA327" s="62"/>
      <c r="BB327" s="62"/>
      <c r="BC327" s="62"/>
      <c r="BD327" s="62"/>
      <c r="BE327" s="62"/>
      <c r="BF327" s="62"/>
      <c r="BG327" s="62"/>
      <c r="BH327" s="62"/>
      <c r="BI327" s="62"/>
      <c r="BJ327" s="62"/>
      <c r="BK327" s="62"/>
      <c r="BL327" s="62"/>
      <c r="BM327" s="62"/>
      <c r="BN327" s="62"/>
      <c r="BO327" s="62"/>
      <c r="BP327" s="62"/>
      <c r="BQ327" s="62"/>
      <c r="BR327" s="62"/>
      <c r="BS327" s="62"/>
      <c r="BT327" s="62"/>
      <c r="BU327" s="62"/>
      <c r="BV327" s="62"/>
      <c r="BW327" s="62"/>
      <c r="BX327" s="62"/>
      <c r="BY327" s="62"/>
      <c r="BZ327" s="62"/>
      <c r="CA327" s="62"/>
      <c r="CB327" s="62"/>
      <c r="CC327" s="62"/>
      <c r="CD327" s="62"/>
      <c r="CE327" s="62"/>
      <c r="CF327" s="62"/>
      <c r="CG327" s="62"/>
      <c r="CH327" s="62"/>
      <c r="CI327" s="62"/>
      <c r="CJ327" s="62"/>
      <c r="CK327" s="62"/>
      <c r="CL327" s="62"/>
      <c r="CM327" s="62"/>
      <c r="CN327" s="62"/>
      <c r="CO327" s="62"/>
      <c r="CP327" s="62"/>
      <c r="CQ327" s="62"/>
      <c r="CR327" s="62"/>
      <c r="CS327" s="62"/>
      <c r="CT327" s="62"/>
      <c r="CU327" s="62"/>
      <c r="CV327" s="62"/>
      <c r="CW327" s="62"/>
      <c r="CX327" s="62"/>
      <c r="CY327" s="62"/>
      <c r="CZ327" s="62"/>
      <c r="DA327" s="62"/>
      <c r="DB327" s="62"/>
      <c r="DC327" s="62"/>
      <c r="DD327" s="62"/>
      <c r="DE327" s="62"/>
      <c r="DF327" s="62"/>
      <c r="DG327" s="62"/>
      <c r="DH327" s="62"/>
      <c r="DI327" s="62"/>
      <c r="DJ327" s="62"/>
      <c r="DK327" s="62"/>
      <c r="DL327" s="62"/>
      <c r="DM327" s="62"/>
      <c r="DN327" s="62"/>
      <c r="DO327" s="62"/>
      <c r="DP327" s="62"/>
      <c r="DQ327" s="62"/>
      <c r="DR327" s="62"/>
      <c r="DS327" s="62"/>
      <c r="DT327" s="62"/>
      <c r="DU327" s="62"/>
      <c r="DV327" s="62"/>
      <c r="DW327" s="62"/>
      <c r="DX327" s="62"/>
      <c r="DY327" s="62"/>
      <c r="DZ327" s="62"/>
      <c r="EA327" s="62"/>
      <c r="EB327" s="62"/>
      <c r="EC327" s="62"/>
      <c r="ED327" s="62"/>
      <c r="EE327" s="62"/>
      <c r="EF327" s="62"/>
      <c r="EG327" s="62"/>
      <c r="EH327" s="62"/>
      <c r="EI327" s="62"/>
      <c r="EJ327" s="62"/>
      <c r="EK327" s="62"/>
      <c r="EL327" s="62"/>
      <c r="EM327" s="62"/>
      <c r="EN327" s="62"/>
      <c r="EO327" s="62"/>
      <c r="EP327" s="62"/>
      <c r="EQ327" s="62"/>
      <c r="ER327" s="62"/>
      <c r="ES327" s="62"/>
      <c r="ET327" s="62"/>
      <c r="EU327" s="62"/>
      <c r="EV327" s="62"/>
      <c r="EW327" s="62"/>
      <c r="EX327" s="62"/>
      <c r="EY327" s="62"/>
      <c r="EZ327" s="62"/>
      <c r="FA327" s="62"/>
      <c r="FB327" s="62"/>
      <c r="FC327" s="62"/>
      <c r="FD327" s="62"/>
      <c r="FE327" s="62"/>
      <c r="FF327" s="62"/>
      <c r="FG327" s="62"/>
      <c r="FH327" s="62"/>
      <c r="FI327" s="62"/>
      <c r="FJ327" s="62"/>
      <c r="FK327" s="62"/>
      <c r="FL327" s="62"/>
      <c r="FM327" s="62"/>
      <c r="FN327" s="62"/>
      <c r="FO327" s="62"/>
      <c r="FP327" s="62"/>
      <c r="FQ327" s="62"/>
      <c r="FR327" s="62"/>
      <c r="FS327" s="62"/>
      <c r="FT327" s="62"/>
      <c r="FU327" s="62"/>
      <c r="FV327" s="62"/>
    </row>
    <row r="328" spans="1:178" ht="13.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c r="AT328" s="62"/>
      <c r="AU328" s="62"/>
      <c r="AV328" s="62"/>
      <c r="AW328" s="62"/>
      <c r="AX328" s="62"/>
      <c r="AY328" s="62"/>
      <c r="AZ328" s="62"/>
      <c r="BA328" s="62"/>
      <c r="BB328" s="62"/>
      <c r="BC328" s="62"/>
      <c r="BD328" s="62"/>
      <c r="BE328" s="62"/>
      <c r="BF328" s="62"/>
      <c r="BG328" s="62"/>
      <c r="BH328" s="62"/>
      <c r="BI328" s="62"/>
      <c r="BJ328" s="62"/>
      <c r="BK328" s="62"/>
      <c r="BL328" s="62"/>
      <c r="BM328" s="62"/>
      <c r="BN328" s="62"/>
      <c r="BO328" s="62"/>
      <c r="BP328" s="62"/>
      <c r="BQ328" s="62"/>
      <c r="BR328" s="62"/>
      <c r="BS328" s="62"/>
      <c r="BT328" s="62"/>
      <c r="BU328" s="62"/>
      <c r="BV328" s="62"/>
      <c r="BW328" s="62"/>
      <c r="BX328" s="62"/>
      <c r="BY328" s="62"/>
      <c r="BZ328" s="62"/>
      <c r="CA328" s="62"/>
      <c r="CB328" s="62"/>
      <c r="CC328" s="62"/>
      <c r="CD328" s="62"/>
      <c r="CE328" s="62"/>
      <c r="CF328" s="62"/>
      <c r="CG328" s="62"/>
      <c r="CH328" s="62"/>
      <c r="CI328" s="62"/>
      <c r="CJ328" s="62"/>
      <c r="CK328" s="62"/>
      <c r="CL328" s="62"/>
      <c r="CM328" s="62"/>
      <c r="CN328" s="62"/>
      <c r="CO328" s="62"/>
      <c r="CP328" s="62"/>
      <c r="CQ328" s="62"/>
      <c r="CR328" s="62"/>
      <c r="CS328" s="62"/>
      <c r="CT328" s="62"/>
      <c r="CU328" s="62"/>
      <c r="CV328" s="62"/>
      <c r="CW328" s="62"/>
      <c r="CX328" s="62"/>
      <c r="CY328" s="62"/>
      <c r="CZ328" s="62"/>
      <c r="DA328" s="62"/>
      <c r="DB328" s="62"/>
      <c r="DC328" s="62"/>
      <c r="DD328" s="62"/>
      <c r="DE328" s="62"/>
      <c r="DF328" s="62"/>
      <c r="DG328" s="62"/>
      <c r="DH328" s="62"/>
      <c r="DI328" s="62"/>
      <c r="DJ328" s="62"/>
      <c r="DK328" s="62"/>
      <c r="DL328" s="62"/>
      <c r="DM328" s="62"/>
      <c r="DN328" s="62"/>
      <c r="DO328" s="62"/>
      <c r="DP328" s="62"/>
      <c r="DQ328" s="62"/>
      <c r="DR328" s="62"/>
      <c r="DS328" s="62"/>
      <c r="DT328" s="62"/>
      <c r="DU328" s="62"/>
      <c r="DV328" s="62"/>
      <c r="DW328" s="62"/>
      <c r="DX328" s="62"/>
      <c r="DY328" s="62"/>
      <c r="DZ328" s="62"/>
      <c r="EA328" s="62"/>
      <c r="EB328" s="62"/>
      <c r="EC328" s="62"/>
      <c r="ED328" s="62"/>
      <c r="EE328" s="62"/>
      <c r="EF328" s="62"/>
      <c r="EG328" s="62"/>
      <c r="EH328" s="62"/>
      <c r="EI328" s="62"/>
      <c r="EJ328" s="62"/>
      <c r="EK328" s="62"/>
      <c r="EL328" s="62"/>
      <c r="EM328" s="62"/>
      <c r="EN328" s="62"/>
      <c r="EO328" s="62"/>
      <c r="EP328" s="62"/>
      <c r="EQ328" s="62"/>
      <c r="ER328" s="62"/>
      <c r="ES328" s="62"/>
      <c r="ET328" s="62"/>
      <c r="EU328" s="62"/>
      <c r="EV328" s="62"/>
      <c r="EW328" s="62"/>
      <c r="EX328" s="62"/>
      <c r="EY328" s="62"/>
      <c r="EZ328" s="62"/>
      <c r="FA328" s="62"/>
      <c r="FB328" s="62"/>
      <c r="FC328" s="62"/>
      <c r="FD328" s="62"/>
      <c r="FE328" s="62"/>
      <c r="FF328" s="62"/>
      <c r="FG328" s="62"/>
      <c r="FH328" s="62"/>
      <c r="FI328" s="62"/>
      <c r="FJ328" s="62"/>
      <c r="FK328" s="62"/>
      <c r="FL328" s="62"/>
      <c r="FM328" s="62"/>
      <c r="FN328" s="62"/>
      <c r="FO328" s="62"/>
      <c r="FP328" s="62"/>
      <c r="FQ328" s="62"/>
      <c r="FR328" s="62"/>
      <c r="FS328" s="62"/>
      <c r="FT328" s="62"/>
      <c r="FU328" s="62"/>
      <c r="FV328" s="62"/>
    </row>
    <row r="329" spans="1:178" ht="13.8">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c r="AT329" s="62"/>
      <c r="AU329" s="62"/>
      <c r="AV329" s="62"/>
      <c r="AW329" s="62"/>
      <c r="AX329" s="62"/>
      <c r="AY329" s="62"/>
      <c r="AZ329" s="62"/>
      <c r="BA329" s="62"/>
      <c r="BB329" s="62"/>
      <c r="BC329" s="62"/>
      <c r="BD329" s="62"/>
      <c r="BE329" s="62"/>
      <c r="BF329" s="62"/>
      <c r="BG329" s="62"/>
      <c r="BH329" s="62"/>
      <c r="BI329" s="62"/>
      <c r="BJ329" s="62"/>
      <c r="BK329" s="62"/>
      <c r="BL329" s="62"/>
      <c r="BM329" s="62"/>
      <c r="BN329" s="62"/>
      <c r="BO329" s="62"/>
      <c r="BP329" s="62"/>
      <c r="BQ329" s="62"/>
      <c r="BR329" s="62"/>
      <c r="BS329" s="62"/>
      <c r="BT329" s="62"/>
      <c r="BU329" s="62"/>
      <c r="BV329" s="62"/>
      <c r="BW329" s="62"/>
      <c r="BX329" s="62"/>
      <c r="BY329" s="62"/>
      <c r="BZ329" s="62"/>
      <c r="CA329" s="62"/>
      <c r="CB329" s="62"/>
      <c r="CC329" s="62"/>
      <c r="CD329" s="62"/>
      <c r="CE329" s="62"/>
      <c r="CF329" s="62"/>
      <c r="CG329" s="62"/>
      <c r="CH329" s="62"/>
      <c r="CI329" s="62"/>
      <c r="CJ329" s="62"/>
      <c r="CK329" s="62"/>
      <c r="CL329" s="62"/>
      <c r="CM329" s="62"/>
      <c r="CN329" s="62"/>
      <c r="CO329" s="62"/>
      <c r="CP329" s="62"/>
      <c r="CQ329" s="62"/>
      <c r="CR329" s="62"/>
      <c r="CS329" s="62"/>
      <c r="CT329" s="62"/>
      <c r="CU329" s="62"/>
      <c r="CV329" s="62"/>
      <c r="CW329" s="62"/>
      <c r="CX329" s="62"/>
      <c r="CY329" s="62"/>
      <c r="CZ329" s="62"/>
      <c r="DA329" s="62"/>
      <c r="DB329" s="62"/>
      <c r="DC329" s="62"/>
      <c r="DD329" s="62"/>
      <c r="DE329" s="62"/>
      <c r="DF329" s="62"/>
      <c r="DG329" s="62"/>
      <c r="DH329" s="62"/>
      <c r="DI329" s="62"/>
      <c r="DJ329" s="62"/>
      <c r="DK329" s="62"/>
      <c r="DL329" s="62"/>
      <c r="DM329" s="62"/>
      <c r="DN329" s="62"/>
      <c r="DO329" s="62"/>
      <c r="DP329" s="62"/>
      <c r="DQ329" s="62"/>
      <c r="DR329" s="62"/>
      <c r="DS329" s="62"/>
      <c r="DT329" s="62"/>
      <c r="DU329" s="62"/>
      <c r="DV329" s="62"/>
      <c r="DW329" s="62"/>
      <c r="DX329" s="62"/>
      <c r="DY329" s="62"/>
      <c r="DZ329" s="62"/>
      <c r="EA329" s="62"/>
      <c r="EB329" s="62"/>
      <c r="EC329" s="62"/>
      <c r="ED329" s="62"/>
      <c r="EE329" s="62"/>
      <c r="EF329" s="62"/>
      <c r="EG329" s="62"/>
      <c r="EH329" s="62"/>
      <c r="EI329" s="62"/>
      <c r="EJ329" s="62"/>
      <c r="EK329" s="62"/>
      <c r="EL329" s="62"/>
      <c r="EM329" s="62"/>
      <c r="EN329" s="62"/>
      <c r="EO329" s="62"/>
      <c r="EP329" s="62"/>
      <c r="EQ329" s="62"/>
      <c r="ER329" s="62"/>
      <c r="ES329" s="62"/>
      <c r="ET329" s="62"/>
      <c r="EU329" s="62"/>
      <c r="EV329" s="62"/>
      <c r="EW329" s="62"/>
      <c r="EX329" s="62"/>
      <c r="EY329" s="62"/>
      <c r="EZ329" s="62"/>
      <c r="FA329" s="62"/>
      <c r="FB329" s="62"/>
      <c r="FC329" s="62"/>
      <c r="FD329" s="62"/>
      <c r="FE329" s="62"/>
      <c r="FF329" s="62"/>
      <c r="FG329" s="62"/>
      <c r="FH329" s="62"/>
      <c r="FI329" s="62"/>
      <c r="FJ329" s="62"/>
      <c r="FK329" s="62"/>
      <c r="FL329" s="62"/>
      <c r="FM329" s="62"/>
      <c r="FN329" s="62"/>
      <c r="FO329" s="62"/>
      <c r="FP329" s="62"/>
      <c r="FQ329" s="62"/>
      <c r="FR329" s="62"/>
      <c r="FS329" s="62"/>
      <c r="FT329" s="62"/>
      <c r="FU329" s="62"/>
      <c r="FV329" s="62"/>
    </row>
    <row r="330" spans="1:178" ht="13.8">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c r="AY330" s="62"/>
      <c r="AZ330" s="62"/>
      <c r="BA330" s="62"/>
      <c r="BB330" s="62"/>
      <c r="BC330" s="62"/>
      <c r="BD330" s="62"/>
      <c r="BE330" s="62"/>
      <c r="BF330" s="62"/>
      <c r="BG330" s="62"/>
      <c r="BH330" s="62"/>
      <c r="BI330" s="62"/>
      <c r="BJ330" s="62"/>
      <c r="BK330" s="62"/>
      <c r="BL330" s="62"/>
      <c r="BM330" s="62"/>
      <c r="BN330" s="62"/>
      <c r="BO330" s="62"/>
      <c r="BP330" s="62"/>
      <c r="BQ330" s="62"/>
      <c r="BR330" s="62"/>
      <c r="BS330" s="62"/>
      <c r="BT330" s="62"/>
      <c r="BU330" s="62"/>
      <c r="BV330" s="62"/>
      <c r="BW330" s="62"/>
      <c r="BX330" s="62"/>
      <c r="BY330" s="62"/>
      <c r="BZ330" s="62"/>
      <c r="CA330" s="62"/>
      <c r="CB330" s="62"/>
      <c r="CC330" s="62"/>
      <c r="CD330" s="62"/>
      <c r="CE330" s="62"/>
      <c r="CF330" s="62"/>
      <c r="CG330" s="62"/>
      <c r="CH330" s="62"/>
      <c r="CI330" s="62"/>
      <c r="CJ330" s="62"/>
      <c r="CK330" s="62"/>
      <c r="CL330" s="62"/>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c r="DO330" s="62"/>
      <c r="DP330" s="62"/>
      <c r="DQ330" s="62"/>
      <c r="DR330" s="62"/>
      <c r="DS330" s="62"/>
      <c r="DT330" s="62"/>
      <c r="DU330" s="62"/>
      <c r="DV330" s="62"/>
      <c r="DW330" s="62"/>
      <c r="DX330" s="62"/>
      <c r="DY330" s="62"/>
      <c r="DZ330" s="62"/>
      <c r="EA330" s="62"/>
      <c r="EB330" s="62"/>
      <c r="EC330" s="62"/>
      <c r="ED330" s="62"/>
      <c r="EE330" s="62"/>
      <c r="EF330" s="62"/>
      <c r="EG330" s="62"/>
      <c r="EH330" s="62"/>
      <c r="EI330" s="62"/>
      <c r="EJ330" s="62"/>
      <c r="EK330" s="62"/>
      <c r="EL330" s="62"/>
      <c r="EM330" s="62"/>
      <c r="EN330" s="62"/>
      <c r="EO330" s="62"/>
      <c r="EP330" s="62"/>
      <c r="EQ330" s="62"/>
      <c r="ER330" s="62"/>
      <c r="ES330" s="62"/>
      <c r="ET330" s="62"/>
      <c r="EU330" s="62"/>
      <c r="EV330" s="62"/>
      <c r="EW330" s="62"/>
      <c r="EX330" s="62"/>
      <c r="EY330" s="62"/>
      <c r="EZ330" s="62"/>
      <c r="FA330" s="62"/>
      <c r="FB330" s="62"/>
      <c r="FC330" s="62"/>
      <c r="FD330" s="62"/>
      <c r="FE330" s="62"/>
      <c r="FF330" s="62"/>
      <c r="FG330" s="62"/>
      <c r="FH330" s="62"/>
      <c r="FI330" s="62"/>
      <c r="FJ330" s="62"/>
      <c r="FK330" s="62"/>
      <c r="FL330" s="62"/>
      <c r="FM330" s="62"/>
      <c r="FN330" s="62"/>
      <c r="FO330" s="62"/>
      <c r="FP330" s="62"/>
      <c r="FQ330" s="62"/>
      <c r="FR330" s="62"/>
      <c r="FS330" s="62"/>
      <c r="FT330" s="62"/>
      <c r="FU330" s="62"/>
      <c r="FV330" s="62"/>
    </row>
    <row r="331" spans="1:178" ht="13.8">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c r="AT331" s="62"/>
      <c r="AU331" s="62"/>
      <c r="AV331" s="62"/>
      <c r="AW331" s="62"/>
      <c r="AX331" s="62"/>
      <c r="AY331" s="62"/>
      <c r="AZ331" s="62"/>
      <c r="BA331" s="62"/>
      <c r="BB331" s="62"/>
      <c r="BC331" s="62"/>
      <c r="BD331" s="62"/>
      <c r="BE331" s="62"/>
      <c r="BF331" s="62"/>
      <c r="BG331" s="62"/>
      <c r="BH331" s="62"/>
      <c r="BI331" s="62"/>
      <c r="BJ331" s="62"/>
      <c r="BK331" s="62"/>
      <c r="BL331" s="62"/>
      <c r="BM331" s="62"/>
      <c r="BN331" s="62"/>
      <c r="BO331" s="62"/>
      <c r="BP331" s="62"/>
      <c r="BQ331" s="62"/>
      <c r="BR331" s="62"/>
      <c r="BS331" s="62"/>
      <c r="BT331" s="62"/>
      <c r="BU331" s="62"/>
      <c r="BV331" s="62"/>
      <c r="BW331" s="62"/>
      <c r="BX331" s="62"/>
      <c r="BY331" s="62"/>
      <c r="BZ331" s="62"/>
      <c r="CA331" s="62"/>
      <c r="CB331" s="62"/>
      <c r="CC331" s="62"/>
      <c r="CD331" s="62"/>
      <c r="CE331" s="62"/>
      <c r="CF331" s="62"/>
      <c r="CG331" s="62"/>
      <c r="CH331" s="62"/>
      <c r="CI331" s="62"/>
      <c r="CJ331" s="62"/>
      <c r="CK331" s="62"/>
      <c r="CL331" s="62"/>
      <c r="CM331" s="62"/>
      <c r="CN331" s="62"/>
      <c r="CO331" s="62"/>
      <c r="CP331" s="62"/>
      <c r="CQ331" s="62"/>
      <c r="CR331" s="62"/>
      <c r="CS331" s="62"/>
      <c r="CT331" s="62"/>
      <c r="CU331" s="62"/>
      <c r="CV331" s="62"/>
      <c r="CW331" s="62"/>
      <c r="CX331" s="62"/>
      <c r="CY331" s="62"/>
      <c r="CZ331" s="62"/>
      <c r="DA331" s="62"/>
      <c r="DB331" s="62"/>
      <c r="DC331" s="62"/>
      <c r="DD331" s="62"/>
      <c r="DE331" s="62"/>
      <c r="DF331" s="62"/>
      <c r="DG331" s="62"/>
      <c r="DH331" s="62"/>
      <c r="DI331" s="62"/>
      <c r="DJ331" s="62"/>
      <c r="DK331" s="62"/>
      <c r="DL331" s="62"/>
      <c r="DM331" s="62"/>
      <c r="DN331" s="62"/>
      <c r="DO331" s="62"/>
      <c r="DP331" s="62"/>
      <c r="DQ331" s="62"/>
      <c r="DR331" s="62"/>
      <c r="DS331" s="62"/>
      <c r="DT331" s="62"/>
      <c r="DU331" s="62"/>
      <c r="DV331" s="62"/>
      <c r="DW331" s="62"/>
      <c r="DX331" s="62"/>
      <c r="DY331" s="62"/>
      <c r="DZ331" s="62"/>
      <c r="EA331" s="62"/>
      <c r="EB331" s="62"/>
      <c r="EC331" s="62"/>
      <c r="ED331" s="62"/>
      <c r="EE331" s="62"/>
      <c r="EF331" s="62"/>
      <c r="EG331" s="62"/>
      <c r="EH331" s="62"/>
      <c r="EI331" s="62"/>
      <c r="EJ331" s="62"/>
      <c r="EK331" s="62"/>
      <c r="EL331" s="62"/>
      <c r="EM331" s="62"/>
      <c r="EN331" s="62"/>
      <c r="EO331" s="62"/>
      <c r="EP331" s="62"/>
      <c r="EQ331" s="62"/>
      <c r="ER331" s="62"/>
      <c r="ES331" s="62"/>
      <c r="ET331" s="62"/>
      <c r="EU331" s="62"/>
      <c r="EV331" s="62"/>
      <c r="EW331" s="62"/>
      <c r="EX331" s="62"/>
      <c r="EY331" s="62"/>
      <c r="EZ331" s="62"/>
      <c r="FA331" s="62"/>
      <c r="FB331" s="62"/>
      <c r="FC331" s="62"/>
      <c r="FD331" s="62"/>
      <c r="FE331" s="62"/>
      <c r="FF331" s="62"/>
      <c r="FG331" s="62"/>
      <c r="FH331" s="62"/>
      <c r="FI331" s="62"/>
      <c r="FJ331" s="62"/>
      <c r="FK331" s="62"/>
      <c r="FL331" s="62"/>
      <c r="FM331" s="62"/>
      <c r="FN331" s="62"/>
      <c r="FO331" s="62"/>
      <c r="FP331" s="62"/>
      <c r="FQ331" s="62"/>
      <c r="FR331" s="62"/>
      <c r="FS331" s="62"/>
      <c r="FT331" s="62"/>
      <c r="FU331" s="62"/>
      <c r="FV331" s="62"/>
    </row>
    <row r="332" spans="1:178" ht="13.8">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c r="AY332" s="62"/>
      <c r="AZ332" s="62"/>
      <c r="BA332" s="62"/>
      <c r="BB332" s="62"/>
      <c r="BC332" s="62"/>
      <c r="BD332" s="62"/>
      <c r="BE332" s="62"/>
      <c r="BF332" s="62"/>
      <c r="BG332" s="62"/>
      <c r="BH332" s="62"/>
      <c r="BI332" s="62"/>
      <c r="BJ332" s="62"/>
      <c r="BK332" s="62"/>
      <c r="BL332" s="62"/>
      <c r="BM332" s="62"/>
      <c r="BN332" s="62"/>
      <c r="BO332" s="62"/>
      <c r="BP332" s="62"/>
      <c r="BQ332" s="62"/>
      <c r="BR332" s="62"/>
      <c r="BS332" s="62"/>
      <c r="BT332" s="62"/>
      <c r="BU332" s="62"/>
      <c r="BV332" s="62"/>
      <c r="BW332" s="62"/>
      <c r="BX332" s="62"/>
      <c r="BY332" s="62"/>
      <c r="BZ332" s="62"/>
      <c r="CA332" s="62"/>
      <c r="CB332" s="62"/>
      <c r="CC332" s="62"/>
      <c r="CD332" s="62"/>
      <c r="CE332" s="62"/>
      <c r="CF332" s="62"/>
      <c r="CG332" s="62"/>
      <c r="CH332" s="62"/>
      <c r="CI332" s="62"/>
      <c r="CJ332" s="62"/>
      <c r="CK332" s="62"/>
      <c r="CL332" s="62"/>
      <c r="CM332" s="62"/>
      <c r="CN332" s="62"/>
      <c r="CO332" s="62"/>
      <c r="CP332" s="62"/>
      <c r="CQ332" s="62"/>
      <c r="CR332" s="62"/>
      <c r="CS332" s="62"/>
      <c r="CT332" s="62"/>
      <c r="CU332" s="62"/>
      <c r="CV332" s="62"/>
      <c r="CW332" s="62"/>
      <c r="CX332" s="62"/>
      <c r="CY332" s="62"/>
      <c r="CZ332" s="62"/>
      <c r="DA332" s="62"/>
      <c r="DB332" s="62"/>
      <c r="DC332" s="62"/>
      <c r="DD332" s="62"/>
      <c r="DE332" s="62"/>
      <c r="DF332" s="62"/>
      <c r="DG332" s="62"/>
      <c r="DH332" s="62"/>
      <c r="DI332" s="62"/>
      <c r="DJ332" s="62"/>
      <c r="DK332" s="62"/>
      <c r="DL332" s="62"/>
      <c r="DM332" s="62"/>
      <c r="DN332" s="62"/>
      <c r="DO332" s="62"/>
      <c r="DP332" s="62"/>
      <c r="DQ332" s="62"/>
      <c r="DR332" s="62"/>
      <c r="DS332" s="62"/>
      <c r="DT332" s="62"/>
      <c r="DU332" s="62"/>
      <c r="DV332" s="62"/>
      <c r="DW332" s="62"/>
      <c r="DX332" s="62"/>
      <c r="DY332" s="62"/>
      <c r="DZ332" s="62"/>
      <c r="EA332" s="62"/>
      <c r="EB332" s="62"/>
      <c r="EC332" s="62"/>
      <c r="ED332" s="62"/>
      <c r="EE332" s="62"/>
      <c r="EF332" s="62"/>
      <c r="EG332" s="62"/>
      <c r="EH332" s="62"/>
      <c r="EI332" s="62"/>
      <c r="EJ332" s="62"/>
      <c r="EK332" s="62"/>
      <c r="EL332" s="62"/>
      <c r="EM332" s="62"/>
      <c r="EN332" s="62"/>
      <c r="EO332" s="62"/>
      <c r="EP332" s="62"/>
      <c r="EQ332" s="62"/>
      <c r="ER332" s="62"/>
      <c r="ES332" s="62"/>
      <c r="ET332" s="62"/>
      <c r="EU332" s="62"/>
      <c r="EV332" s="62"/>
      <c r="EW332" s="62"/>
      <c r="EX332" s="62"/>
      <c r="EY332" s="62"/>
      <c r="EZ332" s="62"/>
      <c r="FA332" s="62"/>
      <c r="FB332" s="62"/>
      <c r="FC332" s="62"/>
      <c r="FD332" s="62"/>
      <c r="FE332" s="62"/>
      <c r="FF332" s="62"/>
      <c r="FG332" s="62"/>
      <c r="FH332" s="62"/>
      <c r="FI332" s="62"/>
      <c r="FJ332" s="62"/>
      <c r="FK332" s="62"/>
      <c r="FL332" s="62"/>
      <c r="FM332" s="62"/>
      <c r="FN332" s="62"/>
      <c r="FO332" s="62"/>
      <c r="FP332" s="62"/>
      <c r="FQ332" s="62"/>
      <c r="FR332" s="62"/>
      <c r="FS332" s="62"/>
      <c r="FT332" s="62"/>
      <c r="FU332" s="62"/>
      <c r="FV332" s="62"/>
    </row>
    <row r="333" spans="1:178" ht="13.8">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c r="AY333" s="62"/>
      <c r="AZ333" s="62"/>
      <c r="BA333" s="62"/>
      <c r="BB333" s="62"/>
      <c r="BC333" s="62"/>
      <c r="BD333" s="62"/>
      <c r="BE333" s="62"/>
      <c r="BF333" s="62"/>
      <c r="BG333" s="62"/>
      <c r="BH333" s="62"/>
      <c r="BI333" s="62"/>
      <c r="BJ333" s="62"/>
      <c r="BK333" s="62"/>
      <c r="BL333" s="62"/>
      <c r="BM333" s="62"/>
      <c r="BN333" s="62"/>
      <c r="BO333" s="62"/>
      <c r="BP333" s="62"/>
      <c r="BQ333" s="62"/>
      <c r="BR333" s="62"/>
      <c r="BS333" s="62"/>
      <c r="BT333" s="62"/>
      <c r="BU333" s="62"/>
      <c r="BV333" s="62"/>
      <c r="BW333" s="62"/>
      <c r="BX333" s="62"/>
      <c r="BY333" s="62"/>
      <c r="BZ333" s="62"/>
      <c r="CA333" s="62"/>
      <c r="CB333" s="62"/>
      <c r="CC333" s="62"/>
      <c r="CD333" s="62"/>
      <c r="CE333" s="62"/>
      <c r="CF333" s="62"/>
      <c r="CG333" s="62"/>
      <c r="CH333" s="62"/>
      <c r="CI333" s="62"/>
      <c r="CJ333" s="62"/>
      <c r="CK333" s="62"/>
      <c r="CL333" s="62"/>
      <c r="CM333" s="62"/>
      <c r="CN333" s="62"/>
      <c r="CO333" s="62"/>
      <c r="CP333" s="62"/>
      <c r="CQ333" s="62"/>
      <c r="CR333" s="62"/>
      <c r="CS333" s="62"/>
      <c r="CT333" s="62"/>
      <c r="CU333" s="62"/>
      <c r="CV333" s="62"/>
      <c r="CW333" s="62"/>
      <c r="CX333" s="62"/>
      <c r="CY333" s="62"/>
      <c r="CZ333" s="62"/>
      <c r="DA333" s="62"/>
      <c r="DB333" s="62"/>
      <c r="DC333" s="62"/>
      <c r="DD333" s="62"/>
      <c r="DE333" s="62"/>
      <c r="DF333" s="62"/>
      <c r="DG333" s="62"/>
      <c r="DH333" s="62"/>
      <c r="DI333" s="62"/>
      <c r="DJ333" s="62"/>
      <c r="DK333" s="62"/>
      <c r="DL333" s="62"/>
      <c r="DM333" s="62"/>
      <c r="DN333" s="62"/>
      <c r="DO333" s="62"/>
      <c r="DP333" s="62"/>
      <c r="DQ333" s="62"/>
      <c r="DR333" s="62"/>
      <c r="DS333" s="62"/>
      <c r="DT333" s="62"/>
      <c r="DU333" s="62"/>
      <c r="DV333" s="62"/>
      <c r="DW333" s="62"/>
      <c r="DX333" s="62"/>
      <c r="DY333" s="62"/>
      <c r="DZ333" s="62"/>
      <c r="EA333" s="62"/>
      <c r="EB333" s="62"/>
      <c r="EC333" s="62"/>
      <c r="ED333" s="62"/>
      <c r="EE333" s="62"/>
      <c r="EF333" s="62"/>
      <c r="EG333" s="62"/>
      <c r="EH333" s="62"/>
      <c r="EI333" s="62"/>
      <c r="EJ333" s="62"/>
      <c r="EK333" s="62"/>
      <c r="EL333" s="62"/>
      <c r="EM333" s="62"/>
      <c r="EN333" s="62"/>
      <c r="EO333" s="62"/>
      <c r="EP333" s="62"/>
      <c r="EQ333" s="62"/>
      <c r="ER333" s="62"/>
      <c r="ES333" s="62"/>
      <c r="ET333" s="62"/>
      <c r="EU333" s="62"/>
      <c r="EV333" s="62"/>
      <c r="EW333" s="62"/>
      <c r="EX333" s="62"/>
      <c r="EY333" s="62"/>
      <c r="EZ333" s="62"/>
      <c r="FA333" s="62"/>
      <c r="FB333" s="62"/>
      <c r="FC333" s="62"/>
      <c r="FD333" s="62"/>
      <c r="FE333" s="62"/>
      <c r="FF333" s="62"/>
      <c r="FG333" s="62"/>
      <c r="FH333" s="62"/>
      <c r="FI333" s="62"/>
      <c r="FJ333" s="62"/>
      <c r="FK333" s="62"/>
      <c r="FL333" s="62"/>
      <c r="FM333" s="62"/>
      <c r="FN333" s="62"/>
      <c r="FO333" s="62"/>
      <c r="FP333" s="62"/>
      <c r="FQ333" s="62"/>
      <c r="FR333" s="62"/>
      <c r="FS333" s="62"/>
      <c r="FT333" s="62"/>
      <c r="FU333" s="62"/>
      <c r="FV333" s="62"/>
    </row>
    <row r="334" spans="1:178" ht="13.8">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c r="AT334" s="62"/>
      <c r="AU334" s="62"/>
      <c r="AV334" s="62"/>
      <c r="AW334" s="62"/>
      <c r="AX334" s="62"/>
      <c r="AY334" s="62"/>
      <c r="AZ334" s="62"/>
      <c r="BA334" s="62"/>
      <c r="BB334" s="62"/>
      <c r="BC334" s="62"/>
      <c r="BD334" s="62"/>
      <c r="BE334" s="62"/>
      <c r="BF334" s="62"/>
      <c r="BG334" s="62"/>
      <c r="BH334" s="62"/>
      <c r="BI334" s="62"/>
      <c r="BJ334" s="62"/>
      <c r="BK334" s="62"/>
      <c r="BL334" s="62"/>
      <c r="BM334" s="62"/>
      <c r="BN334" s="62"/>
      <c r="BO334" s="62"/>
      <c r="BP334" s="62"/>
      <c r="BQ334" s="62"/>
      <c r="BR334" s="62"/>
      <c r="BS334" s="62"/>
      <c r="BT334" s="62"/>
      <c r="BU334" s="62"/>
      <c r="BV334" s="62"/>
      <c r="BW334" s="62"/>
      <c r="BX334" s="62"/>
      <c r="BY334" s="62"/>
      <c r="BZ334" s="62"/>
      <c r="CA334" s="62"/>
      <c r="CB334" s="62"/>
      <c r="CC334" s="62"/>
      <c r="CD334" s="62"/>
      <c r="CE334" s="62"/>
      <c r="CF334" s="62"/>
      <c r="CG334" s="62"/>
      <c r="CH334" s="62"/>
      <c r="CI334" s="62"/>
      <c r="CJ334" s="62"/>
      <c r="CK334" s="62"/>
      <c r="CL334" s="62"/>
      <c r="CM334" s="62"/>
      <c r="CN334" s="62"/>
      <c r="CO334" s="62"/>
      <c r="CP334" s="62"/>
      <c r="CQ334" s="62"/>
      <c r="CR334" s="62"/>
      <c r="CS334" s="62"/>
      <c r="CT334" s="62"/>
      <c r="CU334" s="62"/>
      <c r="CV334" s="62"/>
      <c r="CW334" s="62"/>
      <c r="CX334" s="62"/>
      <c r="CY334" s="62"/>
      <c r="CZ334" s="62"/>
      <c r="DA334" s="62"/>
      <c r="DB334" s="62"/>
      <c r="DC334" s="62"/>
      <c r="DD334" s="62"/>
      <c r="DE334" s="62"/>
      <c r="DF334" s="62"/>
      <c r="DG334" s="62"/>
      <c r="DH334" s="62"/>
      <c r="DI334" s="62"/>
      <c r="DJ334" s="62"/>
      <c r="DK334" s="62"/>
      <c r="DL334" s="62"/>
      <c r="DM334" s="62"/>
      <c r="DN334" s="62"/>
      <c r="DO334" s="62"/>
      <c r="DP334" s="62"/>
      <c r="DQ334" s="62"/>
      <c r="DR334" s="62"/>
      <c r="DS334" s="62"/>
      <c r="DT334" s="62"/>
      <c r="DU334" s="62"/>
      <c r="DV334" s="62"/>
      <c r="DW334" s="62"/>
      <c r="DX334" s="62"/>
      <c r="DY334" s="62"/>
      <c r="DZ334" s="62"/>
      <c r="EA334" s="62"/>
      <c r="EB334" s="62"/>
      <c r="EC334" s="62"/>
      <c r="ED334" s="62"/>
      <c r="EE334" s="62"/>
      <c r="EF334" s="62"/>
      <c r="EG334" s="62"/>
      <c r="EH334" s="62"/>
      <c r="EI334" s="62"/>
      <c r="EJ334" s="62"/>
      <c r="EK334" s="62"/>
      <c r="EL334" s="62"/>
      <c r="EM334" s="62"/>
      <c r="EN334" s="62"/>
      <c r="EO334" s="62"/>
      <c r="EP334" s="62"/>
      <c r="EQ334" s="62"/>
      <c r="ER334" s="62"/>
      <c r="ES334" s="62"/>
      <c r="ET334" s="62"/>
      <c r="EU334" s="62"/>
      <c r="EV334" s="62"/>
      <c r="EW334" s="62"/>
      <c r="EX334" s="62"/>
      <c r="EY334" s="62"/>
      <c r="EZ334" s="62"/>
      <c r="FA334" s="62"/>
      <c r="FB334" s="62"/>
      <c r="FC334" s="62"/>
      <c r="FD334" s="62"/>
      <c r="FE334" s="62"/>
      <c r="FF334" s="62"/>
      <c r="FG334" s="62"/>
      <c r="FH334" s="62"/>
      <c r="FI334" s="62"/>
      <c r="FJ334" s="62"/>
      <c r="FK334" s="62"/>
      <c r="FL334" s="62"/>
      <c r="FM334" s="62"/>
      <c r="FN334" s="62"/>
      <c r="FO334" s="62"/>
      <c r="FP334" s="62"/>
      <c r="FQ334" s="62"/>
      <c r="FR334" s="62"/>
      <c r="FS334" s="62"/>
      <c r="FT334" s="62"/>
      <c r="FU334" s="62"/>
      <c r="FV334" s="62"/>
    </row>
    <row r="335" spans="1:178" ht="13.8">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c r="AY335" s="62"/>
      <c r="AZ335" s="62"/>
      <c r="BA335" s="62"/>
      <c r="BB335" s="62"/>
      <c r="BC335" s="62"/>
      <c r="BD335" s="62"/>
      <c r="BE335" s="62"/>
      <c r="BF335" s="62"/>
      <c r="BG335" s="62"/>
      <c r="BH335" s="62"/>
      <c r="BI335" s="62"/>
      <c r="BJ335" s="62"/>
      <c r="BK335" s="62"/>
      <c r="BL335" s="62"/>
      <c r="BM335" s="62"/>
      <c r="BN335" s="62"/>
      <c r="BO335" s="62"/>
      <c r="BP335" s="62"/>
      <c r="BQ335" s="62"/>
      <c r="BR335" s="62"/>
      <c r="BS335" s="62"/>
      <c r="BT335" s="62"/>
      <c r="BU335" s="62"/>
      <c r="BV335" s="62"/>
      <c r="BW335" s="62"/>
      <c r="BX335" s="62"/>
      <c r="BY335" s="62"/>
      <c r="BZ335" s="62"/>
      <c r="CA335" s="62"/>
      <c r="CB335" s="62"/>
      <c r="CC335" s="62"/>
      <c r="CD335" s="62"/>
      <c r="CE335" s="62"/>
      <c r="CF335" s="62"/>
      <c r="CG335" s="62"/>
      <c r="CH335" s="62"/>
      <c r="CI335" s="62"/>
      <c r="CJ335" s="62"/>
      <c r="CK335" s="62"/>
      <c r="CL335" s="62"/>
      <c r="CM335" s="62"/>
      <c r="CN335" s="62"/>
      <c r="CO335" s="62"/>
      <c r="CP335" s="62"/>
      <c r="CQ335" s="62"/>
      <c r="CR335" s="62"/>
      <c r="CS335" s="62"/>
      <c r="CT335" s="62"/>
      <c r="CU335" s="62"/>
      <c r="CV335" s="62"/>
      <c r="CW335" s="62"/>
      <c r="CX335" s="62"/>
      <c r="CY335" s="62"/>
      <c r="CZ335" s="62"/>
      <c r="DA335" s="62"/>
      <c r="DB335" s="62"/>
      <c r="DC335" s="62"/>
      <c r="DD335" s="62"/>
      <c r="DE335" s="62"/>
      <c r="DF335" s="62"/>
      <c r="DG335" s="62"/>
      <c r="DH335" s="62"/>
      <c r="DI335" s="62"/>
      <c r="DJ335" s="62"/>
      <c r="DK335" s="62"/>
      <c r="DL335" s="62"/>
      <c r="DM335" s="62"/>
      <c r="DN335" s="62"/>
      <c r="DO335" s="62"/>
      <c r="DP335" s="62"/>
      <c r="DQ335" s="62"/>
      <c r="DR335" s="62"/>
      <c r="DS335" s="62"/>
      <c r="DT335" s="62"/>
      <c r="DU335" s="62"/>
      <c r="DV335" s="62"/>
      <c r="DW335" s="62"/>
      <c r="DX335" s="62"/>
      <c r="DY335" s="62"/>
      <c r="DZ335" s="62"/>
      <c r="EA335" s="62"/>
      <c r="EB335" s="62"/>
      <c r="EC335" s="62"/>
      <c r="ED335" s="62"/>
      <c r="EE335" s="62"/>
      <c r="EF335" s="62"/>
      <c r="EG335" s="62"/>
      <c r="EH335" s="62"/>
      <c r="EI335" s="62"/>
      <c r="EJ335" s="62"/>
      <c r="EK335" s="62"/>
      <c r="EL335" s="62"/>
      <c r="EM335" s="62"/>
      <c r="EN335" s="62"/>
      <c r="EO335" s="62"/>
      <c r="EP335" s="62"/>
      <c r="EQ335" s="62"/>
      <c r="ER335" s="62"/>
      <c r="ES335" s="62"/>
      <c r="ET335" s="62"/>
      <c r="EU335" s="62"/>
      <c r="EV335" s="62"/>
      <c r="EW335" s="62"/>
      <c r="EX335" s="62"/>
      <c r="EY335" s="62"/>
      <c r="EZ335" s="62"/>
      <c r="FA335" s="62"/>
      <c r="FB335" s="62"/>
      <c r="FC335" s="62"/>
      <c r="FD335" s="62"/>
      <c r="FE335" s="62"/>
      <c r="FF335" s="62"/>
      <c r="FG335" s="62"/>
      <c r="FH335" s="62"/>
      <c r="FI335" s="62"/>
      <c r="FJ335" s="62"/>
      <c r="FK335" s="62"/>
      <c r="FL335" s="62"/>
      <c r="FM335" s="62"/>
      <c r="FN335" s="62"/>
      <c r="FO335" s="62"/>
      <c r="FP335" s="62"/>
      <c r="FQ335" s="62"/>
      <c r="FR335" s="62"/>
      <c r="FS335" s="62"/>
      <c r="FT335" s="62"/>
      <c r="FU335" s="62"/>
      <c r="FV335" s="62"/>
    </row>
    <row r="336" spans="1:178" ht="13.8">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c r="AT336" s="62"/>
      <c r="AU336" s="62"/>
      <c r="AV336" s="62"/>
      <c r="AW336" s="62"/>
      <c r="AX336" s="62"/>
      <c r="AY336" s="62"/>
      <c r="AZ336" s="62"/>
      <c r="BA336" s="62"/>
      <c r="BB336" s="62"/>
      <c r="BC336" s="62"/>
      <c r="BD336" s="62"/>
      <c r="BE336" s="62"/>
      <c r="BF336" s="62"/>
      <c r="BG336" s="62"/>
      <c r="BH336" s="62"/>
      <c r="BI336" s="62"/>
      <c r="BJ336" s="62"/>
      <c r="BK336" s="62"/>
      <c r="BL336" s="62"/>
      <c r="BM336" s="62"/>
      <c r="BN336" s="62"/>
      <c r="BO336" s="62"/>
      <c r="BP336" s="62"/>
      <c r="BQ336" s="62"/>
      <c r="BR336" s="62"/>
      <c r="BS336" s="62"/>
      <c r="BT336" s="62"/>
      <c r="BU336" s="62"/>
      <c r="BV336" s="62"/>
      <c r="BW336" s="62"/>
      <c r="BX336" s="62"/>
      <c r="BY336" s="62"/>
      <c r="BZ336" s="62"/>
      <c r="CA336" s="62"/>
      <c r="CB336" s="62"/>
      <c r="CC336" s="62"/>
      <c r="CD336" s="62"/>
      <c r="CE336" s="62"/>
      <c r="CF336" s="62"/>
      <c r="CG336" s="62"/>
      <c r="CH336" s="62"/>
      <c r="CI336" s="62"/>
      <c r="CJ336" s="62"/>
      <c r="CK336" s="62"/>
      <c r="CL336" s="62"/>
      <c r="CM336" s="62"/>
      <c r="CN336" s="62"/>
      <c r="CO336" s="62"/>
      <c r="CP336" s="62"/>
      <c r="CQ336" s="62"/>
      <c r="CR336" s="62"/>
      <c r="CS336" s="62"/>
      <c r="CT336" s="62"/>
      <c r="CU336" s="62"/>
      <c r="CV336" s="62"/>
      <c r="CW336" s="62"/>
      <c r="CX336" s="62"/>
      <c r="CY336" s="62"/>
      <c r="CZ336" s="62"/>
      <c r="DA336" s="62"/>
      <c r="DB336" s="62"/>
      <c r="DC336" s="62"/>
      <c r="DD336" s="62"/>
      <c r="DE336" s="62"/>
      <c r="DF336" s="62"/>
      <c r="DG336" s="62"/>
      <c r="DH336" s="62"/>
      <c r="DI336" s="62"/>
      <c r="DJ336" s="62"/>
      <c r="DK336" s="62"/>
      <c r="DL336" s="62"/>
      <c r="DM336" s="62"/>
      <c r="DN336" s="62"/>
      <c r="DO336" s="62"/>
      <c r="DP336" s="62"/>
      <c r="DQ336" s="62"/>
      <c r="DR336" s="62"/>
      <c r="DS336" s="62"/>
      <c r="DT336" s="62"/>
      <c r="DU336" s="62"/>
      <c r="DV336" s="62"/>
      <c r="DW336" s="62"/>
      <c r="DX336" s="62"/>
      <c r="DY336" s="62"/>
      <c r="DZ336" s="62"/>
      <c r="EA336" s="62"/>
      <c r="EB336" s="62"/>
      <c r="EC336" s="62"/>
      <c r="ED336" s="62"/>
      <c r="EE336" s="62"/>
      <c r="EF336" s="62"/>
      <c r="EG336" s="62"/>
      <c r="EH336" s="62"/>
      <c r="EI336" s="62"/>
      <c r="EJ336" s="62"/>
      <c r="EK336" s="62"/>
      <c r="EL336" s="62"/>
      <c r="EM336" s="62"/>
      <c r="EN336" s="62"/>
      <c r="EO336" s="62"/>
      <c r="EP336" s="62"/>
      <c r="EQ336" s="62"/>
      <c r="ER336" s="62"/>
      <c r="ES336" s="62"/>
      <c r="ET336" s="62"/>
      <c r="EU336" s="62"/>
      <c r="EV336" s="62"/>
      <c r="EW336" s="62"/>
      <c r="EX336" s="62"/>
      <c r="EY336" s="62"/>
      <c r="EZ336" s="62"/>
      <c r="FA336" s="62"/>
      <c r="FB336" s="62"/>
      <c r="FC336" s="62"/>
      <c r="FD336" s="62"/>
      <c r="FE336" s="62"/>
      <c r="FF336" s="62"/>
      <c r="FG336" s="62"/>
      <c r="FH336" s="62"/>
      <c r="FI336" s="62"/>
      <c r="FJ336" s="62"/>
      <c r="FK336" s="62"/>
      <c r="FL336" s="62"/>
      <c r="FM336" s="62"/>
      <c r="FN336" s="62"/>
      <c r="FO336" s="62"/>
      <c r="FP336" s="62"/>
      <c r="FQ336" s="62"/>
      <c r="FR336" s="62"/>
      <c r="FS336" s="62"/>
      <c r="FT336" s="62"/>
      <c r="FU336" s="62"/>
      <c r="FV336" s="62"/>
    </row>
    <row r="337" spans="1:178" ht="13.8">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c r="AT337" s="62"/>
      <c r="AU337" s="62"/>
      <c r="AV337" s="62"/>
      <c r="AW337" s="62"/>
      <c r="AX337" s="62"/>
      <c r="AY337" s="62"/>
      <c r="AZ337" s="62"/>
      <c r="BA337" s="62"/>
      <c r="BB337" s="62"/>
      <c r="BC337" s="62"/>
      <c r="BD337" s="62"/>
      <c r="BE337" s="62"/>
      <c r="BF337" s="62"/>
      <c r="BG337" s="62"/>
      <c r="BH337" s="62"/>
      <c r="BI337" s="62"/>
      <c r="BJ337" s="62"/>
      <c r="BK337" s="62"/>
      <c r="BL337" s="62"/>
      <c r="BM337" s="62"/>
      <c r="BN337" s="62"/>
      <c r="BO337" s="62"/>
      <c r="BP337" s="62"/>
      <c r="BQ337" s="62"/>
      <c r="BR337" s="62"/>
      <c r="BS337" s="62"/>
      <c r="BT337" s="62"/>
      <c r="BU337" s="62"/>
      <c r="BV337" s="62"/>
      <c r="BW337" s="62"/>
      <c r="BX337" s="62"/>
      <c r="BY337" s="62"/>
      <c r="BZ337" s="62"/>
      <c r="CA337" s="62"/>
      <c r="CB337" s="62"/>
      <c r="CC337" s="62"/>
      <c r="CD337" s="62"/>
      <c r="CE337" s="62"/>
      <c r="CF337" s="62"/>
      <c r="CG337" s="62"/>
      <c r="CH337" s="62"/>
      <c r="CI337" s="62"/>
      <c r="CJ337" s="62"/>
      <c r="CK337" s="62"/>
      <c r="CL337" s="62"/>
      <c r="CM337" s="62"/>
      <c r="CN337" s="62"/>
      <c r="CO337" s="62"/>
      <c r="CP337" s="62"/>
      <c r="CQ337" s="62"/>
      <c r="CR337" s="62"/>
      <c r="CS337" s="62"/>
      <c r="CT337" s="62"/>
      <c r="CU337" s="62"/>
      <c r="CV337" s="62"/>
      <c r="CW337" s="62"/>
      <c r="CX337" s="62"/>
      <c r="CY337" s="62"/>
      <c r="CZ337" s="62"/>
      <c r="DA337" s="62"/>
      <c r="DB337" s="62"/>
      <c r="DC337" s="62"/>
      <c r="DD337" s="62"/>
      <c r="DE337" s="62"/>
      <c r="DF337" s="62"/>
      <c r="DG337" s="62"/>
      <c r="DH337" s="62"/>
      <c r="DI337" s="62"/>
      <c r="DJ337" s="62"/>
      <c r="DK337" s="62"/>
      <c r="DL337" s="62"/>
      <c r="DM337" s="62"/>
      <c r="DN337" s="62"/>
      <c r="DO337" s="62"/>
      <c r="DP337" s="62"/>
      <c r="DQ337" s="62"/>
      <c r="DR337" s="62"/>
      <c r="DS337" s="62"/>
      <c r="DT337" s="62"/>
      <c r="DU337" s="62"/>
      <c r="DV337" s="62"/>
      <c r="DW337" s="62"/>
      <c r="DX337" s="62"/>
      <c r="DY337" s="62"/>
      <c r="DZ337" s="62"/>
      <c r="EA337" s="62"/>
      <c r="EB337" s="62"/>
      <c r="EC337" s="62"/>
      <c r="ED337" s="62"/>
      <c r="EE337" s="62"/>
      <c r="EF337" s="62"/>
      <c r="EG337" s="62"/>
      <c r="EH337" s="62"/>
      <c r="EI337" s="62"/>
      <c r="EJ337" s="62"/>
      <c r="EK337" s="62"/>
      <c r="EL337" s="62"/>
      <c r="EM337" s="62"/>
      <c r="EN337" s="62"/>
      <c r="EO337" s="62"/>
      <c r="EP337" s="62"/>
      <c r="EQ337" s="62"/>
      <c r="ER337" s="62"/>
      <c r="ES337" s="62"/>
      <c r="ET337" s="62"/>
      <c r="EU337" s="62"/>
      <c r="EV337" s="62"/>
      <c r="EW337" s="62"/>
      <c r="EX337" s="62"/>
      <c r="EY337" s="62"/>
      <c r="EZ337" s="62"/>
      <c r="FA337" s="62"/>
      <c r="FB337" s="62"/>
      <c r="FC337" s="62"/>
      <c r="FD337" s="62"/>
      <c r="FE337" s="62"/>
      <c r="FF337" s="62"/>
      <c r="FG337" s="62"/>
      <c r="FH337" s="62"/>
      <c r="FI337" s="62"/>
      <c r="FJ337" s="62"/>
      <c r="FK337" s="62"/>
      <c r="FL337" s="62"/>
      <c r="FM337" s="62"/>
      <c r="FN337" s="62"/>
      <c r="FO337" s="62"/>
      <c r="FP337" s="62"/>
      <c r="FQ337" s="62"/>
      <c r="FR337" s="62"/>
      <c r="FS337" s="62"/>
      <c r="FT337" s="62"/>
      <c r="FU337" s="62"/>
      <c r="FV337" s="62"/>
    </row>
    <row r="338" spans="1:178" ht="1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c r="AT338" s="62"/>
      <c r="AU338" s="62"/>
      <c r="AV338" s="62"/>
      <c r="AW338" s="62"/>
      <c r="AX338" s="62"/>
      <c r="AY338" s="62"/>
      <c r="AZ338" s="62"/>
      <c r="BA338" s="62"/>
      <c r="BB338" s="62"/>
      <c r="BC338" s="62"/>
      <c r="BD338" s="62"/>
      <c r="BE338" s="62"/>
      <c r="BF338" s="62"/>
      <c r="BG338" s="62"/>
      <c r="BH338" s="62"/>
      <c r="BI338" s="62"/>
      <c r="BJ338" s="62"/>
      <c r="BK338" s="62"/>
      <c r="BL338" s="62"/>
      <c r="BM338" s="62"/>
      <c r="BN338" s="62"/>
      <c r="BO338" s="62"/>
      <c r="BP338" s="62"/>
      <c r="BQ338" s="62"/>
      <c r="BR338" s="62"/>
      <c r="BS338" s="62"/>
      <c r="BT338" s="62"/>
      <c r="BU338" s="62"/>
      <c r="BV338" s="62"/>
      <c r="BW338" s="62"/>
      <c r="BX338" s="62"/>
      <c r="BY338" s="62"/>
      <c r="BZ338" s="62"/>
      <c r="CA338" s="62"/>
      <c r="CB338" s="62"/>
      <c r="CC338" s="62"/>
      <c r="CD338" s="62"/>
      <c r="CE338" s="62"/>
      <c r="CF338" s="62"/>
      <c r="CG338" s="62"/>
      <c r="CH338" s="62"/>
      <c r="CI338" s="62"/>
      <c r="CJ338" s="62"/>
      <c r="CK338" s="62"/>
      <c r="CL338" s="62"/>
      <c r="CM338" s="62"/>
      <c r="CN338" s="62"/>
      <c r="CO338" s="62"/>
      <c r="CP338" s="62"/>
      <c r="CQ338" s="62"/>
      <c r="CR338" s="62"/>
      <c r="CS338" s="62"/>
      <c r="CT338" s="62"/>
      <c r="CU338" s="62"/>
      <c r="CV338" s="62"/>
      <c r="CW338" s="62"/>
      <c r="CX338" s="62"/>
      <c r="CY338" s="62"/>
      <c r="CZ338" s="62"/>
      <c r="DA338" s="62"/>
      <c r="DB338" s="62"/>
      <c r="DC338" s="62"/>
      <c r="DD338" s="62"/>
      <c r="DE338" s="62"/>
      <c r="DF338" s="62"/>
      <c r="DG338" s="62"/>
      <c r="DH338" s="62"/>
      <c r="DI338" s="62"/>
      <c r="DJ338" s="62"/>
      <c r="DK338" s="62"/>
      <c r="DL338" s="62"/>
      <c r="DM338" s="62"/>
      <c r="DN338" s="62"/>
      <c r="DO338" s="62"/>
      <c r="DP338" s="62"/>
      <c r="DQ338" s="62"/>
      <c r="DR338" s="62"/>
      <c r="DS338" s="62"/>
      <c r="DT338" s="62"/>
      <c r="DU338" s="62"/>
      <c r="DV338" s="62"/>
      <c r="DW338" s="62"/>
      <c r="DX338" s="62"/>
      <c r="DY338" s="62"/>
      <c r="DZ338" s="62"/>
      <c r="EA338" s="62"/>
      <c r="EB338" s="62"/>
      <c r="EC338" s="62"/>
      <c r="ED338" s="62"/>
      <c r="EE338" s="62"/>
      <c r="EF338" s="62"/>
      <c r="EG338" s="62"/>
      <c r="EH338" s="62"/>
      <c r="EI338" s="62"/>
      <c r="EJ338" s="62"/>
      <c r="EK338" s="62"/>
      <c r="EL338" s="62"/>
      <c r="EM338" s="62"/>
      <c r="EN338" s="62"/>
      <c r="EO338" s="62"/>
      <c r="EP338" s="62"/>
      <c r="EQ338" s="62"/>
      <c r="ER338" s="62"/>
      <c r="ES338" s="62"/>
      <c r="ET338" s="62"/>
      <c r="EU338" s="62"/>
      <c r="EV338" s="62"/>
      <c r="EW338" s="62"/>
      <c r="EX338" s="62"/>
      <c r="EY338" s="62"/>
      <c r="EZ338" s="62"/>
      <c r="FA338" s="62"/>
      <c r="FB338" s="62"/>
      <c r="FC338" s="62"/>
      <c r="FD338" s="62"/>
      <c r="FE338" s="62"/>
      <c r="FF338" s="62"/>
      <c r="FG338" s="62"/>
      <c r="FH338" s="62"/>
      <c r="FI338" s="62"/>
      <c r="FJ338" s="62"/>
      <c r="FK338" s="62"/>
      <c r="FL338" s="62"/>
      <c r="FM338" s="62"/>
      <c r="FN338" s="62"/>
      <c r="FO338" s="62"/>
      <c r="FP338" s="62"/>
      <c r="FQ338" s="62"/>
      <c r="FR338" s="62"/>
      <c r="FS338" s="62"/>
      <c r="FT338" s="62"/>
      <c r="FU338" s="62"/>
      <c r="FV338" s="62"/>
    </row>
    <row r="339" spans="1:178" ht="13.8">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c r="AY339" s="62"/>
      <c r="AZ339" s="62"/>
      <c r="BA339" s="62"/>
      <c r="BB339" s="62"/>
      <c r="BC339" s="62"/>
      <c r="BD339" s="62"/>
      <c r="BE339" s="62"/>
      <c r="BF339" s="62"/>
      <c r="BG339" s="62"/>
      <c r="BH339" s="62"/>
      <c r="BI339" s="62"/>
      <c r="BJ339" s="62"/>
      <c r="BK339" s="62"/>
      <c r="BL339" s="62"/>
      <c r="BM339" s="62"/>
      <c r="BN339" s="62"/>
      <c r="BO339" s="62"/>
      <c r="BP339" s="62"/>
      <c r="BQ339" s="62"/>
      <c r="BR339" s="62"/>
      <c r="BS339" s="62"/>
      <c r="BT339" s="62"/>
      <c r="BU339" s="62"/>
      <c r="BV339" s="62"/>
      <c r="BW339" s="62"/>
      <c r="BX339" s="62"/>
      <c r="BY339" s="62"/>
      <c r="BZ339" s="62"/>
      <c r="CA339" s="62"/>
      <c r="CB339" s="62"/>
      <c r="CC339" s="62"/>
      <c r="CD339" s="62"/>
      <c r="CE339" s="62"/>
      <c r="CF339" s="62"/>
      <c r="CG339" s="62"/>
      <c r="CH339" s="62"/>
      <c r="CI339" s="62"/>
      <c r="CJ339" s="62"/>
      <c r="CK339" s="62"/>
      <c r="CL339" s="62"/>
      <c r="CM339" s="62"/>
      <c r="CN339" s="62"/>
      <c r="CO339" s="62"/>
      <c r="CP339" s="62"/>
      <c r="CQ339" s="62"/>
      <c r="CR339" s="62"/>
      <c r="CS339" s="62"/>
      <c r="CT339" s="62"/>
      <c r="CU339" s="62"/>
      <c r="CV339" s="62"/>
      <c r="CW339" s="62"/>
      <c r="CX339" s="62"/>
      <c r="CY339" s="62"/>
      <c r="CZ339" s="62"/>
      <c r="DA339" s="62"/>
      <c r="DB339" s="62"/>
      <c r="DC339" s="62"/>
      <c r="DD339" s="62"/>
      <c r="DE339" s="62"/>
      <c r="DF339" s="62"/>
      <c r="DG339" s="62"/>
      <c r="DH339" s="62"/>
      <c r="DI339" s="62"/>
      <c r="DJ339" s="62"/>
      <c r="DK339" s="62"/>
      <c r="DL339" s="62"/>
      <c r="DM339" s="62"/>
      <c r="DN339" s="62"/>
      <c r="DO339" s="62"/>
      <c r="DP339" s="62"/>
      <c r="DQ339" s="62"/>
      <c r="DR339" s="62"/>
      <c r="DS339" s="62"/>
      <c r="DT339" s="62"/>
      <c r="DU339" s="62"/>
      <c r="DV339" s="62"/>
      <c r="DW339" s="62"/>
      <c r="DX339" s="62"/>
      <c r="DY339" s="62"/>
      <c r="DZ339" s="62"/>
      <c r="EA339" s="62"/>
      <c r="EB339" s="62"/>
      <c r="EC339" s="62"/>
      <c r="ED339" s="62"/>
      <c r="EE339" s="62"/>
      <c r="EF339" s="62"/>
      <c r="EG339" s="62"/>
      <c r="EH339" s="62"/>
      <c r="EI339" s="62"/>
      <c r="EJ339" s="62"/>
      <c r="EK339" s="62"/>
      <c r="EL339" s="62"/>
      <c r="EM339" s="62"/>
      <c r="EN339" s="62"/>
      <c r="EO339" s="62"/>
      <c r="EP339" s="62"/>
      <c r="EQ339" s="62"/>
      <c r="ER339" s="62"/>
      <c r="ES339" s="62"/>
      <c r="ET339" s="62"/>
      <c r="EU339" s="62"/>
      <c r="EV339" s="62"/>
      <c r="EW339" s="62"/>
      <c r="EX339" s="62"/>
      <c r="EY339" s="62"/>
      <c r="EZ339" s="62"/>
      <c r="FA339" s="62"/>
      <c r="FB339" s="62"/>
      <c r="FC339" s="62"/>
      <c r="FD339" s="62"/>
      <c r="FE339" s="62"/>
      <c r="FF339" s="62"/>
      <c r="FG339" s="62"/>
      <c r="FH339" s="62"/>
      <c r="FI339" s="62"/>
      <c r="FJ339" s="62"/>
      <c r="FK339" s="62"/>
      <c r="FL339" s="62"/>
      <c r="FM339" s="62"/>
      <c r="FN339" s="62"/>
      <c r="FO339" s="62"/>
      <c r="FP339" s="62"/>
      <c r="FQ339" s="62"/>
      <c r="FR339" s="62"/>
      <c r="FS339" s="62"/>
      <c r="FT339" s="62"/>
      <c r="FU339" s="62"/>
      <c r="FV339" s="62"/>
    </row>
    <row r="340" spans="1:178" ht="13.8">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c r="DF340" s="62"/>
      <c r="DG340" s="62"/>
      <c r="DH340" s="62"/>
      <c r="DI340" s="62"/>
      <c r="DJ340" s="62"/>
      <c r="DK340" s="62"/>
      <c r="DL340" s="62"/>
      <c r="DM340" s="62"/>
      <c r="DN340" s="62"/>
      <c r="DO340" s="62"/>
      <c r="DP340" s="62"/>
      <c r="DQ340" s="62"/>
      <c r="DR340" s="62"/>
      <c r="DS340" s="62"/>
      <c r="DT340" s="62"/>
      <c r="DU340" s="62"/>
      <c r="DV340" s="62"/>
      <c r="DW340" s="62"/>
      <c r="DX340" s="62"/>
      <c r="DY340" s="62"/>
      <c r="DZ340" s="62"/>
      <c r="EA340" s="62"/>
      <c r="EB340" s="62"/>
      <c r="EC340" s="62"/>
      <c r="ED340" s="62"/>
      <c r="EE340" s="62"/>
      <c r="EF340" s="62"/>
      <c r="EG340" s="62"/>
      <c r="EH340" s="62"/>
      <c r="EI340" s="62"/>
      <c r="EJ340" s="62"/>
      <c r="EK340" s="62"/>
      <c r="EL340" s="62"/>
      <c r="EM340" s="62"/>
      <c r="EN340" s="62"/>
      <c r="EO340" s="62"/>
      <c r="EP340" s="62"/>
      <c r="EQ340" s="62"/>
      <c r="ER340" s="62"/>
      <c r="ES340" s="62"/>
      <c r="ET340" s="62"/>
      <c r="EU340" s="62"/>
      <c r="EV340" s="62"/>
      <c r="EW340" s="62"/>
      <c r="EX340" s="62"/>
      <c r="EY340" s="62"/>
      <c r="EZ340" s="62"/>
      <c r="FA340" s="62"/>
      <c r="FB340" s="62"/>
      <c r="FC340" s="62"/>
      <c r="FD340" s="62"/>
      <c r="FE340" s="62"/>
      <c r="FF340" s="62"/>
      <c r="FG340" s="62"/>
      <c r="FH340" s="62"/>
      <c r="FI340" s="62"/>
      <c r="FJ340" s="62"/>
      <c r="FK340" s="62"/>
      <c r="FL340" s="62"/>
      <c r="FM340" s="62"/>
      <c r="FN340" s="62"/>
      <c r="FO340" s="62"/>
      <c r="FP340" s="62"/>
      <c r="FQ340" s="62"/>
      <c r="FR340" s="62"/>
      <c r="FS340" s="62"/>
      <c r="FT340" s="62"/>
      <c r="FU340" s="62"/>
      <c r="FV340" s="62"/>
    </row>
    <row r="341" spans="1:178" ht="13.8">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62"/>
      <c r="AZ341" s="62"/>
      <c r="BA341" s="62"/>
      <c r="BB341" s="62"/>
      <c r="BC341" s="62"/>
      <c r="BD341" s="62"/>
      <c r="BE341" s="62"/>
      <c r="BF341" s="62"/>
      <c r="BG341" s="62"/>
      <c r="BH341" s="62"/>
      <c r="BI341" s="62"/>
      <c r="BJ341" s="62"/>
      <c r="BK341" s="62"/>
      <c r="BL341" s="62"/>
      <c r="BM341" s="62"/>
      <c r="BN341" s="62"/>
      <c r="BO341" s="62"/>
      <c r="BP341" s="62"/>
      <c r="BQ341" s="62"/>
      <c r="BR341" s="62"/>
      <c r="BS341" s="62"/>
      <c r="BT341" s="62"/>
      <c r="BU341" s="62"/>
      <c r="BV341" s="62"/>
      <c r="BW341" s="62"/>
      <c r="BX341" s="62"/>
      <c r="BY341" s="62"/>
      <c r="BZ341" s="62"/>
      <c r="CA341" s="62"/>
      <c r="CB341" s="62"/>
      <c r="CC341" s="62"/>
      <c r="CD341" s="62"/>
      <c r="CE341" s="62"/>
      <c r="CF341" s="62"/>
      <c r="CG341" s="62"/>
      <c r="CH341" s="62"/>
      <c r="CI341" s="62"/>
      <c r="CJ341" s="62"/>
      <c r="CK341" s="62"/>
      <c r="CL341" s="62"/>
      <c r="CM341" s="62"/>
      <c r="CN341" s="62"/>
      <c r="CO341" s="62"/>
      <c r="CP341" s="62"/>
      <c r="CQ341" s="62"/>
      <c r="CR341" s="62"/>
      <c r="CS341" s="62"/>
      <c r="CT341" s="62"/>
      <c r="CU341" s="62"/>
      <c r="CV341" s="62"/>
      <c r="CW341" s="62"/>
      <c r="CX341" s="62"/>
      <c r="CY341" s="62"/>
      <c r="CZ341" s="62"/>
      <c r="DA341" s="62"/>
      <c r="DB341" s="62"/>
      <c r="DC341" s="62"/>
      <c r="DD341" s="62"/>
      <c r="DE341" s="62"/>
      <c r="DF341" s="62"/>
      <c r="DG341" s="62"/>
      <c r="DH341" s="62"/>
      <c r="DI341" s="62"/>
      <c r="DJ341" s="62"/>
      <c r="DK341" s="62"/>
      <c r="DL341" s="62"/>
      <c r="DM341" s="62"/>
      <c r="DN341" s="62"/>
      <c r="DO341" s="62"/>
      <c r="DP341" s="62"/>
      <c r="DQ341" s="62"/>
      <c r="DR341" s="62"/>
      <c r="DS341" s="62"/>
      <c r="DT341" s="62"/>
      <c r="DU341" s="62"/>
      <c r="DV341" s="62"/>
      <c r="DW341" s="62"/>
      <c r="DX341" s="62"/>
      <c r="DY341" s="62"/>
      <c r="DZ341" s="62"/>
      <c r="EA341" s="62"/>
      <c r="EB341" s="62"/>
      <c r="EC341" s="62"/>
      <c r="ED341" s="62"/>
      <c r="EE341" s="62"/>
      <c r="EF341" s="62"/>
      <c r="EG341" s="62"/>
      <c r="EH341" s="62"/>
      <c r="EI341" s="62"/>
      <c r="EJ341" s="62"/>
      <c r="EK341" s="62"/>
      <c r="EL341" s="62"/>
      <c r="EM341" s="62"/>
      <c r="EN341" s="62"/>
      <c r="EO341" s="62"/>
      <c r="EP341" s="62"/>
      <c r="EQ341" s="62"/>
      <c r="ER341" s="62"/>
      <c r="ES341" s="62"/>
      <c r="ET341" s="62"/>
      <c r="EU341" s="62"/>
      <c r="EV341" s="62"/>
      <c r="EW341" s="62"/>
      <c r="EX341" s="62"/>
      <c r="EY341" s="62"/>
      <c r="EZ341" s="62"/>
      <c r="FA341" s="62"/>
      <c r="FB341" s="62"/>
      <c r="FC341" s="62"/>
      <c r="FD341" s="62"/>
      <c r="FE341" s="62"/>
      <c r="FF341" s="62"/>
      <c r="FG341" s="62"/>
      <c r="FH341" s="62"/>
      <c r="FI341" s="62"/>
      <c r="FJ341" s="62"/>
      <c r="FK341" s="62"/>
      <c r="FL341" s="62"/>
      <c r="FM341" s="62"/>
      <c r="FN341" s="62"/>
      <c r="FO341" s="62"/>
      <c r="FP341" s="62"/>
      <c r="FQ341" s="62"/>
      <c r="FR341" s="62"/>
      <c r="FS341" s="62"/>
      <c r="FT341" s="62"/>
      <c r="FU341" s="62"/>
      <c r="FV341" s="62"/>
    </row>
    <row r="342" spans="1:178" ht="13.8">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c r="BQ342" s="62"/>
      <c r="BR342" s="62"/>
      <c r="BS342" s="62"/>
      <c r="BT342" s="62"/>
      <c r="BU342" s="62"/>
      <c r="BV342" s="62"/>
      <c r="BW342" s="62"/>
      <c r="BX342" s="62"/>
      <c r="BY342" s="62"/>
      <c r="BZ342" s="62"/>
      <c r="CA342" s="62"/>
      <c r="CB342" s="62"/>
      <c r="CC342" s="62"/>
      <c r="CD342" s="62"/>
      <c r="CE342" s="62"/>
      <c r="CF342" s="62"/>
      <c r="CG342" s="62"/>
      <c r="CH342" s="62"/>
      <c r="CI342" s="62"/>
      <c r="CJ342" s="62"/>
      <c r="CK342" s="62"/>
      <c r="CL342" s="62"/>
      <c r="CM342" s="62"/>
      <c r="CN342" s="62"/>
      <c r="CO342" s="62"/>
      <c r="CP342" s="62"/>
      <c r="CQ342" s="62"/>
      <c r="CR342" s="62"/>
      <c r="CS342" s="62"/>
      <c r="CT342" s="62"/>
      <c r="CU342" s="62"/>
      <c r="CV342" s="62"/>
      <c r="CW342" s="62"/>
      <c r="CX342" s="62"/>
      <c r="CY342" s="62"/>
      <c r="CZ342" s="62"/>
      <c r="DA342" s="62"/>
      <c r="DB342" s="62"/>
      <c r="DC342" s="62"/>
      <c r="DD342" s="62"/>
      <c r="DE342" s="62"/>
      <c r="DF342" s="62"/>
      <c r="DG342" s="62"/>
      <c r="DH342" s="62"/>
      <c r="DI342" s="62"/>
      <c r="DJ342" s="62"/>
      <c r="DK342" s="62"/>
      <c r="DL342" s="62"/>
      <c r="DM342" s="62"/>
      <c r="DN342" s="62"/>
      <c r="DO342" s="62"/>
      <c r="DP342" s="62"/>
      <c r="DQ342" s="62"/>
      <c r="DR342" s="62"/>
      <c r="DS342" s="62"/>
      <c r="DT342" s="62"/>
      <c r="DU342" s="62"/>
      <c r="DV342" s="62"/>
      <c r="DW342" s="62"/>
      <c r="DX342" s="62"/>
      <c r="DY342" s="62"/>
      <c r="DZ342" s="62"/>
      <c r="EA342" s="62"/>
      <c r="EB342" s="62"/>
      <c r="EC342" s="62"/>
      <c r="ED342" s="62"/>
      <c r="EE342" s="62"/>
      <c r="EF342" s="62"/>
      <c r="EG342" s="62"/>
      <c r="EH342" s="62"/>
      <c r="EI342" s="62"/>
      <c r="EJ342" s="62"/>
      <c r="EK342" s="62"/>
      <c r="EL342" s="62"/>
      <c r="EM342" s="62"/>
      <c r="EN342" s="62"/>
      <c r="EO342" s="62"/>
      <c r="EP342" s="62"/>
      <c r="EQ342" s="62"/>
      <c r="ER342" s="62"/>
      <c r="ES342" s="62"/>
      <c r="ET342" s="62"/>
      <c r="EU342" s="62"/>
      <c r="EV342" s="62"/>
      <c r="EW342" s="62"/>
      <c r="EX342" s="62"/>
      <c r="EY342" s="62"/>
      <c r="EZ342" s="62"/>
      <c r="FA342" s="62"/>
      <c r="FB342" s="62"/>
      <c r="FC342" s="62"/>
      <c r="FD342" s="62"/>
      <c r="FE342" s="62"/>
      <c r="FF342" s="62"/>
      <c r="FG342" s="62"/>
      <c r="FH342" s="62"/>
      <c r="FI342" s="62"/>
      <c r="FJ342" s="62"/>
      <c r="FK342" s="62"/>
      <c r="FL342" s="62"/>
      <c r="FM342" s="62"/>
      <c r="FN342" s="62"/>
      <c r="FO342" s="62"/>
      <c r="FP342" s="62"/>
      <c r="FQ342" s="62"/>
      <c r="FR342" s="62"/>
      <c r="FS342" s="62"/>
      <c r="FT342" s="62"/>
      <c r="FU342" s="62"/>
      <c r="FV342" s="62"/>
    </row>
    <row r="343" spans="1:178" ht="13.8">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c r="BQ343" s="62"/>
      <c r="BR343" s="62"/>
      <c r="BS343" s="62"/>
      <c r="BT343" s="62"/>
      <c r="BU343" s="62"/>
      <c r="BV343" s="62"/>
      <c r="BW343" s="62"/>
      <c r="BX343" s="62"/>
      <c r="BY343" s="62"/>
      <c r="BZ343" s="62"/>
      <c r="CA343" s="62"/>
      <c r="CB343" s="62"/>
      <c r="CC343" s="62"/>
      <c r="CD343" s="62"/>
      <c r="CE343" s="62"/>
      <c r="CF343" s="62"/>
      <c r="CG343" s="62"/>
      <c r="CH343" s="62"/>
      <c r="CI343" s="62"/>
      <c r="CJ343" s="62"/>
      <c r="CK343" s="62"/>
      <c r="CL343" s="62"/>
      <c r="CM343" s="62"/>
      <c r="CN343" s="62"/>
      <c r="CO343" s="62"/>
      <c r="CP343" s="62"/>
      <c r="CQ343" s="62"/>
      <c r="CR343" s="62"/>
      <c r="CS343" s="62"/>
      <c r="CT343" s="62"/>
      <c r="CU343" s="62"/>
      <c r="CV343" s="62"/>
      <c r="CW343" s="62"/>
      <c r="CX343" s="62"/>
      <c r="CY343" s="62"/>
      <c r="CZ343" s="62"/>
      <c r="DA343" s="62"/>
      <c r="DB343" s="62"/>
      <c r="DC343" s="62"/>
      <c r="DD343" s="62"/>
      <c r="DE343" s="62"/>
      <c r="DF343" s="62"/>
      <c r="DG343" s="62"/>
      <c r="DH343" s="62"/>
      <c r="DI343" s="62"/>
      <c r="DJ343" s="62"/>
      <c r="DK343" s="62"/>
      <c r="DL343" s="62"/>
      <c r="DM343" s="62"/>
      <c r="DN343" s="62"/>
      <c r="DO343" s="62"/>
      <c r="DP343" s="62"/>
      <c r="DQ343" s="62"/>
      <c r="DR343" s="62"/>
      <c r="DS343" s="62"/>
      <c r="DT343" s="62"/>
      <c r="DU343" s="62"/>
      <c r="DV343" s="62"/>
      <c r="DW343" s="62"/>
      <c r="DX343" s="62"/>
      <c r="DY343" s="62"/>
      <c r="DZ343" s="62"/>
      <c r="EA343" s="62"/>
      <c r="EB343" s="62"/>
      <c r="EC343" s="62"/>
      <c r="ED343" s="62"/>
      <c r="EE343" s="62"/>
      <c r="EF343" s="62"/>
      <c r="EG343" s="62"/>
      <c r="EH343" s="62"/>
      <c r="EI343" s="62"/>
      <c r="EJ343" s="62"/>
      <c r="EK343" s="62"/>
      <c r="EL343" s="62"/>
      <c r="EM343" s="62"/>
      <c r="EN343" s="62"/>
      <c r="EO343" s="62"/>
      <c r="EP343" s="62"/>
      <c r="EQ343" s="62"/>
      <c r="ER343" s="62"/>
      <c r="ES343" s="62"/>
      <c r="ET343" s="62"/>
      <c r="EU343" s="62"/>
      <c r="EV343" s="62"/>
      <c r="EW343" s="62"/>
      <c r="EX343" s="62"/>
      <c r="EY343" s="62"/>
      <c r="EZ343" s="62"/>
      <c r="FA343" s="62"/>
      <c r="FB343" s="62"/>
      <c r="FC343" s="62"/>
      <c r="FD343" s="62"/>
      <c r="FE343" s="62"/>
      <c r="FF343" s="62"/>
      <c r="FG343" s="62"/>
      <c r="FH343" s="62"/>
      <c r="FI343" s="62"/>
      <c r="FJ343" s="62"/>
      <c r="FK343" s="62"/>
      <c r="FL343" s="62"/>
      <c r="FM343" s="62"/>
      <c r="FN343" s="62"/>
      <c r="FO343" s="62"/>
      <c r="FP343" s="62"/>
      <c r="FQ343" s="62"/>
      <c r="FR343" s="62"/>
      <c r="FS343" s="62"/>
      <c r="FT343" s="62"/>
      <c r="FU343" s="62"/>
      <c r="FV343" s="62"/>
    </row>
    <row r="344" spans="1:178" ht="13.8">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c r="AY344" s="62"/>
      <c r="AZ344" s="62"/>
      <c r="BA344" s="62"/>
      <c r="BB344" s="62"/>
      <c r="BC344" s="62"/>
      <c r="BD344" s="62"/>
      <c r="BE344" s="62"/>
      <c r="BF344" s="62"/>
      <c r="BG344" s="62"/>
      <c r="BH344" s="62"/>
      <c r="BI344" s="62"/>
      <c r="BJ344" s="62"/>
      <c r="BK344" s="62"/>
      <c r="BL344" s="62"/>
      <c r="BM344" s="62"/>
      <c r="BN344" s="62"/>
      <c r="BO344" s="62"/>
      <c r="BP344" s="62"/>
      <c r="BQ344" s="62"/>
      <c r="BR344" s="62"/>
      <c r="BS344" s="62"/>
      <c r="BT344" s="62"/>
      <c r="BU344" s="62"/>
      <c r="BV344" s="62"/>
      <c r="BW344" s="62"/>
      <c r="BX344" s="62"/>
      <c r="BY344" s="62"/>
      <c r="BZ344" s="62"/>
      <c r="CA344" s="62"/>
      <c r="CB344" s="62"/>
      <c r="CC344" s="62"/>
      <c r="CD344" s="62"/>
      <c r="CE344" s="62"/>
      <c r="CF344" s="62"/>
      <c r="CG344" s="62"/>
      <c r="CH344" s="62"/>
      <c r="CI344" s="62"/>
      <c r="CJ344" s="62"/>
      <c r="CK344" s="62"/>
      <c r="CL344" s="62"/>
      <c r="CM344" s="62"/>
      <c r="CN344" s="62"/>
      <c r="CO344" s="62"/>
      <c r="CP344" s="62"/>
      <c r="CQ344" s="62"/>
      <c r="CR344" s="62"/>
      <c r="CS344" s="62"/>
      <c r="CT344" s="62"/>
      <c r="CU344" s="62"/>
      <c r="CV344" s="62"/>
      <c r="CW344" s="62"/>
      <c r="CX344" s="62"/>
      <c r="CY344" s="62"/>
      <c r="CZ344" s="62"/>
      <c r="DA344" s="62"/>
      <c r="DB344" s="62"/>
      <c r="DC344" s="62"/>
      <c r="DD344" s="62"/>
      <c r="DE344" s="62"/>
      <c r="DF344" s="62"/>
      <c r="DG344" s="62"/>
      <c r="DH344" s="62"/>
      <c r="DI344" s="62"/>
      <c r="DJ344" s="62"/>
      <c r="DK344" s="62"/>
      <c r="DL344" s="62"/>
      <c r="DM344" s="62"/>
      <c r="DN344" s="62"/>
      <c r="DO344" s="62"/>
      <c r="DP344" s="62"/>
      <c r="DQ344" s="62"/>
      <c r="DR344" s="62"/>
      <c r="DS344" s="62"/>
      <c r="DT344" s="62"/>
      <c r="DU344" s="62"/>
      <c r="DV344" s="62"/>
      <c r="DW344" s="62"/>
      <c r="DX344" s="62"/>
      <c r="DY344" s="62"/>
      <c r="DZ344" s="62"/>
      <c r="EA344" s="62"/>
      <c r="EB344" s="62"/>
      <c r="EC344" s="62"/>
      <c r="ED344" s="62"/>
      <c r="EE344" s="62"/>
      <c r="EF344" s="62"/>
      <c r="EG344" s="62"/>
      <c r="EH344" s="62"/>
      <c r="EI344" s="62"/>
      <c r="EJ344" s="62"/>
      <c r="EK344" s="62"/>
      <c r="EL344" s="62"/>
      <c r="EM344" s="62"/>
      <c r="EN344" s="62"/>
      <c r="EO344" s="62"/>
      <c r="EP344" s="62"/>
      <c r="EQ344" s="62"/>
      <c r="ER344" s="62"/>
      <c r="ES344" s="62"/>
      <c r="ET344" s="62"/>
      <c r="EU344" s="62"/>
      <c r="EV344" s="62"/>
      <c r="EW344" s="62"/>
      <c r="EX344" s="62"/>
      <c r="EY344" s="62"/>
      <c r="EZ344" s="62"/>
      <c r="FA344" s="62"/>
      <c r="FB344" s="62"/>
      <c r="FC344" s="62"/>
      <c r="FD344" s="62"/>
      <c r="FE344" s="62"/>
      <c r="FF344" s="62"/>
      <c r="FG344" s="62"/>
      <c r="FH344" s="62"/>
      <c r="FI344" s="62"/>
      <c r="FJ344" s="62"/>
      <c r="FK344" s="62"/>
      <c r="FL344" s="62"/>
      <c r="FM344" s="62"/>
      <c r="FN344" s="62"/>
      <c r="FO344" s="62"/>
      <c r="FP344" s="62"/>
      <c r="FQ344" s="62"/>
      <c r="FR344" s="62"/>
      <c r="FS344" s="62"/>
      <c r="FT344" s="62"/>
      <c r="FU344" s="62"/>
      <c r="FV344" s="62"/>
    </row>
    <row r="345" spans="1:178" ht="13.8">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c r="BQ345" s="62"/>
      <c r="BR345" s="62"/>
      <c r="BS345" s="62"/>
      <c r="BT345" s="62"/>
      <c r="BU345" s="62"/>
      <c r="BV345" s="62"/>
      <c r="BW345" s="62"/>
      <c r="BX345" s="62"/>
      <c r="BY345" s="62"/>
      <c r="BZ345" s="62"/>
      <c r="CA345" s="62"/>
      <c r="CB345" s="62"/>
      <c r="CC345" s="62"/>
      <c r="CD345" s="62"/>
      <c r="CE345" s="62"/>
      <c r="CF345" s="62"/>
      <c r="CG345" s="62"/>
      <c r="CH345" s="62"/>
      <c r="CI345" s="62"/>
      <c r="CJ345" s="62"/>
      <c r="CK345" s="62"/>
      <c r="CL345" s="62"/>
      <c r="CM345" s="62"/>
      <c r="CN345" s="62"/>
      <c r="CO345" s="62"/>
      <c r="CP345" s="62"/>
      <c r="CQ345" s="62"/>
      <c r="CR345" s="62"/>
      <c r="CS345" s="62"/>
      <c r="CT345" s="62"/>
      <c r="CU345" s="62"/>
      <c r="CV345" s="62"/>
      <c r="CW345" s="62"/>
      <c r="CX345" s="62"/>
      <c r="CY345" s="62"/>
      <c r="CZ345" s="62"/>
      <c r="DA345" s="62"/>
      <c r="DB345" s="62"/>
      <c r="DC345" s="62"/>
      <c r="DD345" s="62"/>
      <c r="DE345" s="62"/>
      <c r="DF345" s="62"/>
      <c r="DG345" s="62"/>
      <c r="DH345" s="62"/>
      <c r="DI345" s="62"/>
      <c r="DJ345" s="62"/>
      <c r="DK345" s="62"/>
      <c r="DL345" s="62"/>
      <c r="DM345" s="62"/>
      <c r="DN345" s="62"/>
      <c r="DO345" s="62"/>
      <c r="DP345" s="62"/>
      <c r="DQ345" s="62"/>
      <c r="DR345" s="62"/>
      <c r="DS345" s="62"/>
      <c r="DT345" s="62"/>
      <c r="DU345" s="62"/>
      <c r="DV345" s="62"/>
      <c r="DW345" s="62"/>
      <c r="DX345" s="62"/>
      <c r="DY345" s="62"/>
      <c r="DZ345" s="62"/>
      <c r="EA345" s="62"/>
      <c r="EB345" s="62"/>
      <c r="EC345" s="62"/>
      <c r="ED345" s="62"/>
      <c r="EE345" s="62"/>
      <c r="EF345" s="62"/>
      <c r="EG345" s="62"/>
      <c r="EH345" s="62"/>
      <c r="EI345" s="62"/>
      <c r="EJ345" s="62"/>
      <c r="EK345" s="62"/>
      <c r="EL345" s="62"/>
      <c r="EM345" s="62"/>
      <c r="EN345" s="62"/>
      <c r="EO345" s="62"/>
      <c r="EP345" s="62"/>
      <c r="EQ345" s="62"/>
      <c r="ER345" s="62"/>
      <c r="ES345" s="62"/>
      <c r="ET345" s="62"/>
      <c r="EU345" s="62"/>
      <c r="EV345" s="62"/>
      <c r="EW345" s="62"/>
      <c r="EX345" s="62"/>
      <c r="EY345" s="62"/>
      <c r="EZ345" s="62"/>
      <c r="FA345" s="62"/>
      <c r="FB345" s="62"/>
      <c r="FC345" s="62"/>
      <c r="FD345" s="62"/>
      <c r="FE345" s="62"/>
      <c r="FF345" s="62"/>
      <c r="FG345" s="62"/>
      <c r="FH345" s="62"/>
      <c r="FI345" s="62"/>
      <c r="FJ345" s="62"/>
      <c r="FK345" s="62"/>
      <c r="FL345" s="62"/>
      <c r="FM345" s="62"/>
      <c r="FN345" s="62"/>
      <c r="FO345" s="62"/>
      <c r="FP345" s="62"/>
      <c r="FQ345" s="62"/>
      <c r="FR345" s="62"/>
      <c r="FS345" s="62"/>
      <c r="FT345" s="62"/>
      <c r="FU345" s="62"/>
      <c r="FV345" s="62"/>
    </row>
    <row r="346" spans="1:178" ht="13.8">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c r="DF346" s="62"/>
      <c r="DG346" s="62"/>
      <c r="DH346" s="62"/>
      <c r="DI346" s="62"/>
      <c r="DJ346" s="62"/>
      <c r="DK346" s="62"/>
      <c r="DL346" s="62"/>
      <c r="DM346" s="62"/>
      <c r="DN346" s="62"/>
      <c r="DO346" s="62"/>
      <c r="DP346" s="62"/>
      <c r="DQ346" s="62"/>
      <c r="DR346" s="62"/>
      <c r="DS346" s="62"/>
      <c r="DT346" s="62"/>
      <c r="DU346" s="62"/>
      <c r="DV346" s="62"/>
      <c r="DW346" s="62"/>
      <c r="DX346" s="62"/>
      <c r="DY346" s="62"/>
      <c r="DZ346" s="62"/>
      <c r="EA346" s="62"/>
      <c r="EB346" s="62"/>
      <c r="EC346" s="62"/>
      <c r="ED346" s="62"/>
      <c r="EE346" s="62"/>
      <c r="EF346" s="62"/>
      <c r="EG346" s="62"/>
      <c r="EH346" s="62"/>
      <c r="EI346" s="62"/>
      <c r="EJ346" s="62"/>
      <c r="EK346" s="62"/>
      <c r="EL346" s="62"/>
      <c r="EM346" s="62"/>
      <c r="EN346" s="62"/>
      <c r="EO346" s="62"/>
      <c r="EP346" s="62"/>
      <c r="EQ346" s="62"/>
      <c r="ER346" s="62"/>
      <c r="ES346" s="62"/>
      <c r="ET346" s="62"/>
      <c r="EU346" s="62"/>
      <c r="EV346" s="62"/>
      <c r="EW346" s="62"/>
      <c r="EX346" s="62"/>
      <c r="EY346" s="62"/>
      <c r="EZ346" s="62"/>
      <c r="FA346" s="62"/>
      <c r="FB346" s="62"/>
      <c r="FC346" s="62"/>
      <c r="FD346" s="62"/>
      <c r="FE346" s="62"/>
      <c r="FF346" s="62"/>
      <c r="FG346" s="62"/>
      <c r="FH346" s="62"/>
      <c r="FI346" s="62"/>
      <c r="FJ346" s="62"/>
      <c r="FK346" s="62"/>
      <c r="FL346" s="62"/>
      <c r="FM346" s="62"/>
      <c r="FN346" s="62"/>
      <c r="FO346" s="62"/>
      <c r="FP346" s="62"/>
      <c r="FQ346" s="62"/>
      <c r="FR346" s="62"/>
      <c r="FS346" s="62"/>
      <c r="FT346" s="62"/>
      <c r="FU346" s="62"/>
      <c r="FV346" s="62"/>
    </row>
    <row r="347" spans="1:178" ht="13.8">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c r="CC347" s="62"/>
      <c r="CD347" s="62"/>
      <c r="CE347" s="62"/>
      <c r="CF347" s="62"/>
      <c r="CG347" s="62"/>
      <c r="CH347" s="62"/>
      <c r="CI347" s="62"/>
      <c r="CJ347" s="62"/>
      <c r="CK347" s="62"/>
      <c r="CL347" s="62"/>
      <c r="CM347" s="62"/>
      <c r="CN347" s="62"/>
      <c r="CO347" s="62"/>
      <c r="CP347" s="62"/>
      <c r="CQ347" s="62"/>
      <c r="CR347" s="62"/>
      <c r="CS347" s="62"/>
      <c r="CT347" s="62"/>
      <c r="CU347" s="62"/>
      <c r="CV347" s="62"/>
      <c r="CW347" s="62"/>
      <c r="CX347" s="62"/>
      <c r="CY347" s="62"/>
      <c r="CZ347" s="62"/>
      <c r="DA347" s="62"/>
      <c r="DB347" s="62"/>
      <c r="DC347" s="62"/>
      <c r="DD347" s="62"/>
      <c r="DE347" s="62"/>
      <c r="DF347" s="62"/>
      <c r="DG347" s="62"/>
      <c r="DH347" s="62"/>
      <c r="DI347" s="62"/>
      <c r="DJ347" s="62"/>
      <c r="DK347" s="62"/>
      <c r="DL347" s="62"/>
      <c r="DM347" s="62"/>
      <c r="DN347" s="62"/>
      <c r="DO347" s="62"/>
      <c r="DP347" s="62"/>
      <c r="DQ347" s="62"/>
      <c r="DR347" s="62"/>
      <c r="DS347" s="62"/>
      <c r="DT347" s="62"/>
      <c r="DU347" s="62"/>
      <c r="DV347" s="62"/>
      <c r="DW347" s="62"/>
      <c r="DX347" s="62"/>
      <c r="DY347" s="62"/>
      <c r="DZ347" s="62"/>
      <c r="EA347" s="62"/>
      <c r="EB347" s="62"/>
      <c r="EC347" s="62"/>
      <c r="ED347" s="62"/>
      <c r="EE347" s="62"/>
      <c r="EF347" s="62"/>
      <c r="EG347" s="62"/>
      <c r="EH347" s="62"/>
      <c r="EI347" s="62"/>
      <c r="EJ347" s="62"/>
      <c r="EK347" s="62"/>
      <c r="EL347" s="62"/>
      <c r="EM347" s="62"/>
      <c r="EN347" s="62"/>
      <c r="EO347" s="62"/>
      <c r="EP347" s="62"/>
      <c r="EQ347" s="62"/>
      <c r="ER347" s="62"/>
      <c r="ES347" s="62"/>
      <c r="ET347" s="62"/>
      <c r="EU347" s="62"/>
      <c r="EV347" s="62"/>
      <c r="EW347" s="62"/>
      <c r="EX347" s="62"/>
      <c r="EY347" s="62"/>
      <c r="EZ347" s="62"/>
      <c r="FA347" s="62"/>
      <c r="FB347" s="62"/>
      <c r="FC347" s="62"/>
      <c r="FD347" s="62"/>
      <c r="FE347" s="62"/>
      <c r="FF347" s="62"/>
      <c r="FG347" s="62"/>
      <c r="FH347" s="62"/>
      <c r="FI347" s="62"/>
      <c r="FJ347" s="62"/>
      <c r="FK347" s="62"/>
      <c r="FL347" s="62"/>
      <c r="FM347" s="62"/>
      <c r="FN347" s="62"/>
      <c r="FO347" s="62"/>
      <c r="FP347" s="62"/>
      <c r="FQ347" s="62"/>
      <c r="FR347" s="62"/>
      <c r="FS347" s="62"/>
      <c r="FT347" s="62"/>
      <c r="FU347" s="62"/>
      <c r="FV347" s="62"/>
    </row>
    <row r="348" spans="1:178" ht="13.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2"/>
      <c r="EX348" s="62"/>
      <c r="EY348" s="62"/>
      <c r="EZ348" s="62"/>
      <c r="FA348" s="62"/>
      <c r="FB348" s="62"/>
      <c r="FC348" s="62"/>
      <c r="FD348" s="62"/>
      <c r="FE348" s="62"/>
      <c r="FF348" s="62"/>
      <c r="FG348" s="62"/>
      <c r="FH348" s="62"/>
      <c r="FI348" s="62"/>
      <c r="FJ348" s="62"/>
      <c r="FK348" s="62"/>
      <c r="FL348" s="62"/>
      <c r="FM348" s="62"/>
      <c r="FN348" s="62"/>
      <c r="FO348" s="62"/>
      <c r="FP348" s="62"/>
      <c r="FQ348" s="62"/>
      <c r="FR348" s="62"/>
      <c r="FS348" s="62"/>
      <c r="FT348" s="62"/>
      <c r="FU348" s="62"/>
      <c r="FV348" s="62"/>
    </row>
    <row r="349" spans="1:178" ht="13.8">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c r="DF349" s="62"/>
      <c r="DG349" s="62"/>
      <c r="DH349" s="62"/>
      <c r="DI349" s="62"/>
      <c r="DJ349" s="62"/>
      <c r="DK349" s="62"/>
      <c r="DL349" s="62"/>
      <c r="DM349" s="62"/>
      <c r="DN349" s="62"/>
      <c r="DO349" s="62"/>
      <c r="DP349" s="62"/>
      <c r="DQ349" s="62"/>
      <c r="DR349" s="62"/>
      <c r="DS349" s="62"/>
      <c r="DT349" s="62"/>
      <c r="DU349" s="62"/>
      <c r="DV349" s="62"/>
      <c r="DW349" s="62"/>
      <c r="DX349" s="62"/>
      <c r="DY349" s="62"/>
      <c r="DZ349" s="62"/>
      <c r="EA349" s="62"/>
      <c r="EB349" s="62"/>
      <c r="EC349" s="62"/>
      <c r="ED349" s="62"/>
      <c r="EE349" s="62"/>
      <c r="EF349" s="62"/>
      <c r="EG349" s="62"/>
      <c r="EH349" s="62"/>
      <c r="EI349" s="62"/>
      <c r="EJ349" s="62"/>
      <c r="EK349" s="62"/>
      <c r="EL349" s="62"/>
      <c r="EM349" s="62"/>
      <c r="EN349" s="62"/>
      <c r="EO349" s="62"/>
      <c r="EP349" s="62"/>
      <c r="EQ349" s="62"/>
      <c r="ER349" s="62"/>
      <c r="ES349" s="62"/>
      <c r="ET349" s="62"/>
      <c r="EU349" s="62"/>
      <c r="EV349" s="62"/>
      <c r="EW349" s="62"/>
      <c r="EX349" s="62"/>
      <c r="EY349" s="62"/>
      <c r="EZ349" s="62"/>
      <c r="FA349" s="62"/>
      <c r="FB349" s="62"/>
      <c r="FC349" s="62"/>
      <c r="FD349" s="62"/>
      <c r="FE349" s="62"/>
      <c r="FF349" s="62"/>
      <c r="FG349" s="62"/>
      <c r="FH349" s="62"/>
      <c r="FI349" s="62"/>
      <c r="FJ349" s="62"/>
      <c r="FK349" s="62"/>
      <c r="FL349" s="62"/>
      <c r="FM349" s="62"/>
      <c r="FN349" s="62"/>
      <c r="FO349" s="62"/>
      <c r="FP349" s="62"/>
      <c r="FQ349" s="62"/>
      <c r="FR349" s="62"/>
      <c r="FS349" s="62"/>
      <c r="FT349" s="62"/>
      <c r="FU349" s="62"/>
      <c r="FV349" s="62"/>
    </row>
    <row r="350" spans="1:178" ht="13.8">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c r="AY350" s="62"/>
      <c r="AZ350" s="62"/>
      <c r="BA350" s="62"/>
      <c r="BB350" s="62"/>
      <c r="BC350" s="62"/>
      <c r="BD350" s="62"/>
      <c r="BE350" s="62"/>
      <c r="BF350" s="62"/>
      <c r="BG350" s="62"/>
      <c r="BH350" s="62"/>
      <c r="BI350" s="62"/>
      <c r="BJ350" s="62"/>
      <c r="BK350" s="62"/>
      <c r="BL350" s="62"/>
      <c r="BM350" s="62"/>
      <c r="BN350" s="62"/>
      <c r="BO350" s="62"/>
      <c r="BP350" s="62"/>
      <c r="BQ350" s="62"/>
      <c r="BR350" s="62"/>
      <c r="BS350" s="62"/>
      <c r="BT350" s="62"/>
      <c r="BU350" s="62"/>
      <c r="BV350" s="62"/>
      <c r="BW350" s="62"/>
      <c r="BX350" s="62"/>
      <c r="BY350" s="62"/>
      <c r="BZ350" s="62"/>
      <c r="CA350" s="62"/>
      <c r="CB350" s="62"/>
      <c r="CC350" s="62"/>
      <c r="CD350" s="62"/>
      <c r="CE350" s="62"/>
      <c r="CF350" s="62"/>
      <c r="CG350" s="62"/>
      <c r="CH350" s="62"/>
      <c r="CI350" s="62"/>
      <c r="CJ350" s="62"/>
      <c r="CK350" s="62"/>
      <c r="CL350" s="62"/>
      <c r="CM350" s="62"/>
      <c r="CN350" s="62"/>
      <c r="CO350" s="62"/>
      <c r="CP350" s="62"/>
      <c r="CQ350" s="62"/>
      <c r="CR350" s="62"/>
      <c r="CS350" s="62"/>
      <c r="CT350" s="62"/>
      <c r="CU350" s="62"/>
      <c r="CV350" s="62"/>
      <c r="CW350" s="62"/>
      <c r="CX350" s="62"/>
      <c r="CY350" s="62"/>
      <c r="CZ350" s="62"/>
      <c r="DA350" s="62"/>
      <c r="DB350" s="62"/>
      <c r="DC350" s="62"/>
      <c r="DD350" s="62"/>
      <c r="DE350" s="62"/>
      <c r="DF350" s="62"/>
      <c r="DG350" s="62"/>
      <c r="DH350" s="62"/>
      <c r="DI350" s="62"/>
      <c r="DJ350" s="62"/>
      <c r="DK350" s="62"/>
      <c r="DL350" s="62"/>
      <c r="DM350" s="62"/>
      <c r="DN350" s="62"/>
      <c r="DO350" s="62"/>
      <c r="DP350" s="62"/>
      <c r="DQ350" s="62"/>
      <c r="DR350" s="62"/>
      <c r="DS350" s="62"/>
      <c r="DT350" s="62"/>
      <c r="DU350" s="62"/>
      <c r="DV350" s="62"/>
      <c r="DW350" s="62"/>
      <c r="DX350" s="62"/>
      <c r="DY350" s="62"/>
      <c r="DZ350" s="62"/>
      <c r="EA350" s="62"/>
      <c r="EB350" s="62"/>
      <c r="EC350" s="62"/>
      <c r="ED350" s="62"/>
      <c r="EE350" s="62"/>
      <c r="EF350" s="62"/>
      <c r="EG350" s="62"/>
      <c r="EH350" s="62"/>
      <c r="EI350" s="62"/>
      <c r="EJ350" s="62"/>
      <c r="EK350" s="62"/>
      <c r="EL350" s="62"/>
      <c r="EM350" s="62"/>
      <c r="EN350" s="62"/>
      <c r="EO350" s="62"/>
      <c r="EP350" s="62"/>
      <c r="EQ350" s="62"/>
      <c r="ER350" s="62"/>
      <c r="ES350" s="62"/>
      <c r="ET350" s="62"/>
      <c r="EU350" s="62"/>
      <c r="EV350" s="62"/>
      <c r="EW350" s="62"/>
      <c r="EX350" s="62"/>
      <c r="EY350" s="62"/>
      <c r="EZ350" s="62"/>
      <c r="FA350" s="62"/>
      <c r="FB350" s="62"/>
      <c r="FC350" s="62"/>
      <c r="FD350" s="62"/>
      <c r="FE350" s="62"/>
      <c r="FF350" s="62"/>
      <c r="FG350" s="62"/>
      <c r="FH350" s="62"/>
      <c r="FI350" s="62"/>
      <c r="FJ350" s="62"/>
      <c r="FK350" s="62"/>
      <c r="FL350" s="62"/>
      <c r="FM350" s="62"/>
      <c r="FN350" s="62"/>
      <c r="FO350" s="62"/>
      <c r="FP350" s="62"/>
      <c r="FQ350" s="62"/>
      <c r="FR350" s="62"/>
      <c r="FS350" s="62"/>
      <c r="FT350" s="62"/>
      <c r="FU350" s="62"/>
      <c r="FV350" s="62"/>
    </row>
    <row r="351" spans="1:178" ht="13.8">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c r="AY351" s="62"/>
      <c r="AZ351" s="62"/>
      <c r="BA351" s="62"/>
      <c r="BB351" s="62"/>
      <c r="BC351" s="62"/>
      <c r="BD351" s="62"/>
      <c r="BE351" s="62"/>
      <c r="BF351" s="62"/>
      <c r="BG351" s="62"/>
      <c r="BH351" s="62"/>
      <c r="BI351" s="62"/>
      <c r="BJ351" s="62"/>
      <c r="BK351" s="62"/>
      <c r="BL351" s="62"/>
      <c r="BM351" s="62"/>
      <c r="BN351" s="62"/>
      <c r="BO351" s="62"/>
      <c r="BP351" s="62"/>
      <c r="BQ351" s="62"/>
      <c r="BR351" s="62"/>
      <c r="BS351" s="62"/>
      <c r="BT351" s="62"/>
      <c r="BU351" s="62"/>
      <c r="BV351" s="62"/>
      <c r="BW351" s="62"/>
      <c r="BX351" s="62"/>
      <c r="BY351" s="62"/>
      <c r="BZ351" s="62"/>
      <c r="CA351" s="62"/>
      <c r="CB351" s="62"/>
      <c r="CC351" s="62"/>
      <c r="CD351" s="62"/>
      <c r="CE351" s="62"/>
      <c r="CF351" s="62"/>
      <c r="CG351" s="62"/>
      <c r="CH351" s="62"/>
      <c r="CI351" s="62"/>
      <c r="CJ351" s="62"/>
      <c r="CK351" s="62"/>
      <c r="CL351" s="62"/>
      <c r="CM351" s="62"/>
      <c r="CN351" s="62"/>
      <c r="CO351" s="62"/>
      <c r="CP351" s="62"/>
      <c r="CQ351" s="62"/>
      <c r="CR351" s="62"/>
      <c r="CS351" s="62"/>
      <c r="CT351" s="62"/>
      <c r="CU351" s="62"/>
      <c r="CV351" s="62"/>
      <c r="CW351" s="62"/>
      <c r="CX351" s="62"/>
      <c r="CY351" s="62"/>
      <c r="CZ351" s="62"/>
      <c r="DA351" s="62"/>
      <c r="DB351" s="62"/>
      <c r="DC351" s="62"/>
      <c r="DD351" s="62"/>
      <c r="DE351" s="62"/>
      <c r="DF351" s="62"/>
      <c r="DG351" s="62"/>
      <c r="DH351" s="62"/>
      <c r="DI351" s="62"/>
      <c r="DJ351" s="62"/>
      <c r="DK351" s="62"/>
      <c r="DL351" s="62"/>
      <c r="DM351" s="62"/>
      <c r="DN351" s="62"/>
      <c r="DO351" s="62"/>
      <c r="DP351" s="62"/>
      <c r="DQ351" s="62"/>
      <c r="DR351" s="62"/>
      <c r="DS351" s="62"/>
      <c r="DT351" s="62"/>
      <c r="DU351" s="62"/>
      <c r="DV351" s="62"/>
      <c r="DW351" s="62"/>
      <c r="DX351" s="62"/>
      <c r="DY351" s="62"/>
      <c r="DZ351" s="62"/>
      <c r="EA351" s="62"/>
      <c r="EB351" s="62"/>
      <c r="EC351" s="62"/>
      <c r="ED351" s="62"/>
      <c r="EE351" s="62"/>
      <c r="EF351" s="62"/>
      <c r="EG351" s="62"/>
      <c r="EH351" s="62"/>
      <c r="EI351" s="62"/>
      <c r="EJ351" s="62"/>
      <c r="EK351" s="62"/>
      <c r="EL351" s="62"/>
      <c r="EM351" s="62"/>
      <c r="EN351" s="62"/>
      <c r="EO351" s="62"/>
      <c r="EP351" s="62"/>
      <c r="EQ351" s="62"/>
      <c r="ER351" s="62"/>
      <c r="ES351" s="62"/>
      <c r="ET351" s="62"/>
      <c r="EU351" s="62"/>
      <c r="EV351" s="62"/>
      <c r="EW351" s="62"/>
      <c r="EX351" s="62"/>
      <c r="EY351" s="62"/>
      <c r="EZ351" s="62"/>
      <c r="FA351" s="62"/>
      <c r="FB351" s="62"/>
      <c r="FC351" s="62"/>
      <c r="FD351" s="62"/>
      <c r="FE351" s="62"/>
      <c r="FF351" s="62"/>
      <c r="FG351" s="62"/>
      <c r="FH351" s="62"/>
      <c r="FI351" s="62"/>
      <c r="FJ351" s="62"/>
      <c r="FK351" s="62"/>
      <c r="FL351" s="62"/>
      <c r="FM351" s="62"/>
      <c r="FN351" s="62"/>
      <c r="FO351" s="62"/>
      <c r="FP351" s="62"/>
      <c r="FQ351" s="62"/>
      <c r="FR351" s="62"/>
      <c r="FS351" s="62"/>
      <c r="FT351" s="62"/>
      <c r="FU351" s="62"/>
      <c r="FV351" s="62"/>
    </row>
    <row r="352" spans="1:178" ht="13.8">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62"/>
      <c r="AZ352" s="62"/>
      <c r="BA352" s="62"/>
      <c r="BB352" s="62"/>
      <c r="BC352" s="62"/>
      <c r="BD352" s="62"/>
      <c r="BE352" s="62"/>
      <c r="BF352" s="62"/>
      <c r="BG352" s="62"/>
      <c r="BH352" s="62"/>
      <c r="BI352" s="62"/>
      <c r="BJ352" s="62"/>
      <c r="BK352" s="62"/>
      <c r="BL352" s="62"/>
      <c r="BM352" s="62"/>
      <c r="BN352" s="62"/>
      <c r="BO352" s="62"/>
      <c r="BP352" s="62"/>
      <c r="BQ352" s="62"/>
      <c r="BR352" s="62"/>
      <c r="BS352" s="62"/>
      <c r="BT352" s="62"/>
      <c r="BU352" s="62"/>
      <c r="BV352" s="62"/>
      <c r="BW352" s="62"/>
      <c r="BX352" s="62"/>
      <c r="BY352" s="62"/>
      <c r="BZ352" s="62"/>
      <c r="CA352" s="62"/>
      <c r="CB352" s="62"/>
      <c r="CC352" s="62"/>
      <c r="CD352" s="62"/>
      <c r="CE352" s="62"/>
      <c r="CF352" s="62"/>
      <c r="CG352" s="62"/>
      <c r="CH352" s="62"/>
      <c r="CI352" s="62"/>
      <c r="CJ352" s="62"/>
      <c r="CK352" s="62"/>
      <c r="CL352" s="62"/>
      <c r="CM352" s="62"/>
      <c r="CN352" s="62"/>
      <c r="CO352" s="62"/>
      <c r="CP352" s="62"/>
      <c r="CQ352" s="62"/>
      <c r="CR352" s="62"/>
      <c r="CS352" s="62"/>
      <c r="CT352" s="62"/>
      <c r="CU352" s="62"/>
      <c r="CV352" s="62"/>
      <c r="CW352" s="62"/>
      <c r="CX352" s="62"/>
      <c r="CY352" s="62"/>
      <c r="CZ352" s="62"/>
      <c r="DA352" s="62"/>
      <c r="DB352" s="62"/>
      <c r="DC352" s="62"/>
      <c r="DD352" s="62"/>
      <c r="DE352" s="62"/>
      <c r="DF352" s="62"/>
      <c r="DG352" s="62"/>
      <c r="DH352" s="62"/>
      <c r="DI352" s="62"/>
      <c r="DJ352" s="62"/>
      <c r="DK352" s="62"/>
      <c r="DL352" s="62"/>
      <c r="DM352" s="62"/>
      <c r="DN352" s="62"/>
      <c r="DO352" s="62"/>
      <c r="DP352" s="62"/>
      <c r="DQ352" s="62"/>
      <c r="DR352" s="62"/>
      <c r="DS352" s="62"/>
      <c r="DT352" s="62"/>
      <c r="DU352" s="62"/>
      <c r="DV352" s="62"/>
      <c r="DW352" s="62"/>
      <c r="DX352" s="62"/>
      <c r="DY352" s="62"/>
      <c r="DZ352" s="62"/>
      <c r="EA352" s="62"/>
      <c r="EB352" s="62"/>
      <c r="EC352" s="62"/>
      <c r="ED352" s="62"/>
      <c r="EE352" s="62"/>
      <c r="EF352" s="62"/>
      <c r="EG352" s="62"/>
      <c r="EH352" s="62"/>
      <c r="EI352" s="62"/>
      <c r="EJ352" s="62"/>
      <c r="EK352" s="62"/>
      <c r="EL352" s="62"/>
      <c r="EM352" s="62"/>
      <c r="EN352" s="62"/>
      <c r="EO352" s="62"/>
      <c r="EP352" s="62"/>
      <c r="EQ352" s="62"/>
      <c r="ER352" s="62"/>
      <c r="ES352" s="62"/>
      <c r="ET352" s="62"/>
      <c r="EU352" s="62"/>
      <c r="EV352" s="62"/>
      <c r="EW352" s="62"/>
      <c r="EX352" s="62"/>
      <c r="EY352" s="62"/>
      <c r="EZ352" s="62"/>
      <c r="FA352" s="62"/>
      <c r="FB352" s="62"/>
      <c r="FC352" s="62"/>
      <c r="FD352" s="62"/>
      <c r="FE352" s="62"/>
      <c r="FF352" s="62"/>
      <c r="FG352" s="62"/>
      <c r="FH352" s="62"/>
      <c r="FI352" s="62"/>
      <c r="FJ352" s="62"/>
      <c r="FK352" s="62"/>
      <c r="FL352" s="62"/>
      <c r="FM352" s="62"/>
      <c r="FN352" s="62"/>
      <c r="FO352" s="62"/>
      <c r="FP352" s="62"/>
      <c r="FQ352" s="62"/>
      <c r="FR352" s="62"/>
      <c r="FS352" s="62"/>
      <c r="FT352" s="62"/>
      <c r="FU352" s="62"/>
      <c r="FV352" s="62"/>
    </row>
    <row r="353" spans="1:178" ht="13.8">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c r="AY353" s="62"/>
      <c r="AZ353" s="62"/>
      <c r="BA353" s="62"/>
      <c r="BB353" s="62"/>
      <c r="BC353" s="62"/>
      <c r="BD353" s="62"/>
      <c r="BE353" s="62"/>
      <c r="BF353" s="62"/>
      <c r="BG353" s="62"/>
      <c r="BH353" s="62"/>
      <c r="BI353" s="62"/>
      <c r="BJ353" s="62"/>
      <c r="BK353" s="62"/>
      <c r="BL353" s="62"/>
      <c r="BM353" s="62"/>
      <c r="BN353" s="62"/>
      <c r="BO353" s="62"/>
      <c r="BP353" s="62"/>
      <c r="BQ353" s="62"/>
      <c r="BR353" s="62"/>
      <c r="BS353" s="62"/>
      <c r="BT353" s="62"/>
      <c r="BU353" s="62"/>
      <c r="BV353" s="62"/>
      <c r="BW353" s="62"/>
      <c r="BX353" s="62"/>
      <c r="BY353" s="62"/>
      <c r="BZ353" s="62"/>
      <c r="CA353" s="62"/>
      <c r="CB353" s="62"/>
      <c r="CC353" s="62"/>
      <c r="CD353" s="62"/>
      <c r="CE353" s="62"/>
      <c r="CF353" s="62"/>
      <c r="CG353" s="62"/>
      <c r="CH353" s="62"/>
      <c r="CI353" s="62"/>
      <c r="CJ353" s="62"/>
      <c r="CK353" s="62"/>
      <c r="CL353" s="62"/>
      <c r="CM353" s="62"/>
      <c r="CN353" s="62"/>
      <c r="CO353" s="62"/>
      <c r="CP353" s="62"/>
      <c r="CQ353" s="62"/>
      <c r="CR353" s="62"/>
      <c r="CS353" s="62"/>
      <c r="CT353" s="62"/>
      <c r="CU353" s="62"/>
      <c r="CV353" s="62"/>
      <c r="CW353" s="62"/>
      <c r="CX353" s="62"/>
      <c r="CY353" s="62"/>
      <c r="CZ353" s="62"/>
      <c r="DA353" s="62"/>
      <c r="DB353" s="62"/>
      <c r="DC353" s="62"/>
      <c r="DD353" s="62"/>
      <c r="DE353" s="62"/>
      <c r="DF353" s="62"/>
      <c r="DG353" s="62"/>
      <c r="DH353" s="62"/>
      <c r="DI353" s="62"/>
      <c r="DJ353" s="62"/>
      <c r="DK353" s="62"/>
      <c r="DL353" s="62"/>
      <c r="DM353" s="62"/>
      <c r="DN353" s="62"/>
      <c r="DO353" s="62"/>
      <c r="DP353" s="62"/>
      <c r="DQ353" s="62"/>
      <c r="DR353" s="62"/>
      <c r="DS353" s="62"/>
      <c r="DT353" s="62"/>
      <c r="DU353" s="62"/>
      <c r="DV353" s="62"/>
      <c r="DW353" s="62"/>
      <c r="DX353" s="62"/>
      <c r="DY353" s="62"/>
      <c r="DZ353" s="62"/>
      <c r="EA353" s="62"/>
      <c r="EB353" s="62"/>
      <c r="EC353" s="62"/>
      <c r="ED353" s="62"/>
      <c r="EE353" s="62"/>
      <c r="EF353" s="62"/>
      <c r="EG353" s="62"/>
      <c r="EH353" s="62"/>
      <c r="EI353" s="62"/>
      <c r="EJ353" s="62"/>
      <c r="EK353" s="62"/>
      <c r="EL353" s="62"/>
      <c r="EM353" s="62"/>
      <c r="EN353" s="62"/>
      <c r="EO353" s="62"/>
      <c r="EP353" s="62"/>
      <c r="EQ353" s="62"/>
      <c r="ER353" s="62"/>
      <c r="ES353" s="62"/>
      <c r="ET353" s="62"/>
      <c r="EU353" s="62"/>
      <c r="EV353" s="62"/>
      <c r="EW353" s="62"/>
      <c r="EX353" s="62"/>
      <c r="EY353" s="62"/>
      <c r="EZ353" s="62"/>
      <c r="FA353" s="62"/>
      <c r="FB353" s="62"/>
      <c r="FC353" s="62"/>
      <c r="FD353" s="62"/>
      <c r="FE353" s="62"/>
      <c r="FF353" s="62"/>
      <c r="FG353" s="62"/>
      <c r="FH353" s="62"/>
      <c r="FI353" s="62"/>
      <c r="FJ353" s="62"/>
      <c r="FK353" s="62"/>
      <c r="FL353" s="62"/>
      <c r="FM353" s="62"/>
      <c r="FN353" s="62"/>
      <c r="FO353" s="62"/>
      <c r="FP353" s="62"/>
      <c r="FQ353" s="62"/>
      <c r="FR353" s="62"/>
      <c r="FS353" s="62"/>
      <c r="FT353" s="62"/>
      <c r="FU353" s="62"/>
      <c r="FV353" s="62"/>
    </row>
    <row r="354" spans="1:178" ht="13.8">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c r="AY354" s="62"/>
      <c r="AZ354" s="62"/>
      <c r="BA354" s="62"/>
      <c r="BB354" s="62"/>
      <c r="BC354" s="62"/>
      <c r="BD354" s="62"/>
      <c r="BE354" s="62"/>
      <c r="BF354" s="62"/>
      <c r="BG354" s="62"/>
      <c r="BH354" s="62"/>
      <c r="BI354" s="62"/>
      <c r="BJ354" s="62"/>
      <c r="BK354" s="62"/>
      <c r="BL354" s="62"/>
      <c r="BM354" s="62"/>
      <c r="BN354" s="62"/>
      <c r="BO354" s="62"/>
      <c r="BP354" s="62"/>
      <c r="BQ354" s="62"/>
      <c r="BR354" s="62"/>
      <c r="BS354" s="62"/>
      <c r="BT354" s="62"/>
      <c r="BU354" s="62"/>
      <c r="BV354" s="62"/>
      <c r="BW354" s="62"/>
      <c r="BX354" s="62"/>
      <c r="BY354" s="62"/>
      <c r="BZ354" s="62"/>
      <c r="CA354" s="62"/>
      <c r="CB354" s="62"/>
      <c r="CC354" s="62"/>
      <c r="CD354" s="62"/>
      <c r="CE354" s="62"/>
      <c r="CF354" s="62"/>
      <c r="CG354" s="62"/>
      <c r="CH354" s="62"/>
      <c r="CI354" s="62"/>
      <c r="CJ354" s="62"/>
      <c r="CK354" s="62"/>
      <c r="CL354" s="62"/>
      <c r="CM354" s="62"/>
      <c r="CN354" s="62"/>
      <c r="CO354" s="62"/>
      <c r="CP354" s="62"/>
      <c r="CQ354" s="62"/>
      <c r="CR354" s="62"/>
      <c r="CS354" s="62"/>
      <c r="CT354" s="62"/>
      <c r="CU354" s="62"/>
      <c r="CV354" s="62"/>
      <c r="CW354" s="62"/>
      <c r="CX354" s="62"/>
      <c r="CY354" s="62"/>
      <c r="CZ354" s="62"/>
      <c r="DA354" s="62"/>
      <c r="DB354" s="62"/>
      <c r="DC354" s="62"/>
      <c r="DD354" s="62"/>
      <c r="DE354" s="62"/>
      <c r="DF354" s="62"/>
      <c r="DG354" s="62"/>
      <c r="DH354" s="62"/>
      <c r="DI354" s="62"/>
      <c r="DJ354" s="62"/>
      <c r="DK354" s="62"/>
      <c r="DL354" s="62"/>
      <c r="DM354" s="62"/>
      <c r="DN354" s="62"/>
      <c r="DO354" s="62"/>
      <c r="DP354" s="62"/>
      <c r="DQ354" s="62"/>
      <c r="DR354" s="62"/>
      <c r="DS354" s="62"/>
      <c r="DT354" s="62"/>
      <c r="DU354" s="62"/>
      <c r="DV354" s="62"/>
      <c r="DW354" s="62"/>
      <c r="DX354" s="62"/>
      <c r="DY354" s="62"/>
      <c r="DZ354" s="62"/>
      <c r="EA354" s="62"/>
      <c r="EB354" s="62"/>
      <c r="EC354" s="62"/>
      <c r="ED354" s="62"/>
      <c r="EE354" s="62"/>
      <c r="EF354" s="62"/>
      <c r="EG354" s="62"/>
      <c r="EH354" s="62"/>
      <c r="EI354" s="62"/>
      <c r="EJ354" s="62"/>
      <c r="EK354" s="62"/>
      <c r="EL354" s="62"/>
      <c r="EM354" s="62"/>
      <c r="EN354" s="62"/>
      <c r="EO354" s="62"/>
      <c r="EP354" s="62"/>
      <c r="EQ354" s="62"/>
      <c r="ER354" s="62"/>
      <c r="ES354" s="62"/>
      <c r="ET354" s="62"/>
      <c r="EU354" s="62"/>
      <c r="EV354" s="62"/>
      <c r="EW354" s="62"/>
      <c r="EX354" s="62"/>
      <c r="EY354" s="62"/>
      <c r="EZ354" s="62"/>
      <c r="FA354" s="62"/>
      <c r="FB354" s="62"/>
      <c r="FC354" s="62"/>
      <c r="FD354" s="62"/>
      <c r="FE354" s="62"/>
      <c r="FF354" s="62"/>
      <c r="FG354" s="62"/>
      <c r="FH354" s="62"/>
      <c r="FI354" s="62"/>
      <c r="FJ354" s="62"/>
      <c r="FK354" s="62"/>
      <c r="FL354" s="62"/>
      <c r="FM354" s="62"/>
      <c r="FN354" s="62"/>
      <c r="FO354" s="62"/>
      <c r="FP354" s="62"/>
      <c r="FQ354" s="62"/>
      <c r="FR354" s="62"/>
      <c r="FS354" s="62"/>
      <c r="FT354" s="62"/>
      <c r="FU354" s="62"/>
      <c r="FV354" s="62"/>
    </row>
    <row r="355" spans="1:178" ht="13.8">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c r="AY355" s="62"/>
      <c r="AZ355" s="62"/>
      <c r="BA355" s="62"/>
      <c r="BB355" s="62"/>
      <c r="BC355" s="62"/>
      <c r="BD355" s="62"/>
      <c r="BE355" s="62"/>
      <c r="BF355" s="62"/>
      <c r="BG355" s="62"/>
      <c r="BH355" s="62"/>
      <c r="BI355" s="62"/>
      <c r="BJ355" s="62"/>
      <c r="BK355" s="62"/>
      <c r="BL355" s="62"/>
      <c r="BM355" s="62"/>
      <c r="BN355" s="62"/>
      <c r="BO355" s="62"/>
      <c r="BP355" s="62"/>
      <c r="BQ355" s="62"/>
      <c r="BR355" s="62"/>
      <c r="BS355" s="62"/>
      <c r="BT355" s="62"/>
      <c r="BU355" s="62"/>
      <c r="BV355" s="62"/>
      <c r="BW355" s="62"/>
      <c r="BX355" s="62"/>
      <c r="BY355" s="62"/>
      <c r="BZ355" s="62"/>
      <c r="CA355" s="62"/>
      <c r="CB355" s="62"/>
      <c r="CC355" s="62"/>
      <c r="CD355" s="62"/>
      <c r="CE355" s="62"/>
      <c r="CF355" s="62"/>
      <c r="CG355" s="62"/>
      <c r="CH355" s="62"/>
      <c r="CI355" s="62"/>
      <c r="CJ355" s="62"/>
      <c r="CK355" s="62"/>
      <c r="CL355" s="62"/>
      <c r="CM355" s="62"/>
      <c r="CN355" s="62"/>
      <c r="CO355" s="62"/>
      <c r="CP355" s="62"/>
      <c r="CQ355" s="62"/>
      <c r="CR355" s="62"/>
      <c r="CS355" s="62"/>
      <c r="CT355" s="62"/>
      <c r="CU355" s="62"/>
      <c r="CV355" s="62"/>
      <c r="CW355" s="62"/>
      <c r="CX355" s="62"/>
      <c r="CY355" s="62"/>
      <c r="CZ355" s="62"/>
      <c r="DA355" s="62"/>
      <c r="DB355" s="62"/>
      <c r="DC355" s="62"/>
      <c r="DD355" s="62"/>
      <c r="DE355" s="62"/>
      <c r="DF355" s="62"/>
      <c r="DG355" s="62"/>
      <c r="DH355" s="62"/>
      <c r="DI355" s="62"/>
      <c r="DJ355" s="62"/>
      <c r="DK355" s="62"/>
      <c r="DL355" s="62"/>
      <c r="DM355" s="62"/>
      <c r="DN355" s="62"/>
      <c r="DO355" s="62"/>
      <c r="DP355" s="62"/>
      <c r="DQ355" s="62"/>
      <c r="DR355" s="62"/>
      <c r="DS355" s="62"/>
      <c r="DT355" s="62"/>
      <c r="DU355" s="62"/>
      <c r="DV355" s="62"/>
      <c r="DW355" s="62"/>
      <c r="DX355" s="62"/>
      <c r="DY355" s="62"/>
      <c r="DZ355" s="62"/>
      <c r="EA355" s="62"/>
      <c r="EB355" s="62"/>
      <c r="EC355" s="62"/>
      <c r="ED355" s="62"/>
      <c r="EE355" s="62"/>
      <c r="EF355" s="62"/>
      <c r="EG355" s="62"/>
      <c r="EH355" s="62"/>
      <c r="EI355" s="62"/>
      <c r="EJ355" s="62"/>
      <c r="EK355" s="62"/>
      <c r="EL355" s="62"/>
      <c r="EM355" s="62"/>
      <c r="EN355" s="62"/>
      <c r="EO355" s="62"/>
      <c r="EP355" s="62"/>
      <c r="EQ355" s="62"/>
      <c r="ER355" s="62"/>
      <c r="ES355" s="62"/>
      <c r="ET355" s="62"/>
      <c r="EU355" s="62"/>
      <c r="EV355" s="62"/>
      <c r="EW355" s="62"/>
      <c r="EX355" s="62"/>
      <c r="EY355" s="62"/>
      <c r="EZ355" s="62"/>
      <c r="FA355" s="62"/>
      <c r="FB355" s="62"/>
      <c r="FC355" s="62"/>
      <c r="FD355" s="62"/>
      <c r="FE355" s="62"/>
      <c r="FF355" s="62"/>
      <c r="FG355" s="62"/>
      <c r="FH355" s="62"/>
      <c r="FI355" s="62"/>
      <c r="FJ355" s="62"/>
      <c r="FK355" s="62"/>
      <c r="FL355" s="62"/>
      <c r="FM355" s="62"/>
      <c r="FN355" s="62"/>
      <c r="FO355" s="62"/>
      <c r="FP355" s="62"/>
      <c r="FQ355" s="62"/>
      <c r="FR355" s="62"/>
      <c r="FS355" s="62"/>
      <c r="FT355" s="62"/>
      <c r="FU355" s="62"/>
      <c r="FV355" s="62"/>
    </row>
    <row r="356" spans="1:178" ht="13.8">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62"/>
      <c r="AZ356" s="62"/>
      <c r="BA356" s="62"/>
      <c r="BB356" s="62"/>
      <c r="BC356" s="62"/>
      <c r="BD356" s="62"/>
      <c r="BE356" s="62"/>
      <c r="BF356" s="62"/>
      <c r="BG356" s="62"/>
      <c r="BH356" s="62"/>
      <c r="BI356" s="62"/>
      <c r="BJ356" s="62"/>
      <c r="BK356" s="62"/>
      <c r="BL356" s="62"/>
      <c r="BM356" s="62"/>
      <c r="BN356" s="62"/>
      <c r="BO356" s="62"/>
      <c r="BP356" s="62"/>
      <c r="BQ356" s="62"/>
      <c r="BR356" s="62"/>
      <c r="BS356" s="62"/>
      <c r="BT356" s="62"/>
      <c r="BU356" s="62"/>
      <c r="BV356" s="62"/>
      <c r="BW356" s="62"/>
      <c r="BX356" s="62"/>
      <c r="BY356" s="62"/>
      <c r="BZ356" s="62"/>
      <c r="CA356" s="62"/>
      <c r="CB356" s="62"/>
      <c r="CC356" s="62"/>
      <c r="CD356" s="62"/>
      <c r="CE356" s="62"/>
      <c r="CF356" s="62"/>
      <c r="CG356" s="62"/>
      <c r="CH356" s="62"/>
      <c r="CI356" s="62"/>
      <c r="CJ356" s="62"/>
      <c r="CK356" s="62"/>
      <c r="CL356" s="62"/>
      <c r="CM356" s="62"/>
      <c r="CN356" s="62"/>
      <c r="CO356" s="62"/>
      <c r="CP356" s="62"/>
      <c r="CQ356" s="62"/>
      <c r="CR356" s="62"/>
      <c r="CS356" s="62"/>
      <c r="CT356" s="62"/>
      <c r="CU356" s="62"/>
      <c r="CV356" s="62"/>
      <c r="CW356" s="62"/>
      <c r="CX356" s="62"/>
      <c r="CY356" s="62"/>
      <c r="CZ356" s="62"/>
      <c r="DA356" s="62"/>
      <c r="DB356" s="62"/>
      <c r="DC356" s="62"/>
      <c r="DD356" s="62"/>
      <c r="DE356" s="62"/>
      <c r="DF356" s="62"/>
      <c r="DG356" s="62"/>
      <c r="DH356" s="62"/>
      <c r="DI356" s="62"/>
      <c r="DJ356" s="62"/>
      <c r="DK356" s="62"/>
      <c r="DL356" s="62"/>
      <c r="DM356" s="62"/>
      <c r="DN356" s="62"/>
      <c r="DO356" s="62"/>
      <c r="DP356" s="62"/>
      <c r="DQ356" s="62"/>
      <c r="DR356" s="62"/>
      <c r="DS356" s="62"/>
      <c r="DT356" s="62"/>
      <c r="DU356" s="62"/>
      <c r="DV356" s="62"/>
      <c r="DW356" s="62"/>
      <c r="DX356" s="62"/>
      <c r="DY356" s="62"/>
      <c r="DZ356" s="62"/>
      <c r="EA356" s="62"/>
      <c r="EB356" s="62"/>
      <c r="EC356" s="62"/>
      <c r="ED356" s="62"/>
      <c r="EE356" s="62"/>
      <c r="EF356" s="62"/>
      <c r="EG356" s="62"/>
      <c r="EH356" s="62"/>
      <c r="EI356" s="62"/>
      <c r="EJ356" s="62"/>
      <c r="EK356" s="62"/>
      <c r="EL356" s="62"/>
      <c r="EM356" s="62"/>
      <c r="EN356" s="62"/>
      <c r="EO356" s="62"/>
      <c r="EP356" s="62"/>
      <c r="EQ356" s="62"/>
      <c r="ER356" s="62"/>
      <c r="ES356" s="62"/>
      <c r="ET356" s="62"/>
      <c r="EU356" s="62"/>
      <c r="EV356" s="62"/>
      <c r="EW356" s="62"/>
      <c r="EX356" s="62"/>
      <c r="EY356" s="62"/>
      <c r="EZ356" s="62"/>
      <c r="FA356" s="62"/>
      <c r="FB356" s="62"/>
      <c r="FC356" s="62"/>
      <c r="FD356" s="62"/>
      <c r="FE356" s="62"/>
      <c r="FF356" s="62"/>
      <c r="FG356" s="62"/>
      <c r="FH356" s="62"/>
      <c r="FI356" s="62"/>
      <c r="FJ356" s="62"/>
      <c r="FK356" s="62"/>
      <c r="FL356" s="62"/>
      <c r="FM356" s="62"/>
      <c r="FN356" s="62"/>
      <c r="FO356" s="62"/>
      <c r="FP356" s="62"/>
      <c r="FQ356" s="62"/>
      <c r="FR356" s="62"/>
      <c r="FS356" s="62"/>
      <c r="FT356" s="62"/>
      <c r="FU356" s="62"/>
      <c r="FV356" s="62"/>
    </row>
    <row r="357" spans="1:178" ht="13.8">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c r="AY357" s="62"/>
      <c r="AZ357" s="62"/>
      <c r="BA357" s="62"/>
      <c r="BB357" s="62"/>
      <c r="BC357" s="62"/>
      <c r="BD357" s="62"/>
      <c r="BE357" s="62"/>
      <c r="BF357" s="62"/>
      <c r="BG357" s="62"/>
      <c r="BH357" s="62"/>
      <c r="BI357" s="62"/>
      <c r="BJ357" s="62"/>
      <c r="BK357" s="62"/>
      <c r="BL357" s="62"/>
      <c r="BM357" s="62"/>
      <c r="BN357" s="62"/>
      <c r="BO357" s="62"/>
      <c r="BP357" s="62"/>
      <c r="BQ357" s="62"/>
      <c r="BR357" s="62"/>
      <c r="BS357" s="62"/>
      <c r="BT357" s="62"/>
      <c r="BU357" s="62"/>
      <c r="BV357" s="62"/>
      <c r="BW357" s="62"/>
      <c r="BX357" s="62"/>
      <c r="BY357" s="62"/>
      <c r="BZ357" s="62"/>
      <c r="CA357" s="62"/>
      <c r="CB357" s="62"/>
      <c r="CC357" s="62"/>
      <c r="CD357" s="62"/>
      <c r="CE357" s="62"/>
      <c r="CF357" s="62"/>
      <c r="CG357" s="62"/>
      <c r="CH357" s="62"/>
      <c r="CI357" s="62"/>
      <c r="CJ357" s="62"/>
      <c r="CK357" s="62"/>
      <c r="CL357" s="62"/>
      <c r="CM357" s="62"/>
      <c r="CN357" s="62"/>
      <c r="CO357" s="62"/>
      <c r="CP357" s="62"/>
      <c r="CQ357" s="62"/>
      <c r="CR357" s="62"/>
      <c r="CS357" s="62"/>
      <c r="CT357" s="62"/>
      <c r="CU357" s="62"/>
      <c r="CV357" s="62"/>
      <c r="CW357" s="62"/>
      <c r="CX357" s="62"/>
      <c r="CY357" s="62"/>
      <c r="CZ357" s="62"/>
      <c r="DA357" s="62"/>
      <c r="DB357" s="62"/>
      <c r="DC357" s="62"/>
      <c r="DD357" s="62"/>
      <c r="DE357" s="62"/>
      <c r="DF357" s="62"/>
      <c r="DG357" s="62"/>
      <c r="DH357" s="62"/>
      <c r="DI357" s="62"/>
      <c r="DJ357" s="62"/>
      <c r="DK357" s="62"/>
      <c r="DL357" s="62"/>
      <c r="DM357" s="62"/>
      <c r="DN357" s="62"/>
      <c r="DO357" s="62"/>
      <c r="DP357" s="62"/>
      <c r="DQ357" s="62"/>
      <c r="DR357" s="62"/>
      <c r="DS357" s="62"/>
      <c r="DT357" s="62"/>
      <c r="DU357" s="62"/>
      <c r="DV357" s="62"/>
      <c r="DW357" s="62"/>
      <c r="DX357" s="62"/>
      <c r="DY357" s="62"/>
      <c r="DZ357" s="62"/>
      <c r="EA357" s="62"/>
      <c r="EB357" s="62"/>
      <c r="EC357" s="62"/>
      <c r="ED357" s="62"/>
      <c r="EE357" s="62"/>
      <c r="EF357" s="62"/>
      <c r="EG357" s="62"/>
      <c r="EH357" s="62"/>
      <c r="EI357" s="62"/>
      <c r="EJ357" s="62"/>
      <c r="EK357" s="62"/>
      <c r="EL357" s="62"/>
      <c r="EM357" s="62"/>
      <c r="EN357" s="62"/>
      <c r="EO357" s="62"/>
      <c r="EP357" s="62"/>
      <c r="EQ357" s="62"/>
      <c r="ER357" s="62"/>
      <c r="ES357" s="62"/>
      <c r="ET357" s="62"/>
      <c r="EU357" s="62"/>
      <c r="EV357" s="62"/>
      <c r="EW357" s="62"/>
      <c r="EX357" s="62"/>
      <c r="EY357" s="62"/>
      <c r="EZ357" s="62"/>
      <c r="FA357" s="62"/>
      <c r="FB357" s="62"/>
      <c r="FC357" s="62"/>
      <c r="FD357" s="62"/>
      <c r="FE357" s="62"/>
      <c r="FF357" s="62"/>
      <c r="FG357" s="62"/>
      <c r="FH357" s="62"/>
      <c r="FI357" s="62"/>
      <c r="FJ357" s="62"/>
      <c r="FK357" s="62"/>
      <c r="FL357" s="62"/>
      <c r="FM357" s="62"/>
      <c r="FN357" s="62"/>
      <c r="FO357" s="62"/>
      <c r="FP357" s="62"/>
      <c r="FQ357" s="62"/>
      <c r="FR357" s="62"/>
      <c r="FS357" s="62"/>
      <c r="FT357" s="62"/>
      <c r="FU357" s="62"/>
      <c r="FV357" s="62"/>
    </row>
    <row r="358" spans="1:178" ht="13.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c r="AY358" s="62"/>
      <c r="AZ358" s="62"/>
      <c r="BA358" s="62"/>
      <c r="BB358" s="62"/>
      <c r="BC358" s="62"/>
      <c r="BD358" s="62"/>
      <c r="BE358" s="62"/>
      <c r="BF358" s="62"/>
      <c r="BG358" s="62"/>
      <c r="BH358" s="62"/>
      <c r="BI358" s="62"/>
      <c r="BJ358" s="62"/>
      <c r="BK358" s="62"/>
      <c r="BL358" s="62"/>
      <c r="BM358" s="62"/>
      <c r="BN358" s="62"/>
      <c r="BO358" s="62"/>
      <c r="BP358" s="62"/>
      <c r="BQ358" s="62"/>
      <c r="BR358" s="62"/>
      <c r="BS358" s="62"/>
      <c r="BT358" s="62"/>
      <c r="BU358" s="62"/>
      <c r="BV358" s="62"/>
      <c r="BW358" s="62"/>
      <c r="BX358" s="62"/>
      <c r="BY358" s="62"/>
      <c r="BZ358" s="62"/>
      <c r="CA358" s="62"/>
      <c r="CB358" s="62"/>
      <c r="CC358" s="62"/>
      <c r="CD358" s="62"/>
      <c r="CE358" s="62"/>
      <c r="CF358" s="62"/>
      <c r="CG358" s="62"/>
      <c r="CH358" s="62"/>
      <c r="CI358" s="62"/>
      <c r="CJ358" s="62"/>
      <c r="CK358" s="62"/>
      <c r="CL358" s="62"/>
      <c r="CM358" s="62"/>
      <c r="CN358" s="62"/>
      <c r="CO358" s="62"/>
      <c r="CP358" s="62"/>
      <c r="CQ358" s="62"/>
      <c r="CR358" s="62"/>
      <c r="CS358" s="62"/>
      <c r="CT358" s="62"/>
      <c r="CU358" s="62"/>
      <c r="CV358" s="62"/>
      <c r="CW358" s="62"/>
      <c r="CX358" s="62"/>
      <c r="CY358" s="62"/>
      <c r="CZ358" s="62"/>
      <c r="DA358" s="62"/>
      <c r="DB358" s="62"/>
      <c r="DC358" s="62"/>
      <c r="DD358" s="62"/>
      <c r="DE358" s="62"/>
      <c r="DF358" s="62"/>
      <c r="DG358" s="62"/>
      <c r="DH358" s="62"/>
      <c r="DI358" s="62"/>
      <c r="DJ358" s="62"/>
      <c r="DK358" s="62"/>
      <c r="DL358" s="62"/>
      <c r="DM358" s="62"/>
      <c r="DN358" s="62"/>
      <c r="DO358" s="62"/>
      <c r="DP358" s="62"/>
      <c r="DQ358" s="62"/>
      <c r="DR358" s="62"/>
      <c r="DS358" s="62"/>
      <c r="DT358" s="62"/>
      <c r="DU358" s="62"/>
      <c r="DV358" s="62"/>
      <c r="DW358" s="62"/>
      <c r="DX358" s="62"/>
      <c r="DY358" s="62"/>
      <c r="DZ358" s="62"/>
      <c r="EA358" s="62"/>
      <c r="EB358" s="62"/>
      <c r="EC358" s="62"/>
      <c r="ED358" s="62"/>
      <c r="EE358" s="62"/>
      <c r="EF358" s="62"/>
      <c r="EG358" s="62"/>
      <c r="EH358" s="62"/>
      <c r="EI358" s="62"/>
      <c r="EJ358" s="62"/>
      <c r="EK358" s="62"/>
      <c r="EL358" s="62"/>
      <c r="EM358" s="62"/>
      <c r="EN358" s="62"/>
      <c r="EO358" s="62"/>
      <c r="EP358" s="62"/>
      <c r="EQ358" s="62"/>
      <c r="ER358" s="62"/>
      <c r="ES358" s="62"/>
      <c r="ET358" s="62"/>
      <c r="EU358" s="62"/>
      <c r="EV358" s="62"/>
      <c r="EW358" s="62"/>
      <c r="EX358" s="62"/>
      <c r="EY358" s="62"/>
      <c r="EZ358" s="62"/>
      <c r="FA358" s="62"/>
      <c r="FB358" s="62"/>
      <c r="FC358" s="62"/>
      <c r="FD358" s="62"/>
      <c r="FE358" s="62"/>
      <c r="FF358" s="62"/>
      <c r="FG358" s="62"/>
      <c r="FH358" s="62"/>
      <c r="FI358" s="62"/>
      <c r="FJ358" s="62"/>
      <c r="FK358" s="62"/>
      <c r="FL358" s="62"/>
      <c r="FM358" s="62"/>
      <c r="FN358" s="62"/>
      <c r="FO358" s="62"/>
      <c r="FP358" s="62"/>
      <c r="FQ358" s="62"/>
      <c r="FR358" s="62"/>
      <c r="FS358" s="62"/>
      <c r="FT358" s="62"/>
      <c r="FU358" s="62"/>
      <c r="FV358" s="62"/>
    </row>
    <row r="359" spans="1:178" ht="13.8">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c r="AY359" s="62"/>
      <c r="AZ359" s="62"/>
      <c r="BA359" s="62"/>
      <c r="BB359" s="62"/>
      <c r="BC359" s="62"/>
      <c r="BD359" s="62"/>
      <c r="BE359" s="62"/>
      <c r="BF359" s="62"/>
      <c r="BG359" s="62"/>
      <c r="BH359" s="62"/>
      <c r="BI359" s="62"/>
      <c r="BJ359" s="62"/>
      <c r="BK359" s="62"/>
      <c r="BL359" s="62"/>
      <c r="BM359" s="62"/>
      <c r="BN359" s="62"/>
      <c r="BO359" s="62"/>
      <c r="BP359" s="62"/>
      <c r="BQ359" s="62"/>
      <c r="BR359" s="62"/>
      <c r="BS359" s="62"/>
      <c r="BT359" s="62"/>
      <c r="BU359" s="62"/>
      <c r="BV359" s="62"/>
      <c r="BW359" s="62"/>
      <c r="BX359" s="62"/>
      <c r="BY359" s="62"/>
      <c r="BZ359" s="62"/>
      <c r="CA359" s="62"/>
      <c r="CB359" s="62"/>
      <c r="CC359" s="62"/>
      <c r="CD359" s="62"/>
      <c r="CE359" s="62"/>
      <c r="CF359" s="62"/>
      <c r="CG359" s="62"/>
      <c r="CH359" s="62"/>
      <c r="CI359" s="62"/>
      <c r="CJ359" s="62"/>
      <c r="CK359" s="62"/>
      <c r="CL359" s="62"/>
      <c r="CM359" s="62"/>
      <c r="CN359" s="62"/>
      <c r="CO359" s="62"/>
      <c r="CP359" s="62"/>
      <c r="CQ359" s="62"/>
      <c r="CR359" s="62"/>
      <c r="CS359" s="62"/>
      <c r="CT359" s="62"/>
      <c r="CU359" s="62"/>
      <c r="CV359" s="62"/>
      <c r="CW359" s="62"/>
      <c r="CX359" s="62"/>
      <c r="CY359" s="62"/>
      <c r="CZ359" s="62"/>
      <c r="DA359" s="62"/>
      <c r="DB359" s="62"/>
      <c r="DC359" s="62"/>
      <c r="DD359" s="62"/>
      <c r="DE359" s="62"/>
      <c r="DF359" s="62"/>
      <c r="DG359" s="62"/>
      <c r="DH359" s="62"/>
      <c r="DI359" s="62"/>
      <c r="DJ359" s="62"/>
      <c r="DK359" s="62"/>
      <c r="DL359" s="62"/>
      <c r="DM359" s="62"/>
      <c r="DN359" s="62"/>
      <c r="DO359" s="62"/>
      <c r="DP359" s="62"/>
      <c r="DQ359" s="62"/>
      <c r="DR359" s="62"/>
      <c r="DS359" s="62"/>
      <c r="DT359" s="62"/>
      <c r="DU359" s="62"/>
      <c r="DV359" s="62"/>
      <c r="DW359" s="62"/>
      <c r="DX359" s="62"/>
      <c r="DY359" s="62"/>
      <c r="DZ359" s="62"/>
      <c r="EA359" s="62"/>
      <c r="EB359" s="62"/>
      <c r="EC359" s="62"/>
      <c r="ED359" s="62"/>
      <c r="EE359" s="62"/>
      <c r="EF359" s="62"/>
      <c r="EG359" s="62"/>
      <c r="EH359" s="62"/>
      <c r="EI359" s="62"/>
      <c r="EJ359" s="62"/>
      <c r="EK359" s="62"/>
      <c r="EL359" s="62"/>
      <c r="EM359" s="62"/>
      <c r="EN359" s="62"/>
      <c r="EO359" s="62"/>
      <c r="EP359" s="62"/>
      <c r="EQ359" s="62"/>
      <c r="ER359" s="62"/>
      <c r="ES359" s="62"/>
      <c r="ET359" s="62"/>
      <c r="EU359" s="62"/>
      <c r="EV359" s="62"/>
      <c r="EW359" s="62"/>
      <c r="EX359" s="62"/>
      <c r="EY359" s="62"/>
      <c r="EZ359" s="62"/>
      <c r="FA359" s="62"/>
      <c r="FB359" s="62"/>
      <c r="FC359" s="62"/>
      <c r="FD359" s="62"/>
      <c r="FE359" s="62"/>
      <c r="FF359" s="62"/>
      <c r="FG359" s="62"/>
      <c r="FH359" s="62"/>
      <c r="FI359" s="62"/>
      <c r="FJ359" s="62"/>
      <c r="FK359" s="62"/>
      <c r="FL359" s="62"/>
      <c r="FM359" s="62"/>
      <c r="FN359" s="62"/>
      <c r="FO359" s="62"/>
      <c r="FP359" s="62"/>
      <c r="FQ359" s="62"/>
      <c r="FR359" s="62"/>
      <c r="FS359" s="62"/>
      <c r="FT359" s="62"/>
      <c r="FU359" s="62"/>
      <c r="FV359" s="62"/>
    </row>
    <row r="360" spans="1:178" ht="13.8">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c r="AY360" s="62"/>
      <c r="AZ360" s="62"/>
      <c r="BA360" s="62"/>
      <c r="BB360" s="62"/>
      <c r="BC360" s="62"/>
      <c r="BD360" s="62"/>
      <c r="BE360" s="62"/>
      <c r="BF360" s="62"/>
      <c r="BG360" s="62"/>
      <c r="BH360" s="62"/>
      <c r="BI360" s="62"/>
      <c r="BJ360" s="62"/>
      <c r="BK360" s="62"/>
      <c r="BL360" s="62"/>
      <c r="BM360" s="62"/>
      <c r="BN360" s="62"/>
      <c r="BO360" s="62"/>
      <c r="BP360" s="62"/>
      <c r="BQ360" s="62"/>
      <c r="BR360" s="62"/>
      <c r="BS360" s="62"/>
      <c r="BT360" s="62"/>
      <c r="BU360" s="62"/>
      <c r="BV360" s="62"/>
      <c r="BW360" s="62"/>
      <c r="BX360" s="62"/>
      <c r="BY360" s="62"/>
      <c r="BZ360" s="62"/>
      <c r="CA360" s="62"/>
      <c r="CB360" s="62"/>
      <c r="CC360" s="62"/>
      <c r="CD360" s="62"/>
      <c r="CE360" s="62"/>
      <c r="CF360" s="62"/>
      <c r="CG360" s="62"/>
      <c r="CH360" s="62"/>
      <c r="CI360" s="62"/>
      <c r="CJ360" s="62"/>
      <c r="CK360" s="62"/>
      <c r="CL360" s="62"/>
      <c r="CM360" s="62"/>
      <c r="CN360" s="62"/>
      <c r="CO360" s="62"/>
      <c r="CP360" s="62"/>
      <c r="CQ360" s="62"/>
      <c r="CR360" s="62"/>
      <c r="CS360" s="62"/>
      <c r="CT360" s="62"/>
      <c r="CU360" s="62"/>
      <c r="CV360" s="62"/>
      <c r="CW360" s="62"/>
      <c r="CX360" s="62"/>
      <c r="CY360" s="62"/>
      <c r="CZ360" s="62"/>
      <c r="DA360" s="62"/>
      <c r="DB360" s="62"/>
      <c r="DC360" s="62"/>
      <c r="DD360" s="62"/>
      <c r="DE360" s="62"/>
      <c r="DF360" s="62"/>
      <c r="DG360" s="62"/>
      <c r="DH360" s="62"/>
      <c r="DI360" s="62"/>
      <c r="DJ360" s="62"/>
      <c r="DK360" s="62"/>
      <c r="DL360" s="62"/>
      <c r="DM360" s="62"/>
      <c r="DN360" s="62"/>
      <c r="DO360" s="62"/>
      <c r="DP360" s="62"/>
      <c r="DQ360" s="62"/>
      <c r="DR360" s="62"/>
      <c r="DS360" s="62"/>
      <c r="DT360" s="62"/>
      <c r="DU360" s="62"/>
      <c r="DV360" s="62"/>
      <c r="DW360" s="62"/>
      <c r="DX360" s="62"/>
      <c r="DY360" s="62"/>
      <c r="DZ360" s="62"/>
      <c r="EA360" s="62"/>
      <c r="EB360" s="62"/>
      <c r="EC360" s="62"/>
      <c r="ED360" s="62"/>
      <c r="EE360" s="62"/>
      <c r="EF360" s="62"/>
      <c r="EG360" s="62"/>
      <c r="EH360" s="62"/>
      <c r="EI360" s="62"/>
      <c r="EJ360" s="62"/>
      <c r="EK360" s="62"/>
      <c r="EL360" s="62"/>
      <c r="EM360" s="62"/>
      <c r="EN360" s="62"/>
      <c r="EO360" s="62"/>
      <c r="EP360" s="62"/>
      <c r="EQ360" s="62"/>
      <c r="ER360" s="62"/>
      <c r="ES360" s="62"/>
      <c r="ET360" s="62"/>
      <c r="EU360" s="62"/>
      <c r="EV360" s="62"/>
      <c r="EW360" s="62"/>
      <c r="EX360" s="62"/>
      <c r="EY360" s="62"/>
      <c r="EZ360" s="62"/>
      <c r="FA360" s="62"/>
      <c r="FB360" s="62"/>
      <c r="FC360" s="62"/>
      <c r="FD360" s="62"/>
      <c r="FE360" s="62"/>
      <c r="FF360" s="62"/>
      <c r="FG360" s="62"/>
      <c r="FH360" s="62"/>
      <c r="FI360" s="62"/>
      <c r="FJ360" s="62"/>
      <c r="FK360" s="62"/>
      <c r="FL360" s="62"/>
      <c r="FM360" s="62"/>
      <c r="FN360" s="62"/>
      <c r="FO360" s="62"/>
      <c r="FP360" s="62"/>
      <c r="FQ360" s="62"/>
      <c r="FR360" s="62"/>
      <c r="FS360" s="62"/>
      <c r="FT360" s="62"/>
      <c r="FU360" s="62"/>
      <c r="FV360" s="62"/>
    </row>
    <row r="361" spans="1:178" ht="13.8">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c r="AY361" s="62"/>
      <c r="AZ361" s="62"/>
      <c r="BA361" s="62"/>
      <c r="BB361" s="62"/>
      <c r="BC361" s="62"/>
      <c r="BD361" s="62"/>
      <c r="BE361" s="62"/>
      <c r="BF361" s="62"/>
      <c r="BG361" s="62"/>
      <c r="BH361" s="62"/>
      <c r="BI361" s="62"/>
      <c r="BJ361" s="62"/>
      <c r="BK361" s="62"/>
      <c r="BL361" s="62"/>
      <c r="BM361" s="62"/>
      <c r="BN361" s="62"/>
      <c r="BO361" s="62"/>
      <c r="BP361" s="62"/>
      <c r="BQ361" s="62"/>
      <c r="BR361" s="62"/>
      <c r="BS361" s="62"/>
      <c r="BT361" s="62"/>
      <c r="BU361" s="62"/>
      <c r="BV361" s="62"/>
      <c r="BW361" s="62"/>
      <c r="BX361" s="62"/>
      <c r="BY361" s="62"/>
      <c r="BZ361" s="62"/>
      <c r="CA361" s="62"/>
      <c r="CB361" s="62"/>
      <c r="CC361" s="62"/>
      <c r="CD361" s="62"/>
      <c r="CE361" s="62"/>
      <c r="CF361" s="62"/>
      <c r="CG361" s="62"/>
      <c r="CH361" s="62"/>
      <c r="CI361" s="62"/>
      <c r="CJ361" s="62"/>
      <c r="CK361" s="62"/>
      <c r="CL361" s="62"/>
      <c r="CM361" s="62"/>
      <c r="CN361" s="62"/>
      <c r="CO361" s="62"/>
      <c r="CP361" s="62"/>
      <c r="CQ361" s="62"/>
      <c r="CR361" s="62"/>
      <c r="CS361" s="62"/>
      <c r="CT361" s="62"/>
      <c r="CU361" s="62"/>
      <c r="CV361" s="62"/>
      <c r="CW361" s="62"/>
      <c r="CX361" s="62"/>
      <c r="CY361" s="62"/>
      <c r="CZ361" s="62"/>
      <c r="DA361" s="62"/>
      <c r="DB361" s="62"/>
      <c r="DC361" s="62"/>
      <c r="DD361" s="62"/>
      <c r="DE361" s="62"/>
      <c r="DF361" s="62"/>
      <c r="DG361" s="62"/>
      <c r="DH361" s="62"/>
      <c r="DI361" s="62"/>
      <c r="DJ361" s="62"/>
      <c r="DK361" s="62"/>
      <c r="DL361" s="62"/>
      <c r="DM361" s="62"/>
      <c r="DN361" s="62"/>
      <c r="DO361" s="62"/>
      <c r="DP361" s="62"/>
      <c r="DQ361" s="62"/>
      <c r="DR361" s="62"/>
      <c r="DS361" s="62"/>
      <c r="DT361" s="62"/>
      <c r="DU361" s="62"/>
      <c r="DV361" s="62"/>
      <c r="DW361" s="62"/>
      <c r="DX361" s="62"/>
      <c r="DY361" s="62"/>
      <c r="DZ361" s="62"/>
      <c r="EA361" s="62"/>
      <c r="EB361" s="62"/>
      <c r="EC361" s="62"/>
      <c r="ED361" s="62"/>
      <c r="EE361" s="62"/>
      <c r="EF361" s="62"/>
      <c r="EG361" s="62"/>
      <c r="EH361" s="62"/>
      <c r="EI361" s="62"/>
      <c r="EJ361" s="62"/>
      <c r="EK361" s="62"/>
      <c r="EL361" s="62"/>
      <c r="EM361" s="62"/>
      <c r="EN361" s="62"/>
      <c r="EO361" s="62"/>
      <c r="EP361" s="62"/>
      <c r="EQ361" s="62"/>
      <c r="ER361" s="62"/>
      <c r="ES361" s="62"/>
      <c r="ET361" s="62"/>
      <c r="EU361" s="62"/>
      <c r="EV361" s="62"/>
      <c r="EW361" s="62"/>
      <c r="EX361" s="62"/>
      <c r="EY361" s="62"/>
      <c r="EZ361" s="62"/>
      <c r="FA361" s="62"/>
      <c r="FB361" s="62"/>
      <c r="FC361" s="62"/>
      <c r="FD361" s="62"/>
      <c r="FE361" s="62"/>
      <c r="FF361" s="62"/>
      <c r="FG361" s="62"/>
      <c r="FH361" s="62"/>
      <c r="FI361" s="62"/>
      <c r="FJ361" s="62"/>
      <c r="FK361" s="62"/>
      <c r="FL361" s="62"/>
      <c r="FM361" s="62"/>
      <c r="FN361" s="62"/>
      <c r="FO361" s="62"/>
      <c r="FP361" s="62"/>
      <c r="FQ361" s="62"/>
      <c r="FR361" s="62"/>
      <c r="FS361" s="62"/>
      <c r="FT361" s="62"/>
      <c r="FU361" s="62"/>
      <c r="FV361" s="62"/>
    </row>
    <row r="362" spans="1:178" ht="13.8">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c r="AY362" s="62"/>
      <c r="AZ362" s="62"/>
      <c r="BA362" s="62"/>
      <c r="BB362" s="62"/>
      <c r="BC362" s="62"/>
      <c r="BD362" s="62"/>
      <c r="BE362" s="62"/>
      <c r="BF362" s="62"/>
      <c r="BG362" s="62"/>
      <c r="BH362" s="62"/>
      <c r="BI362" s="62"/>
      <c r="BJ362" s="62"/>
      <c r="BK362" s="62"/>
      <c r="BL362" s="62"/>
      <c r="BM362" s="62"/>
      <c r="BN362" s="62"/>
      <c r="BO362" s="62"/>
      <c r="BP362" s="62"/>
      <c r="BQ362" s="62"/>
      <c r="BR362" s="62"/>
      <c r="BS362" s="62"/>
      <c r="BT362" s="62"/>
      <c r="BU362" s="62"/>
      <c r="BV362" s="62"/>
      <c r="BW362" s="62"/>
      <c r="BX362" s="62"/>
      <c r="BY362" s="62"/>
      <c r="BZ362" s="62"/>
      <c r="CA362" s="62"/>
      <c r="CB362" s="62"/>
      <c r="CC362" s="62"/>
      <c r="CD362" s="62"/>
      <c r="CE362" s="62"/>
      <c r="CF362" s="62"/>
      <c r="CG362" s="62"/>
      <c r="CH362" s="62"/>
      <c r="CI362" s="62"/>
      <c r="CJ362" s="62"/>
      <c r="CK362" s="62"/>
      <c r="CL362" s="62"/>
      <c r="CM362" s="62"/>
      <c r="CN362" s="62"/>
      <c r="CO362" s="62"/>
      <c r="CP362" s="62"/>
      <c r="CQ362" s="62"/>
      <c r="CR362" s="62"/>
      <c r="CS362" s="62"/>
      <c r="CT362" s="62"/>
      <c r="CU362" s="62"/>
      <c r="CV362" s="62"/>
      <c r="CW362" s="62"/>
      <c r="CX362" s="62"/>
      <c r="CY362" s="62"/>
      <c r="CZ362" s="62"/>
      <c r="DA362" s="62"/>
      <c r="DB362" s="62"/>
      <c r="DC362" s="62"/>
      <c r="DD362" s="62"/>
      <c r="DE362" s="62"/>
      <c r="DF362" s="62"/>
      <c r="DG362" s="62"/>
      <c r="DH362" s="62"/>
      <c r="DI362" s="62"/>
      <c r="DJ362" s="62"/>
      <c r="DK362" s="62"/>
      <c r="DL362" s="62"/>
      <c r="DM362" s="62"/>
      <c r="DN362" s="62"/>
      <c r="DO362" s="62"/>
      <c r="DP362" s="62"/>
      <c r="DQ362" s="62"/>
      <c r="DR362" s="62"/>
      <c r="DS362" s="62"/>
      <c r="DT362" s="62"/>
      <c r="DU362" s="62"/>
      <c r="DV362" s="62"/>
      <c r="DW362" s="62"/>
      <c r="DX362" s="62"/>
      <c r="DY362" s="62"/>
      <c r="DZ362" s="62"/>
      <c r="EA362" s="62"/>
      <c r="EB362" s="62"/>
      <c r="EC362" s="62"/>
      <c r="ED362" s="62"/>
      <c r="EE362" s="62"/>
      <c r="EF362" s="62"/>
      <c r="EG362" s="62"/>
      <c r="EH362" s="62"/>
      <c r="EI362" s="62"/>
      <c r="EJ362" s="62"/>
      <c r="EK362" s="62"/>
      <c r="EL362" s="62"/>
      <c r="EM362" s="62"/>
      <c r="EN362" s="62"/>
      <c r="EO362" s="62"/>
      <c r="EP362" s="62"/>
      <c r="EQ362" s="62"/>
      <c r="ER362" s="62"/>
      <c r="ES362" s="62"/>
      <c r="ET362" s="62"/>
      <c r="EU362" s="62"/>
      <c r="EV362" s="62"/>
      <c r="EW362" s="62"/>
      <c r="EX362" s="62"/>
      <c r="EY362" s="62"/>
      <c r="EZ362" s="62"/>
      <c r="FA362" s="62"/>
      <c r="FB362" s="62"/>
      <c r="FC362" s="62"/>
      <c r="FD362" s="62"/>
      <c r="FE362" s="62"/>
      <c r="FF362" s="62"/>
      <c r="FG362" s="62"/>
      <c r="FH362" s="62"/>
      <c r="FI362" s="62"/>
      <c r="FJ362" s="62"/>
      <c r="FK362" s="62"/>
      <c r="FL362" s="62"/>
      <c r="FM362" s="62"/>
      <c r="FN362" s="62"/>
      <c r="FO362" s="62"/>
      <c r="FP362" s="62"/>
      <c r="FQ362" s="62"/>
      <c r="FR362" s="62"/>
      <c r="FS362" s="62"/>
      <c r="FT362" s="62"/>
      <c r="FU362" s="62"/>
      <c r="FV362" s="62"/>
    </row>
    <row r="363" spans="1:178" ht="13.8">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c r="AY363" s="62"/>
      <c r="AZ363" s="62"/>
      <c r="BA363" s="62"/>
      <c r="BB363" s="62"/>
      <c r="BC363" s="62"/>
      <c r="BD363" s="62"/>
      <c r="BE363" s="62"/>
      <c r="BF363" s="62"/>
      <c r="BG363" s="62"/>
      <c r="BH363" s="62"/>
      <c r="BI363" s="62"/>
      <c r="BJ363" s="62"/>
      <c r="BK363" s="62"/>
      <c r="BL363" s="62"/>
      <c r="BM363" s="62"/>
      <c r="BN363" s="62"/>
      <c r="BO363" s="62"/>
      <c r="BP363" s="62"/>
      <c r="BQ363" s="62"/>
      <c r="BR363" s="62"/>
      <c r="BS363" s="62"/>
      <c r="BT363" s="62"/>
      <c r="BU363" s="62"/>
      <c r="BV363" s="62"/>
      <c r="BW363" s="62"/>
      <c r="BX363" s="62"/>
      <c r="BY363" s="62"/>
      <c r="BZ363" s="62"/>
      <c r="CA363" s="62"/>
      <c r="CB363" s="62"/>
      <c r="CC363" s="62"/>
      <c r="CD363" s="62"/>
      <c r="CE363" s="62"/>
      <c r="CF363" s="62"/>
      <c r="CG363" s="62"/>
      <c r="CH363" s="62"/>
      <c r="CI363" s="62"/>
      <c r="CJ363" s="62"/>
      <c r="CK363" s="62"/>
      <c r="CL363" s="62"/>
      <c r="CM363" s="62"/>
      <c r="CN363" s="62"/>
      <c r="CO363" s="62"/>
      <c r="CP363" s="62"/>
      <c r="CQ363" s="62"/>
      <c r="CR363" s="62"/>
      <c r="CS363" s="62"/>
      <c r="CT363" s="62"/>
      <c r="CU363" s="62"/>
      <c r="CV363" s="62"/>
      <c r="CW363" s="62"/>
      <c r="CX363" s="62"/>
      <c r="CY363" s="62"/>
      <c r="CZ363" s="62"/>
      <c r="DA363" s="62"/>
      <c r="DB363" s="62"/>
      <c r="DC363" s="62"/>
      <c r="DD363" s="62"/>
      <c r="DE363" s="62"/>
      <c r="DF363" s="62"/>
      <c r="DG363" s="62"/>
      <c r="DH363" s="62"/>
      <c r="DI363" s="62"/>
      <c r="DJ363" s="62"/>
      <c r="DK363" s="62"/>
      <c r="DL363" s="62"/>
      <c r="DM363" s="62"/>
      <c r="DN363" s="62"/>
      <c r="DO363" s="62"/>
      <c r="DP363" s="62"/>
      <c r="DQ363" s="62"/>
      <c r="DR363" s="62"/>
      <c r="DS363" s="62"/>
      <c r="DT363" s="62"/>
      <c r="DU363" s="62"/>
      <c r="DV363" s="62"/>
      <c r="DW363" s="62"/>
      <c r="DX363" s="62"/>
      <c r="DY363" s="62"/>
      <c r="DZ363" s="62"/>
      <c r="EA363" s="62"/>
      <c r="EB363" s="62"/>
      <c r="EC363" s="62"/>
      <c r="ED363" s="62"/>
      <c r="EE363" s="62"/>
      <c r="EF363" s="62"/>
      <c r="EG363" s="62"/>
      <c r="EH363" s="62"/>
      <c r="EI363" s="62"/>
      <c r="EJ363" s="62"/>
      <c r="EK363" s="62"/>
      <c r="EL363" s="62"/>
      <c r="EM363" s="62"/>
      <c r="EN363" s="62"/>
      <c r="EO363" s="62"/>
      <c r="EP363" s="62"/>
      <c r="EQ363" s="62"/>
      <c r="ER363" s="62"/>
      <c r="ES363" s="62"/>
      <c r="ET363" s="62"/>
      <c r="EU363" s="62"/>
      <c r="EV363" s="62"/>
      <c r="EW363" s="62"/>
      <c r="EX363" s="62"/>
      <c r="EY363" s="62"/>
      <c r="EZ363" s="62"/>
      <c r="FA363" s="62"/>
      <c r="FB363" s="62"/>
      <c r="FC363" s="62"/>
      <c r="FD363" s="62"/>
      <c r="FE363" s="62"/>
      <c r="FF363" s="62"/>
      <c r="FG363" s="62"/>
      <c r="FH363" s="62"/>
      <c r="FI363" s="62"/>
      <c r="FJ363" s="62"/>
      <c r="FK363" s="62"/>
      <c r="FL363" s="62"/>
      <c r="FM363" s="62"/>
      <c r="FN363" s="62"/>
      <c r="FO363" s="62"/>
      <c r="FP363" s="62"/>
      <c r="FQ363" s="62"/>
      <c r="FR363" s="62"/>
      <c r="FS363" s="62"/>
      <c r="FT363" s="62"/>
      <c r="FU363" s="62"/>
      <c r="FV363" s="62"/>
    </row>
    <row r="364" spans="1:178" ht="13.8">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62"/>
      <c r="BD364" s="62"/>
      <c r="BE364" s="62"/>
      <c r="BF364" s="62"/>
      <c r="BG364" s="62"/>
      <c r="BH364" s="62"/>
      <c r="BI364" s="62"/>
      <c r="BJ364" s="62"/>
      <c r="BK364" s="62"/>
      <c r="BL364" s="62"/>
      <c r="BM364" s="62"/>
      <c r="BN364" s="62"/>
      <c r="BO364" s="62"/>
      <c r="BP364" s="62"/>
      <c r="BQ364" s="62"/>
      <c r="BR364" s="62"/>
      <c r="BS364" s="62"/>
      <c r="BT364" s="62"/>
      <c r="BU364" s="62"/>
      <c r="BV364" s="62"/>
      <c r="BW364" s="62"/>
      <c r="BX364" s="62"/>
      <c r="BY364" s="62"/>
      <c r="BZ364" s="62"/>
      <c r="CA364" s="62"/>
      <c r="CB364" s="62"/>
      <c r="CC364" s="62"/>
      <c r="CD364" s="62"/>
      <c r="CE364" s="62"/>
      <c r="CF364" s="62"/>
      <c r="CG364" s="62"/>
      <c r="CH364" s="62"/>
      <c r="CI364" s="62"/>
      <c r="CJ364" s="62"/>
      <c r="CK364" s="62"/>
      <c r="CL364" s="62"/>
      <c r="CM364" s="62"/>
      <c r="CN364" s="62"/>
      <c r="CO364" s="62"/>
      <c r="CP364" s="62"/>
      <c r="CQ364" s="62"/>
      <c r="CR364" s="62"/>
      <c r="CS364" s="62"/>
      <c r="CT364" s="62"/>
      <c r="CU364" s="62"/>
      <c r="CV364" s="62"/>
      <c r="CW364" s="62"/>
      <c r="CX364" s="62"/>
      <c r="CY364" s="62"/>
      <c r="CZ364" s="62"/>
      <c r="DA364" s="62"/>
      <c r="DB364" s="62"/>
      <c r="DC364" s="62"/>
      <c r="DD364" s="62"/>
      <c r="DE364" s="62"/>
      <c r="DF364" s="62"/>
      <c r="DG364" s="62"/>
      <c r="DH364" s="62"/>
      <c r="DI364" s="62"/>
      <c r="DJ364" s="62"/>
      <c r="DK364" s="62"/>
      <c r="DL364" s="62"/>
      <c r="DM364" s="62"/>
      <c r="DN364" s="62"/>
      <c r="DO364" s="62"/>
      <c r="DP364" s="62"/>
      <c r="DQ364" s="62"/>
      <c r="DR364" s="62"/>
      <c r="DS364" s="62"/>
      <c r="DT364" s="62"/>
      <c r="DU364" s="62"/>
      <c r="DV364" s="62"/>
      <c r="DW364" s="62"/>
      <c r="DX364" s="62"/>
      <c r="DY364" s="62"/>
      <c r="DZ364" s="62"/>
      <c r="EA364" s="62"/>
      <c r="EB364" s="62"/>
      <c r="EC364" s="62"/>
      <c r="ED364" s="62"/>
      <c r="EE364" s="62"/>
      <c r="EF364" s="62"/>
      <c r="EG364" s="62"/>
      <c r="EH364" s="62"/>
      <c r="EI364" s="62"/>
      <c r="EJ364" s="62"/>
      <c r="EK364" s="62"/>
      <c r="EL364" s="62"/>
      <c r="EM364" s="62"/>
      <c r="EN364" s="62"/>
      <c r="EO364" s="62"/>
      <c r="EP364" s="62"/>
      <c r="EQ364" s="62"/>
      <c r="ER364" s="62"/>
      <c r="ES364" s="62"/>
      <c r="ET364" s="62"/>
      <c r="EU364" s="62"/>
      <c r="EV364" s="62"/>
      <c r="EW364" s="62"/>
      <c r="EX364" s="62"/>
      <c r="EY364" s="62"/>
      <c r="EZ364" s="62"/>
      <c r="FA364" s="62"/>
      <c r="FB364" s="62"/>
      <c r="FC364" s="62"/>
      <c r="FD364" s="62"/>
      <c r="FE364" s="62"/>
      <c r="FF364" s="62"/>
      <c r="FG364" s="62"/>
      <c r="FH364" s="62"/>
      <c r="FI364" s="62"/>
      <c r="FJ364" s="62"/>
      <c r="FK364" s="62"/>
      <c r="FL364" s="62"/>
      <c r="FM364" s="62"/>
      <c r="FN364" s="62"/>
      <c r="FO364" s="62"/>
      <c r="FP364" s="62"/>
      <c r="FQ364" s="62"/>
      <c r="FR364" s="62"/>
      <c r="FS364" s="62"/>
      <c r="FT364" s="62"/>
      <c r="FU364" s="62"/>
      <c r="FV364" s="62"/>
    </row>
    <row r="365" spans="1:178" ht="13.8">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62"/>
      <c r="AZ365" s="62"/>
      <c r="BA365" s="62"/>
      <c r="BB365" s="62"/>
      <c r="BC365" s="62"/>
      <c r="BD365" s="62"/>
      <c r="BE365" s="62"/>
      <c r="BF365" s="62"/>
      <c r="BG365" s="62"/>
      <c r="BH365" s="62"/>
      <c r="BI365" s="62"/>
      <c r="BJ365" s="62"/>
      <c r="BK365" s="62"/>
      <c r="BL365" s="62"/>
      <c r="BM365" s="62"/>
      <c r="BN365" s="62"/>
      <c r="BO365" s="62"/>
      <c r="BP365" s="62"/>
      <c r="BQ365" s="62"/>
      <c r="BR365" s="62"/>
      <c r="BS365" s="62"/>
      <c r="BT365" s="62"/>
      <c r="BU365" s="62"/>
      <c r="BV365" s="62"/>
      <c r="BW365" s="62"/>
      <c r="BX365" s="62"/>
      <c r="BY365" s="62"/>
      <c r="BZ365" s="62"/>
      <c r="CA365" s="62"/>
      <c r="CB365" s="62"/>
      <c r="CC365" s="62"/>
      <c r="CD365" s="62"/>
      <c r="CE365" s="62"/>
      <c r="CF365" s="62"/>
      <c r="CG365" s="62"/>
      <c r="CH365" s="62"/>
      <c r="CI365" s="62"/>
      <c r="CJ365" s="62"/>
      <c r="CK365" s="62"/>
      <c r="CL365" s="62"/>
      <c r="CM365" s="62"/>
      <c r="CN365" s="62"/>
      <c r="CO365" s="62"/>
      <c r="CP365" s="62"/>
      <c r="CQ365" s="62"/>
      <c r="CR365" s="62"/>
      <c r="CS365" s="62"/>
      <c r="CT365" s="62"/>
      <c r="CU365" s="62"/>
      <c r="CV365" s="62"/>
      <c r="CW365" s="62"/>
      <c r="CX365" s="62"/>
      <c r="CY365" s="62"/>
      <c r="CZ365" s="62"/>
      <c r="DA365" s="62"/>
      <c r="DB365" s="62"/>
      <c r="DC365" s="62"/>
      <c r="DD365" s="62"/>
      <c r="DE365" s="62"/>
      <c r="DF365" s="62"/>
      <c r="DG365" s="62"/>
      <c r="DH365" s="62"/>
      <c r="DI365" s="62"/>
      <c r="DJ365" s="62"/>
      <c r="DK365" s="62"/>
      <c r="DL365" s="62"/>
      <c r="DM365" s="62"/>
      <c r="DN365" s="62"/>
      <c r="DO365" s="62"/>
      <c r="DP365" s="62"/>
      <c r="DQ365" s="62"/>
      <c r="DR365" s="62"/>
      <c r="DS365" s="62"/>
      <c r="DT365" s="62"/>
      <c r="DU365" s="62"/>
      <c r="DV365" s="62"/>
      <c r="DW365" s="62"/>
      <c r="DX365" s="62"/>
      <c r="DY365" s="62"/>
      <c r="DZ365" s="62"/>
      <c r="EA365" s="62"/>
      <c r="EB365" s="62"/>
      <c r="EC365" s="62"/>
      <c r="ED365" s="62"/>
      <c r="EE365" s="62"/>
      <c r="EF365" s="62"/>
      <c r="EG365" s="62"/>
      <c r="EH365" s="62"/>
      <c r="EI365" s="62"/>
      <c r="EJ365" s="62"/>
      <c r="EK365" s="62"/>
      <c r="EL365" s="62"/>
      <c r="EM365" s="62"/>
      <c r="EN365" s="62"/>
      <c r="EO365" s="62"/>
      <c r="EP365" s="62"/>
      <c r="EQ365" s="62"/>
      <c r="ER365" s="62"/>
      <c r="ES365" s="62"/>
      <c r="ET365" s="62"/>
      <c r="EU365" s="62"/>
      <c r="EV365" s="62"/>
      <c r="EW365" s="62"/>
      <c r="EX365" s="62"/>
      <c r="EY365" s="62"/>
      <c r="EZ365" s="62"/>
      <c r="FA365" s="62"/>
      <c r="FB365" s="62"/>
      <c r="FC365" s="62"/>
      <c r="FD365" s="62"/>
      <c r="FE365" s="62"/>
      <c r="FF365" s="62"/>
      <c r="FG365" s="62"/>
      <c r="FH365" s="62"/>
      <c r="FI365" s="62"/>
      <c r="FJ365" s="62"/>
      <c r="FK365" s="62"/>
      <c r="FL365" s="62"/>
      <c r="FM365" s="62"/>
      <c r="FN365" s="62"/>
      <c r="FO365" s="62"/>
      <c r="FP365" s="62"/>
      <c r="FQ365" s="62"/>
      <c r="FR365" s="62"/>
      <c r="FS365" s="62"/>
      <c r="FT365" s="62"/>
      <c r="FU365" s="62"/>
      <c r="FV365" s="62"/>
    </row>
    <row r="366" spans="1:178" ht="13.8">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c r="AY366" s="62"/>
      <c r="AZ366" s="62"/>
      <c r="BA366" s="62"/>
      <c r="BB366" s="62"/>
      <c r="BC366" s="62"/>
      <c r="BD366" s="62"/>
      <c r="BE366" s="62"/>
      <c r="BF366" s="62"/>
      <c r="BG366" s="62"/>
      <c r="BH366" s="62"/>
      <c r="BI366" s="62"/>
      <c r="BJ366" s="62"/>
      <c r="BK366" s="62"/>
      <c r="BL366" s="62"/>
      <c r="BM366" s="62"/>
      <c r="BN366" s="62"/>
      <c r="BO366" s="62"/>
      <c r="BP366" s="62"/>
      <c r="BQ366" s="62"/>
      <c r="BR366" s="62"/>
      <c r="BS366" s="62"/>
      <c r="BT366" s="62"/>
      <c r="BU366" s="62"/>
      <c r="BV366" s="62"/>
      <c r="BW366" s="62"/>
      <c r="BX366" s="62"/>
      <c r="BY366" s="62"/>
      <c r="BZ366" s="62"/>
      <c r="CA366" s="62"/>
      <c r="CB366" s="62"/>
      <c r="CC366" s="62"/>
      <c r="CD366" s="62"/>
      <c r="CE366" s="62"/>
      <c r="CF366" s="62"/>
      <c r="CG366" s="62"/>
      <c r="CH366" s="62"/>
      <c r="CI366" s="62"/>
      <c r="CJ366" s="62"/>
      <c r="CK366" s="62"/>
      <c r="CL366" s="62"/>
      <c r="CM366" s="62"/>
      <c r="CN366" s="62"/>
      <c r="CO366" s="62"/>
      <c r="CP366" s="62"/>
      <c r="CQ366" s="62"/>
      <c r="CR366" s="62"/>
      <c r="CS366" s="62"/>
      <c r="CT366" s="62"/>
      <c r="CU366" s="62"/>
      <c r="CV366" s="62"/>
      <c r="CW366" s="62"/>
      <c r="CX366" s="62"/>
      <c r="CY366" s="62"/>
      <c r="CZ366" s="62"/>
      <c r="DA366" s="62"/>
      <c r="DB366" s="62"/>
      <c r="DC366" s="62"/>
      <c r="DD366" s="62"/>
      <c r="DE366" s="62"/>
      <c r="DF366" s="62"/>
      <c r="DG366" s="62"/>
      <c r="DH366" s="62"/>
      <c r="DI366" s="62"/>
      <c r="DJ366" s="62"/>
      <c r="DK366" s="62"/>
      <c r="DL366" s="62"/>
      <c r="DM366" s="62"/>
      <c r="DN366" s="62"/>
      <c r="DO366" s="62"/>
      <c r="DP366" s="62"/>
      <c r="DQ366" s="62"/>
      <c r="DR366" s="62"/>
      <c r="DS366" s="62"/>
      <c r="DT366" s="62"/>
      <c r="DU366" s="62"/>
      <c r="DV366" s="62"/>
      <c r="DW366" s="62"/>
      <c r="DX366" s="62"/>
      <c r="DY366" s="62"/>
      <c r="DZ366" s="62"/>
      <c r="EA366" s="62"/>
      <c r="EB366" s="62"/>
      <c r="EC366" s="62"/>
      <c r="ED366" s="62"/>
      <c r="EE366" s="62"/>
      <c r="EF366" s="62"/>
      <c r="EG366" s="62"/>
      <c r="EH366" s="62"/>
      <c r="EI366" s="62"/>
      <c r="EJ366" s="62"/>
      <c r="EK366" s="62"/>
      <c r="EL366" s="62"/>
      <c r="EM366" s="62"/>
      <c r="EN366" s="62"/>
      <c r="EO366" s="62"/>
      <c r="EP366" s="62"/>
      <c r="EQ366" s="62"/>
      <c r="ER366" s="62"/>
      <c r="ES366" s="62"/>
      <c r="ET366" s="62"/>
      <c r="EU366" s="62"/>
      <c r="EV366" s="62"/>
      <c r="EW366" s="62"/>
      <c r="EX366" s="62"/>
      <c r="EY366" s="62"/>
      <c r="EZ366" s="62"/>
      <c r="FA366" s="62"/>
      <c r="FB366" s="62"/>
      <c r="FC366" s="62"/>
      <c r="FD366" s="62"/>
      <c r="FE366" s="62"/>
      <c r="FF366" s="62"/>
      <c r="FG366" s="62"/>
      <c r="FH366" s="62"/>
      <c r="FI366" s="62"/>
      <c r="FJ366" s="62"/>
      <c r="FK366" s="62"/>
      <c r="FL366" s="62"/>
      <c r="FM366" s="62"/>
      <c r="FN366" s="62"/>
      <c r="FO366" s="62"/>
      <c r="FP366" s="62"/>
      <c r="FQ366" s="62"/>
      <c r="FR366" s="62"/>
      <c r="FS366" s="62"/>
      <c r="FT366" s="62"/>
      <c r="FU366" s="62"/>
      <c r="FV366" s="62"/>
    </row>
    <row r="367" spans="1:178" ht="13.8">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c r="AY367" s="62"/>
      <c r="AZ367" s="62"/>
      <c r="BA367" s="62"/>
      <c r="BB367" s="62"/>
      <c r="BC367" s="62"/>
      <c r="BD367" s="62"/>
      <c r="BE367" s="62"/>
      <c r="BF367" s="62"/>
      <c r="BG367" s="62"/>
      <c r="BH367" s="62"/>
      <c r="BI367" s="62"/>
      <c r="BJ367" s="62"/>
      <c r="BK367" s="62"/>
      <c r="BL367" s="62"/>
      <c r="BM367" s="62"/>
      <c r="BN367" s="62"/>
      <c r="BO367" s="62"/>
      <c r="BP367" s="62"/>
      <c r="BQ367" s="62"/>
      <c r="BR367" s="62"/>
      <c r="BS367" s="62"/>
      <c r="BT367" s="62"/>
      <c r="BU367" s="62"/>
      <c r="BV367" s="62"/>
      <c r="BW367" s="62"/>
      <c r="BX367" s="62"/>
      <c r="BY367" s="62"/>
      <c r="BZ367" s="62"/>
      <c r="CA367" s="62"/>
      <c r="CB367" s="62"/>
      <c r="CC367" s="62"/>
      <c r="CD367" s="62"/>
      <c r="CE367" s="62"/>
      <c r="CF367" s="62"/>
      <c r="CG367" s="62"/>
      <c r="CH367" s="62"/>
      <c r="CI367" s="62"/>
      <c r="CJ367" s="62"/>
      <c r="CK367" s="62"/>
      <c r="CL367" s="62"/>
      <c r="CM367" s="62"/>
      <c r="CN367" s="62"/>
      <c r="CO367" s="62"/>
      <c r="CP367" s="62"/>
      <c r="CQ367" s="62"/>
      <c r="CR367" s="62"/>
      <c r="CS367" s="62"/>
      <c r="CT367" s="62"/>
      <c r="CU367" s="62"/>
      <c r="CV367" s="62"/>
      <c r="CW367" s="62"/>
      <c r="CX367" s="62"/>
      <c r="CY367" s="62"/>
      <c r="CZ367" s="62"/>
      <c r="DA367" s="62"/>
      <c r="DB367" s="62"/>
      <c r="DC367" s="62"/>
      <c r="DD367" s="62"/>
      <c r="DE367" s="62"/>
      <c r="DF367" s="62"/>
      <c r="DG367" s="62"/>
      <c r="DH367" s="62"/>
      <c r="DI367" s="62"/>
      <c r="DJ367" s="62"/>
      <c r="DK367" s="62"/>
      <c r="DL367" s="62"/>
      <c r="DM367" s="62"/>
      <c r="DN367" s="62"/>
      <c r="DO367" s="62"/>
      <c r="DP367" s="62"/>
      <c r="DQ367" s="62"/>
      <c r="DR367" s="62"/>
      <c r="DS367" s="62"/>
      <c r="DT367" s="62"/>
      <c r="DU367" s="62"/>
      <c r="DV367" s="62"/>
      <c r="DW367" s="62"/>
      <c r="DX367" s="62"/>
      <c r="DY367" s="62"/>
      <c r="DZ367" s="62"/>
      <c r="EA367" s="62"/>
      <c r="EB367" s="62"/>
      <c r="EC367" s="62"/>
      <c r="ED367" s="62"/>
      <c r="EE367" s="62"/>
      <c r="EF367" s="62"/>
      <c r="EG367" s="62"/>
      <c r="EH367" s="62"/>
      <c r="EI367" s="62"/>
      <c r="EJ367" s="62"/>
      <c r="EK367" s="62"/>
      <c r="EL367" s="62"/>
      <c r="EM367" s="62"/>
      <c r="EN367" s="62"/>
      <c r="EO367" s="62"/>
      <c r="EP367" s="62"/>
      <c r="EQ367" s="62"/>
      <c r="ER367" s="62"/>
      <c r="ES367" s="62"/>
      <c r="ET367" s="62"/>
      <c r="EU367" s="62"/>
      <c r="EV367" s="62"/>
      <c r="EW367" s="62"/>
      <c r="EX367" s="62"/>
      <c r="EY367" s="62"/>
      <c r="EZ367" s="62"/>
      <c r="FA367" s="62"/>
      <c r="FB367" s="62"/>
      <c r="FC367" s="62"/>
      <c r="FD367" s="62"/>
      <c r="FE367" s="62"/>
      <c r="FF367" s="62"/>
      <c r="FG367" s="62"/>
      <c r="FH367" s="62"/>
      <c r="FI367" s="62"/>
      <c r="FJ367" s="62"/>
      <c r="FK367" s="62"/>
      <c r="FL367" s="62"/>
      <c r="FM367" s="62"/>
      <c r="FN367" s="62"/>
      <c r="FO367" s="62"/>
      <c r="FP367" s="62"/>
      <c r="FQ367" s="62"/>
      <c r="FR367" s="62"/>
      <c r="FS367" s="62"/>
      <c r="FT367" s="62"/>
      <c r="FU367" s="62"/>
      <c r="FV367" s="62"/>
    </row>
    <row r="368" spans="1:178" ht="13.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c r="AY368" s="62"/>
      <c r="AZ368" s="62"/>
      <c r="BA368" s="62"/>
      <c r="BB368" s="62"/>
      <c r="BC368" s="62"/>
      <c r="BD368" s="62"/>
      <c r="BE368" s="62"/>
      <c r="BF368" s="62"/>
      <c r="BG368" s="62"/>
      <c r="BH368" s="62"/>
      <c r="BI368" s="62"/>
      <c r="BJ368" s="62"/>
      <c r="BK368" s="62"/>
      <c r="BL368" s="62"/>
      <c r="BM368" s="62"/>
      <c r="BN368" s="62"/>
      <c r="BO368" s="62"/>
      <c r="BP368" s="62"/>
      <c r="BQ368" s="62"/>
      <c r="BR368" s="62"/>
      <c r="BS368" s="62"/>
      <c r="BT368" s="62"/>
      <c r="BU368" s="62"/>
      <c r="BV368" s="62"/>
      <c r="BW368" s="62"/>
      <c r="BX368" s="62"/>
      <c r="BY368" s="62"/>
      <c r="BZ368" s="62"/>
      <c r="CA368" s="62"/>
      <c r="CB368" s="62"/>
      <c r="CC368" s="62"/>
      <c r="CD368" s="62"/>
      <c r="CE368" s="62"/>
      <c r="CF368" s="62"/>
      <c r="CG368" s="62"/>
      <c r="CH368" s="62"/>
      <c r="CI368" s="62"/>
      <c r="CJ368" s="62"/>
      <c r="CK368" s="62"/>
      <c r="CL368" s="62"/>
      <c r="CM368" s="62"/>
      <c r="CN368" s="62"/>
      <c r="CO368" s="62"/>
      <c r="CP368" s="62"/>
      <c r="CQ368" s="62"/>
      <c r="CR368" s="62"/>
      <c r="CS368" s="62"/>
      <c r="CT368" s="62"/>
      <c r="CU368" s="62"/>
      <c r="CV368" s="62"/>
      <c r="CW368" s="62"/>
      <c r="CX368" s="62"/>
      <c r="CY368" s="62"/>
      <c r="CZ368" s="62"/>
      <c r="DA368" s="62"/>
      <c r="DB368" s="62"/>
      <c r="DC368" s="62"/>
      <c r="DD368" s="62"/>
      <c r="DE368" s="62"/>
      <c r="DF368" s="62"/>
      <c r="DG368" s="62"/>
      <c r="DH368" s="62"/>
      <c r="DI368" s="62"/>
      <c r="DJ368" s="62"/>
      <c r="DK368" s="62"/>
      <c r="DL368" s="62"/>
      <c r="DM368" s="62"/>
      <c r="DN368" s="62"/>
      <c r="DO368" s="62"/>
      <c r="DP368" s="62"/>
      <c r="DQ368" s="62"/>
      <c r="DR368" s="62"/>
      <c r="DS368" s="62"/>
      <c r="DT368" s="62"/>
      <c r="DU368" s="62"/>
      <c r="DV368" s="62"/>
      <c r="DW368" s="62"/>
      <c r="DX368" s="62"/>
      <c r="DY368" s="62"/>
      <c r="DZ368" s="62"/>
      <c r="EA368" s="62"/>
      <c r="EB368" s="62"/>
      <c r="EC368" s="62"/>
      <c r="ED368" s="62"/>
      <c r="EE368" s="62"/>
      <c r="EF368" s="62"/>
      <c r="EG368" s="62"/>
      <c r="EH368" s="62"/>
      <c r="EI368" s="62"/>
      <c r="EJ368" s="62"/>
      <c r="EK368" s="62"/>
      <c r="EL368" s="62"/>
      <c r="EM368" s="62"/>
      <c r="EN368" s="62"/>
      <c r="EO368" s="62"/>
      <c r="EP368" s="62"/>
      <c r="EQ368" s="62"/>
      <c r="ER368" s="62"/>
      <c r="ES368" s="62"/>
      <c r="ET368" s="62"/>
      <c r="EU368" s="62"/>
      <c r="EV368" s="62"/>
      <c r="EW368" s="62"/>
      <c r="EX368" s="62"/>
      <c r="EY368" s="62"/>
      <c r="EZ368" s="62"/>
      <c r="FA368" s="62"/>
      <c r="FB368" s="62"/>
      <c r="FC368" s="62"/>
      <c r="FD368" s="62"/>
      <c r="FE368" s="62"/>
      <c r="FF368" s="62"/>
      <c r="FG368" s="62"/>
      <c r="FH368" s="62"/>
      <c r="FI368" s="62"/>
      <c r="FJ368" s="62"/>
      <c r="FK368" s="62"/>
      <c r="FL368" s="62"/>
      <c r="FM368" s="62"/>
      <c r="FN368" s="62"/>
      <c r="FO368" s="62"/>
      <c r="FP368" s="62"/>
      <c r="FQ368" s="62"/>
      <c r="FR368" s="62"/>
      <c r="FS368" s="62"/>
      <c r="FT368" s="62"/>
      <c r="FU368" s="62"/>
      <c r="FV368" s="62"/>
    </row>
    <row r="369" spans="1:178" ht="13.8">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c r="AY369" s="62"/>
      <c r="AZ369" s="62"/>
      <c r="BA369" s="62"/>
      <c r="BB369" s="62"/>
      <c r="BC369" s="62"/>
      <c r="BD369" s="62"/>
      <c r="BE369" s="62"/>
      <c r="BF369" s="62"/>
      <c r="BG369" s="62"/>
      <c r="BH369" s="62"/>
      <c r="BI369" s="62"/>
      <c r="BJ369" s="62"/>
      <c r="BK369" s="62"/>
      <c r="BL369" s="62"/>
      <c r="BM369" s="62"/>
      <c r="BN369" s="62"/>
      <c r="BO369" s="62"/>
      <c r="BP369" s="62"/>
      <c r="BQ369" s="62"/>
      <c r="BR369" s="62"/>
      <c r="BS369" s="62"/>
      <c r="BT369" s="62"/>
      <c r="BU369" s="62"/>
      <c r="BV369" s="62"/>
      <c r="BW369" s="62"/>
      <c r="BX369" s="62"/>
      <c r="BY369" s="62"/>
      <c r="BZ369" s="62"/>
      <c r="CA369" s="62"/>
      <c r="CB369" s="62"/>
      <c r="CC369" s="62"/>
      <c r="CD369" s="62"/>
      <c r="CE369" s="62"/>
      <c r="CF369" s="62"/>
      <c r="CG369" s="62"/>
      <c r="CH369" s="62"/>
      <c r="CI369" s="62"/>
      <c r="CJ369" s="62"/>
      <c r="CK369" s="62"/>
      <c r="CL369" s="62"/>
      <c r="CM369" s="62"/>
      <c r="CN369" s="62"/>
      <c r="CO369" s="62"/>
      <c r="CP369" s="62"/>
      <c r="CQ369" s="62"/>
      <c r="CR369" s="62"/>
      <c r="CS369" s="62"/>
      <c r="CT369" s="62"/>
      <c r="CU369" s="62"/>
      <c r="CV369" s="62"/>
      <c r="CW369" s="62"/>
      <c r="CX369" s="62"/>
      <c r="CY369" s="62"/>
      <c r="CZ369" s="62"/>
      <c r="DA369" s="62"/>
      <c r="DB369" s="62"/>
      <c r="DC369" s="62"/>
      <c r="DD369" s="62"/>
      <c r="DE369" s="62"/>
      <c r="DF369" s="62"/>
      <c r="DG369" s="62"/>
      <c r="DH369" s="62"/>
      <c r="DI369" s="62"/>
      <c r="DJ369" s="62"/>
      <c r="DK369" s="62"/>
      <c r="DL369" s="62"/>
      <c r="DM369" s="62"/>
      <c r="DN369" s="62"/>
      <c r="DO369" s="62"/>
      <c r="DP369" s="62"/>
      <c r="DQ369" s="62"/>
      <c r="DR369" s="62"/>
      <c r="DS369" s="62"/>
      <c r="DT369" s="62"/>
      <c r="DU369" s="62"/>
      <c r="DV369" s="62"/>
      <c r="DW369" s="62"/>
      <c r="DX369" s="62"/>
      <c r="DY369" s="62"/>
      <c r="DZ369" s="62"/>
      <c r="EA369" s="62"/>
      <c r="EB369" s="62"/>
      <c r="EC369" s="62"/>
      <c r="ED369" s="62"/>
      <c r="EE369" s="62"/>
      <c r="EF369" s="62"/>
      <c r="EG369" s="62"/>
      <c r="EH369" s="62"/>
      <c r="EI369" s="62"/>
      <c r="EJ369" s="62"/>
      <c r="EK369" s="62"/>
      <c r="EL369" s="62"/>
      <c r="EM369" s="62"/>
      <c r="EN369" s="62"/>
      <c r="EO369" s="62"/>
      <c r="EP369" s="62"/>
      <c r="EQ369" s="62"/>
      <c r="ER369" s="62"/>
      <c r="ES369" s="62"/>
      <c r="ET369" s="62"/>
      <c r="EU369" s="62"/>
      <c r="EV369" s="62"/>
      <c r="EW369" s="62"/>
      <c r="EX369" s="62"/>
      <c r="EY369" s="62"/>
      <c r="EZ369" s="62"/>
      <c r="FA369" s="62"/>
      <c r="FB369" s="62"/>
      <c r="FC369" s="62"/>
      <c r="FD369" s="62"/>
      <c r="FE369" s="62"/>
      <c r="FF369" s="62"/>
      <c r="FG369" s="62"/>
      <c r="FH369" s="62"/>
      <c r="FI369" s="62"/>
      <c r="FJ369" s="62"/>
      <c r="FK369" s="62"/>
      <c r="FL369" s="62"/>
      <c r="FM369" s="62"/>
      <c r="FN369" s="62"/>
      <c r="FO369" s="62"/>
      <c r="FP369" s="62"/>
      <c r="FQ369" s="62"/>
      <c r="FR369" s="62"/>
      <c r="FS369" s="62"/>
      <c r="FT369" s="62"/>
      <c r="FU369" s="62"/>
      <c r="FV369" s="62"/>
    </row>
    <row r="370" spans="1:178" ht="13.8">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c r="AY370" s="62"/>
      <c r="AZ370" s="62"/>
      <c r="BA370" s="62"/>
      <c r="BB370" s="62"/>
      <c r="BC370" s="62"/>
      <c r="BD370" s="62"/>
      <c r="BE370" s="62"/>
      <c r="BF370" s="62"/>
      <c r="BG370" s="62"/>
      <c r="BH370" s="62"/>
      <c r="BI370" s="62"/>
      <c r="BJ370" s="62"/>
      <c r="BK370" s="62"/>
      <c r="BL370" s="62"/>
      <c r="BM370" s="62"/>
      <c r="BN370" s="62"/>
      <c r="BO370" s="62"/>
      <c r="BP370" s="62"/>
      <c r="BQ370" s="62"/>
      <c r="BR370" s="62"/>
      <c r="BS370" s="62"/>
      <c r="BT370" s="62"/>
      <c r="BU370" s="62"/>
      <c r="BV370" s="62"/>
      <c r="BW370" s="62"/>
      <c r="BX370" s="62"/>
      <c r="BY370" s="62"/>
      <c r="BZ370" s="62"/>
      <c r="CA370" s="62"/>
      <c r="CB370" s="62"/>
      <c r="CC370" s="62"/>
      <c r="CD370" s="62"/>
      <c r="CE370" s="62"/>
      <c r="CF370" s="62"/>
      <c r="CG370" s="62"/>
      <c r="CH370" s="62"/>
      <c r="CI370" s="62"/>
      <c r="CJ370" s="62"/>
      <c r="CK370" s="62"/>
      <c r="CL370" s="62"/>
      <c r="CM370" s="62"/>
      <c r="CN370" s="62"/>
      <c r="CO370" s="62"/>
      <c r="CP370" s="62"/>
      <c r="CQ370" s="62"/>
      <c r="CR370" s="62"/>
      <c r="CS370" s="62"/>
      <c r="CT370" s="62"/>
      <c r="CU370" s="62"/>
      <c r="CV370" s="62"/>
      <c r="CW370" s="62"/>
      <c r="CX370" s="62"/>
      <c r="CY370" s="62"/>
      <c r="CZ370" s="62"/>
      <c r="DA370" s="62"/>
      <c r="DB370" s="62"/>
      <c r="DC370" s="62"/>
      <c r="DD370" s="62"/>
      <c r="DE370" s="62"/>
      <c r="DF370" s="62"/>
      <c r="DG370" s="62"/>
      <c r="DH370" s="62"/>
      <c r="DI370" s="62"/>
      <c r="DJ370" s="62"/>
      <c r="DK370" s="62"/>
      <c r="DL370" s="62"/>
      <c r="DM370" s="62"/>
      <c r="DN370" s="62"/>
      <c r="DO370" s="62"/>
      <c r="DP370" s="62"/>
      <c r="DQ370" s="62"/>
      <c r="DR370" s="62"/>
      <c r="DS370" s="62"/>
      <c r="DT370" s="62"/>
      <c r="DU370" s="62"/>
      <c r="DV370" s="62"/>
      <c r="DW370" s="62"/>
      <c r="DX370" s="62"/>
      <c r="DY370" s="62"/>
      <c r="DZ370" s="62"/>
      <c r="EA370" s="62"/>
      <c r="EB370" s="62"/>
      <c r="EC370" s="62"/>
      <c r="ED370" s="62"/>
      <c r="EE370" s="62"/>
      <c r="EF370" s="62"/>
      <c r="EG370" s="62"/>
      <c r="EH370" s="62"/>
      <c r="EI370" s="62"/>
      <c r="EJ370" s="62"/>
      <c r="EK370" s="62"/>
      <c r="EL370" s="62"/>
      <c r="EM370" s="62"/>
      <c r="EN370" s="62"/>
      <c r="EO370" s="62"/>
      <c r="EP370" s="62"/>
      <c r="EQ370" s="62"/>
      <c r="ER370" s="62"/>
      <c r="ES370" s="62"/>
      <c r="ET370" s="62"/>
      <c r="EU370" s="62"/>
      <c r="EV370" s="62"/>
      <c r="EW370" s="62"/>
      <c r="EX370" s="62"/>
      <c r="EY370" s="62"/>
      <c r="EZ370" s="62"/>
      <c r="FA370" s="62"/>
      <c r="FB370" s="62"/>
      <c r="FC370" s="62"/>
      <c r="FD370" s="62"/>
      <c r="FE370" s="62"/>
      <c r="FF370" s="62"/>
      <c r="FG370" s="62"/>
      <c r="FH370" s="62"/>
      <c r="FI370" s="62"/>
      <c r="FJ370" s="62"/>
      <c r="FK370" s="62"/>
      <c r="FL370" s="62"/>
      <c r="FM370" s="62"/>
      <c r="FN370" s="62"/>
      <c r="FO370" s="62"/>
      <c r="FP370" s="62"/>
      <c r="FQ370" s="62"/>
      <c r="FR370" s="62"/>
      <c r="FS370" s="62"/>
      <c r="FT370" s="62"/>
      <c r="FU370" s="62"/>
      <c r="FV370" s="62"/>
    </row>
    <row r="371" spans="1:178" ht="13.8">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c r="AY371" s="62"/>
      <c r="AZ371" s="62"/>
      <c r="BA371" s="62"/>
      <c r="BB371" s="62"/>
      <c r="BC371" s="62"/>
      <c r="BD371" s="62"/>
      <c r="BE371" s="62"/>
      <c r="BF371" s="62"/>
      <c r="BG371" s="62"/>
      <c r="BH371" s="62"/>
      <c r="BI371" s="62"/>
      <c r="BJ371" s="62"/>
      <c r="BK371" s="62"/>
      <c r="BL371" s="62"/>
      <c r="BM371" s="62"/>
      <c r="BN371" s="62"/>
      <c r="BO371" s="62"/>
      <c r="BP371" s="62"/>
      <c r="BQ371" s="62"/>
      <c r="BR371" s="62"/>
      <c r="BS371" s="62"/>
      <c r="BT371" s="62"/>
      <c r="BU371" s="62"/>
      <c r="BV371" s="62"/>
      <c r="BW371" s="62"/>
      <c r="BX371" s="62"/>
      <c r="BY371" s="62"/>
      <c r="BZ371" s="62"/>
      <c r="CA371" s="62"/>
      <c r="CB371" s="62"/>
      <c r="CC371" s="62"/>
      <c r="CD371" s="62"/>
      <c r="CE371" s="62"/>
      <c r="CF371" s="62"/>
      <c r="CG371" s="62"/>
      <c r="CH371" s="62"/>
      <c r="CI371" s="62"/>
      <c r="CJ371" s="62"/>
      <c r="CK371" s="62"/>
      <c r="CL371" s="62"/>
      <c r="CM371" s="62"/>
      <c r="CN371" s="62"/>
      <c r="CO371" s="62"/>
      <c r="CP371" s="62"/>
      <c r="CQ371" s="62"/>
      <c r="CR371" s="62"/>
      <c r="CS371" s="62"/>
      <c r="CT371" s="62"/>
      <c r="CU371" s="62"/>
      <c r="CV371" s="62"/>
      <c r="CW371" s="62"/>
      <c r="CX371" s="62"/>
      <c r="CY371" s="62"/>
      <c r="CZ371" s="62"/>
      <c r="DA371" s="62"/>
      <c r="DB371" s="62"/>
      <c r="DC371" s="62"/>
      <c r="DD371" s="62"/>
      <c r="DE371" s="62"/>
      <c r="DF371" s="62"/>
      <c r="DG371" s="62"/>
      <c r="DH371" s="62"/>
      <c r="DI371" s="62"/>
      <c r="DJ371" s="62"/>
      <c r="DK371" s="62"/>
      <c r="DL371" s="62"/>
      <c r="DM371" s="62"/>
      <c r="DN371" s="62"/>
      <c r="DO371" s="62"/>
      <c r="DP371" s="62"/>
      <c r="DQ371" s="62"/>
      <c r="DR371" s="62"/>
      <c r="DS371" s="62"/>
      <c r="DT371" s="62"/>
      <c r="DU371" s="62"/>
      <c r="DV371" s="62"/>
      <c r="DW371" s="62"/>
      <c r="DX371" s="62"/>
      <c r="DY371" s="62"/>
      <c r="DZ371" s="62"/>
      <c r="EA371" s="62"/>
      <c r="EB371" s="62"/>
      <c r="EC371" s="62"/>
      <c r="ED371" s="62"/>
      <c r="EE371" s="62"/>
      <c r="EF371" s="62"/>
      <c r="EG371" s="62"/>
      <c r="EH371" s="62"/>
      <c r="EI371" s="62"/>
      <c r="EJ371" s="62"/>
      <c r="EK371" s="62"/>
      <c r="EL371" s="62"/>
      <c r="EM371" s="62"/>
      <c r="EN371" s="62"/>
      <c r="EO371" s="62"/>
      <c r="EP371" s="62"/>
      <c r="EQ371" s="62"/>
      <c r="ER371" s="62"/>
      <c r="ES371" s="62"/>
      <c r="ET371" s="62"/>
      <c r="EU371" s="62"/>
      <c r="EV371" s="62"/>
      <c r="EW371" s="62"/>
      <c r="EX371" s="62"/>
      <c r="EY371" s="62"/>
      <c r="EZ371" s="62"/>
      <c r="FA371" s="62"/>
      <c r="FB371" s="62"/>
      <c r="FC371" s="62"/>
      <c r="FD371" s="62"/>
      <c r="FE371" s="62"/>
      <c r="FF371" s="62"/>
      <c r="FG371" s="62"/>
      <c r="FH371" s="62"/>
      <c r="FI371" s="62"/>
      <c r="FJ371" s="62"/>
      <c r="FK371" s="62"/>
      <c r="FL371" s="62"/>
      <c r="FM371" s="62"/>
      <c r="FN371" s="62"/>
      <c r="FO371" s="62"/>
      <c r="FP371" s="62"/>
      <c r="FQ371" s="62"/>
      <c r="FR371" s="62"/>
      <c r="FS371" s="62"/>
      <c r="FT371" s="62"/>
      <c r="FU371" s="62"/>
      <c r="FV371" s="62"/>
    </row>
    <row r="372" spans="1:178" ht="13.8">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62"/>
      <c r="AZ372" s="62"/>
      <c r="BA372" s="62"/>
      <c r="BB372" s="62"/>
      <c r="BC372" s="62"/>
      <c r="BD372" s="62"/>
      <c r="BE372" s="62"/>
      <c r="BF372" s="62"/>
      <c r="BG372" s="62"/>
      <c r="BH372" s="62"/>
      <c r="BI372" s="62"/>
      <c r="BJ372" s="62"/>
      <c r="BK372" s="62"/>
      <c r="BL372" s="62"/>
      <c r="BM372" s="62"/>
      <c r="BN372" s="62"/>
      <c r="BO372" s="62"/>
      <c r="BP372" s="62"/>
      <c r="BQ372" s="62"/>
      <c r="BR372" s="62"/>
      <c r="BS372" s="62"/>
      <c r="BT372" s="62"/>
      <c r="BU372" s="62"/>
      <c r="BV372" s="62"/>
      <c r="BW372" s="62"/>
      <c r="BX372" s="62"/>
      <c r="BY372" s="62"/>
      <c r="BZ372" s="62"/>
      <c r="CA372" s="62"/>
      <c r="CB372" s="62"/>
      <c r="CC372" s="62"/>
      <c r="CD372" s="62"/>
      <c r="CE372" s="62"/>
      <c r="CF372" s="62"/>
      <c r="CG372" s="62"/>
      <c r="CH372" s="62"/>
      <c r="CI372" s="62"/>
      <c r="CJ372" s="62"/>
      <c r="CK372" s="62"/>
      <c r="CL372" s="62"/>
      <c r="CM372" s="62"/>
      <c r="CN372" s="62"/>
      <c r="CO372" s="62"/>
      <c r="CP372" s="62"/>
      <c r="CQ372" s="62"/>
      <c r="CR372" s="62"/>
      <c r="CS372" s="62"/>
      <c r="CT372" s="62"/>
      <c r="CU372" s="62"/>
      <c r="CV372" s="62"/>
      <c r="CW372" s="62"/>
      <c r="CX372" s="62"/>
      <c r="CY372" s="62"/>
      <c r="CZ372" s="62"/>
      <c r="DA372" s="62"/>
      <c r="DB372" s="62"/>
      <c r="DC372" s="62"/>
      <c r="DD372" s="62"/>
      <c r="DE372" s="62"/>
      <c r="DF372" s="62"/>
      <c r="DG372" s="62"/>
      <c r="DH372" s="62"/>
      <c r="DI372" s="62"/>
      <c r="DJ372" s="62"/>
      <c r="DK372" s="62"/>
      <c r="DL372" s="62"/>
      <c r="DM372" s="62"/>
      <c r="DN372" s="62"/>
      <c r="DO372" s="62"/>
      <c r="DP372" s="62"/>
      <c r="DQ372" s="62"/>
      <c r="DR372" s="62"/>
      <c r="DS372" s="62"/>
      <c r="DT372" s="62"/>
      <c r="DU372" s="62"/>
      <c r="DV372" s="62"/>
      <c r="DW372" s="62"/>
      <c r="DX372" s="62"/>
      <c r="DY372" s="62"/>
      <c r="DZ372" s="62"/>
      <c r="EA372" s="62"/>
      <c r="EB372" s="62"/>
      <c r="EC372" s="62"/>
      <c r="ED372" s="62"/>
      <c r="EE372" s="62"/>
      <c r="EF372" s="62"/>
      <c r="EG372" s="62"/>
      <c r="EH372" s="62"/>
      <c r="EI372" s="62"/>
      <c r="EJ372" s="62"/>
      <c r="EK372" s="62"/>
      <c r="EL372" s="62"/>
      <c r="EM372" s="62"/>
      <c r="EN372" s="62"/>
      <c r="EO372" s="62"/>
      <c r="EP372" s="62"/>
      <c r="EQ372" s="62"/>
      <c r="ER372" s="62"/>
      <c r="ES372" s="62"/>
      <c r="ET372" s="62"/>
      <c r="EU372" s="62"/>
      <c r="EV372" s="62"/>
      <c r="EW372" s="62"/>
      <c r="EX372" s="62"/>
      <c r="EY372" s="62"/>
      <c r="EZ372" s="62"/>
      <c r="FA372" s="62"/>
      <c r="FB372" s="62"/>
      <c r="FC372" s="62"/>
      <c r="FD372" s="62"/>
      <c r="FE372" s="62"/>
      <c r="FF372" s="62"/>
      <c r="FG372" s="62"/>
      <c r="FH372" s="62"/>
      <c r="FI372" s="62"/>
      <c r="FJ372" s="62"/>
      <c r="FK372" s="62"/>
      <c r="FL372" s="62"/>
      <c r="FM372" s="62"/>
      <c r="FN372" s="62"/>
      <c r="FO372" s="62"/>
      <c r="FP372" s="62"/>
      <c r="FQ372" s="62"/>
      <c r="FR372" s="62"/>
      <c r="FS372" s="62"/>
      <c r="FT372" s="62"/>
      <c r="FU372" s="62"/>
      <c r="FV372" s="62"/>
    </row>
    <row r="373" spans="1:178" ht="13.8">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c r="AY373" s="62"/>
      <c r="AZ373" s="62"/>
      <c r="BA373" s="62"/>
      <c r="BB373" s="62"/>
      <c r="BC373" s="62"/>
      <c r="BD373" s="62"/>
      <c r="BE373" s="62"/>
      <c r="BF373" s="62"/>
      <c r="BG373" s="62"/>
      <c r="BH373" s="62"/>
      <c r="BI373" s="62"/>
      <c r="BJ373" s="62"/>
      <c r="BK373" s="62"/>
      <c r="BL373" s="62"/>
      <c r="BM373" s="62"/>
      <c r="BN373" s="62"/>
      <c r="BO373" s="62"/>
      <c r="BP373" s="62"/>
      <c r="BQ373" s="62"/>
      <c r="BR373" s="62"/>
      <c r="BS373" s="62"/>
      <c r="BT373" s="62"/>
      <c r="BU373" s="62"/>
      <c r="BV373" s="62"/>
      <c r="BW373" s="62"/>
      <c r="BX373" s="62"/>
      <c r="BY373" s="62"/>
      <c r="BZ373" s="62"/>
      <c r="CA373" s="62"/>
      <c r="CB373" s="62"/>
      <c r="CC373" s="62"/>
      <c r="CD373" s="62"/>
      <c r="CE373" s="62"/>
      <c r="CF373" s="62"/>
      <c r="CG373" s="62"/>
      <c r="CH373" s="62"/>
      <c r="CI373" s="62"/>
      <c r="CJ373" s="62"/>
      <c r="CK373" s="62"/>
      <c r="CL373" s="62"/>
      <c r="CM373" s="62"/>
      <c r="CN373" s="62"/>
      <c r="CO373" s="62"/>
      <c r="CP373" s="62"/>
      <c r="CQ373" s="62"/>
      <c r="CR373" s="62"/>
      <c r="CS373" s="62"/>
      <c r="CT373" s="62"/>
      <c r="CU373" s="62"/>
      <c r="CV373" s="62"/>
      <c r="CW373" s="62"/>
      <c r="CX373" s="62"/>
      <c r="CY373" s="62"/>
      <c r="CZ373" s="62"/>
      <c r="DA373" s="62"/>
      <c r="DB373" s="62"/>
      <c r="DC373" s="62"/>
      <c r="DD373" s="62"/>
      <c r="DE373" s="62"/>
      <c r="DF373" s="62"/>
      <c r="DG373" s="62"/>
      <c r="DH373" s="62"/>
      <c r="DI373" s="62"/>
      <c r="DJ373" s="62"/>
      <c r="DK373" s="62"/>
      <c r="DL373" s="62"/>
      <c r="DM373" s="62"/>
      <c r="DN373" s="62"/>
      <c r="DO373" s="62"/>
      <c r="DP373" s="62"/>
      <c r="DQ373" s="62"/>
      <c r="DR373" s="62"/>
      <c r="DS373" s="62"/>
      <c r="DT373" s="62"/>
      <c r="DU373" s="62"/>
      <c r="DV373" s="62"/>
      <c r="DW373" s="62"/>
      <c r="DX373" s="62"/>
      <c r="DY373" s="62"/>
      <c r="DZ373" s="62"/>
      <c r="EA373" s="62"/>
      <c r="EB373" s="62"/>
      <c r="EC373" s="62"/>
      <c r="ED373" s="62"/>
      <c r="EE373" s="62"/>
      <c r="EF373" s="62"/>
      <c r="EG373" s="62"/>
      <c r="EH373" s="62"/>
      <c r="EI373" s="62"/>
      <c r="EJ373" s="62"/>
      <c r="EK373" s="62"/>
      <c r="EL373" s="62"/>
      <c r="EM373" s="62"/>
      <c r="EN373" s="62"/>
      <c r="EO373" s="62"/>
      <c r="EP373" s="62"/>
      <c r="EQ373" s="62"/>
      <c r="ER373" s="62"/>
      <c r="ES373" s="62"/>
      <c r="ET373" s="62"/>
      <c r="EU373" s="62"/>
      <c r="EV373" s="62"/>
      <c r="EW373" s="62"/>
      <c r="EX373" s="62"/>
      <c r="EY373" s="62"/>
      <c r="EZ373" s="62"/>
      <c r="FA373" s="62"/>
      <c r="FB373" s="62"/>
      <c r="FC373" s="62"/>
      <c r="FD373" s="62"/>
      <c r="FE373" s="62"/>
      <c r="FF373" s="62"/>
      <c r="FG373" s="62"/>
      <c r="FH373" s="62"/>
      <c r="FI373" s="62"/>
      <c r="FJ373" s="62"/>
      <c r="FK373" s="62"/>
      <c r="FL373" s="62"/>
      <c r="FM373" s="62"/>
      <c r="FN373" s="62"/>
      <c r="FO373" s="62"/>
      <c r="FP373" s="62"/>
      <c r="FQ373" s="62"/>
      <c r="FR373" s="62"/>
      <c r="FS373" s="62"/>
      <c r="FT373" s="62"/>
      <c r="FU373" s="62"/>
      <c r="FV373" s="62"/>
    </row>
    <row r="374" spans="1:178" ht="13.8">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c r="AY374" s="62"/>
      <c r="AZ374" s="62"/>
      <c r="BA374" s="62"/>
      <c r="BB374" s="62"/>
      <c r="BC374" s="62"/>
      <c r="BD374" s="62"/>
      <c r="BE374" s="62"/>
      <c r="BF374" s="62"/>
      <c r="BG374" s="62"/>
      <c r="BH374" s="62"/>
      <c r="BI374" s="62"/>
      <c r="BJ374" s="62"/>
      <c r="BK374" s="62"/>
      <c r="BL374" s="62"/>
      <c r="BM374" s="62"/>
      <c r="BN374" s="62"/>
      <c r="BO374" s="62"/>
      <c r="BP374" s="62"/>
      <c r="BQ374" s="62"/>
      <c r="BR374" s="62"/>
      <c r="BS374" s="62"/>
      <c r="BT374" s="62"/>
      <c r="BU374" s="62"/>
      <c r="BV374" s="62"/>
      <c r="BW374" s="62"/>
      <c r="BX374" s="62"/>
      <c r="BY374" s="62"/>
      <c r="BZ374" s="62"/>
      <c r="CA374" s="62"/>
      <c r="CB374" s="62"/>
      <c r="CC374" s="62"/>
      <c r="CD374" s="62"/>
      <c r="CE374" s="62"/>
      <c r="CF374" s="62"/>
      <c r="CG374" s="62"/>
      <c r="CH374" s="62"/>
      <c r="CI374" s="62"/>
      <c r="CJ374" s="62"/>
      <c r="CK374" s="62"/>
      <c r="CL374" s="62"/>
      <c r="CM374" s="62"/>
      <c r="CN374" s="62"/>
      <c r="CO374" s="62"/>
      <c r="CP374" s="62"/>
      <c r="CQ374" s="62"/>
      <c r="CR374" s="62"/>
      <c r="CS374" s="62"/>
      <c r="CT374" s="62"/>
      <c r="CU374" s="62"/>
      <c r="CV374" s="62"/>
      <c r="CW374" s="62"/>
      <c r="CX374" s="62"/>
      <c r="CY374" s="62"/>
      <c r="CZ374" s="62"/>
      <c r="DA374" s="62"/>
      <c r="DB374" s="62"/>
      <c r="DC374" s="62"/>
      <c r="DD374" s="62"/>
      <c r="DE374" s="62"/>
      <c r="DF374" s="62"/>
      <c r="DG374" s="62"/>
      <c r="DH374" s="62"/>
      <c r="DI374" s="62"/>
      <c r="DJ374" s="62"/>
      <c r="DK374" s="62"/>
      <c r="DL374" s="62"/>
      <c r="DM374" s="62"/>
      <c r="DN374" s="62"/>
      <c r="DO374" s="62"/>
      <c r="DP374" s="62"/>
      <c r="DQ374" s="62"/>
      <c r="DR374" s="62"/>
      <c r="DS374" s="62"/>
      <c r="DT374" s="62"/>
      <c r="DU374" s="62"/>
      <c r="DV374" s="62"/>
      <c r="DW374" s="62"/>
      <c r="DX374" s="62"/>
      <c r="DY374" s="62"/>
      <c r="DZ374" s="62"/>
      <c r="EA374" s="62"/>
      <c r="EB374" s="62"/>
      <c r="EC374" s="62"/>
      <c r="ED374" s="62"/>
      <c r="EE374" s="62"/>
      <c r="EF374" s="62"/>
      <c r="EG374" s="62"/>
      <c r="EH374" s="62"/>
      <c r="EI374" s="62"/>
      <c r="EJ374" s="62"/>
      <c r="EK374" s="62"/>
      <c r="EL374" s="62"/>
      <c r="EM374" s="62"/>
      <c r="EN374" s="62"/>
      <c r="EO374" s="62"/>
      <c r="EP374" s="62"/>
      <c r="EQ374" s="62"/>
      <c r="ER374" s="62"/>
      <c r="ES374" s="62"/>
      <c r="ET374" s="62"/>
      <c r="EU374" s="62"/>
      <c r="EV374" s="62"/>
      <c r="EW374" s="62"/>
      <c r="EX374" s="62"/>
      <c r="EY374" s="62"/>
      <c r="EZ374" s="62"/>
      <c r="FA374" s="62"/>
      <c r="FB374" s="62"/>
      <c r="FC374" s="62"/>
      <c r="FD374" s="62"/>
      <c r="FE374" s="62"/>
      <c r="FF374" s="62"/>
      <c r="FG374" s="62"/>
      <c r="FH374" s="62"/>
      <c r="FI374" s="62"/>
      <c r="FJ374" s="62"/>
      <c r="FK374" s="62"/>
      <c r="FL374" s="62"/>
      <c r="FM374" s="62"/>
      <c r="FN374" s="62"/>
      <c r="FO374" s="62"/>
      <c r="FP374" s="62"/>
      <c r="FQ374" s="62"/>
      <c r="FR374" s="62"/>
      <c r="FS374" s="62"/>
      <c r="FT374" s="62"/>
      <c r="FU374" s="62"/>
      <c r="FV374" s="62"/>
    </row>
    <row r="375" spans="1:178" ht="13.8">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c r="AY375" s="62"/>
      <c r="AZ375" s="62"/>
      <c r="BA375" s="62"/>
      <c r="BB375" s="62"/>
      <c r="BC375" s="62"/>
      <c r="BD375" s="62"/>
      <c r="BE375" s="62"/>
      <c r="BF375" s="62"/>
      <c r="BG375" s="62"/>
      <c r="BH375" s="62"/>
      <c r="BI375" s="62"/>
      <c r="BJ375" s="62"/>
      <c r="BK375" s="62"/>
      <c r="BL375" s="62"/>
      <c r="BM375" s="62"/>
      <c r="BN375" s="62"/>
      <c r="BO375" s="62"/>
      <c r="BP375" s="62"/>
      <c r="BQ375" s="62"/>
      <c r="BR375" s="62"/>
      <c r="BS375" s="62"/>
      <c r="BT375" s="62"/>
      <c r="BU375" s="62"/>
      <c r="BV375" s="62"/>
      <c r="BW375" s="62"/>
      <c r="BX375" s="62"/>
      <c r="BY375" s="62"/>
      <c r="BZ375" s="62"/>
      <c r="CA375" s="62"/>
      <c r="CB375" s="62"/>
      <c r="CC375" s="62"/>
      <c r="CD375" s="62"/>
      <c r="CE375" s="62"/>
      <c r="CF375" s="62"/>
      <c r="CG375" s="62"/>
      <c r="CH375" s="62"/>
      <c r="CI375" s="62"/>
      <c r="CJ375" s="62"/>
      <c r="CK375" s="62"/>
      <c r="CL375" s="62"/>
      <c r="CM375" s="62"/>
      <c r="CN375" s="62"/>
      <c r="CO375" s="62"/>
      <c r="CP375" s="62"/>
      <c r="CQ375" s="62"/>
      <c r="CR375" s="62"/>
      <c r="CS375" s="62"/>
      <c r="CT375" s="62"/>
      <c r="CU375" s="62"/>
      <c r="CV375" s="62"/>
      <c r="CW375" s="62"/>
      <c r="CX375" s="62"/>
      <c r="CY375" s="62"/>
      <c r="CZ375" s="62"/>
      <c r="DA375" s="62"/>
      <c r="DB375" s="62"/>
      <c r="DC375" s="62"/>
      <c r="DD375" s="62"/>
      <c r="DE375" s="62"/>
      <c r="DF375" s="62"/>
      <c r="DG375" s="62"/>
      <c r="DH375" s="62"/>
      <c r="DI375" s="62"/>
      <c r="DJ375" s="62"/>
      <c r="DK375" s="62"/>
      <c r="DL375" s="62"/>
      <c r="DM375" s="62"/>
      <c r="DN375" s="62"/>
      <c r="DO375" s="62"/>
      <c r="DP375" s="62"/>
      <c r="DQ375" s="62"/>
      <c r="DR375" s="62"/>
      <c r="DS375" s="62"/>
      <c r="DT375" s="62"/>
      <c r="DU375" s="62"/>
      <c r="DV375" s="62"/>
      <c r="DW375" s="62"/>
      <c r="DX375" s="62"/>
      <c r="DY375" s="62"/>
      <c r="DZ375" s="62"/>
      <c r="EA375" s="62"/>
      <c r="EB375" s="62"/>
      <c r="EC375" s="62"/>
      <c r="ED375" s="62"/>
      <c r="EE375" s="62"/>
      <c r="EF375" s="62"/>
      <c r="EG375" s="62"/>
      <c r="EH375" s="62"/>
      <c r="EI375" s="62"/>
      <c r="EJ375" s="62"/>
      <c r="EK375" s="62"/>
      <c r="EL375" s="62"/>
      <c r="EM375" s="62"/>
      <c r="EN375" s="62"/>
      <c r="EO375" s="62"/>
      <c r="EP375" s="62"/>
      <c r="EQ375" s="62"/>
      <c r="ER375" s="62"/>
      <c r="ES375" s="62"/>
      <c r="ET375" s="62"/>
      <c r="EU375" s="62"/>
      <c r="EV375" s="62"/>
      <c r="EW375" s="62"/>
      <c r="EX375" s="62"/>
      <c r="EY375" s="62"/>
      <c r="EZ375" s="62"/>
      <c r="FA375" s="62"/>
      <c r="FB375" s="62"/>
      <c r="FC375" s="62"/>
      <c r="FD375" s="62"/>
      <c r="FE375" s="62"/>
      <c r="FF375" s="62"/>
      <c r="FG375" s="62"/>
      <c r="FH375" s="62"/>
      <c r="FI375" s="62"/>
      <c r="FJ375" s="62"/>
      <c r="FK375" s="62"/>
      <c r="FL375" s="62"/>
      <c r="FM375" s="62"/>
      <c r="FN375" s="62"/>
      <c r="FO375" s="62"/>
      <c r="FP375" s="62"/>
      <c r="FQ375" s="62"/>
      <c r="FR375" s="62"/>
      <c r="FS375" s="62"/>
      <c r="FT375" s="62"/>
      <c r="FU375" s="62"/>
      <c r="FV375" s="62"/>
    </row>
    <row r="376" spans="1:178" ht="13.8">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62"/>
      <c r="AZ376" s="62"/>
      <c r="BA376" s="62"/>
      <c r="BB376" s="62"/>
      <c r="BC376" s="62"/>
      <c r="BD376" s="62"/>
      <c r="BE376" s="62"/>
      <c r="BF376" s="62"/>
      <c r="BG376" s="62"/>
      <c r="BH376" s="62"/>
      <c r="BI376" s="62"/>
      <c r="BJ376" s="62"/>
      <c r="BK376" s="62"/>
      <c r="BL376" s="62"/>
      <c r="BM376" s="62"/>
      <c r="BN376" s="62"/>
      <c r="BO376" s="62"/>
      <c r="BP376" s="62"/>
      <c r="BQ376" s="62"/>
      <c r="BR376" s="62"/>
      <c r="BS376" s="62"/>
      <c r="BT376" s="62"/>
      <c r="BU376" s="62"/>
      <c r="BV376" s="62"/>
      <c r="BW376" s="62"/>
      <c r="BX376" s="62"/>
      <c r="BY376" s="62"/>
      <c r="BZ376" s="62"/>
      <c r="CA376" s="62"/>
      <c r="CB376" s="62"/>
      <c r="CC376" s="62"/>
      <c r="CD376" s="62"/>
      <c r="CE376" s="62"/>
      <c r="CF376" s="62"/>
      <c r="CG376" s="62"/>
      <c r="CH376" s="62"/>
      <c r="CI376" s="62"/>
      <c r="CJ376" s="62"/>
      <c r="CK376" s="62"/>
      <c r="CL376" s="62"/>
      <c r="CM376" s="62"/>
      <c r="CN376" s="62"/>
      <c r="CO376" s="62"/>
      <c r="CP376" s="62"/>
      <c r="CQ376" s="62"/>
      <c r="CR376" s="62"/>
      <c r="CS376" s="62"/>
      <c r="CT376" s="62"/>
      <c r="CU376" s="62"/>
      <c r="CV376" s="62"/>
      <c r="CW376" s="62"/>
      <c r="CX376" s="62"/>
      <c r="CY376" s="62"/>
      <c r="CZ376" s="62"/>
      <c r="DA376" s="62"/>
      <c r="DB376" s="62"/>
      <c r="DC376" s="62"/>
      <c r="DD376" s="62"/>
      <c r="DE376" s="62"/>
      <c r="DF376" s="62"/>
      <c r="DG376" s="62"/>
      <c r="DH376" s="62"/>
      <c r="DI376" s="62"/>
      <c r="DJ376" s="62"/>
      <c r="DK376" s="62"/>
      <c r="DL376" s="62"/>
      <c r="DM376" s="62"/>
      <c r="DN376" s="62"/>
      <c r="DO376" s="62"/>
      <c r="DP376" s="62"/>
      <c r="DQ376" s="62"/>
      <c r="DR376" s="62"/>
      <c r="DS376" s="62"/>
      <c r="DT376" s="62"/>
      <c r="DU376" s="62"/>
      <c r="DV376" s="62"/>
      <c r="DW376" s="62"/>
      <c r="DX376" s="62"/>
      <c r="DY376" s="62"/>
      <c r="DZ376" s="62"/>
      <c r="EA376" s="62"/>
      <c r="EB376" s="62"/>
      <c r="EC376" s="62"/>
      <c r="ED376" s="62"/>
      <c r="EE376" s="62"/>
      <c r="EF376" s="62"/>
      <c r="EG376" s="62"/>
      <c r="EH376" s="62"/>
      <c r="EI376" s="62"/>
      <c r="EJ376" s="62"/>
      <c r="EK376" s="62"/>
      <c r="EL376" s="62"/>
      <c r="EM376" s="62"/>
      <c r="EN376" s="62"/>
      <c r="EO376" s="62"/>
      <c r="EP376" s="62"/>
      <c r="EQ376" s="62"/>
      <c r="ER376" s="62"/>
      <c r="ES376" s="62"/>
      <c r="ET376" s="62"/>
      <c r="EU376" s="62"/>
      <c r="EV376" s="62"/>
      <c r="EW376" s="62"/>
      <c r="EX376" s="62"/>
      <c r="EY376" s="62"/>
      <c r="EZ376" s="62"/>
      <c r="FA376" s="62"/>
      <c r="FB376" s="62"/>
      <c r="FC376" s="62"/>
      <c r="FD376" s="62"/>
      <c r="FE376" s="62"/>
      <c r="FF376" s="62"/>
      <c r="FG376" s="62"/>
      <c r="FH376" s="62"/>
      <c r="FI376" s="62"/>
      <c r="FJ376" s="62"/>
      <c r="FK376" s="62"/>
      <c r="FL376" s="62"/>
      <c r="FM376" s="62"/>
      <c r="FN376" s="62"/>
      <c r="FO376" s="62"/>
      <c r="FP376" s="62"/>
      <c r="FQ376" s="62"/>
      <c r="FR376" s="62"/>
      <c r="FS376" s="62"/>
      <c r="FT376" s="62"/>
      <c r="FU376" s="62"/>
      <c r="FV376" s="62"/>
    </row>
    <row r="377" spans="1:178" ht="13.8">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62"/>
      <c r="AZ377" s="62"/>
      <c r="BA377" s="62"/>
      <c r="BB377" s="62"/>
      <c r="BC377" s="62"/>
      <c r="BD377" s="62"/>
      <c r="BE377" s="62"/>
      <c r="BF377" s="62"/>
      <c r="BG377" s="62"/>
      <c r="BH377" s="62"/>
      <c r="BI377" s="62"/>
      <c r="BJ377" s="62"/>
      <c r="BK377" s="62"/>
      <c r="BL377" s="62"/>
      <c r="BM377" s="62"/>
      <c r="BN377" s="62"/>
      <c r="BO377" s="62"/>
      <c r="BP377" s="62"/>
      <c r="BQ377" s="62"/>
      <c r="BR377" s="62"/>
      <c r="BS377" s="62"/>
      <c r="BT377" s="62"/>
      <c r="BU377" s="62"/>
      <c r="BV377" s="62"/>
      <c r="BW377" s="62"/>
      <c r="BX377" s="62"/>
      <c r="BY377" s="62"/>
      <c r="BZ377" s="62"/>
      <c r="CA377" s="62"/>
      <c r="CB377" s="62"/>
      <c r="CC377" s="62"/>
      <c r="CD377" s="62"/>
      <c r="CE377" s="62"/>
      <c r="CF377" s="62"/>
      <c r="CG377" s="62"/>
      <c r="CH377" s="62"/>
      <c r="CI377" s="62"/>
      <c r="CJ377" s="62"/>
      <c r="CK377" s="62"/>
      <c r="CL377" s="62"/>
      <c r="CM377" s="62"/>
      <c r="CN377" s="62"/>
      <c r="CO377" s="62"/>
      <c r="CP377" s="62"/>
      <c r="CQ377" s="62"/>
      <c r="CR377" s="62"/>
      <c r="CS377" s="62"/>
      <c r="CT377" s="62"/>
      <c r="CU377" s="62"/>
      <c r="CV377" s="62"/>
      <c r="CW377" s="62"/>
      <c r="CX377" s="62"/>
      <c r="CY377" s="62"/>
      <c r="CZ377" s="62"/>
      <c r="DA377" s="62"/>
      <c r="DB377" s="62"/>
      <c r="DC377" s="62"/>
      <c r="DD377" s="62"/>
      <c r="DE377" s="62"/>
      <c r="DF377" s="62"/>
      <c r="DG377" s="62"/>
      <c r="DH377" s="62"/>
      <c r="DI377" s="62"/>
      <c r="DJ377" s="62"/>
      <c r="DK377" s="62"/>
      <c r="DL377" s="62"/>
      <c r="DM377" s="62"/>
      <c r="DN377" s="62"/>
      <c r="DO377" s="62"/>
      <c r="DP377" s="62"/>
      <c r="DQ377" s="62"/>
      <c r="DR377" s="62"/>
      <c r="DS377" s="62"/>
      <c r="DT377" s="62"/>
      <c r="DU377" s="62"/>
      <c r="DV377" s="62"/>
      <c r="DW377" s="62"/>
      <c r="DX377" s="62"/>
      <c r="DY377" s="62"/>
      <c r="DZ377" s="62"/>
      <c r="EA377" s="62"/>
      <c r="EB377" s="62"/>
      <c r="EC377" s="62"/>
      <c r="ED377" s="62"/>
      <c r="EE377" s="62"/>
      <c r="EF377" s="62"/>
      <c r="EG377" s="62"/>
      <c r="EH377" s="62"/>
      <c r="EI377" s="62"/>
      <c r="EJ377" s="62"/>
      <c r="EK377" s="62"/>
      <c r="EL377" s="62"/>
      <c r="EM377" s="62"/>
      <c r="EN377" s="62"/>
      <c r="EO377" s="62"/>
      <c r="EP377" s="62"/>
      <c r="EQ377" s="62"/>
      <c r="ER377" s="62"/>
      <c r="ES377" s="62"/>
      <c r="ET377" s="62"/>
      <c r="EU377" s="62"/>
      <c r="EV377" s="62"/>
      <c r="EW377" s="62"/>
      <c r="EX377" s="62"/>
      <c r="EY377" s="62"/>
      <c r="EZ377" s="62"/>
      <c r="FA377" s="62"/>
      <c r="FB377" s="62"/>
      <c r="FC377" s="62"/>
      <c r="FD377" s="62"/>
      <c r="FE377" s="62"/>
      <c r="FF377" s="62"/>
      <c r="FG377" s="62"/>
      <c r="FH377" s="62"/>
      <c r="FI377" s="62"/>
      <c r="FJ377" s="62"/>
      <c r="FK377" s="62"/>
      <c r="FL377" s="62"/>
      <c r="FM377" s="62"/>
      <c r="FN377" s="62"/>
      <c r="FO377" s="62"/>
      <c r="FP377" s="62"/>
      <c r="FQ377" s="62"/>
      <c r="FR377" s="62"/>
      <c r="FS377" s="62"/>
      <c r="FT377" s="62"/>
      <c r="FU377" s="62"/>
      <c r="FV377" s="62"/>
    </row>
    <row r="378" spans="1:178" ht="13.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62"/>
      <c r="AZ378" s="62"/>
      <c r="BA378" s="62"/>
      <c r="BB378" s="62"/>
      <c r="BC378" s="62"/>
      <c r="BD378" s="62"/>
      <c r="BE378" s="62"/>
      <c r="BF378" s="62"/>
      <c r="BG378" s="62"/>
      <c r="BH378" s="62"/>
      <c r="BI378" s="62"/>
      <c r="BJ378" s="62"/>
      <c r="BK378" s="62"/>
      <c r="BL378" s="62"/>
      <c r="BM378" s="62"/>
      <c r="BN378" s="62"/>
      <c r="BO378" s="62"/>
      <c r="BP378" s="62"/>
      <c r="BQ378" s="62"/>
      <c r="BR378" s="62"/>
      <c r="BS378" s="62"/>
      <c r="BT378" s="62"/>
      <c r="BU378" s="62"/>
      <c r="BV378" s="62"/>
      <c r="BW378" s="62"/>
      <c r="BX378" s="62"/>
      <c r="BY378" s="62"/>
      <c r="BZ378" s="62"/>
      <c r="CA378" s="62"/>
      <c r="CB378" s="62"/>
      <c r="CC378" s="62"/>
      <c r="CD378" s="62"/>
      <c r="CE378" s="62"/>
      <c r="CF378" s="62"/>
      <c r="CG378" s="62"/>
      <c r="CH378" s="62"/>
      <c r="CI378" s="62"/>
      <c r="CJ378" s="62"/>
      <c r="CK378" s="62"/>
      <c r="CL378" s="62"/>
      <c r="CM378" s="62"/>
      <c r="CN378" s="62"/>
      <c r="CO378" s="62"/>
      <c r="CP378" s="62"/>
      <c r="CQ378" s="62"/>
      <c r="CR378" s="62"/>
      <c r="CS378" s="62"/>
      <c r="CT378" s="62"/>
      <c r="CU378" s="62"/>
      <c r="CV378" s="62"/>
      <c r="CW378" s="62"/>
      <c r="CX378" s="62"/>
      <c r="CY378" s="62"/>
      <c r="CZ378" s="62"/>
      <c r="DA378" s="62"/>
      <c r="DB378" s="62"/>
      <c r="DC378" s="62"/>
      <c r="DD378" s="62"/>
      <c r="DE378" s="62"/>
      <c r="DF378" s="62"/>
      <c r="DG378" s="62"/>
      <c r="DH378" s="62"/>
      <c r="DI378" s="62"/>
      <c r="DJ378" s="62"/>
      <c r="DK378" s="62"/>
      <c r="DL378" s="62"/>
      <c r="DM378" s="62"/>
      <c r="DN378" s="62"/>
      <c r="DO378" s="62"/>
      <c r="DP378" s="62"/>
      <c r="DQ378" s="62"/>
      <c r="DR378" s="62"/>
      <c r="DS378" s="62"/>
      <c r="DT378" s="62"/>
      <c r="DU378" s="62"/>
      <c r="DV378" s="62"/>
      <c r="DW378" s="62"/>
      <c r="DX378" s="62"/>
      <c r="DY378" s="62"/>
      <c r="DZ378" s="62"/>
      <c r="EA378" s="62"/>
      <c r="EB378" s="62"/>
      <c r="EC378" s="62"/>
      <c r="ED378" s="62"/>
      <c r="EE378" s="62"/>
      <c r="EF378" s="62"/>
      <c r="EG378" s="62"/>
      <c r="EH378" s="62"/>
      <c r="EI378" s="62"/>
      <c r="EJ378" s="62"/>
      <c r="EK378" s="62"/>
      <c r="EL378" s="62"/>
      <c r="EM378" s="62"/>
      <c r="EN378" s="62"/>
      <c r="EO378" s="62"/>
      <c r="EP378" s="62"/>
      <c r="EQ378" s="62"/>
      <c r="ER378" s="62"/>
      <c r="ES378" s="62"/>
      <c r="ET378" s="62"/>
      <c r="EU378" s="62"/>
      <c r="EV378" s="62"/>
      <c r="EW378" s="62"/>
      <c r="EX378" s="62"/>
      <c r="EY378" s="62"/>
      <c r="EZ378" s="62"/>
      <c r="FA378" s="62"/>
      <c r="FB378" s="62"/>
      <c r="FC378" s="62"/>
      <c r="FD378" s="62"/>
      <c r="FE378" s="62"/>
      <c r="FF378" s="62"/>
      <c r="FG378" s="62"/>
      <c r="FH378" s="62"/>
      <c r="FI378" s="62"/>
      <c r="FJ378" s="62"/>
      <c r="FK378" s="62"/>
      <c r="FL378" s="62"/>
      <c r="FM378" s="62"/>
      <c r="FN378" s="62"/>
      <c r="FO378" s="62"/>
      <c r="FP378" s="62"/>
      <c r="FQ378" s="62"/>
      <c r="FR378" s="62"/>
      <c r="FS378" s="62"/>
      <c r="FT378" s="62"/>
      <c r="FU378" s="62"/>
      <c r="FV378" s="62"/>
    </row>
    <row r="379" spans="1:178" ht="13.8">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c r="AY379" s="62"/>
      <c r="AZ379" s="62"/>
      <c r="BA379" s="62"/>
      <c r="BB379" s="62"/>
      <c r="BC379" s="62"/>
      <c r="BD379" s="62"/>
      <c r="BE379" s="62"/>
      <c r="BF379" s="62"/>
      <c r="BG379" s="62"/>
      <c r="BH379" s="62"/>
      <c r="BI379" s="62"/>
      <c r="BJ379" s="62"/>
      <c r="BK379" s="62"/>
      <c r="BL379" s="62"/>
      <c r="BM379" s="62"/>
      <c r="BN379" s="62"/>
      <c r="BO379" s="62"/>
      <c r="BP379" s="62"/>
      <c r="BQ379" s="62"/>
      <c r="BR379" s="62"/>
      <c r="BS379" s="62"/>
      <c r="BT379" s="62"/>
      <c r="BU379" s="62"/>
      <c r="BV379" s="62"/>
      <c r="BW379" s="62"/>
      <c r="BX379" s="62"/>
      <c r="BY379" s="62"/>
      <c r="BZ379" s="62"/>
      <c r="CA379" s="62"/>
      <c r="CB379" s="62"/>
      <c r="CC379" s="62"/>
      <c r="CD379" s="62"/>
      <c r="CE379" s="62"/>
      <c r="CF379" s="62"/>
      <c r="CG379" s="62"/>
      <c r="CH379" s="62"/>
      <c r="CI379" s="62"/>
      <c r="CJ379" s="62"/>
      <c r="CK379" s="62"/>
      <c r="CL379" s="62"/>
      <c r="CM379" s="62"/>
      <c r="CN379" s="62"/>
      <c r="CO379" s="62"/>
      <c r="CP379" s="62"/>
      <c r="CQ379" s="62"/>
      <c r="CR379" s="62"/>
      <c r="CS379" s="62"/>
      <c r="CT379" s="62"/>
      <c r="CU379" s="62"/>
      <c r="CV379" s="62"/>
      <c r="CW379" s="62"/>
      <c r="CX379" s="62"/>
      <c r="CY379" s="62"/>
      <c r="CZ379" s="62"/>
      <c r="DA379" s="62"/>
      <c r="DB379" s="62"/>
      <c r="DC379" s="62"/>
      <c r="DD379" s="62"/>
      <c r="DE379" s="62"/>
      <c r="DF379" s="62"/>
      <c r="DG379" s="62"/>
      <c r="DH379" s="62"/>
      <c r="DI379" s="62"/>
      <c r="DJ379" s="62"/>
      <c r="DK379" s="62"/>
      <c r="DL379" s="62"/>
      <c r="DM379" s="62"/>
      <c r="DN379" s="62"/>
      <c r="DO379" s="62"/>
      <c r="DP379" s="62"/>
      <c r="DQ379" s="62"/>
      <c r="DR379" s="62"/>
      <c r="DS379" s="62"/>
      <c r="DT379" s="62"/>
      <c r="DU379" s="62"/>
      <c r="DV379" s="62"/>
      <c r="DW379" s="62"/>
      <c r="DX379" s="62"/>
      <c r="DY379" s="62"/>
      <c r="DZ379" s="62"/>
      <c r="EA379" s="62"/>
      <c r="EB379" s="62"/>
      <c r="EC379" s="62"/>
      <c r="ED379" s="62"/>
      <c r="EE379" s="62"/>
      <c r="EF379" s="62"/>
      <c r="EG379" s="62"/>
      <c r="EH379" s="62"/>
      <c r="EI379" s="62"/>
      <c r="EJ379" s="62"/>
      <c r="EK379" s="62"/>
      <c r="EL379" s="62"/>
      <c r="EM379" s="62"/>
      <c r="EN379" s="62"/>
      <c r="EO379" s="62"/>
      <c r="EP379" s="62"/>
      <c r="EQ379" s="62"/>
      <c r="ER379" s="62"/>
      <c r="ES379" s="62"/>
      <c r="ET379" s="62"/>
      <c r="EU379" s="62"/>
      <c r="EV379" s="62"/>
      <c r="EW379" s="62"/>
      <c r="EX379" s="62"/>
      <c r="EY379" s="62"/>
      <c r="EZ379" s="62"/>
      <c r="FA379" s="62"/>
      <c r="FB379" s="62"/>
      <c r="FC379" s="62"/>
      <c r="FD379" s="62"/>
      <c r="FE379" s="62"/>
      <c r="FF379" s="62"/>
      <c r="FG379" s="62"/>
      <c r="FH379" s="62"/>
      <c r="FI379" s="62"/>
      <c r="FJ379" s="62"/>
      <c r="FK379" s="62"/>
      <c r="FL379" s="62"/>
      <c r="FM379" s="62"/>
      <c r="FN379" s="62"/>
      <c r="FO379" s="62"/>
      <c r="FP379" s="62"/>
      <c r="FQ379" s="62"/>
      <c r="FR379" s="62"/>
      <c r="FS379" s="62"/>
      <c r="FT379" s="62"/>
      <c r="FU379" s="62"/>
      <c r="FV379" s="62"/>
    </row>
    <row r="380" spans="1:178" ht="13.8">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c r="AY380" s="62"/>
      <c r="AZ380" s="62"/>
      <c r="BA380" s="62"/>
      <c r="BB380" s="62"/>
      <c r="BC380" s="62"/>
      <c r="BD380" s="62"/>
      <c r="BE380" s="62"/>
      <c r="BF380" s="62"/>
      <c r="BG380" s="62"/>
      <c r="BH380" s="62"/>
      <c r="BI380" s="62"/>
      <c r="BJ380" s="62"/>
      <c r="BK380" s="62"/>
      <c r="BL380" s="62"/>
      <c r="BM380" s="62"/>
      <c r="BN380" s="62"/>
      <c r="BO380" s="62"/>
      <c r="BP380" s="62"/>
      <c r="BQ380" s="62"/>
      <c r="BR380" s="62"/>
      <c r="BS380" s="62"/>
      <c r="BT380" s="62"/>
      <c r="BU380" s="62"/>
      <c r="BV380" s="62"/>
      <c r="BW380" s="62"/>
      <c r="BX380" s="62"/>
      <c r="BY380" s="62"/>
      <c r="BZ380" s="62"/>
      <c r="CA380" s="62"/>
      <c r="CB380" s="62"/>
      <c r="CC380" s="62"/>
      <c r="CD380" s="62"/>
      <c r="CE380" s="62"/>
      <c r="CF380" s="62"/>
      <c r="CG380" s="62"/>
      <c r="CH380" s="62"/>
      <c r="CI380" s="62"/>
      <c r="CJ380" s="62"/>
      <c r="CK380" s="62"/>
      <c r="CL380" s="62"/>
      <c r="CM380" s="62"/>
      <c r="CN380" s="62"/>
      <c r="CO380" s="62"/>
      <c r="CP380" s="62"/>
      <c r="CQ380" s="62"/>
      <c r="CR380" s="62"/>
      <c r="CS380" s="62"/>
      <c r="CT380" s="62"/>
      <c r="CU380" s="62"/>
      <c r="CV380" s="62"/>
      <c r="CW380" s="62"/>
      <c r="CX380" s="62"/>
      <c r="CY380" s="62"/>
      <c r="CZ380" s="62"/>
      <c r="DA380" s="62"/>
      <c r="DB380" s="62"/>
      <c r="DC380" s="62"/>
      <c r="DD380" s="62"/>
      <c r="DE380" s="62"/>
      <c r="DF380" s="62"/>
      <c r="DG380" s="62"/>
      <c r="DH380" s="62"/>
      <c r="DI380" s="62"/>
      <c r="DJ380" s="62"/>
      <c r="DK380" s="62"/>
      <c r="DL380" s="62"/>
      <c r="DM380" s="62"/>
      <c r="DN380" s="62"/>
      <c r="DO380" s="62"/>
      <c r="DP380" s="62"/>
      <c r="DQ380" s="62"/>
      <c r="DR380" s="62"/>
      <c r="DS380" s="62"/>
      <c r="DT380" s="62"/>
      <c r="DU380" s="62"/>
      <c r="DV380" s="62"/>
      <c r="DW380" s="62"/>
      <c r="DX380" s="62"/>
      <c r="DY380" s="62"/>
      <c r="DZ380" s="62"/>
      <c r="EA380" s="62"/>
      <c r="EB380" s="62"/>
      <c r="EC380" s="62"/>
      <c r="ED380" s="62"/>
      <c r="EE380" s="62"/>
      <c r="EF380" s="62"/>
      <c r="EG380" s="62"/>
      <c r="EH380" s="62"/>
      <c r="EI380" s="62"/>
      <c r="EJ380" s="62"/>
      <c r="EK380" s="62"/>
      <c r="EL380" s="62"/>
      <c r="EM380" s="62"/>
      <c r="EN380" s="62"/>
      <c r="EO380" s="62"/>
      <c r="EP380" s="62"/>
      <c r="EQ380" s="62"/>
      <c r="ER380" s="62"/>
      <c r="ES380" s="62"/>
      <c r="ET380" s="62"/>
      <c r="EU380" s="62"/>
      <c r="EV380" s="62"/>
      <c r="EW380" s="62"/>
      <c r="EX380" s="62"/>
      <c r="EY380" s="62"/>
      <c r="EZ380" s="62"/>
      <c r="FA380" s="62"/>
      <c r="FB380" s="62"/>
      <c r="FC380" s="62"/>
      <c r="FD380" s="62"/>
      <c r="FE380" s="62"/>
      <c r="FF380" s="62"/>
      <c r="FG380" s="62"/>
      <c r="FH380" s="62"/>
      <c r="FI380" s="62"/>
      <c r="FJ380" s="62"/>
      <c r="FK380" s="62"/>
      <c r="FL380" s="62"/>
      <c r="FM380" s="62"/>
      <c r="FN380" s="62"/>
      <c r="FO380" s="62"/>
      <c r="FP380" s="62"/>
      <c r="FQ380" s="62"/>
      <c r="FR380" s="62"/>
      <c r="FS380" s="62"/>
      <c r="FT380" s="62"/>
      <c r="FU380" s="62"/>
      <c r="FV380" s="62"/>
    </row>
    <row r="381" spans="1:178" ht="13.8">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62"/>
      <c r="BD381" s="62"/>
      <c r="BE381" s="62"/>
      <c r="BF381" s="62"/>
      <c r="BG381" s="62"/>
      <c r="BH381" s="62"/>
      <c r="BI381" s="62"/>
      <c r="BJ381" s="62"/>
      <c r="BK381" s="62"/>
      <c r="BL381" s="62"/>
      <c r="BM381" s="62"/>
      <c r="BN381" s="62"/>
      <c r="BO381" s="62"/>
      <c r="BP381" s="62"/>
      <c r="BQ381" s="62"/>
      <c r="BR381" s="62"/>
      <c r="BS381" s="62"/>
      <c r="BT381" s="62"/>
      <c r="BU381" s="62"/>
      <c r="BV381" s="62"/>
      <c r="BW381" s="62"/>
      <c r="BX381" s="62"/>
      <c r="BY381" s="62"/>
      <c r="BZ381" s="62"/>
      <c r="CA381" s="62"/>
      <c r="CB381" s="62"/>
      <c r="CC381" s="62"/>
      <c r="CD381" s="62"/>
      <c r="CE381" s="62"/>
      <c r="CF381" s="62"/>
      <c r="CG381" s="62"/>
      <c r="CH381" s="62"/>
      <c r="CI381" s="62"/>
      <c r="CJ381" s="62"/>
      <c r="CK381" s="62"/>
      <c r="CL381" s="62"/>
      <c r="CM381" s="62"/>
      <c r="CN381" s="62"/>
      <c r="CO381" s="62"/>
      <c r="CP381" s="62"/>
      <c r="CQ381" s="62"/>
      <c r="CR381" s="62"/>
      <c r="CS381" s="62"/>
      <c r="CT381" s="62"/>
      <c r="CU381" s="62"/>
      <c r="CV381" s="62"/>
      <c r="CW381" s="62"/>
      <c r="CX381" s="62"/>
      <c r="CY381" s="62"/>
      <c r="CZ381" s="62"/>
      <c r="DA381" s="62"/>
      <c r="DB381" s="62"/>
      <c r="DC381" s="62"/>
      <c r="DD381" s="62"/>
      <c r="DE381" s="62"/>
      <c r="DF381" s="62"/>
      <c r="DG381" s="62"/>
      <c r="DH381" s="62"/>
      <c r="DI381" s="62"/>
      <c r="DJ381" s="62"/>
      <c r="DK381" s="62"/>
      <c r="DL381" s="62"/>
      <c r="DM381" s="62"/>
      <c r="DN381" s="62"/>
      <c r="DO381" s="62"/>
      <c r="DP381" s="62"/>
      <c r="DQ381" s="62"/>
      <c r="DR381" s="62"/>
      <c r="DS381" s="62"/>
      <c r="DT381" s="62"/>
      <c r="DU381" s="62"/>
      <c r="DV381" s="62"/>
      <c r="DW381" s="62"/>
      <c r="DX381" s="62"/>
      <c r="DY381" s="62"/>
      <c r="DZ381" s="62"/>
      <c r="EA381" s="62"/>
      <c r="EB381" s="62"/>
      <c r="EC381" s="62"/>
      <c r="ED381" s="62"/>
      <c r="EE381" s="62"/>
      <c r="EF381" s="62"/>
      <c r="EG381" s="62"/>
      <c r="EH381" s="62"/>
      <c r="EI381" s="62"/>
      <c r="EJ381" s="62"/>
      <c r="EK381" s="62"/>
      <c r="EL381" s="62"/>
      <c r="EM381" s="62"/>
      <c r="EN381" s="62"/>
      <c r="EO381" s="62"/>
      <c r="EP381" s="62"/>
      <c r="EQ381" s="62"/>
      <c r="ER381" s="62"/>
      <c r="ES381" s="62"/>
      <c r="ET381" s="62"/>
      <c r="EU381" s="62"/>
      <c r="EV381" s="62"/>
      <c r="EW381" s="62"/>
      <c r="EX381" s="62"/>
      <c r="EY381" s="62"/>
      <c r="EZ381" s="62"/>
      <c r="FA381" s="62"/>
      <c r="FB381" s="62"/>
      <c r="FC381" s="62"/>
      <c r="FD381" s="62"/>
      <c r="FE381" s="62"/>
      <c r="FF381" s="62"/>
      <c r="FG381" s="62"/>
      <c r="FH381" s="62"/>
      <c r="FI381" s="62"/>
      <c r="FJ381" s="62"/>
      <c r="FK381" s="62"/>
      <c r="FL381" s="62"/>
      <c r="FM381" s="62"/>
      <c r="FN381" s="62"/>
      <c r="FO381" s="62"/>
      <c r="FP381" s="62"/>
      <c r="FQ381" s="62"/>
      <c r="FR381" s="62"/>
      <c r="FS381" s="62"/>
      <c r="FT381" s="62"/>
      <c r="FU381" s="62"/>
      <c r="FV381" s="62"/>
    </row>
    <row r="382" spans="1:178" ht="13.8">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c r="AY382" s="62"/>
      <c r="AZ382" s="62"/>
      <c r="BA382" s="62"/>
      <c r="BB382" s="62"/>
      <c r="BC382" s="62"/>
      <c r="BD382" s="62"/>
      <c r="BE382" s="62"/>
      <c r="BF382" s="62"/>
      <c r="BG382" s="62"/>
      <c r="BH382" s="62"/>
      <c r="BI382" s="62"/>
      <c r="BJ382" s="62"/>
      <c r="BK382" s="62"/>
      <c r="BL382" s="62"/>
      <c r="BM382" s="62"/>
      <c r="BN382" s="62"/>
      <c r="BO382" s="62"/>
      <c r="BP382" s="62"/>
      <c r="BQ382" s="62"/>
      <c r="BR382" s="62"/>
      <c r="BS382" s="62"/>
      <c r="BT382" s="62"/>
      <c r="BU382" s="62"/>
      <c r="BV382" s="62"/>
      <c r="BW382" s="62"/>
      <c r="BX382" s="62"/>
      <c r="BY382" s="62"/>
      <c r="BZ382" s="62"/>
      <c r="CA382" s="62"/>
      <c r="CB382" s="62"/>
      <c r="CC382" s="62"/>
      <c r="CD382" s="62"/>
      <c r="CE382" s="62"/>
      <c r="CF382" s="62"/>
      <c r="CG382" s="62"/>
      <c r="CH382" s="62"/>
      <c r="CI382" s="62"/>
      <c r="CJ382" s="62"/>
      <c r="CK382" s="62"/>
      <c r="CL382" s="62"/>
      <c r="CM382" s="62"/>
      <c r="CN382" s="62"/>
      <c r="CO382" s="62"/>
      <c r="CP382" s="62"/>
      <c r="CQ382" s="62"/>
      <c r="CR382" s="62"/>
      <c r="CS382" s="62"/>
      <c r="CT382" s="62"/>
      <c r="CU382" s="62"/>
      <c r="CV382" s="62"/>
      <c r="CW382" s="62"/>
      <c r="CX382" s="62"/>
      <c r="CY382" s="62"/>
      <c r="CZ382" s="62"/>
      <c r="DA382" s="62"/>
      <c r="DB382" s="62"/>
      <c r="DC382" s="62"/>
      <c r="DD382" s="62"/>
      <c r="DE382" s="62"/>
      <c r="DF382" s="62"/>
      <c r="DG382" s="62"/>
      <c r="DH382" s="62"/>
      <c r="DI382" s="62"/>
      <c r="DJ382" s="62"/>
      <c r="DK382" s="62"/>
      <c r="DL382" s="62"/>
      <c r="DM382" s="62"/>
      <c r="DN382" s="62"/>
      <c r="DO382" s="62"/>
      <c r="DP382" s="62"/>
      <c r="DQ382" s="62"/>
      <c r="DR382" s="62"/>
      <c r="DS382" s="62"/>
      <c r="DT382" s="62"/>
      <c r="DU382" s="62"/>
      <c r="DV382" s="62"/>
      <c r="DW382" s="62"/>
      <c r="DX382" s="62"/>
      <c r="DY382" s="62"/>
      <c r="DZ382" s="62"/>
      <c r="EA382" s="62"/>
      <c r="EB382" s="62"/>
      <c r="EC382" s="62"/>
      <c r="ED382" s="62"/>
      <c r="EE382" s="62"/>
      <c r="EF382" s="62"/>
      <c r="EG382" s="62"/>
      <c r="EH382" s="62"/>
      <c r="EI382" s="62"/>
      <c r="EJ382" s="62"/>
      <c r="EK382" s="62"/>
      <c r="EL382" s="62"/>
      <c r="EM382" s="62"/>
      <c r="EN382" s="62"/>
      <c r="EO382" s="62"/>
      <c r="EP382" s="62"/>
      <c r="EQ382" s="62"/>
      <c r="ER382" s="62"/>
      <c r="ES382" s="62"/>
      <c r="ET382" s="62"/>
      <c r="EU382" s="62"/>
      <c r="EV382" s="62"/>
      <c r="EW382" s="62"/>
      <c r="EX382" s="62"/>
      <c r="EY382" s="62"/>
      <c r="EZ382" s="62"/>
      <c r="FA382" s="62"/>
      <c r="FB382" s="62"/>
      <c r="FC382" s="62"/>
      <c r="FD382" s="62"/>
      <c r="FE382" s="62"/>
      <c r="FF382" s="62"/>
      <c r="FG382" s="62"/>
      <c r="FH382" s="62"/>
      <c r="FI382" s="62"/>
      <c r="FJ382" s="62"/>
      <c r="FK382" s="62"/>
      <c r="FL382" s="62"/>
      <c r="FM382" s="62"/>
      <c r="FN382" s="62"/>
      <c r="FO382" s="62"/>
      <c r="FP382" s="62"/>
      <c r="FQ382" s="62"/>
      <c r="FR382" s="62"/>
      <c r="FS382" s="62"/>
      <c r="FT382" s="62"/>
      <c r="FU382" s="62"/>
      <c r="FV382" s="62"/>
    </row>
    <row r="383" spans="1:178" ht="13.8">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c r="AY383" s="62"/>
      <c r="AZ383" s="62"/>
      <c r="BA383" s="62"/>
      <c r="BB383" s="62"/>
      <c r="BC383" s="62"/>
      <c r="BD383" s="62"/>
      <c r="BE383" s="62"/>
      <c r="BF383" s="62"/>
      <c r="BG383" s="62"/>
      <c r="BH383" s="62"/>
      <c r="BI383" s="62"/>
      <c r="BJ383" s="62"/>
      <c r="BK383" s="62"/>
      <c r="BL383" s="62"/>
      <c r="BM383" s="62"/>
      <c r="BN383" s="62"/>
      <c r="BO383" s="62"/>
      <c r="BP383" s="62"/>
      <c r="BQ383" s="62"/>
      <c r="BR383" s="62"/>
      <c r="BS383" s="62"/>
      <c r="BT383" s="62"/>
      <c r="BU383" s="62"/>
      <c r="BV383" s="62"/>
      <c r="BW383" s="62"/>
      <c r="BX383" s="62"/>
      <c r="BY383" s="62"/>
      <c r="BZ383" s="62"/>
      <c r="CA383" s="62"/>
      <c r="CB383" s="62"/>
      <c r="CC383" s="62"/>
      <c r="CD383" s="62"/>
      <c r="CE383" s="62"/>
      <c r="CF383" s="62"/>
      <c r="CG383" s="62"/>
      <c r="CH383" s="62"/>
      <c r="CI383" s="62"/>
      <c r="CJ383" s="62"/>
      <c r="CK383" s="62"/>
      <c r="CL383" s="62"/>
      <c r="CM383" s="62"/>
      <c r="CN383" s="62"/>
      <c r="CO383" s="62"/>
      <c r="CP383" s="62"/>
      <c r="CQ383" s="62"/>
      <c r="CR383" s="62"/>
      <c r="CS383" s="62"/>
      <c r="CT383" s="62"/>
      <c r="CU383" s="62"/>
      <c r="CV383" s="62"/>
      <c r="CW383" s="62"/>
      <c r="CX383" s="62"/>
      <c r="CY383" s="62"/>
      <c r="CZ383" s="62"/>
      <c r="DA383" s="62"/>
      <c r="DB383" s="62"/>
      <c r="DC383" s="62"/>
      <c r="DD383" s="62"/>
      <c r="DE383" s="62"/>
      <c r="DF383" s="62"/>
      <c r="DG383" s="62"/>
      <c r="DH383" s="62"/>
      <c r="DI383" s="62"/>
      <c r="DJ383" s="62"/>
      <c r="DK383" s="62"/>
      <c r="DL383" s="62"/>
      <c r="DM383" s="62"/>
      <c r="DN383" s="62"/>
      <c r="DO383" s="62"/>
      <c r="DP383" s="62"/>
      <c r="DQ383" s="62"/>
      <c r="DR383" s="62"/>
      <c r="DS383" s="62"/>
      <c r="DT383" s="62"/>
      <c r="DU383" s="62"/>
      <c r="DV383" s="62"/>
      <c r="DW383" s="62"/>
      <c r="DX383" s="62"/>
      <c r="DY383" s="62"/>
      <c r="DZ383" s="62"/>
      <c r="EA383" s="62"/>
      <c r="EB383" s="62"/>
      <c r="EC383" s="62"/>
      <c r="ED383" s="62"/>
      <c r="EE383" s="62"/>
      <c r="EF383" s="62"/>
      <c r="EG383" s="62"/>
      <c r="EH383" s="62"/>
      <c r="EI383" s="62"/>
      <c r="EJ383" s="62"/>
      <c r="EK383" s="62"/>
      <c r="EL383" s="62"/>
      <c r="EM383" s="62"/>
      <c r="EN383" s="62"/>
      <c r="EO383" s="62"/>
      <c r="EP383" s="62"/>
      <c r="EQ383" s="62"/>
      <c r="ER383" s="62"/>
      <c r="ES383" s="62"/>
      <c r="ET383" s="62"/>
      <c r="EU383" s="62"/>
      <c r="EV383" s="62"/>
      <c r="EW383" s="62"/>
      <c r="EX383" s="62"/>
      <c r="EY383" s="62"/>
      <c r="EZ383" s="62"/>
      <c r="FA383" s="62"/>
      <c r="FB383" s="62"/>
      <c r="FC383" s="62"/>
      <c r="FD383" s="62"/>
      <c r="FE383" s="62"/>
      <c r="FF383" s="62"/>
      <c r="FG383" s="62"/>
      <c r="FH383" s="62"/>
      <c r="FI383" s="62"/>
      <c r="FJ383" s="62"/>
      <c r="FK383" s="62"/>
      <c r="FL383" s="62"/>
      <c r="FM383" s="62"/>
      <c r="FN383" s="62"/>
      <c r="FO383" s="62"/>
      <c r="FP383" s="62"/>
      <c r="FQ383" s="62"/>
      <c r="FR383" s="62"/>
      <c r="FS383" s="62"/>
      <c r="FT383" s="62"/>
      <c r="FU383" s="62"/>
      <c r="FV383" s="62"/>
    </row>
    <row r="384" spans="1:178" ht="13.8">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c r="AY384" s="62"/>
      <c r="AZ384" s="62"/>
      <c r="BA384" s="62"/>
      <c r="BB384" s="62"/>
      <c r="BC384" s="62"/>
      <c r="BD384" s="62"/>
      <c r="BE384" s="62"/>
      <c r="BF384" s="62"/>
      <c r="BG384" s="62"/>
      <c r="BH384" s="62"/>
      <c r="BI384" s="62"/>
      <c r="BJ384" s="62"/>
      <c r="BK384" s="62"/>
      <c r="BL384" s="62"/>
      <c r="BM384" s="62"/>
      <c r="BN384" s="62"/>
      <c r="BO384" s="62"/>
      <c r="BP384" s="62"/>
      <c r="BQ384" s="62"/>
      <c r="BR384" s="62"/>
      <c r="BS384" s="62"/>
      <c r="BT384" s="62"/>
      <c r="BU384" s="62"/>
      <c r="BV384" s="62"/>
      <c r="BW384" s="62"/>
      <c r="BX384" s="62"/>
      <c r="BY384" s="62"/>
      <c r="BZ384" s="62"/>
      <c r="CA384" s="62"/>
      <c r="CB384" s="62"/>
      <c r="CC384" s="62"/>
      <c r="CD384" s="62"/>
      <c r="CE384" s="62"/>
      <c r="CF384" s="62"/>
      <c r="CG384" s="62"/>
      <c r="CH384" s="62"/>
      <c r="CI384" s="62"/>
      <c r="CJ384" s="62"/>
      <c r="CK384" s="62"/>
      <c r="CL384" s="62"/>
      <c r="CM384" s="62"/>
      <c r="CN384" s="62"/>
      <c r="CO384" s="62"/>
      <c r="CP384" s="62"/>
      <c r="CQ384" s="62"/>
      <c r="CR384" s="62"/>
      <c r="CS384" s="62"/>
      <c r="CT384" s="62"/>
      <c r="CU384" s="62"/>
      <c r="CV384" s="62"/>
      <c r="CW384" s="62"/>
      <c r="CX384" s="62"/>
      <c r="CY384" s="62"/>
      <c r="CZ384" s="62"/>
      <c r="DA384" s="62"/>
      <c r="DB384" s="62"/>
      <c r="DC384" s="62"/>
      <c r="DD384" s="62"/>
      <c r="DE384" s="62"/>
      <c r="DF384" s="62"/>
      <c r="DG384" s="62"/>
      <c r="DH384" s="62"/>
      <c r="DI384" s="62"/>
      <c r="DJ384" s="62"/>
      <c r="DK384" s="62"/>
      <c r="DL384" s="62"/>
      <c r="DM384" s="62"/>
      <c r="DN384" s="62"/>
      <c r="DO384" s="62"/>
      <c r="DP384" s="62"/>
      <c r="DQ384" s="62"/>
      <c r="DR384" s="62"/>
      <c r="DS384" s="62"/>
      <c r="DT384" s="62"/>
      <c r="DU384" s="62"/>
      <c r="DV384" s="62"/>
      <c r="DW384" s="62"/>
      <c r="DX384" s="62"/>
      <c r="DY384" s="62"/>
      <c r="DZ384" s="62"/>
      <c r="EA384" s="62"/>
      <c r="EB384" s="62"/>
      <c r="EC384" s="62"/>
      <c r="ED384" s="62"/>
      <c r="EE384" s="62"/>
      <c r="EF384" s="62"/>
      <c r="EG384" s="62"/>
      <c r="EH384" s="62"/>
      <c r="EI384" s="62"/>
      <c r="EJ384" s="62"/>
      <c r="EK384" s="62"/>
      <c r="EL384" s="62"/>
      <c r="EM384" s="62"/>
      <c r="EN384" s="62"/>
      <c r="EO384" s="62"/>
      <c r="EP384" s="62"/>
      <c r="EQ384" s="62"/>
      <c r="ER384" s="62"/>
      <c r="ES384" s="62"/>
      <c r="ET384" s="62"/>
      <c r="EU384" s="62"/>
      <c r="EV384" s="62"/>
      <c r="EW384" s="62"/>
      <c r="EX384" s="62"/>
      <c r="EY384" s="62"/>
      <c r="EZ384" s="62"/>
      <c r="FA384" s="62"/>
      <c r="FB384" s="62"/>
      <c r="FC384" s="62"/>
      <c r="FD384" s="62"/>
      <c r="FE384" s="62"/>
      <c r="FF384" s="62"/>
      <c r="FG384" s="62"/>
      <c r="FH384" s="62"/>
      <c r="FI384" s="62"/>
      <c r="FJ384" s="62"/>
      <c r="FK384" s="62"/>
      <c r="FL384" s="62"/>
      <c r="FM384" s="62"/>
      <c r="FN384" s="62"/>
      <c r="FO384" s="62"/>
      <c r="FP384" s="62"/>
      <c r="FQ384" s="62"/>
      <c r="FR384" s="62"/>
      <c r="FS384" s="62"/>
      <c r="FT384" s="62"/>
      <c r="FU384" s="62"/>
      <c r="FV384" s="62"/>
    </row>
    <row r="385" spans="1:178" ht="13.8">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c r="AY385" s="62"/>
      <c r="AZ385" s="62"/>
      <c r="BA385" s="62"/>
      <c r="BB385" s="62"/>
      <c r="BC385" s="62"/>
      <c r="BD385" s="62"/>
      <c r="BE385" s="62"/>
      <c r="BF385" s="62"/>
      <c r="BG385" s="62"/>
      <c r="BH385" s="62"/>
      <c r="BI385" s="62"/>
      <c r="BJ385" s="62"/>
      <c r="BK385" s="62"/>
      <c r="BL385" s="62"/>
      <c r="BM385" s="62"/>
      <c r="BN385" s="62"/>
      <c r="BO385" s="62"/>
      <c r="BP385" s="62"/>
      <c r="BQ385" s="62"/>
      <c r="BR385" s="62"/>
      <c r="BS385" s="62"/>
      <c r="BT385" s="62"/>
      <c r="BU385" s="62"/>
      <c r="BV385" s="62"/>
      <c r="BW385" s="62"/>
      <c r="BX385" s="62"/>
      <c r="BY385" s="62"/>
      <c r="BZ385" s="62"/>
      <c r="CA385" s="62"/>
      <c r="CB385" s="62"/>
      <c r="CC385" s="62"/>
      <c r="CD385" s="62"/>
      <c r="CE385" s="62"/>
      <c r="CF385" s="62"/>
      <c r="CG385" s="62"/>
      <c r="CH385" s="62"/>
      <c r="CI385" s="62"/>
      <c r="CJ385" s="62"/>
      <c r="CK385" s="62"/>
      <c r="CL385" s="62"/>
      <c r="CM385" s="62"/>
      <c r="CN385" s="62"/>
      <c r="CO385" s="62"/>
      <c r="CP385" s="62"/>
      <c r="CQ385" s="62"/>
      <c r="CR385" s="62"/>
      <c r="CS385" s="62"/>
      <c r="CT385" s="62"/>
      <c r="CU385" s="62"/>
      <c r="CV385" s="62"/>
      <c r="CW385" s="62"/>
      <c r="CX385" s="62"/>
      <c r="CY385" s="62"/>
      <c r="CZ385" s="62"/>
      <c r="DA385" s="62"/>
      <c r="DB385" s="62"/>
      <c r="DC385" s="62"/>
      <c r="DD385" s="62"/>
      <c r="DE385" s="62"/>
      <c r="DF385" s="62"/>
      <c r="DG385" s="62"/>
      <c r="DH385" s="62"/>
      <c r="DI385" s="62"/>
      <c r="DJ385" s="62"/>
      <c r="DK385" s="62"/>
      <c r="DL385" s="62"/>
      <c r="DM385" s="62"/>
      <c r="DN385" s="62"/>
      <c r="DO385" s="62"/>
      <c r="DP385" s="62"/>
      <c r="DQ385" s="62"/>
      <c r="DR385" s="62"/>
      <c r="DS385" s="62"/>
      <c r="DT385" s="62"/>
      <c r="DU385" s="62"/>
      <c r="DV385" s="62"/>
      <c r="DW385" s="62"/>
      <c r="DX385" s="62"/>
      <c r="DY385" s="62"/>
      <c r="DZ385" s="62"/>
      <c r="EA385" s="62"/>
      <c r="EB385" s="62"/>
      <c r="EC385" s="62"/>
      <c r="ED385" s="62"/>
      <c r="EE385" s="62"/>
      <c r="EF385" s="62"/>
      <c r="EG385" s="62"/>
      <c r="EH385" s="62"/>
      <c r="EI385" s="62"/>
      <c r="EJ385" s="62"/>
      <c r="EK385" s="62"/>
      <c r="EL385" s="62"/>
      <c r="EM385" s="62"/>
      <c r="EN385" s="62"/>
      <c r="EO385" s="62"/>
      <c r="EP385" s="62"/>
      <c r="EQ385" s="62"/>
      <c r="ER385" s="62"/>
      <c r="ES385" s="62"/>
      <c r="ET385" s="62"/>
      <c r="EU385" s="62"/>
      <c r="EV385" s="62"/>
      <c r="EW385" s="62"/>
      <c r="EX385" s="62"/>
      <c r="EY385" s="62"/>
      <c r="EZ385" s="62"/>
      <c r="FA385" s="62"/>
      <c r="FB385" s="62"/>
      <c r="FC385" s="62"/>
      <c r="FD385" s="62"/>
      <c r="FE385" s="62"/>
      <c r="FF385" s="62"/>
      <c r="FG385" s="62"/>
      <c r="FH385" s="62"/>
      <c r="FI385" s="62"/>
      <c r="FJ385" s="62"/>
      <c r="FK385" s="62"/>
      <c r="FL385" s="62"/>
      <c r="FM385" s="62"/>
      <c r="FN385" s="62"/>
      <c r="FO385" s="62"/>
      <c r="FP385" s="62"/>
      <c r="FQ385" s="62"/>
      <c r="FR385" s="62"/>
      <c r="FS385" s="62"/>
      <c r="FT385" s="62"/>
      <c r="FU385" s="62"/>
      <c r="FV385" s="62"/>
    </row>
    <row r="386" spans="1:178" ht="13.8">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c r="AY386" s="62"/>
      <c r="AZ386" s="62"/>
      <c r="BA386" s="62"/>
      <c r="BB386" s="62"/>
      <c r="BC386" s="62"/>
      <c r="BD386" s="62"/>
      <c r="BE386" s="62"/>
      <c r="BF386" s="62"/>
      <c r="BG386" s="62"/>
      <c r="BH386" s="62"/>
      <c r="BI386" s="62"/>
      <c r="BJ386" s="62"/>
      <c r="BK386" s="62"/>
      <c r="BL386" s="62"/>
      <c r="BM386" s="62"/>
      <c r="BN386" s="62"/>
      <c r="BO386" s="62"/>
      <c r="BP386" s="62"/>
      <c r="BQ386" s="62"/>
      <c r="BR386" s="62"/>
      <c r="BS386" s="62"/>
      <c r="BT386" s="62"/>
      <c r="BU386" s="62"/>
      <c r="BV386" s="62"/>
      <c r="BW386" s="62"/>
      <c r="BX386" s="62"/>
      <c r="BY386" s="62"/>
      <c r="BZ386" s="62"/>
      <c r="CA386" s="62"/>
      <c r="CB386" s="62"/>
      <c r="CC386" s="62"/>
      <c r="CD386" s="62"/>
      <c r="CE386" s="62"/>
      <c r="CF386" s="62"/>
      <c r="CG386" s="62"/>
      <c r="CH386" s="62"/>
      <c r="CI386" s="62"/>
      <c r="CJ386" s="62"/>
      <c r="CK386" s="62"/>
      <c r="CL386" s="62"/>
      <c r="CM386" s="62"/>
      <c r="CN386" s="62"/>
      <c r="CO386" s="62"/>
      <c r="CP386" s="62"/>
      <c r="CQ386" s="62"/>
      <c r="CR386" s="62"/>
      <c r="CS386" s="62"/>
      <c r="CT386" s="62"/>
      <c r="CU386" s="62"/>
      <c r="CV386" s="62"/>
      <c r="CW386" s="62"/>
      <c r="CX386" s="62"/>
      <c r="CY386" s="62"/>
      <c r="CZ386" s="62"/>
      <c r="DA386" s="62"/>
      <c r="DB386" s="62"/>
      <c r="DC386" s="62"/>
      <c r="DD386" s="62"/>
      <c r="DE386" s="62"/>
      <c r="DF386" s="62"/>
      <c r="DG386" s="62"/>
      <c r="DH386" s="62"/>
      <c r="DI386" s="62"/>
      <c r="DJ386" s="62"/>
      <c r="DK386" s="62"/>
      <c r="DL386" s="62"/>
      <c r="DM386" s="62"/>
      <c r="DN386" s="62"/>
      <c r="DO386" s="62"/>
      <c r="DP386" s="62"/>
      <c r="DQ386" s="62"/>
      <c r="DR386" s="62"/>
      <c r="DS386" s="62"/>
      <c r="DT386" s="62"/>
      <c r="DU386" s="62"/>
      <c r="DV386" s="62"/>
      <c r="DW386" s="62"/>
      <c r="DX386" s="62"/>
      <c r="DY386" s="62"/>
      <c r="DZ386" s="62"/>
      <c r="EA386" s="62"/>
      <c r="EB386" s="62"/>
      <c r="EC386" s="62"/>
      <c r="ED386" s="62"/>
      <c r="EE386" s="62"/>
      <c r="EF386" s="62"/>
      <c r="EG386" s="62"/>
      <c r="EH386" s="62"/>
      <c r="EI386" s="62"/>
      <c r="EJ386" s="62"/>
      <c r="EK386" s="62"/>
      <c r="EL386" s="62"/>
      <c r="EM386" s="62"/>
      <c r="EN386" s="62"/>
      <c r="EO386" s="62"/>
      <c r="EP386" s="62"/>
      <c r="EQ386" s="62"/>
      <c r="ER386" s="62"/>
      <c r="ES386" s="62"/>
      <c r="ET386" s="62"/>
      <c r="EU386" s="62"/>
      <c r="EV386" s="62"/>
      <c r="EW386" s="62"/>
      <c r="EX386" s="62"/>
      <c r="EY386" s="62"/>
      <c r="EZ386" s="62"/>
      <c r="FA386" s="62"/>
      <c r="FB386" s="62"/>
      <c r="FC386" s="62"/>
      <c r="FD386" s="62"/>
      <c r="FE386" s="62"/>
      <c r="FF386" s="62"/>
      <c r="FG386" s="62"/>
      <c r="FH386" s="62"/>
      <c r="FI386" s="62"/>
      <c r="FJ386" s="62"/>
      <c r="FK386" s="62"/>
      <c r="FL386" s="62"/>
      <c r="FM386" s="62"/>
      <c r="FN386" s="62"/>
      <c r="FO386" s="62"/>
      <c r="FP386" s="62"/>
      <c r="FQ386" s="62"/>
      <c r="FR386" s="62"/>
      <c r="FS386" s="62"/>
      <c r="FT386" s="62"/>
      <c r="FU386" s="62"/>
      <c r="FV386" s="62"/>
    </row>
    <row r="387" spans="1:178" ht="13.8">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62"/>
      <c r="AZ387" s="62"/>
      <c r="BA387" s="62"/>
      <c r="BB387" s="62"/>
      <c r="BC387" s="62"/>
      <c r="BD387" s="62"/>
      <c r="BE387" s="62"/>
      <c r="BF387" s="62"/>
      <c r="BG387" s="62"/>
      <c r="BH387" s="62"/>
      <c r="BI387" s="62"/>
      <c r="BJ387" s="62"/>
      <c r="BK387" s="62"/>
      <c r="BL387" s="62"/>
      <c r="BM387" s="62"/>
      <c r="BN387" s="62"/>
      <c r="BO387" s="62"/>
      <c r="BP387" s="62"/>
      <c r="BQ387" s="62"/>
      <c r="BR387" s="62"/>
      <c r="BS387" s="62"/>
      <c r="BT387" s="62"/>
      <c r="BU387" s="62"/>
      <c r="BV387" s="62"/>
      <c r="BW387" s="62"/>
      <c r="BX387" s="62"/>
      <c r="BY387" s="62"/>
      <c r="BZ387" s="62"/>
      <c r="CA387" s="62"/>
      <c r="CB387" s="62"/>
      <c r="CC387" s="62"/>
      <c r="CD387" s="62"/>
      <c r="CE387" s="62"/>
      <c r="CF387" s="62"/>
      <c r="CG387" s="62"/>
      <c r="CH387" s="62"/>
      <c r="CI387" s="62"/>
      <c r="CJ387" s="62"/>
      <c r="CK387" s="62"/>
      <c r="CL387" s="62"/>
      <c r="CM387" s="62"/>
      <c r="CN387" s="62"/>
      <c r="CO387" s="62"/>
      <c r="CP387" s="62"/>
      <c r="CQ387" s="62"/>
      <c r="CR387" s="62"/>
      <c r="CS387" s="62"/>
      <c r="CT387" s="62"/>
      <c r="CU387" s="62"/>
      <c r="CV387" s="62"/>
      <c r="CW387" s="62"/>
      <c r="CX387" s="62"/>
      <c r="CY387" s="62"/>
      <c r="CZ387" s="62"/>
      <c r="DA387" s="62"/>
      <c r="DB387" s="62"/>
      <c r="DC387" s="62"/>
      <c r="DD387" s="62"/>
      <c r="DE387" s="62"/>
      <c r="DF387" s="62"/>
      <c r="DG387" s="62"/>
      <c r="DH387" s="62"/>
      <c r="DI387" s="62"/>
      <c r="DJ387" s="62"/>
      <c r="DK387" s="62"/>
      <c r="DL387" s="62"/>
      <c r="DM387" s="62"/>
      <c r="DN387" s="62"/>
      <c r="DO387" s="62"/>
      <c r="DP387" s="62"/>
      <c r="DQ387" s="62"/>
      <c r="DR387" s="62"/>
      <c r="DS387" s="62"/>
      <c r="DT387" s="62"/>
      <c r="DU387" s="62"/>
      <c r="DV387" s="62"/>
      <c r="DW387" s="62"/>
      <c r="DX387" s="62"/>
      <c r="DY387" s="62"/>
      <c r="DZ387" s="62"/>
      <c r="EA387" s="62"/>
      <c r="EB387" s="62"/>
      <c r="EC387" s="62"/>
      <c r="ED387" s="62"/>
      <c r="EE387" s="62"/>
      <c r="EF387" s="62"/>
      <c r="EG387" s="62"/>
      <c r="EH387" s="62"/>
      <c r="EI387" s="62"/>
      <c r="EJ387" s="62"/>
      <c r="EK387" s="62"/>
      <c r="EL387" s="62"/>
      <c r="EM387" s="62"/>
      <c r="EN387" s="62"/>
      <c r="EO387" s="62"/>
      <c r="EP387" s="62"/>
      <c r="EQ387" s="62"/>
      <c r="ER387" s="62"/>
      <c r="ES387" s="62"/>
      <c r="ET387" s="62"/>
      <c r="EU387" s="62"/>
      <c r="EV387" s="62"/>
      <c r="EW387" s="62"/>
      <c r="EX387" s="62"/>
      <c r="EY387" s="62"/>
      <c r="EZ387" s="62"/>
      <c r="FA387" s="62"/>
      <c r="FB387" s="62"/>
      <c r="FC387" s="62"/>
      <c r="FD387" s="62"/>
      <c r="FE387" s="62"/>
      <c r="FF387" s="62"/>
      <c r="FG387" s="62"/>
      <c r="FH387" s="62"/>
      <c r="FI387" s="62"/>
      <c r="FJ387" s="62"/>
      <c r="FK387" s="62"/>
      <c r="FL387" s="62"/>
      <c r="FM387" s="62"/>
      <c r="FN387" s="62"/>
      <c r="FO387" s="62"/>
      <c r="FP387" s="62"/>
      <c r="FQ387" s="62"/>
      <c r="FR387" s="62"/>
      <c r="FS387" s="62"/>
      <c r="FT387" s="62"/>
      <c r="FU387" s="62"/>
      <c r="FV387" s="62"/>
    </row>
    <row r="388" spans="1:178" ht="13.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c r="AY388" s="62"/>
      <c r="AZ388" s="62"/>
      <c r="BA388" s="62"/>
      <c r="BB388" s="62"/>
      <c r="BC388" s="62"/>
      <c r="BD388" s="62"/>
      <c r="BE388" s="62"/>
      <c r="BF388" s="62"/>
      <c r="BG388" s="62"/>
      <c r="BH388" s="62"/>
      <c r="BI388" s="62"/>
      <c r="BJ388" s="62"/>
      <c r="BK388" s="62"/>
      <c r="BL388" s="62"/>
      <c r="BM388" s="62"/>
      <c r="BN388" s="62"/>
      <c r="BO388" s="62"/>
      <c r="BP388" s="62"/>
      <c r="BQ388" s="62"/>
      <c r="BR388" s="62"/>
      <c r="BS388" s="62"/>
      <c r="BT388" s="62"/>
      <c r="BU388" s="62"/>
      <c r="BV388" s="62"/>
      <c r="BW388" s="62"/>
      <c r="BX388" s="62"/>
      <c r="BY388" s="62"/>
      <c r="BZ388" s="62"/>
      <c r="CA388" s="62"/>
      <c r="CB388" s="62"/>
      <c r="CC388" s="62"/>
      <c r="CD388" s="62"/>
      <c r="CE388" s="62"/>
      <c r="CF388" s="62"/>
      <c r="CG388" s="62"/>
      <c r="CH388" s="62"/>
      <c r="CI388" s="62"/>
      <c r="CJ388" s="62"/>
      <c r="CK388" s="62"/>
      <c r="CL388" s="62"/>
      <c r="CM388" s="62"/>
      <c r="CN388" s="62"/>
      <c r="CO388" s="62"/>
      <c r="CP388" s="62"/>
      <c r="CQ388" s="62"/>
      <c r="CR388" s="62"/>
      <c r="CS388" s="62"/>
      <c r="CT388" s="62"/>
      <c r="CU388" s="62"/>
      <c r="CV388" s="62"/>
      <c r="CW388" s="62"/>
      <c r="CX388" s="62"/>
      <c r="CY388" s="62"/>
      <c r="CZ388" s="62"/>
      <c r="DA388" s="62"/>
      <c r="DB388" s="62"/>
      <c r="DC388" s="62"/>
      <c r="DD388" s="62"/>
      <c r="DE388" s="62"/>
      <c r="DF388" s="62"/>
      <c r="DG388" s="62"/>
      <c r="DH388" s="62"/>
      <c r="DI388" s="62"/>
      <c r="DJ388" s="62"/>
      <c r="DK388" s="62"/>
      <c r="DL388" s="62"/>
      <c r="DM388" s="62"/>
      <c r="DN388" s="62"/>
      <c r="DO388" s="62"/>
      <c r="DP388" s="62"/>
      <c r="DQ388" s="62"/>
      <c r="DR388" s="62"/>
      <c r="DS388" s="62"/>
      <c r="DT388" s="62"/>
      <c r="DU388" s="62"/>
      <c r="DV388" s="62"/>
      <c r="DW388" s="62"/>
      <c r="DX388" s="62"/>
      <c r="DY388" s="62"/>
      <c r="DZ388" s="62"/>
      <c r="EA388" s="62"/>
      <c r="EB388" s="62"/>
      <c r="EC388" s="62"/>
      <c r="ED388" s="62"/>
      <c r="EE388" s="62"/>
      <c r="EF388" s="62"/>
      <c r="EG388" s="62"/>
      <c r="EH388" s="62"/>
      <c r="EI388" s="62"/>
      <c r="EJ388" s="62"/>
      <c r="EK388" s="62"/>
      <c r="EL388" s="62"/>
      <c r="EM388" s="62"/>
      <c r="EN388" s="62"/>
      <c r="EO388" s="62"/>
      <c r="EP388" s="62"/>
      <c r="EQ388" s="62"/>
      <c r="ER388" s="62"/>
      <c r="ES388" s="62"/>
      <c r="ET388" s="62"/>
      <c r="EU388" s="62"/>
      <c r="EV388" s="62"/>
      <c r="EW388" s="62"/>
      <c r="EX388" s="62"/>
      <c r="EY388" s="62"/>
      <c r="EZ388" s="62"/>
      <c r="FA388" s="62"/>
      <c r="FB388" s="62"/>
      <c r="FC388" s="62"/>
      <c r="FD388" s="62"/>
      <c r="FE388" s="62"/>
      <c r="FF388" s="62"/>
      <c r="FG388" s="62"/>
      <c r="FH388" s="62"/>
      <c r="FI388" s="62"/>
      <c r="FJ388" s="62"/>
      <c r="FK388" s="62"/>
      <c r="FL388" s="62"/>
      <c r="FM388" s="62"/>
      <c r="FN388" s="62"/>
      <c r="FO388" s="62"/>
      <c r="FP388" s="62"/>
      <c r="FQ388" s="62"/>
      <c r="FR388" s="62"/>
      <c r="FS388" s="62"/>
      <c r="FT388" s="62"/>
      <c r="FU388" s="62"/>
      <c r="FV388" s="62"/>
    </row>
    <row r="389" spans="1:178" ht="13.8">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c r="AY389" s="62"/>
      <c r="AZ389" s="62"/>
      <c r="BA389" s="62"/>
      <c r="BB389" s="62"/>
      <c r="BC389" s="62"/>
      <c r="BD389" s="62"/>
      <c r="BE389" s="62"/>
      <c r="BF389" s="62"/>
      <c r="BG389" s="62"/>
      <c r="BH389" s="62"/>
      <c r="BI389" s="62"/>
      <c r="BJ389" s="62"/>
      <c r="BK389" s="62"/>
      <c r="BL389" s="62"/>
      <c r="BM389" s="62"/>
      <c r="BN389" s="62"/>
      <c r="BO389" s="62"/>
      <c r="BP389" s="62"/>
      <c r="BQ389" s="62"/>
      <c r="BR389" s="62"/>
      <c r="BS389" s="62"/>
      <c r="BT389" s="62"/>
      <c r="BU389" s="62"/>
      <c r="BV389" s="62"/>
      <c r="BW389" s="62"/>
      <c r="BX389" s="62"/>
      <c r="BY389" s="62"/>
      <c r="BZ389" s="62"/>
      <c r="CA389" s="62"/>
      <c r="CB389" s="62"/>
      <c r="CC389" s="62"/>
      <c r="CD389" s="62"/>
      <c r="CE389" s="62"/>
      <c r="CF389" s="62"/>
      <c r="CG389" s="62"/>
      <c r="CH389" s="62"/>
      <c r="CI389" s="62"/>
      <c r="CJ389" s="62"/>
      <c r="CK389" s="62"/>
      <c r="CL389" s="62"/>
      <c r="CM389" s="62"/>
      <c r="CN389" s="62"/>
      <c r="CO389" s="62"/>
      <c r="CP389" s="62"/>
      <c r="CQ389" s="62"/>
      <c r="CR389" s="62"/>
      <c r="CS389" s="62"/>
      <c r="CT389" s="62"/>
      <c r="CU389" s="62"/>
      <c r="CV389" s="62"/>
      <c r="CW389" s="62"/>
      <c r="CX389" s="62"/>
      <c r="CY389" s="62"/>
      <c r="CZ389" s="62"/>
      <c r="DA389" s="62"/>
      <c r="DB389" s="62"/>
      <c r="DC389" s="62"/>
      <c r="DD389" s="62"/>
      <c r="DE389" s="62"/>
      <c r="DF389" s="62"/>
      <c r="DG389" s="62"/>
      <c r="DH389" s="62"/>
      <c r="DI389" s="62"/>
      <c r="DJ389" s="62"/>
      <c r="DK389" s="62"/>
      <c r="DL389" s="62"/>
      <c r="DM389" s="62"/>
      <c r="DN389" s="62"/>
      <c r="DO389" s="62"/>
      <c r="DP389" s="62"/>
      <c r="DQ389" s="62"/>
      <c r="DR389" s="62"/>
      <c r="DS389" s="62"/>
      <c r="DT389" s="62"/>
      <c r="DU389" s="62"/>
      <c r="DV389" s="62"/>
      <c r="DW389" s="62"/>
      <c r="DX389" s="62"/>
      <c r="DY389" s="62"/>
      <c r="DZ389" s="62"/>
      <c r="EA389" s="62"/>
      <c r="EB389" s="62"/>
      <c r="EC389" s="62"/>
      <c r="ED389" s="62"/>
      <c r="EE389" s="62"/>
      <c r="EF389" s="62"/>
      <c r="EG389" s="62"/>
      <c r="EH389" s="62"/>
      <c r="EI389" s="62"/>
      <c r="EJ389" s="62"/>
      <c r="EK389" s="62"/>
      <c r="EL389" s="62"/>
      <c r="EM389" s="62"/>
      <c r="EN389" s="62"/>
      <c r="EO389" s="62"/>
      <c r="EP389" s="62"/>
      <c r="EQ389" s="62"/>
      <c r="ER389" s="62"/>
      <c r="ES389" s="62"/>
      <c r="ET389" s="62"/>
      <c r="EU389" s="62"/>
      <c r="EV389" s="62"/>
      <c r="EW389" s="62"/>
      <c r="EX389" s="62"/>
      <c r="EY389" s="62"/>
      <c r="EZ389" s="62"/>
      <c r="FA389" s="62"/>
      <c r="FB389" s="62"/>
      <c r="FC389" s="62"/>
      <c r="FD389" s="62"/>
      <c r="FE389" s="62"/>
      <c r="FF389" s="62"/>
      <c r="FG389" s="62"/>
      <c r="FH389" s="62"/>
      <c r="FI389" s="62"/>
      <c r="FJ389" s="62"/>
      <c r="FK389" s="62"/>
      <c r="FL389" s="62"/>
      <c r="FM389" s="62"/>
      <c r="FN389" s="62"/>
      <c r="FO389" s="62"/>
      <c r="FP389" s="62"/>
      <c r="FQ389" s="62"/>
      <c r="FR389" s="62"/>
      <c r="FS389" s="62"/>
      <c r="FT389" s="62"/>
      <c r="FU389" s="62"/>
      <c r="FV389" s="62"/>
    </row>
    <row r="390" spans="1:178" ht="13.8">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c r="AY390" s="62"/>
      <c r="AZ390" s="62"/>
      <c r="BA390" s="62"/>
      <c r="BB390" s="62"/>
      <c r="BC390" s="62"/>
      <c r="BD390" s="62"/>
      <c r="BE390" s="62"/>
      <c r="BF390" s="62"/>
      <c r="BG390" s="62"/>
      <c r="BH390" s="62"/>
      <c r="BI390" s="62"/>
      <c r="BJ390" s="62"/>
      <c r="BK390" s="62"/>
      <c r="BL390" s="62"/>
      <c r="BM390" s="62"/>
      <c r="BN390" s="62"/>
      <c r="BO390" s="62"/>
      <c r="BP390" s="62"/>
      <c r="BQ390" s="62"/>
      <c r="BR390" s="62"/>
      <c r="BS390" s="62"/>
      <c r="BT390" s="62"/>
      <c r="BU390" s="62"/>
      <c r="BV390" s="62"/>
      <c r="BW390" s="62"/>
      <c r="BX390" s="62"/>
      <c r="BY390" s="62"/>
      <c r="BZ390" s="62"/>
      <c r="CA390" s="62"/>
      <c r="CB390" s="62"/>
      <c r="CC390" s="62"/>
      <c r="CD390" s="62"/>
      <c r="CE390" s="62"/>
      <c r="CF390" s="62"/>
      <c r="CG390" s="62"/>
      <c r="CH390" s="62"/>
      <c r="CI390" s="62"/>
      <c r="CJ390" s="62"/>
      <c r="CK390" s="62"/>
      <c r="CL390" s="62"/>
      <c r="CM390" s="62"/>
      <c r="CN390" s="62"/>
      <c r="CO390" s="62"/>
      <c r="CP390" s="62"/>
      <c r="CQ390" s="62"/>
      <c r="CR390" s="62"/>
      <c r="CS390" s="62"/>
      <c r="CT390" s="62"/>
      <c r="CU390" s="62"/>
      <c r="CV390" s="62"/>
      <c r="CW390" s="62"/>
      <c r="CX390" s="62"/>
      <c r="CY390" s="62"/>
      <c r="CZ390" s="62"/>
      <c r="DA390" s="62"/>
      <c r="DB390" s="62"/>
      <c r="DC390" s="62"/>
      <c r="DD390" s="62"/>
      <c r="DE390" s="62"/>
      <c r="DF390" s="62"/>
      <c r="DG390" s="62"/>
      <c r="DH390" s="62"/>
      <c r="DI390" s="62"/>
      <c r="DJ390" s="62"/>
      <c r="DK390" s="62"/>
      <c r="DL390" s="62"/>
      <c r="DM390" s="62"/>
      <c r="DN390" s="62"/>
      <c r="DO390" s="62"/>
      <c r="DP390" s="62"/>
      <c r="DQ390" s="62"/>
      <c r="DR390" s="62"/>
      <c r="DS390" s="62"/>
      <c r="DT390" s="62"/>
      <c r="DU390" s="62"/>
      <c r="DV390" s="62"/>
      <c r="DW390" s="62"/>
      <c r="DX390" s="62"/>
      <c r="DY390" s="62"/>
      <c r="DZ390" s="62"/>
      <c r="EA390" s="62"/>
      <c r="EB390" s="62"/>
      <c r="EC390" s="62"/>
      <c r="ED390" s="62"/>
      <c r="EE390" s="62"/>
      <c r="EF390" s="62"/>
      <c r="EG390" s="62"/>
      <c r="EH390" s="62"/>
      <c r="EI390" s="62"/>
      <c r="EJ390" s="62"/>
      <c r="EK390" s="62"/>
      <c r="EL390" s="62"/>
      <c r="EM390" s="62"/>
      <c r="EN390" s="62"/>
      <c r="EO390" s="62"/>
      <c r="EP390" s="62"/>
      <c r="EQ390" s="62"/>
      <c r="ER390" s="62"/>
      <c r="ES390" s="62"/>
      <c r="ET390" s="62"/>
      <c r="EU390" s="62"/>
      <c r="EV390" s="62"/>
      <c r="EW390" s="62"/>
      <c r="EX390" s="62"/>
      <c r="EY390" s="62"/>
      <c r="EZ390" s="62"/>
      <c r="FA390" s="62"/>
      <c r="FB390" s="62"/>
      <c r="FC390" s="62"/>
      <c r="FD390" s="62"/>
      <c r="FE390" s="62"/>
      <c r="FF390" s="62"/>
      <c r="FG390" s="62"/>
      <c r="FH390" s="62"/>
      <c r="FI390" s="62"/>
      <c r="FJ390" s="62"/>
      <c r="FK390" s="62"/>
      <c r="FL390" s="62"/>
      <c r="FM390" s="62"/>
      <c r="FN390" s="62"/>
      <c r="FO390" s="62"/>
      <c r="FP390" s="62"/>
      <c r="FQ390" s="62"/>
      <c r="FR390" s="62"/>
      <c r="FS390" s="62"/>
      <c r="FT390" s="62"/>
      <c r="FU390" s="62"/>
      <c r="FV390" s="62"/>
    </row>
    <row r="391" spans="1:178" ht="13.8">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c r="AY391" s="62"/>
      <c r="AZ391" s="62"/>
      <c r="BA391" s="62"/>
      <c r="BB391" s="62"/>
      <c r="BC391" s="62"/>
      <c r="BD391" s="62"/>
      <c r="BE391" s="62"/>
      <c r="BF391" s="62"/>
      <c r="BG391" s="62"/>
      <c r="BH391" s="62"/>
      <c r="BI391" s="62"/>
      <c r="BJ391" s="62"/>
      <c r="BK391" s="62"/>
      <c r="BL391" s="62"/>
      <c r="BM391" s="62"/>
      <c r="BN391" s="62"/>
      <c r="BO391" s="62"/>
      <c r="BP391" s="62"/>
      <c r="BQ391" s="62"/>
      <c r="BR391" s="62"/>
      <c r="BS391" s="62"/>
      <c r="BT391" s="62"/>
      <c r="BU391" s="62"/>
      <c r="BV391" s="62"/>
      <c r="BW391" s="62"/>
      <c r="BX391" s="62"/>
      <c r="BY391" s="62"/>
      <c r="BZ391" s="62"/>
      <c r="CA391" s="62"/>
      <c r="CB391" s="62"/>
      <c r="CC391" s="62"/>
      <c r="CD391" s="62"/>
      <c r="CE391" s="62"/>
      <c r="CF391" s="62"/>
      <c r="CG391" s="62"/>
      <c r="CH391" s="62"/>
      <c r="CI391" s="62"/>
      <c r="CJ391" s="62"/>
      <c r="CK391" s="62"/>
      <c r="CL391" s="62"/>
      <c r="CM391" s="62"/>
      <c r="CN391" s="62"/>
      <c r="CO391" s="62"/>
      <c r="CP391" s="62"/>
      <c r="CQ391" s="62"/>
      <c r="CR391" s="62"/>
      <c r="CS391" s="62"/>
      <c r="CT391" s="62"/>
      <c r="CU391" s="62"/>
      <c r="CV391" s="62"/>
      <c r="CW391" s="62"/>
      <c r="CX391" s="62"/>
      <c r="CY391" s="62"/>
      <c r="CZ391" s="62"/>
      <c r="DA391" s="62"/>
      <c r="DB391" s="62"/>
      <c r="DC391" s="62"/>
      <c r="DD391" s="62"/>
      <c r="DE391" s="62"/>
      <c r="DF391" s="62"/>
      <c r="DG391" s="62"/>
      <c r="DH391" s="62"/>
      <c r="DI391" s="62"/>
      <c r="DJ391" s="62"/>
      <c r="DK391" s="62"/>
      <c r="DL391" s="62"/>
      <c r="DM391" s="62"/>
      <c r="DN391" s="62"/>
      <c r="DO391" s="62"/>
      <c r="DP391" s="62"/>
      <c r="DQ391" s="62"/>
      <c r="DR391" s="62"/>
      <c r="DS391" s="62"/>
      <c r="DT391" s="62"/>
      <c r="DU391" s="62"/>
      <c r="DV391" s="62"/>
      <c r="DW391" s="62"/>
      <c r="DX391" s="62"/>
      <c r="DY391" s="62"/>
      <c r="DZ391" s="62"/>
      <c r="EA391" s="62"/>
      <c r="EB391" s="62"/>
      <c r="EC391" s="62"/>
      <c r="ED391" s="62"/>
      <c r="EE391" s="62"/>
      <c r="EF391" s="62"/>
      <c r="EG391" s="62"/>
      <c r="EH391" s="62"/>
      <c r="EI391" s="62"/>
      <c r="EJ391" s="62"/>
      <c r="EK391" s="62"/>
      <c r="EL391" s="62"/>
      <c r="EM391" s="62"/>
      <c r="EN391" s="62"/>
      <c r="EO391" s="62"/>
      <c r="EP391" s="62"/>
      <c r="EQ391" s="62"/>
      <c r="ER391" s="62"/>
      <c r="ES391" s="62"/>
      <c r="ET391" s="62"/>
      <c r="EU391" s="62"/>
      <c r="EV391" s="62"/>
      <c r="EW391" s="62"/>
      <c r="EX391" s="62"/>
      <c r="EY391" s="62"/>
      <c r="EZ391" s="62"/>
      <c r="FA391" s="62"/>
      <c r="FB391" s="62"/>
      <c r="FC391" s="62"/>
      <c r="FD391" s="62"/>
      <c r="FE391" s="62"/>
      <c r="FF391" s="62"/>
      <c r="FG391" s="62"/>
      <c r="FH391" s="62"/>
      <c r="FI391" s="62"/>
      <c r="FJ391" s="62"/>
      <c r="FK391" s="62"/>
      <c r="FL391" s="62"/>
      <c r="FM391" s="62"/>
      <c r="FN391" s="62"/>
      <c r="FO391" s="62"/>
      <c r="FP391" s="62"/>
      <c r="FQ391" s="62"/>
      <c r="FR391" s="62"/>
      <c r="FS391" s="62"/>
      <c r="FT391" s="62"/>
      <c r="FU391" s="62"/>
      <c r="FV391" s="62"/>
    </row>
    <row r="392" spans="1:178" ht="13.8">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c r="AY392" s="62"/>
      <c r="AZ392" s="62"/>
      <c r="BA392" s="62"/>
      <c r="BB392" s="62"/>
      <c r="BC392" s="62"/>
      <c r="BD392" s="62"/>
      <c r="BE392" s="62"/>
      <c r="BF392" s="62"/>
      <c r="BG392" s="62"/>
      <c r="BH392" s="62"/>
      <c r="BI392" s="62"/>
      <c r="BJ392" s="62"/>
      <c r="BK392" s="62"/>
      <c r="BL392" s="62"/>
      <c r="BM392" s="62"/>
      <c r="BN392" s="62"/>
      <c r="BO392" s="62"/>
      <c r="BP392" s="62"/>
      <c r="BQ392" s="62"/>
      <c r="BR392" s="62"/>
      <c r="BS392" s="62"/>
      <c r="BT392" s="62"/>
      <c r="BU392" s="62"/>
      <c r="BV392" s="62"/>
      <c r="BW392" s="62"/>
      <c r="BX392" s="62"/>
      <c r="BY392" s="62"/>
      <c r="BZ392" s="62"/>
      <c r="CA392" s="62"/>
      <c r="CB392" s="62"/>
      <c r="CC392" s="62"/>
      <c r="CD392" s="62"/>
      <c r="CE392" s="62"/>
      <c r="CF392" s="62"/>
      <c r="CG392" s="62"/>
      <c r="CH392" s="62"/>
      <c r="CI392" s="62"/>
      <c r="CJ392" s="62"/>
      <c r="CK392" s="62"/>
      <c r="CL392" s="62"/>
      <c r="CM392" s="62"/>
      <c r="CN392" s="62"/>
      <c r="CO392" s="62"/>
      <c r="CP392" s="62"/>
      <c r="CQ392" s="62"/>
      <c r="CR392" s="62"/>
      <c r="CS392" s="62"/>
      <c r="CT392" s="62"/>
      <c r="CU392" s="62"/>
      <c r="CV392" s="62"/>
      <c r="CW392" s="62"/>
      <c r="CX392" s="62"/>
      <c r="CY392" s="62"/>
      <c r="CZ392" s="62"/>
      <c r="DA392" s="62"/>
      <c r="DB392" s="62"/>
      <c r="DC392" s="62"/>
      <c r="DD392" s="62"/>
      <c r="DE392" s="62"/>
      <c r="DF392" s="62"/>
      <c r="DG392" s="62"/>
      <c r="DH392" s="62"/>
      <c r="DI392" s="62"/>
      <c r="DJ392" s="62"/>
      <c r="DK392" s="62"/>
      <c r="DL392" s="62"/>
      <c r="DM392" s="62"/>
      <c r="DN392" s="62"/>
      <c r="DO392" s="62"/>
      <c r="DP392" s="62"/>
      <c r="DQ392" s="62"/>
      <c r="DR392" s="62"/>
      <c r="DS392" s="62"/>
      <c r="DT392" s="62"/>
      <c r="DU392" s="62"/>
      <c r="DV392" s="62"/>
      <c r="DW392" s="62"/>
      <c r="DX392" s="62"/>
      <c r="DY392" s="62"/>
      <c r="DZ392" s="62"/>
      <c r="EA392" s="62"/>
      <c r="EB392" s="62"/>
      <c r="EC392" s="62"/>
      <c r="ED392" s="62"/>
      <c r="EE392" s="62"/>
      <c r="EF392" s="62"/>
      <c r="EG392" s="62"/>
      <c r="EH392" s="62"/>
      <c r="EI392" s="62"/>
      <c r="EJ392" s="62"/>
      <c r="EK392" s="62"/>
      <c r="EL392" s="62"/>
      <c r="EM392" s="62"/>
      <c r="EN392" s="62"/>
      <c r="EO392" s="62"/>
      <c r="EP392" s="62"/>
      <c r="EQ392" s="62"/>
      <c r="ER392" s="62"/>
      <c r="ES392" s="62"/>
      <c r="ET392" s="62"/>
      <c r="EU392" s="62"/>
      <c r="EV392" s="62"/>
      <c r="EW392" s="62"/>
      <c r="EX392" s="62"/>
      <c r="EY392" s="62"/>
      <c r="EZ392" s="62"/>
      <c r="FA392" s="62"/>
      <c r="FB392" s="62"/>
      <c r="FC392" s="62"/>
      <c r="FD392" s="62"/>
      <c r="FE392" s="62"/>
      <c r="FF392" s="62"/>
      <c r="FG392" s="62"/>
      <c r="FH392" s="62"/>
      <c r="FI392" s="62"/>
      <c r="FJ392" s="62"/>
      <c r="FK392" s="62"/>
      <c r="FL392" s="62"/>
      <c r="FM392" s="62"/>
      <c r="FN392" s="62"/>
      <c r="FO392" s="62"/>
      <c r="FP392" s="62"/>
      <c r="FQ392" s="62"/>
      <c r="FR392" s="62"/>
      <c r="FS392" s="62"/>
      <c r="FT392" s="62"/>
      <c r="FU392" s="62"/>
      <c r="FV392" s="62"/>
    </row>
    <row r="393" spans="1:178" ht="13.8">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c r="AY393" s="62"/>
      <c r="AZ393" s="62"/>
      <c r="BA393" s="62"/>
      <c r="BB393" s="62"/>
      <c r="BC393" s="62"/>
      <c r="BD393" s="62"/>
      <c r="BE393" s="62"/>
      <c r="BF393" s="62"/>
      <c r="BG393" s="62"/>
      <c r="BH393" s="62"/>
      <c r="BI393" s="62"/>
      <c r="BJ393" s="62"/>
      <c r="BK393" s="62"/>
      <c r="BL393" s="62"/>
      <c r="BM393" s="62"/>
      <c r="BN393" s="62"/>
      <c r="BO393" s="62"/>
      <c r="BP393" s="62"/>
      <c r="BQ393" s="62"/>
      <c r="BR393" s="62"/>
      <c r="BS393" s="62"/>
      <c r="BT393" s="62"/>
      <c r="BU393" s="62"/>
      <c r="BV393" s="62"/>
      <c r="BW393" s="62"/>
      <c r="BX393" s="62"/>
      <c r="BY393" s="62"/>
      <c r="BZ393" s="62"/>
      <c r="CA393" s="62"/>
      <c r="CB393" s="62"/>
      <c r="CC393" s="62"/>
      <c r="CD393" s="62"/>
      <c r="CE393" s="62"/>
      <c r="CF393" s="62"/>
      <c r="CG393" s="62"/>
      <c r="CH393" s="62"/>
      <c r="CI393" s="62"/>
      <c r="CJ393" s="62"/>
      <c r="CK393" s="62"/>
      <c r="CL393" s="62"/>
      <c r="CM393" s="62"/>
      <c r="CN393" s="62"/>
      <c r="CO393" s="62"/>
      <c r="CP393" s="62"/>
      <c r="CQ393" s="62"/>
      <c r="CR393" s="62"/>
      <c r="CS393" s="62"/>
      <c r="CT393" s="62"/>
      <c r="CU393" s="62"/>
      <c r="CV393" s="62"/>
      <c r="CW393" s="62"/>
      <c r="CX393" s="62"/>
      <c r="CY393" s="62"/>
      <c r="CZ393" s="62"/>
      <c r="DA393" s="62"/>
      <c r="DB393" s="62"/>
      <c r="DC393" s="62"/>
      <c r="DD393" s="62"/>
      <c r="DE393" s="62"/>
      <c r="DF393" s="62"/>
      <c r="DG393" s="62"/>
      <c r="DH393" s="62"/>
      <c r="DI393" s="62"/>
      <c r="DJ393" s="62"/>
      <c r="DK393" s="62"/>
      <c r="DL393" s="62"/>
      <c r="DM393" s="62"/>
      <c r="DN393" s="62"/>
      <c r="DO393" s="62"/>
      <c r="DP393" s="62"/>
      <c r="DQ393" s="62"/>
      <c r="DR393" s="62"/>
      <c r="DS393" s="62"/>
      <c r="DT393" s="62"/>
      <c r="DU393" s="62"/>
      <c r="DV393" s="62"/>
      <c r="DW393" s="62"/>
      <c r="DX393" s="62"/>
      <c r="DY393" s="62"/>
      <c r="DZ393" s="62"/>
      <c r="EA393" s="62"/>
      <c r="EB393" s="62"/>
      <c r="EC393" s="62"/>
      <c r="ED393" s="62"/>
      <c r="EE393" s="62"/>
      <c r="EF393" s="62"/>
      <c r="EG393" s="62"/>
      <c r="EH393" s="62"/>
      <c r="EI393" s="62"/>
      <c r="EJ393" s="62"/>
      <c r="EK393" s="62"/>
      <c r="EL393" s="62"/>
      <c r="EM393" s="62"/>
      <c r="EN393" s="62"/>
      <c r="EO393" s="62"/>
      <c r="EP393" s="62"/>
      <c r="EQ393" s="62"/>
      <c r="ER393" s="62"/>
      <c r="ES393" s="62"/>
      <c r="ET393" s="62"/>
      <c r="EU393" s="62"/>
      <c r="EV393" s="62"/>
      <c r="EW393" s="62"/>
      <c r="EX393" s="62"/>
      <c r="EY393" s="62"/>
      <c r="EZ393" s="62"/>
      <c r="FA393" s="62"/>
      <c r="FB393" s="62"/>
      <c r="FC393" s="62"/>
      <c r="FD393" s="62"/>
      <c r="FE393" s="62"/>
      <c r="FF393" s="62"/>
      <c r="FG393" s="62"/>
      <c r="FH393" s="62"/>
      <c r="FI393" s="62"/>
      <c r="FJ393" s="62"/>
      <c r="FK393" s="62"/>
      <c r="FL393" s="62"/>
      <c r="FM393" s="62"/>
      <c r="FN393" s="62"/>
      <c r="FO393" s="62"/>
      <c r="FP393" s="62"/>
      <c r="FQ393" s="62"/>
      <c r="FR393" s="62"/>
      <c r="FS393" s="62"/>
      <c r="FT393" s="62"/>
      <c r="FU393" s="62"/>
      <c r="FV393" s="62"/>
    </row>
    <row r="394" spans="1:178" ht="13.8">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c r="AY394" s="62"/>
      <c r="AZ394" s="62"/>
      <c r="BA394" s="62"/>
      <c r="BB394" s="62"/>
      <c r="BC394" s="62"/>
      <c r="BD394" s="62"/>
      <c r="BE394" s="62"/>
      <c r="BF394" s="62"/>
      <c r="BG394" s="62"/>
      <c r="BH394" s="62"/>
      <c r="BI394" s="62"/>
      <c r="BJ394" s="62"/>
      <c r="BK394" s="62"/>
      <c r="BL394" s="62"/>
      <c r="BM394" s="62"/>
      <c r="BN394" s="62"/>
      <c r="BO394" s="62"/>
      <c r="BP394" s="62"/>
      <c r="BQ394" s="62"/>
      <c r="BR394" s="62"/>
      <c r="BS394" s="62"/>
      <c r="BT394" s="62"/>
      <c r="BU394" s="62"/>
      <c r="BV394" s="62"/>
      <c r="BW394" s="62"/>
      <c r="BX394" s="62"/>
      <c r="BY394" s="62"/>
      <c r="BZ394" s="62"/>
      <c r="CA394" s="62"/>
      <c r="CB394" s="62"/>
      <c r="CC394" s="62"/>
      <c r="CD394" s="62"/>
      <c r="CE394" s="62"/>
      <c r="CF394" s="62"/>
      <c r="CG394" s="62"/>
      <c r="CH394" s="62"/>
      <c r="CI394" s="62"/>
      <c r="CJ394" s="62"/>
      <c r="CK394" s="62"/>
      <c r="CL394" s="62"/>
      <c r="CM394" s="62"/>
      <c r="CN394" s="62"/>
      <c r="CO394" s="62"/>
      <c r="CP394" s="62"/>
      <c r="CQ394" s="62"/>
      <c r="CR394" s="62"/>
      <c r="CS394" s="62"/>
      <c r="CT394" s="62"/>
      <c r="CU394" s="62"/>
      <c r="CV394" s="62"/>
      <c r="CW394" s="62"/>
      <c r="CX394" s="62"/>
      <c r="CY394" s="62"/>
      <c r="CZ394" s="62"/>
      <c r="DA394" s="62"/>
      <c r="DB394" s="62"/>
      <c r="DC394" s="62"/>
      <c r="DD394" s="62"/>
      <c r="DE394" s="62"/>
      <c r="DF394" s="62"/>
      <c r="DG394" s="62"/>
      <c r="DH394" s="62"/>
      <c r="DI394" s="62"/>
      <c r="DJ394" s="62"/>
      <c r="DK394" s="62"/>
      <c r="DL394" s="62"/>
      <c r="DM394" s="62"/>
      <c r="DN394" s="62"/>
      <c r="DO394" s="62"/>
      <c r="DP394" s="62"/>
      <c r="DQ394" s="62"/>
      <c r="DR394" s="62"/>
      <c r="DS394" s="62"/>
      <c r="DT394" s="62"/>
      <c r="DU394" s="62"/>
      <c r="DV394" s="62"/>
      <c r="DW394" s="62"/>
      <c r="DX394" s="62"/>
      <c r="DY394" s="62"/>
      <c r="DZ394" s="62"/>
      <c r="EA394" s="62"/>
      <c r="EB394" s="62"/>
      <c r="EC394" s="62"/>
      <c r="ED394" s="62"/>
      <c r="EE394" s="62"/>
      <c r="EF394" s="62"/>
      <c r="EG394" s="62"/>
      <c r="EH394" s="62"/>
      <c r="EI394" s="62"/>
      <c r="EJ394" s="62"/>
      <c r="EK394" s="62"/>
      <c r="EL394" s="62"/>
      <c r="EM394" s="62"/>
      <c r="EN394" s="62"/>
      <c r="EO394" s="62"/>
      <c r="EP394" s="62"/>
      <c r="EQ394" s="62"/>
      <c r="ER394" s="62"/>
      <c r="ES394" s="62"/>
      <c r="ET394" s="62"/>
      <c r="EU394" s="62"/>
      <c r="EV394" s="62"/>
      <c r="EW394" s="62"/>
      <c r="EX394" s="62"/>
      <c r="EY394" s="62"/>
      <c r="EZ394" s="62"/>
      <c r="FA394" s="62"/>
      <c r="FB394" s="62"/>
      <c r="FC394" s="62"/>
      <c r="FD394" s="62"/>
      <c r="FE394" s="62"/>
      <c r="FF394" s="62"/>
      <c r="FG394" s="62"/>
      <c r="FH394" s="62"/>
      <c r="FI394" s="62"/>
      <c r="FJ394" s="62"/>
      <c r="FK394" s="62"/>
      <c r="FL394" s="62"/>
      <c r="FM394" s="62"/>
      <c r="FN394" s="62"/>
      <c r="FO394" s="62"/>
      <c r="FP394" s="62"/>
      <c r="FQ394" s="62"/>
      <c r="FR394" s="62"/>
      <c r="FS394" s="62"/>
      <c r="FT394" s="62"/>
      <c r="FU394" s="62"/>
      <c r="FV394" s="62"/>
    </row>
    <row r="395" spans="1:178" ht="13.8">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c r="AY395" s="62"/>
      <c r="AZ395" s="62"/>
      <c r="BA395" s="62"/>
      <c r="BB395" s="62"/>
      <c r="BC395" s="62"/>
      <c r="BD395" s="62"/>
      <c r="BE395" s="62"/>
      <c r="BF395" s="62"/>
      <c r="BG395" s="62"/>
      <c r="BH395" s="62"/>
      <c r="BI395" s="62"/>
      <c r="BJ395" s="62"/>
      <c r="BK395" s="62"/>
      <c r="BL395" s="62"/>
      <c r="BM395" s="62"/>
      <c r="BN395" s="62"/>
      <c r="BO395" s="62"/>
      <c r="BP395" s="62"/>
      <c r="BQ395" s="62"/>
      <c r="BR395" s="62"/>
      <c r="BS395" s="62"/>
      <c r="BT395" s="62"/>
      <c r="BU395" s="62"/>
      <c r="BV395" s="62"/>
      <c r="BW395" s="62"/>
      <c r="BX395" s="62"/>
      <c r="BY395" s="62"/>
      <c r="BZ395" s="62"/>
      <c r="CA395" s="62"/>
      <c r="CB395" s="62"/>
      <c r="CC395" s="62"/>
      <c r="CD395" s="62"/>
      <c r="CE395" s="62"/>
      <c r="CF395" s="62"/>
      <c r="CG395" s="62"/>
      <c r="CH395" s="62"/>
      <c r="CI395" s="62"/>
      <c r="CJ395" s="62"/>
      <c r="CK395" s="62"/>
      <c r="CL395" s="62"/>
      <c r="CM395" s="62"/>
      <c r="CN395" s="62"/>
      <c r="CO395" s="62"/>
      <c r="CP395" s="62"/>
      <c r="CQ395" s="62"/>
      <c r="CR395" s="62"/>
      <c r="CS395" s="62"/>
      <c r="CT395" s="62"/>
      <c r="CU395" s="62"/>
      <c r="CV395" s="62"/>
      <c r="CW395" s="62"/>
      <c r="CX395" s="62"/>
      <c r="CY395" s="62"/>
      <c r="CZ395" s="62"/>
      <c r="DA395" s="62"/>
      <c r="DB395" s="62"/>
      <c r="DC395" s="62"/>
      <c r="DD395" s="62"/>
      <c r="DE395" s="62"/>
      <c r="DF395" s="62"/>
      <c r="DG395" s="62"/>
      <c r="DH395" s="62"/>
      <c r="DI395" s="62"/>
      <c r="DJ395" s="62"/>
      <c r="DK395" s="62"/>
      <c r="DL395" s="62"/>
      <c r="DM395" s="62"/>
      <c r="DN395" s="62"/>
      <c r="DO395" s="62"/>
      <c r="DP395" s="62"/>
      <c r="DQ395" s="62"/>
      <c r="DR395" s="62"/>
      <c r="DS395" s="62"/>
      <c r="DT395" s="62"/>
      <c r="DU395" s="62"/>
      <c r="DV395" s="62"/>
      <c r="DW395" s="62"/>
      <c r="DX395" s="62"/>
      <c r="DY395" s="62"/>
      <c r="DZ395" s="62"/>
      <c r="EA395" s="62"/>
      <c r="EB395" s="62"/>
      <c r="EC395" s="62"/>
      <c r="ED395" s="62"/>
      <c r="EE395" s="62"/>
      <c r="EF395" s="62"/>
      <c r="EG395" s="62"/>
      <c r="EH395" s="62"/>
      <c r="EI395" s="62"/>
      <c r="EJ395" s="62"/>
      <c r="EK395" s="62"/>
      <c r="EL395" s="62"/>
      <c r="EM395" s="62"/>
      <c r="EN395" s="62"/>
      <c r="EO395" s="62"/>
      <c r="EP395" s="62"/>
      <c r="EQ395" s="62"/>
      <c r="ER395" s="62"/>
      <c r="ES395" s="62"/>
      <c r="ET395" s="62"/>
      <c r="EU395" s="62"/>
      <c r="EV395" s="62"/>
      <c r="EW395" s="62"/>
      <c r="EX395" s="62"/>
      <c r="EY395" s="62"/>
      <c r="EZ395" s="62"/>
      <c r="FA395" s="62"/>
      <c r="FB395" s="62"/>
      <c r="FC395" s="62"/>
      <c r="FD395" s="62"/>
      <c r="FE395" s="62"/>
      <c r="FF395" s="62"/>
      <c r="FG395" s="62"/>
      <c r="FH395" s="62"/>
      <c r="FI395" s="62"/>
      <c r="FJ395" s="62"/>
      <c r="FK395" s="62"/>
      <c r="FL395" s="62"/>
      <c r="FM395" s="62"/>
      <c r="FN395" s="62"/>
      <c r="FO395" s="62"/>
      <c r="FP395" s="62"/>
      <c r="FQ395" s="62"/>
      <c r="FR395" s="62"/>
      <c r="FS395" s="62"/>
      <c r="FT395" s="62"/>
      <c r="FU395" s="62"/>
      <c r="FV395" s="62"/>
    </row>
    <row r="396" spans="1:178" ht="13.8">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c r="AY396" s="62"/>
      <c r="AZ396" s="62"/>
      <c r="BA396" s="62"/>
      <c r="BB396" s="62"/>
      <c r="BC396" s="62"/>
      <c r="BD396" s="62"/>
      <c r="BE396" s="62"/>
      <c r="BF396" s="62"/>
      <c r="BG396" s="62"/>
      <c r="BH396" s="62"/>
      <c r="BI396" s="62"/>
      <c r="BJ396" s="62"/>
      <c r="BK396" s="62"/>
      <c r="BL396" s="62"/>
      <c r="BM396" s="62"/>
      <c r="BN396" s="62"/>
      <c r="BO396" s="62"/>
      <c r="BP396" s="62"/>
      <c r="BQ396" s="62"/>
      <c r="BR396" s="62"/>
      <c r="BS396" s="62"/>
      <c r="BT396" s="62"/>
      <c r="BU396" s="62"/>
      <c r="BV396" s="62"/>
      <c r="BW396" s="62"/>
      <c r="BX396" s="62"/>
      <c r="BY396" s="62"/>
      <c r="BZ396" s="62"/>
      <c r="CA396" s="62"/>
      <c r="CB396" s="62"/>
      <c r="CC396" s="62"/>
      <c r="CD396" s="62"/>
      <c r="CE396" s="62"/>
      <c r="CF396" s="62"/>
      <c r="CG396" s="62"/>
      <c r="CH396" s="62"/>
      <c r="CI396" s="62"/>
      <c r="CJ396" s="62"/>
      <c r="CK396" s="62"/>
      <c r="CL396" s="62"/>
      <c r="CM396" s="62"/>
      <c r="CN396" s="62"/>
      <c r="CO396" s="62"/>
      <c r="CP396" s="62"/>
      <c r="CQ396" s="62"/>
      <c r="CR396" s="62"/>
      <c r="CS396" s="62"/>
      <c r="CT396" s="62"/>
      <c r="CU396" s="62"/>
      <c r="CV396" s="62"/>
      <c r="CW396" s="62"/>
      <c r="CX396" s="62"/>
      <c r="CY396" s="62"/>
      <c r="CZ396" s="62"/>
      <c r="DA396" s="62"/>
      <c r="DB396" s="62"/>
      <c r="DC396" s="62"/>
      <c r="DD396" s="62"/>
      <c r="DE396" s="62"/>
      <c r="DF396" s="62"/>
      <c r="DG396" s="62"/>
      <c r="DH396" s="62"/>
      <c r="DI396" s="62"/>
      <c r="DJ396" s="62"/>
      <c r="DK396" s="62"/>
      <c r="DL396" s="62"/>
      <c r="DM396" s="62"/>
      <c r="DN396" s="62"/>
      <c r="DO396" s="62"/>
      <c r="DP396" s="62"/>
      <c r="DQ396" s="62"/>
      <c r="DR396" s="62"/>
      <c r="DS396" s="62"/>
      <c r="DT396" s="62"/>
      <c r="DU396" s="62"/>
      <c r="DV396" s="62"/>
      <c r="DW396" s="62"/>
      <c r="DX396" s="62"/>
      <c r="DY396" s="62"/>
      <c r="DZ396" s="62"/>
      <c r="EA396" s="62"/>
      <c r="EB396" s="62"/>
      <c r="EC396" s="62"/>
      <c r="ED396" s="62"/>
      <c r="EE396" s="62"/>
      <c r="EF396" s="62"/>
      <c r="EG396" s="62"/>
      <c r="EH396" s="62"/>
      <c r="EI396" s="62"/>
      <c r="EJ396" s="62"/>
      <c r="EK396" s="62"/>
      <c r="EL396" s="62"/>
      <c r="EM396" s="62"/>
      <c r="EN396" s="62"/>
      <c r="EO396" s="62"/>
      <c r="EP396" s="62"/>
      <c r="EQ396" s="62"/>
      <c r="ER396" s="62"/>
      <c r="ES396" s="62"/>
      <c r="ET396" s="62"/>
      <c r="EU396" s="62"/>
      <c r="EV396" s="62"/>
      <c r="EW396" s="62"/>
      <c r="EX396" s="62"/>
      <c r="EY396" s="62"/>
      <c r="EZ396" s="62"/>
      <c r="FA396" s="62"/>
      <c r="FB396" s="62"/>
      <c r="FC396" s="62"/>
      <c r="FD396" s="62"/>
      <c r="FE396" s="62"/>
      <c r="FF396" s="62"/>
      <c r="FG396" s="62"/>
      <c r="FH396" s="62"/>
      <c r="FI396" s="62"/>
      <c r="FJ396" s="62"/>
      <c r="FK396" s="62"/>
      <c r="FL396" s="62"/>
      <c r="FM396" s="62"/>
      <c r="FN396" s="62"/>
      <c r="FO396" s="62"/>
      <c r="FP396" s="62"/>
      <c r="FQ396" s="62"/>
      <c r="FR396" s="62"/>
      <c r="FS396" s="62"/>
      <c r="FT396" s="62"/>
      <c r="FU396" s="62"/>
      <c r="FV396" s="62"/>
    </row>
    <row r="397" spans="1:178" ht="13.8">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c r="AY397" s="62"/>
      <c r="AZ397" s="62"/>
      <c r="BA397" s="62"/>
      <c r="BB397" s="62"/>
      <c r="BC397" s="62"/>
      <c r="BD397" s="62"/>
      <c r="BE397" s="62"/>
      <c r="BF397" s="62"/>
      <c r="BG397" s="62"/>
      <c r="BH397" s="62"/>
      <c r="BI397" s="62"/>
      <c r="BJ397" s="62"/>
      <c r="BK397" s="62"/>
      <c r="BL397" s="62"/>
      <c r="BM397" s="62"/>
      <c r="BN397" s="62"/>
      <c r="BO397" s="62"/>
      <c r="BP397" s="62"/>
      <c r="BQ397" s="62"/>
      <c r="BR397" s="62"/>
      <c r="BS397" s="62"/>
      <c r="BT397" s="62"/>
      <c r="BU397" s="62"/>
      <c r="BV397" s="62"/>
      <c r="BW397" s="62"/>
      <c r="BX397" s="62"/>
      <c r="BY397" s="62"/>
      <c r="BZ397" s="62"/>
      <c r="CA397" s="62"/>
      <c r="CB397" s="62"/>
      <c r="CC397" s="62"/>
      <c r="CD397" s="62"/>
      <c r="CE397" s="62"/>
      <c r="CF397" s="62"/>
      <c r="CG397" s="62"/>
      <c r="CH397" s="62"/>
      <c r="CI397" s="62"/>
      <c r="CJ397" s="62"/>
      <c r="CK397" s="62"/>
      <c r="CL397" s="62"/>
      <c r="CM397" s="62"/>
      <c r="CN397" s="62"/>
      <c r="CO397" s="62"/>
      <c r="CP397" s="62"/>
      <c r="CQ397" s="62"/>
      <c r="CR397" s="62"/>
      <c r="CS397" s="62"/>
      <c r="CT397" s="62"/>
      <c r="CU397" s="62"/>
      <c r="CV397" s="62"/>
      <c r="CW397" s="62"/>
      <c r="CX397" s="62"/>
      <c r="CY397" s="62"/>
      <c r="CZ397" s="62"/>
      <c r="DA397" s="62"/>
      <c r="DB397" s="62"/>
      <c r="DC397" s="62"/>
      <c r="DD397" s="62"/>
      <c r="DE397" s="62"/>
      <c r="DF397" s="62"/>
      <c r="DG397" s="62"/>
      <c r="DH397" s="62"/>
      <c r="DI397" s="62"/>
      <c r="DJ397" s="62"/>
      <c r="DK397" s="62"/>
      <c r="DL397" s="62"/>
      <c r="DM397" s="62"/>
      <c r="DN397" s="62"/>
      <c r="DO397" s="62"/>
      <c r="DP397" s="62"/>
      <c r="DQ397" s="62"/>
      <c r="DR397" s="62"/>
      <c r="DS397" s="62"/>
      <c r="DT397" s="62"/>
      <c r="DU397" s="62"/>
      <c r="DV397" s="62"/>
      <c r="DW397" s="62"/>
      <c r="DX397" s="62"/>
      <c r="DY397" s="62"/>
      <c r="DZ397" s="62"/>
      <c r="EA397" s="62"/>
      <c r="EB397" s="62"/>
      <c r="EC397" s="62"/>
      <c r="ED397" s="62"/>
      <c r="EE397" s="62"/>
      <c r="EF397" s="62"/>
      <c r="EG397" s="62"/>
      <c r="EH397" s="62"/>
      <c r="EI397" s="62"/>
      <c r="EJ397" s="62"/>
      <c r="EK397" s="62"/>
      <c r="EL397" s="62"/>
      <c r="EM397" s="62"/>
      <c r="EN397" s="62"/>
      <c r="EO397" s="62"/>
      <c r="EP397" s="62"/>
      <c r="EQ397" s="62"/>
      <c r="ER397" s="62"/>
      <c r="ES397" s="62"/>
      <c r="ET397" s="62"/>
      <c r="EU397" s="62"/>
      <c r="EV397" s="62"/>
      <c r="EW397" s="62"/>
      <c r="EX397" s="62"/>
      <c r="EY397" s="62"/>
      <c r="EZ397" s="62"/>
      <c r="FA397" s="62"/>
      <c r="FB397" s="62"/>
      <c r="FC397" s="62"/>
      <c r="FD397" s="62"/>
      <c r="FE397" s="62"/>
      <c r="FF397" s="62"/>
      <c r="FG397" s="62"/>
      <c r="FH397" s="62"/>
      <c r="FI397" s="62"/>
      <c r="FJ397" s="62"/>
      <c r="FK397" s="62"/>
      <c r="FL397" s="62"/>
      <c r="FM397" s="62"/>
      <c r="FN397" s="62"/>
      <c r="FO397" s="62"/>
      <c r="FP397" s="62"/>
      <c r="FQ397" s="62"/>
      <c r="FR397" s="62"/>
      <c r="FS397" s="62"/>
      <c r="FT397" s="62"/>
      <c r="FU397" s="62"/>
      <c r="FV397" s="62"/>
    </row>
    <row r="398" spans="1:178" ht="13.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c r="AY398" s="62"/>
      <c r="AZ398" s="62"/>
      <c r="BA398" s="62"/>
      <c r="BB398" s="62"/>
      <c r="BC398" s="62"/>
      <c r="BD398" s="62"/>
      <c r="BE398" s="62"/>
      <c r="BF398" s="62"/>
      <c r="BG398" s="62"/>
      <c r="BH398" s="62"/>
      <c r="BI398" s="62"/>
      <c r="BJ398" s="62"/>
      <c r="BK398" s="62"/>
      <c r="BL398" s="62"/>
      <c r="BM398" s="62"/>
      <c r="BN398" s="62"/>
      <c r="BO398" s="62"/>
      <c r="BP398" s="62"/>
      <c r="BQ398" s="62"/>
      <c r="BR398" s="62"/>
      <c r="BS398" s="62"/>
      <c r="BT398" s="62"/>
      <c r="BU398" s="62"/>
      <c r="BV398" s="62"/>
      <c r="BW398" s="62"/>
      <c r="BX398" s="62"/>
      <c r="BY398" s="62"/>
      <c r="BZ398" s="62"/>
      <c r="CA398" s="62"/>
      <c r="CB398" s="62"/>
      <c r="CC398" s="62"/>
      <c r="CD398" s="62"/>
      <c r="CE398" s="62"/>
      <c r="CF398" s="62"/>
      <c r="CG398" s="62"/>
      <c r="CH398" s="62"/>
      <c r="CI398" s="62"/>
      <c r="CJ398" s="62"/>
      <c r="CK398" s="62"/>
      <c r="CL398" s="62"/>
      <c r="CM398" s="62"/>
      <c r="CN398" s="62"/>
      <c r="CO398" s="62"/>
      <c r="CP398" s="62"/>
      <c r="CQ398" s="62"/>
      <c r="CR398" s="62"/>
      <c r="CS398" s="62"/>
      <c r="CT398" s="62"/>
      <c r="CU398" s="62"/>
      <c r="CV398" s="62"/>
      <c r="CW398" s="62"/>
      <c r="CX398" s="62"/>
      <c r="CY398" s="62"/>
      <c r="CZ398" s="62"/>
      <c r="DA398" s="62"/>
      <c r="DB398" s="62"/>
      <c r="DC398" s="62"/>
      <c r="DD398" s="62"/>
      <c r="DE398" s="62"/>
      <c r="DF398" s="62"/>
      <c r="DG398" s="62"/>
      <c r="DH398" s="62"/>
      <c r="DI398" s="62"/>
      <c r="DJ398" s="62"/>
      <c r="DK398" s="62"/>
      <c r="DL398" s="62"/>
      <c r="DM398" s="62"/>
      <c r="DN398" s="62"/>
      <c r="DO398" s="62"/>
      <c r="DP398" s="62"/>
      <c r="DQ398" s="62"/>
      <c r="DR398" s="62"/>
      <c r="DS398" s="62"/>
      <c r="DT398" s="62"/>
      <c r="DU398" s="62"/>
      <c r="DV398" s="62"/>
      <c r="DW398" s="62"/>
      <c r="DX398" s="62"/>
      <c r="DY398" s="62"/>
      <c r="DZ398" s="62"/>
      <c r="EA398" s="62"/>
      <c r="EB398" s="62"/>
      <c r="EC398" s="62"/>
      <c r="ED398" s="62"/>
      <c r="EE398" s="62"/>
      <c r="EF398" s="62"/>
      <c r="EG398" s="62"/>
      <c r="EH398" s="62"/>
      <c r="EI398" s="62"/>
      <c r="EJ398" s="62"/>
      <c r="EK398" s="62"/>
      <c r="EL398" s="62"/>
      <c r="EM398" s="62"/>
      <c r="EN398" s="62"/>
      <c r="EO398" s="62"/>
      <c r="EP398" s="62"/>
      <c r="EQ398" s="62"/>
      <c r="ER398" s="62"/>
      <c r="ES398" s="62"/>
      <c r="ET398" s="62"/>
      <c r="EU398" s="62"/>
      <c r="EV398" s="62"/>
      <c r="EW398" s="62"/>
      <c r="EX398" s="62"/>
      <c r="EY398" s="62"/>
      <c r="EZ398" s="62"/>
      <c r="FA398" s="62"/>
      <c r="FB398" s="62"/>
      <c r="FC398" s="62"/>
      <c r="FD398" s="62"/>
      <c r="FE398" s="62"/>
      <c r="FF398" s="62"/>
      <c r="FG398" s="62"/>
      <c r="FH398" s="62"/>
      <c r="FI398" s="62"/>
      <c r="FJ398" s="62"/>
      <c r="FK398" s="62"/>
      <c r="FL398" s="62"/>
      <c r="FM398" s="62"/>
      <c r="FN398" s="62"/>
      <c r="FO398" s="62"/>
      <c r="FP398" s="62"/>
      <c r="FQ398" s="62"/>
      <c r="FR398" s="62"/>
      <c r="FS398" s="62"/>
      <c r="FT398" s="62"/>
      <c r="FU398" s="62"/>
      <c r="FV398" s="62"/>
    </row>
    <row r="399" spans="1:178" ht="13.8">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62"/>
      <c r="BD399" s="62"/>
      <c r="BE399" s="62"/>
      <c r="BF399" s="62"/>
      <c r="BG399" s="62"/>
      <c r="BH399" s="62"/>
      <c r="BI399" s="62"/>
      <c r="BJ399" s="62"/>
      <c r="BK399" s="62"/>
      <c r="BL399" s="62"/>
      <c r="BM399" s="62"/>
      <c r="BN399" s="62"/>
      <c r="BO399" s="62"/>
      <c r="BP399" s="62"/>
      <c r="BQ399" s="62"/>
      <c r="BR399" s="62"/>
      <c r="BS399" s="62"/>
      <c r="BT399" s="62"/>
      <c r="BU399" s="62"/>
      <c r="BV399" s="62"/>
      <c r="BW399" s="62"/>
      <c r="BX399" s="62"/>
      <c r="BY399" s="62"/>
      <c r="BZ399" s="62"/>
      <c r="CA399" s="62"/>
      <c r="CB399" s="62"/>
      <c r="CC399" s="62"/>
      <c r="CD399" s="62"/>
      <c r="CE399" s="62"/>
      <c r="CF399" s="62"/>
      <c r="CG399" s="62"/>
      <c r="CH399" s="62"/>
      <c r="CI399" s="62"/>
      <c r="CJ399" s="62"/>
      <c r="CK399" s="62"/>
      <c r="CL399" s="62"/>
      <c r="CM399" s="62"/>
      <c r="CN399" s="62"/>
      <c r="CO399" s="62"/>
      <c r="CP399" s="62"/>
      <c r="CQ399" s="62"/>
      <c r="CR399" s="62"/>
      <c r="CS399" s="62"/>
      <c r="CT399" s="62"/>
      <c r="CU399" s="62"/>
      <c r="CV399" s="62"/>
      <c r="CW399" s="62"/>
      <c r="CX399" s="62"/>
      <c r="CY399" s="62"/>
      <c r="CZ399" s="62"/>
      <c r="DA399" s="62"/>
      <c r="DB399" s="62"/>
      <c r="DC399" s="62"/>
      <c r="DD399" s="62"/>
      <c r="DE399" s="62"/>
      <c r="DF399" s="62"/>
      <c r="DG399" s="62"/>
      <c r="DH399" s="62"/>
      <c r="DI399" s="62"/>
      <c r="DJ399" s="62"/>
      <c r="DK399" s="62"/>
      <c r="DL399" s="62"/>
      <c r="DM399" s="62"/>
      <c r="DN399" s="62"/>
      <c r="DO399" s="62"/>
      <c r="DP399" s="62"/>
      <c r="DQ399" s="62"/>
      <c r="DR399" s="62"/>
      <c r="DS399" s="62"/>
      <c r="DT399" s="62"/>
      <c r="DU399" s="62"/>
      <c r="DV399" s="62"/>
      <c r="DW399" s="62"/>
      <c r="DX399" s="62"/>
      <c r="DY399" s="62"/>
      <c r="DZ399" s="62"/>
      <c r="EA399" s="62"/>
      <c r="EB399" s="62"/>
      <c r="EC399" s="62"/>
      <c r="ED399" s="62"/>
      <c r="EE399" s="62"/>
      <c r="EF399" s="62"/>
      <c r="EG399" s="62"/>
      <c r="EH399" s="62"/>
      <c r="EI399" s="62"/>
      <c r="EJ399" s="62"/>
      <c r="EK399" s="62"/>
      <c r="EL399" s="62"/>
      <c r="EM399" s="62"/>
      <c r="EN399" s="62"/>
      <c r="EO399" s="62"/>
      <c r="EP399" s="62"/>
      <c r="EQ399" s="62"/>
      <c r="ER399" s="62"/>
      <c r="ES399" s="62"/>
      <c r="ET399" s="62"/>
      <c r="EU399" s="62"/>
      <c r="EV399" s="62"/>
      <c r="EW399" s="62"/>
      <c r="EX399" s="62"/>
      <c r="EY399" s="62"/>
      <c r="EZ399" s="62"/>
      <c r="FA399" s="62"/>
      <c r="FB399" s="62"/>
      <c r="FC399" s="62"/>
      <c r="FD399" s="62"/>
      <c r="FE399" s="62"/>
      <c r="FF399" s="62"/>
      <c r="FG399" s="62"/>
      <c r="FH399" s="62"/>
      <c r="FI399" s="62"/>
      <c r="FJ399" s="62"/>
      <c r="FK399" s="62"/>
      <c r="FL399" s="62"/>
      <c r="FM399" s="62"/>
      <c r="FN399" s="62"/>
      <c r="FO399" s="62"/>
      <c r="FP399" s="62"/>
      <c r="FQ399" s="62"/>
      <c r="FR399" s="62"/>
      <c r="FS399" s="62"/>
      <c r="FT399" s="62"/>
      <c r="FU399" s="62"/>
      <c r="FV399" s="62"/>
    </row>
    <row r="400" spans="1:178" ht="13.8">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c r="BD400" s="62"/>
      <c r="BE400" s="62"/>
      <c r="BF400" s="62"/>
      <c r="BG400" s="62"/>
      <c r="BH400" s="62"/>
      <c r="BI400" s="62"/>
      <c r="BJ400" s="62"/>
      <c r="BK400" s="62"/>
      <c r="BL400" s="62"/>
      <c r="BM400" s="62"/>
      <c r="BN400" s="62"/>
      <c r="BO400" s="62"/>
      <c r="BP400" s="62"/>
      <c r="BQ400" s="62"/>
      <c r="BR400" s="62"/>
      <c r="BS400" s="62"/>
      <c r="BT400" s="62"/>
      <c r="BU400" s="62"/>
      <c r="BV400" s="62"/>
      <c r="BW400" s="62"/>
      <c r="BX400" s="62"/>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62"/>
      <c r="CX400" s="62"/>
      <c r="CY400" s="62"/>
      <c r="CZ400" s="62"/>
      <c r="DA400" s="62"/>
      <c r="DB400" s="62"/>
      <c r="DC400" s="62"/>
      <c r="DD400" s="62"/>
      <c r="DE400" s="62"/>
      <c r="DF400" s="62"/>
      <c r="DG400" s="62"/>
      <c r="DH400" s="62"/>
      <c r="DI400" s="62"/>
      <c r="DJ400" s="62"/>
      <c r="DK400" s="62"/>
      <c r="DL400" s="62"/>
      <c r="DM400" s="62"/>
      <c r="DN400" s="62"/>
      <c r="DO400" s="62"/>
      <c r="DP400" s="62"/>
      <c r="DQ400" s="62"/>
      <c r="DR400" s="62"/>
      <c r="DS400" s="62"/>
      <c r="DT400" s="62"/>
      <c r="DU400" s="62"/>
      <c r="DV400" s="62"/>
      <c r="DW400" s="62"/>
      <c r="DX400" s="62"/>
      <c r="DY400" s="62"/>
      <c r="DZ400" s="62"/>
      <c r="EA400" s="62"/>
      <c r="EB400" s="62"/>
      <c r="EC400" s="62"/>
      <c r="ED400" s="62"/>
      <c r="EE400" s="62"/>
      <c r="EF400" s="62"/>
      <c r="EG400" s="62"/>
      <c r="EH400" s="62"/>
      <c r="EI400" s="62"/>
      <c r="EJ400" s="62"/>
      <c r="EK400" s="62"/>
      <c r="EL400" s="62"/>
      <c r="EM400" s="62"/>
      <c r="EN400" s="62"/>
      <c r="EO400" s="62"/>
      <c r="EP400" s="62"/>
      <c r="EQ400" s="62"/>
      <c r="ER400" s="62"/>
      <c r="ES400" s="62"/>
      <c r="ET400" s="62"/>
      <c r="EU400" s="62"/>
      <c r="EV400" s="62"/>
      <c r="EW400" s="62"/>
      <c r="EX400" s="62"/>
      <c r="EY400" s="62"/>
      <c r="EZ400" s="62"/>
      <c r="FA400" s="62"/>
      <c r="FB400" s="62"/>
      <c r="FC400" s="62"/>
      <c r="FD400" s="62"/>
      <c r="FE400" s="62"/>
      <c r="FF400" s="62"/>
      <c r="FG400" s="62"/>
      <c r="FH400" s="62"/>
      <c r="FI400" s="62"/>
      <c r="FJ400" s="62"/>
      <c r="FK400" s="62"/>
      <c r="FL400" s="62"/>
      <c r="FM400" s="62"/>
      <c r="FN400" s="62"/>
      <c r="FO400" s="62"/>
      <c r="FP400" s="62"/>
      <c r="FQ400" s="62"/>
      <c r="FR400" s="62"/>
      <c r="FS400" s="62"/>
      <c r="FT400" s="62"/>
      <c r="FU400" s="62"/>
      <c r="FV400" s="62"/>
    </row>
    <row r="401" spans="1:178" ht="13.8">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c r="BA401" s="62"/>
      <c r="BB401" s="62"/>
      <c r="BC401" s="62"/>
      <c r="BD401" s="62"/>
      <c r="BE401" s="62"/>
      <c r="BF401" s="62"/>
      <c r="BG401" s="62"/>
      <c r="BH401" s="62"/>
      <c r="BI401" s="62"/>
      <c r="BJ401" s="62"/>
      <c r="BK401" s="62"/>
      <c r="BL401" s="62"/>
      <c r="BM401" s="62"/>
      <c r="BN401" s="62"/>
      <c r="BO401" s="62"/>
      <c r="BP401" s="62"/>
      <c r="BQ401" s="62"/>
      <c r="BR401" s="62"/>
      <c r="BS401" s="62"/>
      <c r="BT401" s="62"/>
      <c r="BU401" s="62"/>
      <c r="BV401" s="62"/>
      <c r="BW401" s="62"/>
      <c r="BX401" s="62"/>
      <c r="BY401" s="62"/>
      <c r="BZ401" s="62"/>
      <c r="CA401" s="62"/>
      <c r="CB401" s="62"/>
      <c r="CC401" s="62"/>
      <c r="CD401" s="62"/>
      <c r="CE401" s="62"/>
      <c r="CF401" s="62"/>
      <c r="CG401" s="62"/>
      <c r="CH401" s="62"/>
      <c r="CI401" s="62"/>
      <c r="CJ401" s="62"/>
      <c r="CK401" s="62"/>
      <c r="CL401" s="62"/>
      <c r="CM401" s="62"/>
      <c r="CN401" s="62"/>
      <c r="CO401" s="62"/>
      <c r="CP401" s="62"/>
      <c r="CQ401" s="62"/>
      <c r="CR401" s="62"/>
      <c r="CS401" s="62"/>
      <c r="CT401" s="62"/>
      <c r="CU401" s="62"/>
      <c r="CV401" s="62"/>
      <c r="CW401" s="62"/>
      <c r="CX401" s="62"/>
      <c r="CY401" s="62"/>
      <c r="CZ401" s="62"/>
      <c r="DA401" s="62"/>
      <c r="DB401" s="62"/>
      <c r="DC401" s="62"/>
      <c r="DD401" s="62"/>
      <c r="DE401" s="62"/>
      <c r="DF401" s="62"/>
      <c r="DG401" s="62"/>
      <c r="DH401" s="62"/>
      <c r="DI401" s="62"/>
      <c r="DJ401" s="62"/>
      <c r="DK401" s="62"/>
      <c r="DL401" s="62"/>
      <c r="DM401" s="62"/>
      <c r="DN401" s="62"/>
      <c r="DO401" s="62"/>
      <c r="DP401" s="62"/>
      <c r="DQ401" s="62"/>
      <c r="DR401" s="62"/>
      <c r="DS401" s="62"/>
      <c r="DT401" s="62"/>
      <c r="DU401" s="62"/>
      <c r="DV401" s="62"/>
      <c r="DW401" s="62"/>
      <c r="DX401" s="62"/>
      <c r="DY401" s="62"/>
      <c r="DZ401" s="62"/>
      <c r="EA401" s="62"/>
      <c r="EB401" s="62"/>
      <c r="EC401" s="62"/>
      <c r="ED401" s="62"/>
      <c r="EE401" s="62"/>
      <c r="EF401" s="62"/>
      <c r="EG401" s="62"/>
      <c r="EH401" s="62"/>
      <c r="EI401" s="62"/>
      <c r="EJ401" s="62"/>
      <c r="EK401" s="62"/>
      <c r="EL401" s="62"/>
      <c r="EM401" s="62"/>
      <c r="EN401" s="62"/>
      <c r="EO401" s="62"/>
      <c r="EP401" s="62"/>
      <c r="EQ401" s="62"/>
      <c r="ER401" s="62"/>
      <c r="ES401" s="62"/>
      <c r="ET401" s="62"/>
      <c r="EU401" s="62"/>
      <c r="EV401" s="62"/>
      <c r="EW401" s="62"/>
      <c r="EX401" s="62"/>
      <c r="EY401" s="62"/>
      <c r="EZ401" s="62"/>
      <c r="FA401" s="62"/>
      <c r="FB401" s="62"/>
      <c r="FC401" s="62"/>
      <c r="FD401" s="62"/>
      <c r="FE401" s="62"/>
      <c r="FF401" s="62"/>
      <c r="FG401" s="62"/>
      <c r="FH401" s="62"/>
      <c r="FI401" s="62"/>
      <c r="FJ401" s="62"/>
      <c r="FK401" s="62"/>
      <c r="FL401" s="62"/>
      <c r="FM401" s="62"/>
      <c r="FN401" s="62"/>
      <c r="FO401" s="62"/>
      <c r="FP401" s="62"/>
      <c r="FQ401" s="62"/>
      <c r="FR401" s="62"/>
      <c r="FS401" s="62"/>
      <c r="FT401" s="62"/>
      <c r="FU401" s="62"/>
      <c r="FV401" s="62"/>
    </row>
    <row r="402" spans="1:178" ht="13.8">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c r="AY402" s="62"/>
      <c r="AZ402" s="62"/>
      <c r="BA402" s="62"/>
      <c r="BB402" s="62"/>
      <c r="BC402" s="62"/>
      <c r="BD402" s="62"/>
      <c r="BE402" s="62"/>
      <c r="BF402" s="62"/>
      <c r="BG402" s="62"/>
      <c r="BH402" s="62"/>
      <c r="BI402" s="62"/>
      <c r="BJ402" s="62"/>
      <c r="BK402" s="62"/>
      <c r="BL402" s="62"/>
      <c r="BM402" s="62"/>
      <c r="BN402" s="62"/>
      <c r="BO402" s="62"/>
      <c r="BP402" s="62"/>
      <c r="BQ402" s="62"/>
      <c r="BR402" s="62"/>
      <c r="BS402" s="62"/>
      <c r="BT402" s="62"/>
      <c r="BU402" s="62"/>
      <c r="BV402" s="62"/>
      <c r="BW402" s="62"/>
      <c r="BX402" s="62"/>
      <c r="BY402" s="62"/>
      <c r="BZ402" s="62"/>
      <c r="CA402" s="62"/>
      <c r="CB402" s="62"/>
      <c r="CC402" s="62"/>
      <c r="CD402" s="62"/>
      <c r="CE402" s="62"/>
      <c r="CF402" s="62"/>
      <c r="CG402" s="62"/>
      <c r="CH402" s="62"/>
      <c r="CI402" s="62"/>
      <c r="CJ402" s="62"/>
      <c r="CK402" s="62"/>
      <c r="CL402" s="62"/>
      <c r="CM402" s="62"/>
      <c r="CN402" s="62"/>
      <c r="CO402" s="62"/>
      <c r="CP402" s="62"/>
      <c r="CQ402" s="62"/>
      <c r="CR402" s="62"/>
      <c r="CS402" s="62"/>
      <c r="CT402" s="62"/>
      <c r="CU402" s="62"/>
      <c r="CV402" s="62"/>
      <c r="CW402" s="62"/>
      <c r="CX402" s="62"/>
      <c r="CY402" s="62"/>
      <c r="CZ402" s="62"/>
      <c r="DA402" s="62"/>
      <c r="DB402" s="62"/>
      <c r="DC402" s="62"/>
      <c r="DD402" s="62"/>
      <c r="DE402" s="62"/>
      <c r="DF402" s="62"/>
      <c r="DG402" s="62"/>
      <c r="DH402" s="62"/>
      <c r="DI402" s="62"/>
      <c r="DJ402" s="62"/>
      <c r="DK402" s="62"/>
      <c r="DL402" s="62"/>
      <c r="DM402" s="62"/>
      <c r="DN402" s="62"/>
      <c r="DO402" s="62"/>
      <c r="DP402" s="62"/>
      <c r="DQ402" s="62"/>
      <c r="DR402" s="62"/>
      <c r="DS402" s="62"/>
      <c r="DT402" s="62"/>
      <c r="DU402" s="62"/>
      <c r="DV402" s="62"/>
      <c r="DW402" s="62"/>
      <c r="DX402" s="62"/>
      <c r="DY402" s="62"/>
      <c r="DZ402" s="62"/>
      <c r="EA402" s="62"/>
      <c r="EB402" s="62"/>
      <c r="EC402" s="62"/>
      <c r="ED402" s="62"/>
      <c r="EE402" s="62"/>
      <c r="EF402" s="62"/>
      <c r="EG402" s="62"/>
      <c r="EH402" s="62"/>
      <c r="EI402" s="62"/>
      <c r="EJ402" s="62"/>
      <c r="EK402" s="62"/>
      <c r="EL402" s="62"/>
      <c r="EM402" s="62"/>
      <c r="EN402" s="62"/>
      <c r="EO402" s="62"/>
      <c r="EP402" s="62"/>
      <c r="EQ402" s="62"/>
      <c r="ER402" s="62"/>
      <c r="ES402" s="62"/>
      <c r="ET402" s="62"/>
      <c r="EU402" s="62"/>
      <c r="EV402" s="62"/>
      <c r="EW402" s="62"/>
      <c r="EX402" s="62"/>
      <c r="EY402" s="62"/>
      <c r="EZ402" s="62"/>
      <c r="FA402" s="62"/>
      <c r="FB402" s="62"/>
      <c r="FC402" s="62"/>
      <c r="FD402" s="62"/>
      <c r="FE402" s="62"/>
      <c r="FF402" s="62"/>
      <c r="FG402" s="62"/>
      <c r="FH402" s="62"/>
      <c r="FI402" s="62"/>
      <c r="FJ402" s="62"/>
      <c r="FK402" s="62"/>
      <c r="FL402" s="62"/>
      <c r="FM402" s="62"/>
      <c r="FN402" s="62"/>
      <c r="FO402" s="62"/>
      <c r="FP402" s="62"/>
      <c r="FQ402" s="62"/>
      <c r="FR402" s="62"/>
      <c r="FS402" s="62"/>
      <c r="FT402" s="62"/>
      <c r="FU402" s="62"/>
      <c r="FV402" s="62"/>
    </row>
    <row r="403" spans="1:178" ht="13.8">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c r="AY403" s="62"/>
      <c r="AZ403" s="62"/>
      <c r="BA403" s="62"/>
      <c r="BB403" s="62"/>
      <c r="BC403" s="62"/>
      <c r="BD403" s="62"/>
      <c r="BE403" s="62"/>
      <c r="BF403" s="62"/>
      <c r="BG403" s="62"/>
      <c r="BH403" s="62"/>
      <c r="BI403" s="62"/>
      <c r="BJ403" s="62"/>
      <c r="BK403" s="62"/>
      <c r="BL403" s="62"/>
      <c r="BM403" s="62"/>
      <c r="BN403" s="62"/>
      <c r="BO403" s="62"/>
      <c r="BP403" s="62"/>
      <c r="BQ403" s="62"/>
      <c r="BR403" s="62"/>
      <c r="BS403" s="62"/>
      <c r="BT403" s="62"/>
      <c r="BU403" s="62"/>
      <c r="BV403" s="62"/>
      <c r="BW403" s="62"/>
      <c r="BX403" s="62"/>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62"/>
      <c r="CX403" s="62"/>
      <c r="CY403" s="62"/>
      <c r="CZ403" s="62"/>
      <c r="DA403" s="62"/>
      <c r="DB403" s="62"/>
      <c r="DC403" s="62"/>
      <c r="DD403" s="62"/>
      <c r="DE403" s="62"/>
      <c r="DF403" s="62"/>
      <c r="DG403" s="62"/>
      <c r="DH403" s="62"/>
      <c r="DI403" s="62"/>
      <c r="DJ403" s="62"/>
      <c r="DK403" s="62"/>
      <c r="DL403" s="62"/>
      <c r="DM403" s="62"/>
      <c r="DN403" s="62"/>
      <c r="DO403" s="62"/>
      <c r="DP403" s="62"/>
      <c r="DQ403" s="62"/>
      <c r="DR403" s="62"/>
      <c r="DS403" s="62"/>
      <c r="DT403" s="62"/>
      <c r="DU403" s="62"/>
      <c r="DV403" s="62"/>
      <c r="DW403" s="62"/>
      <c r="DX403" s="62"/>
      <c r="DY403" s="62"/>
      <c r="DZ403" s="62"/>
      <c r="EA403" s="62"/>
      <c r="EB403" s="62"/>
      <c r="EC403" s="62"/>
      <c r="ED403" s="62"/>
      <c r="EE403" s="62"/>
      <c r="EF403" s="62"/>
      <c r="EG403" s="62"/>
      <c r="EH403" s="62"/>
      <c r="EI403" s="62"/>
      <c r="EJ403" s="62"/>
      <c r="EK403" s="62"/>
      <c r="EL403" s="62"/>
      <c r="EM403" s="62"/>
      <c r="EN403" s="62"/>
      <c r="EO403" s="62"/>
      <c r="EP403" s="62"/>
      <c r="EQ403" s="62"/>
      <c r="ER403" s="62"/>
      <c r="ES403" s="62"/>
      <c r="ET403" s="62"/>
      <c r="EU403" s="62"/>
      <c r="EV403" s="62"/>
      <c r="EW403" s="62"/>
      <c r="EX403" s="62"/>
      <c r="EY403" s="62"/>
      <c r="EZ403" s="62"/>
      <c r="FA403" s="62"/>
      <c r="FB403" s="62"/>
      <c r="FC403" s="62"/>
      <c r="FD403" s="62"/>
      <c r="FE403" s="62"/>
      <c r="FF403" s="62"/>
      <c r="FG403" s="62"/>
      <c r="FH403" s="62"/>
      <c r="FI403" s="62"/>
      <c r="FJ403" s="62"/>
      <c r="FK403" s="62"/>
      <c r="FL403" s="62"/>
      <c r="FM403" s="62"/>
      <c r="FN403" s="62"/>
      <c r="FO403" s="62"/>
      <c r="FP403" s="62"/>
      <c r="FQ403" s="62"/>
      <c r="FR403" s="62"/>
      <c r="FS403" s="62"/>
      <c r="FT403" s="62"/>
      <c r="FU403" s="62"/>
      <c r="FV403" s="62"/>
    </row>
    <row r="404" spans="1:178" ht="13.8">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62"/>
      <c r="AZ404" s="62"/>
      <c r="BA404" s="62"/>
      <c r="BB404" s="62"/>
      <c r="BC404" s="62"/>
      <c r="BD404" s="62"/>
      <c r="BE404" s="62"/>
      <c r="BF404" s="62"/>
      <c r="BG404" s="62"/>
      <c r="BH404" s="62"/>
      <c r="BI404" s="62"/>
      <c r="BJ404" s="62"/>
      <c r="BK404" s="62"/>
      <c r="BL404" s="62"/>
      <c r="BM404" s="62"/>
      <c r="BN404" s="62"/>
      <c r="BO404" s="62"/>
      <c r="BP404" s="62"/>
      <c r="BQ404" s="62"/>
      <c r="BR404" s="62"/>
      <c r="BS404" s="62"/>
      <c r="BT404" s="62"/>
      <c r="BU404" s="62"/>
      <c r="BV404" s="62"/>
      <c r="BW404" s="62"/>
      <c r="BX404" s="62"/>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62"/>
      <c r="CX404" s="62"/>
      <c r="CY404" s="62"/>
      <c r="CZ404" s="62"/>
      <c r="DA404" s="62"/>
      <c r="DB404" s="62"/>
      <c r="DC404" s="62"/>
      <c r="DD404" s="62"/>
      <c r="DE404" s="62"/>
      <c r="DF404" s="62"/>
      <c r="DG404" s="62"/>
      <c r="DH404" s="62"/>
      <c r="DI404" s="62"/>
      <c r="DJ404" s="62"/>
      <c r="DK404" s="62"/>
      <c r="DL404" s="62"/>
      <c r="DM404" s="62"/>
      <c r="DN404" s="62"/>
      <c r="DO404" s="62"/>
      <c r="DP404" s="62"/>
      <c r="DQ404" s="62"/>
      <c r="DR404" s="62"/>
      <c r="DS404" s="62"/>
      <c r="DT404" s="62"/>
      <c r="DU404" s="62"/>
      <c r="DV404" s="62"/>
      <c r="DW404" s="62"/>
      <c r="DX404" s="62"/>
      <c r="DY404" s="62"/>
      <c r="DZ404" s="62"/>
      <c r="EA404" s="62"/>
      <c r="EB404" s="62"/>
      <c r="EC404" s="62"/>
      <c r="ED404" s="62"/>
      <c r="EE404" s="62"/>
      <c r="EF404" s="62"/>
      <c r="EG404" s="62"/>
      <c r="EH404" s="62"/>
      <c r="EI404" s="62"/>
      <c r="EJ404" s="62"/>
      <c r="EK404" s="62"/>
      <c r="EL404" s="62"/>
      <c r="EM404" s="62"/>
      <c r="EN404" s="62"/>
      <c r="EO404" s="62"/>
      <c r="EP404" s="62"/>
      <c r="EQ404" s="62"/>
      <c r="ER404" s="62"/>
      <c r="ES404" s="62"/>
      <c r="ET404" s="62"/>
      <c r="EU404" s="62"/>
      <c r="EV404" s="62"/>
      <c r="EW404" s="62"/>
      <c r="EX404" s="62"/>
      <c r="EY404" s="62"/>
      <c r="EZ404" s="62"/>
      <c r="FA404" s="62"/>
      <c r="FB404" s="62"/>
      <c r="FC404" s="62"/>
      <c r="FD404" s="62"/>
      <c r="FE404" s="62"/>
      <c r="FF404" s="62"/>
      <c r="FG404" s="62"/>
      <c r="FH404" s="62"/>
      <c r="FI404" s="62"/>
      <c r="FJ404" s="62"/>
      <c r="FK404" s="62"/>
      <c r="FL404" s="62"/>
      <c r="FM404" s="62"/>
      <c r="FN404" s="62"/>
      <c r="FO404" s="62"/>
      <c r="FP404" s="62"/>
      <c r="FQ404" s="62"/>
      <c r="FR404" s="62"/>
      <c r="FS404" s="62"/>
      <c r="FT404" s="62"/>
      <c r="FU404" s="62"/>
      <c r="FV404" s="62"/>
    </row>
    <row r="405" spans="1:178" ht="13.8">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c r="AY405" s="62"/>
      <c r="AZ405" s="62"/>
      <c r="BA405" s="62"/>
      <c r="BB405" s="62"/>
      <c r="BC405" s="62"/>
      <c r="BD405" s="62"/>
      <c r="BE405" s="62"/>
      <c r="BF405" s="62"/>
      <c r="BG405" s="62"/>
      <c r="BH405" s="62"/>
      <c r="BI405" s="62"/>
      <c r="BJ405" s="62"/>
      <c r="BK405" s="62"/>
      <c r="BL405" s="62"/>
      <c r="BM405" s="62"/>
      <c r="BN405" s="62"/>
      <c r="BO405" s="62"/>
      <c r="BP405" s="62"/>
      <c r="BQ405" s="62"/>
      <c r="BR405" s="62"/>
      <c r="BS405" s="62"/>
      <c r="BT405" s="62"/>
      <c r="BU405" s="62"/>
      <c r="BV405" s="62"/>
      <c r="BW405" s="62"/>
      <c r="BX405" s="62"/>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62"/>
      <c r="CX405" s="62"/>
      <c r="CY405" s="62"/>
      <c r="CZ405" s="62"/>
      <c r="DA405" s="62"/>
      <c r="DB405" s="62"/>
      <c r="DC405" s="62"/>
      <c r="DD405" s="62"/>
      <c r="DE405" s="62"/>
      <c r="DF405" s="62"/>
      <c r="DG405" s="62"/>
      <c r="DH405" s="62"/>
      <c r="DI405" s="62"/>
      <c r="DJ405" s="62"/>
      <c r="DK405" s="62"/>
      <c r="DL405" s="62"/>
      <c r="DM405" s="62"/>
      <c r="DN405" s="62"/>
      <c r="DO405" s="62"/>
      <c r="DP405" s="62"/>
      <c r="DQ405" s="62"/>
      <c r="DR405" s="62"/>
      <c r="DS405" s="62"/>
      <c r="DT405" s="62"/>
      <c r="DU405" s="62"/>
      <c r="DV405" s="62"/>
      <c r="DW405" s="62"/>
      <c r="DX405" s="62"/>
      <c r="DY405" s="62"/>
      <c r="DZ405" s="62"/>
      <c r="EA405" s="62"/>
      <c r="EB405" s="62"/>
      <c r="EC405" s="62"/>
      <c r="ED405" s="62"/>
      <c r="EE405" s="62"/>
      <c r="EF405" s="62"/>
      <c r="EG405" s="62"/>
      <c r="EH405" s="62"/>
      <c r="EI405" s="62"/>
      <c r="EJ405" s="62"/>
      <c r="EK405" s="62"/>
      <c r="EL405" s="62"/>
      <c r="EM405" s="62"/>
      <c r="EN405" s="62"/>
      <c r="EO405" s="62"/>
      <c r="EP405" s="62"/>
      <c r="EQ405" s="62"/>
      <c r="ER405" s="62"/>
      <c r="ES405" s="62"/>
      <c r="ET405" s="62"/>
      <c r="EU405" s="62"/>
      <c r="EV405" s="62"/>
      <c r="EW405" s="62"/>
      <c r="EX405" s="62"/>
      <c r="EY405" s="62"/>
      <c r="EZ405" s="62"/>
      <c r="FA405" s="62"/>
      <c r="FB405" s="62"/>
      <c r="FC405" s="62"/>
      <c r="FD405" s="62"/>
      <c r="FE405" s="62"/>
      <c r="FF405" s="62"/>
      <c r="FG405" s="62"/>
      <c r="FH405" s="62"/>
      <c r="FI405" s="62"/>
      <c r="FJ405" s="62"/>
      <c r="FK405" s="62"/>
      <c r="FL405" s="62"/>
      <c r="FM405" s="62"/>
      <c r="FN405" s="62"/>
      <c r="FO405" s="62"/>
      <c r="FP405" s="62"/>
      <c r="FQ405" s="62"/>
      <c r="FR405" s="62"/>
      <c r="FS405" s="62"/>
      <c r="FT405" s="62"/>
      <c r="FU405" s="62"/>
      <c r="FV405" s="62"/>
    </row>
    <row r="406" spans="1:178" ht="13.8">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c r="AY406" s="62"/>
      <c r="AZ406" s="62"/>
      <c r="BA406" s="62"/>
      <c r="BB406" s="62"/>
      <c r="BC406" s="62"/>
      <c r="BD406" s="62"/>
      <c r="BE406" s="62"/>
      <c r="BF406" s="62"/>
      <c r="BG406" s="62"/>
      <c r="BH406" s="62"/>
      <c r="BI406" s="62"/>
      <c r="BJ406" s="62"/>
      <c r="BK406" s="62"/>
      <c r="BL406" s="62"/>
      <c r="BM406" s="62"/>
      <c r="BN406" s="62"/>
      <c r="BO406" s="62"/>
      <c r="BP406" s="62"/>
      <c r="BQ406" s="62"/>
      <c r="BR406" s="62"/>
      <c r="BS406" s="62"/>
      <c r="BT406" s="62"/>
      <c r="BU406" s="62"/>
      <c r="BV406" s="62"/>
      <c r="BW406" s="62"/>
      <c r="BX406" s="62"/>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62"/>
      <c r="CX406" s="62"/>
      <c r="CY406" s="62"/>
      <c r="CZ406" s="62"/>
      <c r="DA406" s="62"/>
      <c r="DB406" s="62"/>
      <c r="DC406" s="62"/>
      <c r="DD406" s="62"/>
      <c r="DE406" s="62"/>
      <c r="DF406" s="62"/>
      <c r="DG406" s="62"/>
      <c r="DH406" s="62"/>
      <c r="DI406" s="62"/>
      <c r="DJ406" s="62"/>
      <c r="DK406" s="62"/>
      <c r="DL406" s="62"/>
      <c r="DM406" s="62"/>
      <c r="DN406" s="62"/>
      <c r="DO406" s="62"/>
      <c r="DP406" s="62"/>
      <c r="DQ406" s="62"/>
      <c r="DR406" s="62"/>
      <c r="DS406" s="62"/>
      <c r="DT406" s="62"/>
      <c r="DU406" s="62"/>
      <c r="DV406" s="62"/>
      <c r="DW406" s="62"/>
      <c r="DX406" s="62"/>
      <c r="DY406" s="62"/>
      <c r="DZ406" s="62"/>
      <c r="EA406" s="62"/>
      <c r="EB406" s="62"/>
      <c r="EC406" s="62"/>
      <c r="ED406" s="62"/>
      <c r="EE406" s="62"/>
      <c r="EF406" s="62"/>
      <c r="EG406" s="62"/>
      <c r="EH406" s="62"/>
      <c r="EI406" s="62"/>
      <c r="EJ406" s="62"/>
      <c r="EK406" s="62"/>
      <c r="EL406" s="62"/>
      <c r="EM406" s="62"/>
      <c r="EN406" s="62"/>
      <c r="EO406" s="62"/>
      <c r="EP406" s="62"/>
      <c r="EQ406" s="62"/>
      <c r="ER406" s="62"/>
      <c r="ES406" s="62"/>
      <c r="ET406" s="62"/>
      <c r="EU406" s="62"/>
      <c r="EV406" s="62"/>
      <c r="EW406" s="62"/>
      <c r="EX406" s="62"/>
      <c r="EY406" s="62"/>
      <c r="EZ406" s="62"/>
      <c r="FA406" s="62"/>
      <c r="FB406" s="62"/>
      <c r="FC406" s="62"/>
      <c r="FD406" s="62"/>
      <c r="FE406" s="62"/>
      <c r="FF406" s="62"/>
      <c r="FG406" s="62"/>
      <c r="FH406" s="62"/>
      <c r="FI406" s="62"/>
      <c r="FJ406" s="62"/>
      <c r="FK406" s="62"/>
      <c r="FL406" s="62"/>
      <c r="FM406" s="62"/>
      <c r="FN406" s="62"/>
      <c r="FO406" s="62"/>
      <c r="FP406" s="62"/>
      <c r="FQ406" s="62"/>
      <c r="FR406" s="62"/>
      <c r="FS406" s="62"/>
      <c r="FT406" s="62"/>
      <c r="FU406" s="62"/>
      <c r="FV406" s="62"/>
    </row>
    <row r="407" spans="1:178" ht="13.8">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c r="AY407" s="62"/>
      <c r="AZ407" s="62"/>
      <c r="BA407" s="62"/>
      <c r="BB407" s="62"/>
      <c r="BC407" s="62"/>
      <c r="BD407" s="62"/>
      <c r="BE407" s="62"/>
      <c r="BF407" s="62"/>
      <c r="BG407" s="62"/>
      <c r="BH407" s="62"/>
      <c r="BI407" s="62"/>
      <c r="BJ407" s="62"/>
      <c r="BK407" s="62"/>
      <c r="BL407" s="62"/>
      <c r="BM407" s="62"/>
      <c r="BN407" s="62"/>
      <c r="BO407" s="62"/>
      <c r="BP407" s="62"/>
      <c r="BQ407" s="62"/>
      <c r="BR407" s="62"/>
      <c r="BS407" s="62"/>
      <c r="BT407" s="62"/>
      <c r="BU407" s="62"/>
      <c r="BV407" s="62"/>
      <c r="BW407" s="62"/>
      <c r="BX407" s="62"/>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62"/>
      <c r="CX407" s="62"/>
      <c r="CY407" s="62"/>
      <c r="CZ407" s="62"/>
      <c r="DA407" s="62"/>
      <c r="DB407" s="62"/>
      <c r="DC407" s="62"/>
      <c r="DD407" s="62"/>
      <c r="DE407" s="62"/>
      <c r="DF407" s="62"/>
      <c r="DG407" s="62"/>
      <c r="DH407" s="62"/>
      <c r="DI407" s="62"/>
      <c r="DJ407" s="62"/>
      <c r="DK407" s="62"/>
      <c r="DL407" s="62"/>
      <c r="DM407" s="62"/>
      <c r="DN407" s="62"/>
      <c r="DO407" s="62"/>
      <c r="DP407" s="62"/>
      <c r="DQ407" s="62"/>
      <c r="DR407" s="62"/>
      <c r="DS407" s="62"/>
      <c r="DT407" s="62"/>
      <c r="DU407" s="62"/>
      <c r="DV407" s="62"/>
      <c r="DW407" s="62"/>
      <c r="DX407" s="62"/>
      <c r="DY407" s="62"/>
      <c r="DZ407" s="62"/>
      <c r="EA407" s="62"/>
      <c r="EB407" s="62"/>
      <c r="EC407" s="62"/>
      <c r="ED407" s="62"/>
      <c r="EE407" s="62"/>
      <c r="EF407" s="62"/>
      <c r="EG407" s="62"/>
      <c r="EH407" s="62"/>
      <c r="EI407" s="62"/>
      <c r="EJ407" s="62"/>
      <c r="EK407" s="62"/>
      <c r="EL407" s="62"/>
      <c r="EM407" s="62"/>
      <c r="EN407" s="62"/>
      <c r="EO407" s="62"/>
      <c r="EP407" s="62"/>
      <c r="EQ407" s="62"/>
      <c r="ER407" s="62"/>
      <c r="ES407" s="62"/>
      <c r="ET407" s="62"/>
      <c r="EU407" s="62"/>
      <c r="EV407" s="62"/>
      <c r="EW407" s="62"/>
      <c r="EX407" s="62"/>
      <c r="EY407" s="62"/>
      <c r="EZ407" s="62"/>
      <c r="FA407" s="62"/>
      <c r="FB407" s="62"/>
      <c r="FC407" s="62"/>
      <c r="FD407" s="62"/>
      <c r="FE407" s="62"/>
      <c r="FF407" s="62"/>
      <c r="FG407" s="62"/>
      <c r="FH407" s="62"/>
      <c r="FI407" s="62"/>
      <c r="FJ407" s="62"/>
      <c r="FK407" s="62"/>
      <c r="FL407" s="62"/>
      <c r="FM407" s="62"/>
      <c r="FN407" s="62"/>
      <c r="FO407" s="62"/>
      <c r="FP407" s="62"/>
      <c r="FQ407" s="62"/>
      <c r="FR407" s="62"/>
      <c r="FS407" s="62"/>
      <c r="FT407" s="62"/>
      <c r="FU407" s="62"/>
      <c r="FV407" s="62"/>
    </row>
    <row r="408" spans="1:178" ht="13.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c r="AY408" s="62"/>
      <c r="AZ408" s="62"/>
      <c r="BA408" s="62"/>
      <c r="BB408" s="62"/>
      <c r="BC408" s="62"/>
      <c r="BD408" s="62"/>
      <c r="BE408" s="62"/>
      <c r="BF408" s="62"/>
      <c r="BG408" s="62"/>
      <c r="BH408" s="62"/>
      <c r="BI408" s="62"/>
      <c r="BJ408" s="62"/>
      <c r="BK408" s="62"/>
      <c r="BL408" s="62"/>
      <c r="BM408" s="62"/>
      <c r="BN408" s="62"/>
      <c r="BO408" s="62"/>
      <c r="BP408" s="62"/>
      <c r="BQ408" s="62"/>
      <c r="BR408" s="62"/>
      <c r="BS408" s="62"/>
      <c r="BT408" s="62"/>
      <c r="BU408" s="62"/>
      <c r="BV408" s="62"/>
      <c r="BW408" s="62"/>
      <c r="BX408" s="62"/>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62"/>
      <c r="CX408" s="62"/>
      <c r="CY408" s="62"/>
      <c r="CZ408" s="62"/>
      <c r="DA408" s="62"/>
      <c r="DB408" s="62"/>
      <c r="DC408" s="62"/>
      <c r="DD408" s="62"/>
      <c r="DE408" s="62"/>
      <c r="DF408" s="62"/>
      <c r="DG408" s="62"/>
      <c r="DH408" s="62"/>
      <c r="DI408" s="62"/>
      <c r="DJ408" s="62"/>
      <c r="DK408" s="62"/>
      <c r="DL408" s="62"/>
      <c r="DM408" s="62"/>
      <c r="DN408" s="62"/>
      <c r="DO408" s="62"/>
      <c r="DP408" s="62"/>
      <c r="DQ408" s="62"/>
      <c r="DR408" s="62"/>
      <c r="DS408" s="62"/>
      <c r="DT408" s="62"/>
      <c r="DU408" s="62"/>
      <c r="DV408" s="62"/>
      <c r="DW408" s="62"/>
      <c r="DX408" s="62"/>
      <c r="DY408" s="62"/>
      <c r="DZ408" s="62"/>
      <c r="EA408" s="62"/>
      <c r="EB408" s="62"/>
      <c r="EC408" s="62"/>
      <c r="ED408" s="62"/>
      <c r="EE408" s="62"/>
      <c r="EF408" s="62"/>
      <c r="EG408" s="62"/>
      <c r="EH408" s="62"/>
      <c r="EI408" s="62"/>
      <c r="EJ408" s="62"/>
      <c r="EK408" s="62"/>
      <c r="EL408" s="62"/>
      <c r="EM408" s="62"/>
      <c r="EN408" s="62"/>
      <c r="EO408" s="62"/>
      <c r="EP408" s="62"/>
      <c r="EQ408" s="62"/>
      <c r="ER408" s="62"/>
      <c r="ES408" s="62"/>
      <c r="ET408" s="62"/>
      <c r="EU408" s="62"/>
      <c r="EV408" s="62"/>
      <c r="EW408" s="62"/>
      <c r="EX408" s="62"/>
      <c r="EY408" s="62"/>
      <c r="EZ408" s="62"/>
      <c r="FA408" s="62"/>
      <c r="FB408" s="62"/>
      <c r="FC408" s="62"/>
      <c r="FD408" s="62"/>
      <c r="FE408" s="62"/>
      <c r="FF408" s="62"/>
      <c r="FG408" s="62"/>
      <c r="FH408" s="62"/>
      <c r="FI408" s="62"/>
      <c r="FJ408" s="62"/>
      <c r="FK408" s="62"/>
      <c r="FL408" s="62"/>
      <c r="FM408" s="62"/>
      <c r="FN408" s="62"/>
      <c r="FO408" s="62"/>
      <c r="FP408" s="62"/>
      <c r="FQ408" s="62"/>
      <c r="FR408" s="62"/>
      <c r="FS408" s="62"/>
      <c r="FT408" s="62"/>
      <c r="FU408" s="62"/>
      <c r="FV408" s="62"/>
    </row>
    <row r="409" spans="1:178" ht="13.8">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2"/>
      <c r="DV409" s="62"/>
      <c r="DW409" s="62"/>
      <c r="DX409" s="62"/>
      <c r="DY409" s="62"/>
      <c r="DZ409" s="62"/>
      <c r="EA409" s="62"/>
      <c r="EB409" s="62"/>
      <c r="EC409" s="62"/>
      <c r="ED409" s="62"/>
      <c r="EE409" s="62"/>
      <c r="EF409" s="62"/>
      <c r="EG409" s="62"/>
      <c r="EH409" s="62"/>
      <c r="EI409" s="62"/>
      <c r="EJ409" s="62"/>
      <c r="EK409" s="62"/>
      <c r="EL409" s="62"/>
      <c r="EM409" s="62"/>
      <c r="EN409" s="62"/>
      <c r="EO409" s="62"/>
      <c r="EP409" s="62"/>
      <c r="EQ409" s="62"/>
      <c r="ER409" s="62"/>
      <c r="ES409" s="62"/>
      <c r="ET409" s="62"/>
      <c r="EU409" s="62"/>
      <c r="EV409" s="62"/>
      <c r="EW409" s="62"/>
      <c r="EX409" s="62"/>
      <c r="EY409" s="62"/>
      <c r="EZ409" s="62"/>
      <c r="FA409" s="62"/>
      <c r="FB409" s="62"/>
      <c r="FC409" s="62"/>
      <c r="FD409" s="62"/>
      <c r="FE409" s="62"/>
      <c r="FF409" s="62"/>
      <c r="FG409" s="62"/>
      <c r="FH409" s="62"/>
      <c r="FI409" s="62"/>
      <c r="FJ409" s="62"/>
      <c r="FK409" s="62"/>
      <c r="FL409" s="62"/>
      <c r="FM409" s="62"/>
      <c r="FN409" s="62"/>
      <c r="FO409" s="62"/>
      <c r="FP409" s="62"/>
      <c r="FQ409" s="62"/>
      <c r="FR409" s="62"/>
      <c r="FS409" s="62"/>
      <c r="FT409" s="62"/>
      <c r="FU409" s="62"/>
      <c r="FV409" s="62"/>
    </row>
    <row r="410" spans="1:178" ht="13.8">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2"/>
      <c r="EX410" s="62"/>
      <c r="EY410" s="62"/>
      <c r="EZ410" s="62"/>
      <c r="FA410" s="62"/>
      <c r="FB410" s="62"/>
      <c r="FC410" s="62"/>
      <c r="FD410" s="62"/>
      <c r="FE410" s="62"/>
      <c r="FF410" s="62"/>
      <c r="FG410" s="62"/>
      <c r="FH410" s="62"/>
      <c r="FI410" s="62"/>
      <c r="FJ410" s="62"/>
      <c r="FK410" s="62"/>
      <c r="FL410" s="62"/>
      <c r="FM410" s="62"/>
      <c r="FN410" s="62"/>
      <c r="FO410" s="62"/>
      <c r="FP410" s="62"/>
      <c r="FQ410" s="62"/>
      <c r="FR410" s="62"/>
      <c r="FS410" s="62"/>
      <c r="FT410" s="62"/>
      <c r="FU410" s="62"/>
      <c r="FV410" s="62"/>
    </row>
    <row r="411" spans="1:178" ht="13.8">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c r="AY411" s="62"/>
      <c r="AZ411" s="62"/>
      <c r="BA411" s="62"/>
      <c r="BB411" s="62"/>
      <c r="BC411" s="62"/>
      <c r="BD411" s="62"/>
      <c r="BE411" s="62"/>
      <c r="BF411" s="62"/>
      <c r="BG411" s="62"/>
      <c r="BH411" s="62"/>
      <c r="BI411" s="62"/>
      <c r="BJ411" s="62"/>
      <c r="BK411" s="62"/>
      <c r="BL411" s="62"/>
      <c r="BM411" s="62"/>
      <c r="BN411" s="62"/>
      <c r="BO411" s="62"/>
      <c r="BP411" s="62"/>
      <c r="BQ411" s="62"/>
      <c r="BR411" s="62"/>
      <c r="BS411" s="62"/>
      <c r="BT411" s="62"/>
      <c r="BU411" s="62"/>
      <c r="BV411" s="62"/>
      <c r="BW411" s="62"/>
      <c r="BX411" s="62"/>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62"/>
      <c r="CX411" s="62"/>
      <c r="CY411" s="62"/>
      <c r="CZ411" s="62"/>
      <c r="DA411" s="62"/>
      <c r="DB411" s="62"/>
      <c r="DC411" s="62"/>
      <c r="DD411" s="62"/>
      <c r="DE411" s="62"/>
      <c r="DF411" s="62"/>
      <c r="DG411" s="62"/>
      <c r="DH411" s="62"/>
      <c r="DI411" s="62"/>
      <c r="DJ411" s="62"/>
      <c r="DK411" s="62"/>
      <c r="DL411" s="62"/>
      <c r="DM411" s="62"/>
      <c r="DN411" s="62"/>
      <c r="DO411" s="62"/>
      <c r="DP411" s="62"/>
      <c r="DQ411" s="62"/>
      <c r="DR411" s="62"/>
      <c r="DS411" s="62"/>
      <c r="DT411" s="62"/>
      <c r="DU411" s="62"/>
      <c r="DV411" s="62"/>
      <c r="DW411" s="62"/>
      <c r="DX411" s="62"/>
      <c r="DY411" s="62"/>
      <c r="DZ411" s="62"/>
      <c r="EA411" s="62"/>
      <c r="EB411" s="62"/>
      <c r="EC411" s="62"/>
      <c r="ED411" s="62"/>
      <c r="EE411" s="62"/>
      <c r="EF411" s="62"/>
      <c r="EG411" s="62"/>
      <c r="EH411" s="62"/>
      <c r="EI411" s="62"/>
      <c r="EJ411" s="62"/>
      <c r="EK411" s="62"/>
      <c r="EL411" s="62"/>
      <c r="EM411" s="62"/>
      <c r="EN411" s="62"/>
      <c r="EO411" s="62"/>
      <c r="EP411" s="62"/>
      <c r="EQ411" s="62"/>
      <c r="ER411" s="62"/>
      <c r="ES411" s="62"/>
      <c r="ET411" s="62"/>
      <c r="EU411" s="62"/>
      <c r="EV411" s="62"/>
      <c r="EW411" s="62"/>
      <c r="EX411" s="62"/>
      <c r="EY411" s="62"/>
      <c r="EZ411" s="62"/>
      <c r="FA411" s="62"/>
      <c r="FB411" s="62"/>
      <c r="FC411" s="62"/>
      <c r="FD411" s="62"/>
      <c r="FE411" s="62"/>
      <c r="FF411" s="62"/>
      <c r="FG411" s="62"/>
      <c r="FH411" s="62"/>
      <c r="FI411" s="62"/>
      <c r="FJ411" s="62"/>
      <c r="FK411" s="62"/>
      <c r="FL411" s="62"/>
      <c r="FM411" s="62"/>
      <c r="FN411" s="62"/>
      <c r="FO411" s="62"/>
      <c r="FP411" s="62"/>
      <c r="FQ411" s="62"/>
      <c r="FR411" s="62"/>
      <c r="FS411" s="62"/>
      <c r="FT411" s="62"/>
      <c r="FU411" s="62"/>
      <c r="FV411" s="62"/>
    </row>
    <row r="412" spans="1:178" ht="13.8">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c r="AY412" s="62"/>
      <c r="AZ412" s="62"/>
      <c r="BA412" s="62"/>
      <c r="BB412" s="62"/>
      <c r="BC412" s="62"/>
      <c r="BD412" s="62"/>
      <c r="BE412" s="62"/>
      <c r="BF412" s="62"/>
      <c r="BG412" s="62"/>
      <c r="BH412" s="62"/>
      <c r="BI412" s="62"/>
      <c r="BJ412" s="62"/>
      <c r="BK412" s="62"/>
      <c r="BL412" s="62"/>
      <c r="BM412" s="62"/>
      <c r="BN412" s="62"/>
      <c r="BO412" s="62"/>
      <c r="BP412" s="62"/>
      <c r="BQ412" s="62"/>
      <c r="BR412" s="62"/>
      <c r="BS412" s="62"/>
      <c r="BT412" s="62"/>
      <c r="BU412" s="62"/>
      <c r="BV412" s="62"/>
      <c r="BW412" s="62"/>
      <c r="BX412" s="62"/>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62"/>
      <c r="CX412" s="62"/>
      <c r="CY412" s="62"/>
      <c r="CZ412" s="62"/>
      <c r="DA412" s="62"/>
      <c r="DB412" s="62"/>
      <c r="DC412" s="62"/>
      <c r="DD412" s="62"/>
      <c r="DE412" s="62"/>
      <c r="DF412" s="62"/>
      <c r="DG412" s="62"/>
      <c r="DH412" s="62"/>
      <c r="DI412" s="62"/>
      <c r="DJ412" s="62"/>
      <c r="DK412" s="62"/>
      <c r="DL412" s="62"/>
      <c r="DM412" s="62"/>
      <c r="DN412" s="62"/>
      <c r="DO412" s="62"/>
      <c r="DP412" s="62"/>
      <c r="DQ412" s="62"/>
      <c r="DR412" s="62"/>
      <c r="DS412" s="62"/>
      <c r="DT412" s="62"/>
      <c r="DU412" s="62"/>
      <c r="DV412" s="62"/>
      <c r="DW412" s="62"/>
      <c r="DX412" s="62"/>
      <c r="DY412" s="62"/>
      <c r="DZ412" s="62"/>
      <c r="EA412" s="62"/>
      <c r="EB412" s="62"/>
      <c r="EC412" s="62"/>
      <c r="ED412" s="62"/>
      <c r="EE412" s="62"/>
      <c r="EF412" s="62"/>
      <c r="EG412" s="62"/>
      <c r="EH412" s="62"/>
      <c r="EI412" s="62"/>
      <c r="EJ412" s="62"/>
      <c r="EK412" s="62"/>
      <c r="EL412" s="62"/>
      <c r="EM412" s="62"/>
      <c r="EN412" s="62"/>
      <c r="EO412" s="62"/>
      <c r="EP412" s="62"/>
      <c r="EQ412" s="62"/>
      <c r="ER412" s="62"/>
      <c r="ES412" s="62"/>
      <c r="ET412" s="62"/>
      <c r="EU412" s="62"/>
      <c r="EV412" s="62"/>
      <c r="EW412" s="62"/>
      <c r="EX412" s="62"/>
      <c r="EY412" s="62"/>
      <c r="EZ412" s="62"/>
      <c r="FA412" s="62"/>
      <c r="FB412" s="62"/>
      <c r="FC412" s="62"/>
      <c r="FD412" s="62"/>
      <c r="FE412" s="62"/>
      <c r="FF412" s="62"/>
      <c r="FG412" s="62"/>
      <c r="FH412" s="62"/>
      <c r="FI412" s="62"/>
      <c r="FJ412" s="62"/>
      <c r="FK412" s="62"/>
      <c r="FL412" s="62"/>
      <c r="FM412" s="62"/>
      <c r="FN412" s="62"/>
      <c r="FO412" s="62"/>
      <c r="FP412" s="62"/>
      <c r="FQ412" s="62"/>
      <c r="FR412" s="62"/>
      <c r="FS412" s="62"/>
      <c r="FT412" s="62"/>
      <c r="FU412" s="62"/>
      <c r="FV412" s="62"/>
    </row>
    <row r="413" spans="1:178" ht="13.8">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c r="AY413" s="62"/>
      <c r="AZ413" s="62"/>
      <c r="BA413" s="62"/>
      <c r="BB413" s="62"/>
      <c r="BC413" s="62"/>
      <c r="BD413" s="62"/>
      <c r="BE413" s="62"/>
      <c r="BF413" s="62"/>
      <c r="BG413" s="62"/>
      <c r="BH413" s="62"/>
      <c r="BI413" s="62"/>
      <c r="BJ413" s="62"/>
      <c r="BK413" s="62"/>
      <c r="BL413" s="62"/>
      <c r="BM413" s="62"/>
      <c r="BN413" s="62"/>
      <c r="BO413" s="62"/>
      <c r="BP413" s="62"/>
      <c r="BQ413" s="62"/>
      <c r="BR413" s="62"/>
      <c r="BS413" s="62"/>
      <c r="BT413" s="62"/>
      <c r="BU413" s="62"/>
      <c r="BV413" s="62"/>
      <c r="BW413" s="62"/>
      <c r="BX413" s="62"/>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62"/>
      <c r="CX413" s="62"/>
      <c r="CY413" s="62"/>
      <c r="CZ413" s="62"/>
      <c r="DA413" s="62"/>
      <c r="DB413" s="62"/>
      <c r="DC413" s="62"/>
      <c r="DD413" s="62"/>
      <c r="DE413" s="62"/>
      <c r="DF413" s="62"/>
      <c r="DG413" s="62"/>
      <c r="DH413" s="62"/>
      <c r="DI413" s="62"/>
      <c r="DJ413" s="62"/>
      <c r="DK413" s="62"/>
      <c r="DL413" s="62"/>
      <c r="DM413" s="62"/>
      <c r="DN413" s="62"/>
      <c r="DO413" s="62"/>
      <c r="DP413" s="62"/>
      <c r="DQ413" s="62"/>
      <c r="DR413" s="62"/>
      <c r="DS413" s="62"/>
      <c r="DT413" s="62"/>
      <c r="DU413" s="62"/>
      <c r="DV413" s="62"/>
      <c r="DW413" s="62"/>
      <c r="DX413" s="62"/>
      <c r="DY413" s="62"/>
      <c r="DZ413" s="62"/>
      <c r="EA413" s="62"/>
      <c r="EB413" s="62"/>
      <c r="EC413" s="62"/>
      <c r="ED413" s="62"/>
      <c r="EE413" s="62"/>
      <c r="EF413" s="62"/>
      <c r="EG413" s="62"/>
      <c r="EH413" s="62"/>
      <c r="EI413" s="62"/>
      <c r="EJ413" s="62"/>
      <c r="EK413" s="62"/>
      <c r="EL413" s="62"/>
      <c r="EM413" s="62"/>
      <c r="EN413" s="62"/>
      <c r="EO413" s="62"/>
      <c r="EP413" s="62"/>
      <c r="EQ413" s="62"/>
      <c r="ER413" s="62"/>
      <c r="ES413" s="62"/>
      <c r="ET413" s="62"/>
      <c r="EU413" s="62"/>
      <c r="EV413" s="62"/>
      <c r="EW413" s="62"/>
      <c r="EX413" s="62"/>
      <c r="EY413" s="62"/>
      <c r="EZ413" s="62"/>
      <c r="FA413" s="62"/>
      <c r="FB413" s="62"/>
      <c r="FC413" s="62"/>
      <c r="FD413" s="62"/>
      <c r="FE413" s="62"/>
      <c r="FF413" s="62"/>
      <c r="FG413" s="62"/>
      <c r="FH413" s="62"/>
      <c r="FI413" s="62"/>
      <c r="FJ413" s="62"/>
      <c r="FK413" s="62"/>
      <c r="FL413" s="62"/>
      <c r="FM413" s="62"/>
      <c r="FN413" s="62"/>
      <c r="FO413" s="62"/>
      <c r="FP413" s="62"/>
      <c r="FQ413" s="62"/>
      <c r="FR413" s="62"/>
      <c r="FS413" s="62"/>
      <c r="FT413" s="62"/>
      <c r="FU413" s="62"/>
      <c r="FV413" s="62"/>
    </row>
    <row r="414" spans="1:178" ht="13.8">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c r="AY414" s="62"/>
      <c r="AZ414" s="62"/>
      <c r="BA414" s="62"/>
      <c r="BB414" s="62"/>
      <c r="BC414" s="62"/>
      <c r="BD414" s="62"/>
      <c r="BE414" s="62"/>
      <c r="BF414" s="62"/>
      <c r="BG414" s="62"/>
      <c r="BH414" s="62"/>
      <c r="BI414" s="62"/>
      <c r="BJ414" s="62"/>
      <c r="BK414" s="62"/>
      <c r="BL414" s="62"/>
      <c r="BM414" s="62"/>
      <c r="BN414" s="62"/>
      <c r="BO414" s="62"/>
      <c r="BP414" s="62"/>
      <c r="BQ414" s="62"/>
      <c r="BR414" s="62"/>
      <c r="BS414" s="62"/>
      <c r="BT414" s="62"/>
      <c r="BU414" s="62"/>
      <c r="BV414" s="62"/>
      <c r="BW414" s="62"/>
      <c r="BX414" s="62"/>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62"/>
      <c r="CX414" s="62"/>
      <c r="CY414" s="62"/>
      <c r="CZ414" s="62"/>
      <c r="DA414" s="62"/>
      <c r="DB414" s="62"/>
      <c r="DC414" s="62"/>
      <c r="DD414" s="62"/>
      <c r="DE414" s="62"/>
      <c r="DF414" s="62"/>
      <c r="DG414" s="62"/>
      <c r="DH414" s="62"/>
      <c r="DI414" s="62"/>
      <c r="DJ414" s="62"/>
      <c r="DK414" s="62"/>
      <c r="DL414" s="62"/>
      <c r="DM414" s="62"/>
      <c r="DN414" s="62"/>
      <c r="DO414" s="62"/>
      <c r="DP414" s="62"/>
      <c r="DQ414" s="62"/>
      <c r="DR414" s="62"/>
      <c r="DS414" s="62"/>
      <c r="DT414" s="62"/>
      <c r="DU414" s="62"/>
      <c r="DV414" s="62"/>
      <c r="DW414" s="62"/>
      <c r="DX414" s="62"/>
      <c r="DY414" s="62"/>
      <c r="DZ414" s="62"/>
      <c r="EA414" s="62"/>
      <c r="EB414" s="62"/>
      <c r="EC414" s="62"/>
      <c r="ED414" s="62"/>
      <c r="EE414" s="62"/>
      <c r="EF414" s="62"/>
      <c r="EG414" s="62"/>
      <c r="EH414" s="62"/>
      <c r="EI414" s="62"/>
      <c r="EJ414" s="62"/>
      <c r="EK414" s="62"/>
      <c r="EL414" s="62"/>
      <c r="EM414" s="62"/>
      <c r="EN414" s="62"/>
      <c r="EO414" s="62"/>
      <c r="EP414" s="62"/>
      <c r="EQ414" s="62"/>
      <c r="ER414" s="62"/>
      <c r="ES414" s="62"/>
      <c r="ET414" s="62"/>
      <c r="EU414" s="62"/>
      <c r="EV414" s="62"/>
      <c r="EW414" s="62"/>
      <c r="EX414" s="62"/>
      <c r="EY414" s="62"/>
      <c r="EZ414" s="62"/>
      <c r="FA414" s="62"/>
      <c r="FB414" s="62"/>
      <c r="FC414" s="62"/>
      <c r="FD414" s="62"/>
      <c r="FE414" s="62"/>
      <c r="FF414" s="62"/>
      <c r="FG414" s="62"/>
      <c r="FH414" s="62"/>
      <c r="FI414" s="62"/>
      <c r="FJ414" s="62"/>
      <c r="FK414" s="62"/>
      <c r="FL414" s="62"/>
      <c r="FM414" s="62"/>
      <c r="FN414" s="62"/>
      <c r="FO414" s="62"/>
      <c r="FP414" s="62"/>
      <c r="FQ414" s="62"/>
      <c r="FR414" s="62"/>
      <c r="FS414" s="62"/>
      <c r="FT414" s="62"/>
      <c r="FU414" s="62"/>
      <c r="FV414" s="62"/>
    </row>
    <row r="415" spans="1:178" ht="13.8">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c r="BQ415" s="62"/>
      <c r="BR415" s="62"/>
      <c r="BS415" s="62"/>
      <c r="BT415" s="62"/>
      <c r="BU415" s="62"/>
      <c r="BV415" s="62"/>
      <c r="BW415" s="62"/>
      <c r="BX415" s="62"/>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62"/>
      <c r="CX415" s="62"/>
      <c r="CY415" s="62"/>
      <c r="CZ415" s="62"/>
      <c r="DA415" s="62"/>
      <c r="DB415" s="62"/>
      <c r="DC415" s="62"/>
      <c r="DD415" s="62"/>
      <c r="DE415" s="62"/>
      <c r="DF415" s="62"/>
      <c r="DG415" s="62"/>
      <c r="DH415" s="62"/>
      <c r="DI415" s="62"/>
      <c r="DJ415" s="62"/>
      <c r="DK415" s="62"/>
      <c r="DL415" s="62"/>
      <c r="DM415" s="62"/>
      <c r="DN415" s="62"/>
      <c r="DO415" s="62"/>
      <c r="DP415" s="62"/>
      <c r="DQ415" s="62"/>
      <c r="DR415" s="62"/>
      <c r="DS415" s="62"/>
      <c r="DT415" s="62"/>
      <c r="DU415" s="62"/>
      <c r="DV415" s="62"/>
      <c r="DW415" s="62"/>
      <c r="DX415" s="62"/>
      <c r="DY415" s="62"/>
      <c r="DZ415" s="62"/>
      <c r="EA415" s="62"/>
      <c r="EB415" s="62"/>
      <c r="EC415" s="62"/>
      <c r="ED415" s="62"/>
      <c r="EE415" s="62"/>
      <c r="EF415" s="62"/>
      <c r="EG415" s="62"/>
      <c r="EH415" s="62"/>
      <c r="EI415" s="62"/>
      <c r="EJ415" s="62"/>
      <c r="EK415" s="62"/>
      <c r="EL415" s="62"/>
      <c r="EM415" s="62"/>
      <c r="EN415" s="62"/>
      <c r="EO415" s="62"/>
      <c r="EP415" s="62"/>
      <c r="EQ415" s="62"/>
      <c r="ER415" s="62"/>
      <c r="ES415" s="62"/>
      <c r="ET415" s="62"/>
      <c r="EU415" s="62"/>
      <c r="EV415" s="62"/>
      <c r="EW415" s="62"/>
      <c r="EX415" s="62"/>
      <c r="EY415" s="62"/>
      <c r="EZ415" s="62"/>
      <c r="FA415" s="62"/>
      <c r="FB415" s="62"/>
      <c r="FC415" s="62"/>
      <c r="FD415" s="62"/>
      <c r="FE415" s="62"/>
      <c r="FF415" s="62"/>
      <c r="FG415" s="62"/>
      <c r="FH415" s="62"/>
      <c r="FI415" s="62"/>
      <c r="FJ415" s="62"/>
      <c r="FK415" s="62"/>
      <c r="FL415" s="62"/>
      <c r="FM415" s="62"/>
      <c r="FN415" s="62"/>
      <c r="FO415" s="62"/>
      <c r="FP415" s="62"/>
      <c r="FQ415" s="62"/>
      <c r="FR415" s="62"/>
      <c r="FS415" s="62"/>
      <c r="FT415" s="62"/>
      <c r="FU415" s="62"/>
      <c r="FV415" s="62"/>
    </row>
    <row r="416" spans="1:178" ht="13.8">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c r="BQ416" s="62"/>
      <c r="BR416" s="62"/>
      <c r="BS416" s="62"/>
      <c r="BT416" s="62"/>
      <c r="BU416" s="62"/>
      <c r="BV416" s="62"/>
      <c r="BW416" s="62"/>
      <c r="BX416" s="62"/>
      <c r="BY416" s="62"/>
      <c r="BZ416" s="62"/>
      <c r="CA416" s="62"/>
      <c r="CB416" s="62"/>
      <c r="CC416" s="62"/>
      <c r="CD416" s="62"/>
      <c r="CE416" s="62"/>
      <c r="CF416" s="62"/>
      <c r="CG416" s="62"/>
      <c r="CH416" s="62"/>
      <c r="CI416" s="62"/>
      <c r="CJ416" s="62"/>
      <c r="CK416" s="62"/>
      <c r="CL416" s="62"/>
      <c r="CM416" s="62"/>
      <c r="CN416" s="62"/>
      <c r="CO416" s="62"/>
      <c r="CP416" s="62"/>
      <c r="CQ416" s="62"/>
      <c r="CR416" s="62"/>
      <c r="CS416" s="62"/>
      <c r="CT416" s="62"/>
      <c r="CU416" s="62"/>
      <c r="CV416" s="62"/>
      <c r="CW416" s="62"/>
      <c r="CX416" s="62"/>
      <c r="CY416" s="62"/>
      <c r="CZ416" s="62"/>
      <c r="DA416" s="62"/>
      <c r="DB416" s="62"/>
      <c r="DC416" s="62"/>
      <c r="DD416" s="62"/>
      <c r="DE416" s="62"/>
      <c r="DF416" s="62"/>
      <c r="DG416" s="62"/>
      <c r="DH416" s="62"/>
      <c r="DI416" s="62"/>
      <c r="DJ416" s="62"/>
      <c r="DK416" s="62"/>
      <c r="DL416" s="62"/>
      <c r="DM416" s="62"/>
      <c r="DN416" s="62"/>
      <c r="DO416" s="62"/>
      <c r="DP416" s="62"/>
      <c r="DQ416" s="62"/>
      <c r="DR416" s="62"/>
      <c r="DS416" s="62"/>
      <c r="DT416" s="62"/>
      <c r="DU416" s="62"/>
      <c r="DV416" s="62"/>
      <c r="DW416" s="62"/>
      <c r="DX416" s="62"/>
      <c r="DY416" s="62"/>
      <c r="DZ416" s="62"/>
      <c r="EA416" s="62"/>
      <c r="EB416" s="62"/>
      <c r="EC416" s="62"/>
      <c r="ED416" s="62"/>
      <c r="EE416" s="62"/>
      <c r="EF416" s="62"/>
      <c r="EG416" s="62"/>
      <c r="EH416" s="62"/>
      <c r="EI416" s="62"/>
      <c r="EJ416" s="62"/>
      <c r="EK416" s="62"/>
      <c r="EL416" s="62"/>
      <c r="EM416" s="62"/>
      <c r="EN416" s="62"/>
      <c r="EO416" s="62"/>
      <c r="EP416" s="62"/>
      <c r="EQ416" s="62"/>
      <c r="ER416" s="62"/>
      <c r="ES416" s="62"/>
      <c r="ET416" s="62"/>
      <c r="EU416" s="62"/>
      <c r="EV416" s="62"/>
      <c r="EW416" s="62"/>
      <c r="EX416" s="62"/>
      <c r="EY416" s="62"/>
      <c r="EZ416" s="62"/>
      <c r="FA416" s="62"/>
      <c r="FB416" s="62"/>
      <c r="FC416" s="62"/>
      <c r="FD416" s="62"/>
      <c r="FE416" s="62"/>
      <c r="FF416" s="62"/>
      <c r="FG416" s="62"/>
      <c r="FH416" s="62"/>
      <c r="FI416" s="62"/>
      <c r="FJ416" s="62"/>
      <c r="FK416" s="62"/>
      <c r="FL416" s="62"/>
      <c r="FM416" s="62"/>
      <c r="FN416" s="62"/>
      <c r="FO416" s="62"/>
      <c r="FP416" s="62"/>
      <c r="FQ416" s="62"/>
      <c r="FR416" s="62"/>
      <c r="FS416" s="62"/>
      <c r="FT416" s="62"/>
      <c r="FU416" s="62"/>
      <c r="FV416" s="62"/>
    </row>
    <row r="417" spans="1:178" ht="13.8">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62"/>
      <c r="CX417" s="62"/>
      <c r="CY417" s="62"/>
      <c r="CZ417" s="62"/>
      <c r="DA417" s="62"/>
      <c r="DB417" s="62"/>
      <c r="DC417" s="62"/>
      <c r="DD417" s="62"/>
      <c r="DE417" s="62"/>
      <c r="DF417" s="62"/>
      <c r="DG417" s="62"/>
      <c r="DH417" s="62"/>
      <c r="DI417" s="62"/>
      <c r="DJ417" s="62"/>
      <c r="DK417" s="62"/>
      <c r="DL417" s="62"/>
      <c r="DM417" s="62"/>
      <c r="DN417" s="62"/>
      <c r="DO417" s="62"/>
      <c r="DP417" s="62"/>
      <c r="DQ417" s="62"/>
      <c r="DR417" s="62"/>
      <c r="DS417" s="62"/>
      <c r="DT417" s="62"/>
      <c r="DU417" s="62"/>
      <c r="DV417" s="62"/>
      <c r="DW417" s="62"/>
      <c r="DX417" s="62"/>
      <c r="DY417" s="62"/>
      <c r="DZ417" s="62"/>
      <c r="EA417" s="62"/>
      <c r="EB417" s="62"/>
      <c r="EC417" s="62"/>
      <c r="ED417" s="62"/>
      <c r="EE417" s="62"/>
      <c r="EF417" s="62"/>
      <c r="EG417" s="62"/>
      <c r="EH417" s="62"/>
      <c r="EI417" s="62"/>
      <c r="EJ417" s="62"/>
      <c r="EK417" s="62"/>
      <c r="EL417" s="62"/>
      <c r="EM417" s="62"/>
      <c r="EN417" s="62"/>
      <c r="EO417" s="62"/>
      <c r="EP417" s="62"/>
      <c r="EQ417" s="62"/>
      <c r="ER417" s="62"/>
      <c r="ES417" s="62"/>
      <c r="ET417" s="62"/>
      <c r="EU417" s="62"/>
      <c r="EV417" s="62"/>
      <c r="EW417" s="62"/>
      <c r="EX417" s="62"/>
      <c r="EY417" s="62"/>
      <c r="EZ417" s="62"/>
      <c r="FA417" s="62"/>
      <c r="FB417" s="62"/>
      <c r="FC417" s="62"/>
      <c r="FD417" s="62"/>
      <c r="FE417" s="62"/>
      <c r="FF417" s="62"/>
      <c r="FG417" s="62"/>
      <c r="FH417" s="62"/>
      <c r="FI417" s="62"/>
      <c r="FJ417" s="62"/>
      <c r="FK417" s="62"/>
      <c r="FL417" s="62"/>
      <c r="FM417" s="62"/>
      <c r="FN417" s="62"/>
      <c r="FO417" s="62"/>
      <c r="FP417" s="62"/>
      <c r="FQ417" s="62"/>
      <c r="FR417" s="62"/>
      <c r="FS417" s="62"/>
      <c r="FT417" s="62"/>
      <c r="FU417" s="62"/>
      <c r="FV417" s="62"/>
    </row>
    <row r="418" spans="1:178" ht="13.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62"/>
      <c r="CX418" s="62"/>
      <c r="CY418" s="62"/>
      <c r="CZ418" s="62"/>
      <c r="DA418" s="62"/>
      <c r="DB418" s="62"/>
      <c r="DC418" s="62"/>
      <c r="DD418" s="62"/>
      <c r="DE418" s="62"/>
      <c r="DF418" s="62"/>
      <c r="DG418" s="62"/>
      <c r="DH418" s="62"/>
      <c r="DI418" s="62"/>
      <c r="DJ418" s="62"/>
      <c r="DK418" s="62"/>
      <c r="DL418" s="62"/>
      <c r="DM418" s="62"/>
      <c r="DN418" s="62"/>
      <c r="DO418" s="62"/>
      <c r="DP418" s="62"/>
      <c r="DQ418" s="62"/>
      <c r="DR418" s="62"/>
      <c r="DS418" s="62"/>
      <c r="DT418" s="62"/>
      <c r="DU418" s="62"/>
      <c r="DV418" s="62"/>
      <c r="DW418" s="62"/>
      <c r="DX418" s="62"/>
      <c r="DY418" s="62"/>
      <c r="DZ418" s="62"/>
      <c r="EA418" s="62"/>
      <c r="EB418" s="62"/>
      <c r="EC418" s="62"/>
      <c r="ED418" s="62"/>
      <c r="EE418" s="62"/>
      <c r="EF418" s="62"/>
      <c r="EG418" s="62"/>
      <c r="EH418" s="62"/>
      <c r="EI418" s="62"/>
      <c r="EJ418" s="62"/>
      <c r="EK418" s="62"/>
      <c r="EL418" s="62"/>
      <c r="EM418" s="62"/>
      <c r="EN418" s="62"/>
      <c r="EO418" s="62"/>
      <c r="EP418" s="62"/>
      <c r="EQ418" s="62"/>
      <c r="ER418" s="62"/>
      <c r="ES418" s="62"/>
      <c r="ET418" s="62"/>
      <c r="EU418" s="62"/>
      <c r="EV418" s="62"/>
      <c r="EW418" s="62"/>
      <c r="EX418" s="62"/>
      <c r="EY418" s="62"/>
      <c r="EZ418" s="62"/>
      <c r="FA418" s="62"/>
      <c r="FB418" s="62"/>
      <c r="FC418" s="62"/>
      <c r="FD418" s="62"/>
      <c r="FE418" s="62"/>
      <c r="FF418" s="62"/>
      <c r="FG418" s="62"/>
      <c r="FH418" s="62"/>
      <c r="FI418" s="62"/>
      <c r="FJ418" s="62"/>
      <c r="FK418" s="62"/>
      <c r="FL418" s="62"/>
      <c r="FM418" s="62"/>
      <c r="FN418" s="62"/>
      <c r="FO418" s="62"/>
      <c r="FP418" s="62"/>
      <c r="FQ418" s="62"/>
      <c r="FR418" s="62"/>
      <c r="FS418" s="62"/>
      <c r="FT418" s="62"/>
      <c r="FU418" s="62"/>
      <c r="FV418" s="62"/>
    </row>
    <row r="419" spans="1:178" ht="13.8">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c r="CC419" s="62"/>
      <c r="CD419" s="62"/>
      <c r="CE419" s="62"/>
      <c r="CF419" s="62"/>
      <c r="CG419" s="62"/>
      <c r="CH419" s="62"/>
      <c r="CI419" s="62"/>
      <c r="CJ419" s="62"/>
      <c r="CK419" s="62"/>
      <c r="CL419" s="62"/>
      <c r="CM419" s="62"/>
      <c r="CN419" s="62"/>
      <c r="CO419" s="62"/>
      <c r="CP419" s="62"/>
      <c r="CQ419" s="62"/>
      <c r="CR419" s="62"/>
      <c r="CS419" s="62"/>
      <c r="CT419" s="62"/>
      <c r="CU419" s="62"/>
      <c r="CV419" s="62"/>
      <c r="CW419" s="62"/>
      <c r="CX419" s="62"/>
      <c r="CY419" s="62"/>
      <c r="CZ419" s="62"/>
      <c r="DA419" s="62"/>
      <c r="DB419" s="62"/>
      <c r="DC419" s="62"/>
      <c r="DD419" s="62"/>
      <c r="DE419" s="62"/>
      <c r="DF419" s="62"/>
      <c r="DG419" s="62"/>
      <c r="DH419" s="62"/>
      <c r="DI419" s="62"/>
      <c r="DJ419" s="62"/>
      <c r="DK419" s="62"/>
      <c r="DL419" s="62"/>
      <c r="DM419" s="62"/>
      <c r="DN419" s="62"/>
      <c r="DO419" s="62"/>
      <c r="DP419" s="62"/>
      <c r="DQ419" s="62"/>
      <c r="DR419" s="62"/>
      <c r="DS419" s="62"/>
      <c r="DT419" s="62"/>
      <c r="DU419" s="62"/>
      <c r="DV419" s="62"/>
      <c r="DW419" s="62"/>
      <c r="DX419" s="62"/>
      <c r="DY419" s="62"/>
      <c r="DZ419" s="62"/>
      <c r="EA419" s="62"/>
      <c r="EB419" s="62"/>
      <c r="EC419" s="62"/>
      <c r="ED419" s="62"/>
      <c r="EE419" s="62"/>
      <c r="EF419" s="62"/>
      <c r="EG419" s="62"/>
      <c r="EH419" s="62"/>
      <c r="EI419" s="62"/>
      <c r="EJ419" s="62"/>
      <c r="EK419" s="62"/>
      <c r="EL419" s="62"/>
      <c r="EM419" s="62"/>
      <c r="EN419" s="62"/>
      <c r="EO419" s="62"/>
      <c r="EP419" s="62"/>
      <c r="EQ419" s="62"/>
      <c r="ER419" s="62"/>
      <c r="ES419" s="62"/>
      <c r="ET419" s="62"/>
      <c r="EU419" s="62"/>
      <c r="EV419" s="62"/>
      <c r="EW419" s="62"/>
      <c r="EX419" s="62"/>
      <c r="EY419" s="62"/>
      <c r="EZ419" s="62"/>
      <c r="FA419" s="62"/>
      <c r="FB419" s="62"/>
      <c r="FC419" s="62"/>
      <c r="FD419" s="62"/>
      <c r="FE419" s="62"/>
      <c r="FF419" s="62"/>
      <c r="FG419" s="62"/>
      <c r="FH419" s="62"/>
      <c r="FI419" s="62"/>
      <c r="FJ419" s="62"/>
      <c r="FK419" s="62"/>
      <c r="FL419" s="62"/>
      <c r="FM419" s="62"/>
      <c r="FN419" s="62"/>
      <c r="FO419" s="62"/>
      <c r="FP419" s="62"/>
      <c r="FQ419" s="62"/>
      <c r="FR419" s="62"/>
      <c r="FS419" s="62"/>
      <c r="FT419" s="62"/>
      <c r="FU419" s="62"/>
      <c r="FV419" s="62"/>
    </row>
    <row r="420" spans="1:178" ht="13.8">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62"/>
      <c r="CX420" s="62"/>
      <c r="CY420" s="62"/>
      <c r="CZ420" s="62"/>
      <c r="DA420" s="62"/>
      <c r="DB420" s="62"/>
      <c r="DC420" s="62"/>
      <c r="DD420" s="62"/>
      <c r="DE420" s="62"/>
      <c r="DF420" s="62"/>
      <c r="DG420" s="62"/>
      <c r="DH420" s="62"/>
      <c r="DI420" s="62"/>
      <c r="DJ420" s="62"/>
      <c r="DK420" s="62"/>
      <c r="DL420" s="62"/>
      <c r="DM420" s="62"/>
      <c r="DN420" s="62"/>
      <c r="DO420" s="62"/>
      <c r="DP420" s="62"/>
      <c r="DQ420" s="62"/>
      <c r="DR420" s="62"/>
      <c r="DS420" s="62"/>
      <c r="DT420" s="62"/>
      <c r="DU420" s="62"/>
      <c r="DV420" s="62"/>
      <c r="DW420" s="62"/>
      <c r="DX420" s="62"/>
      <c r="DY420" s="62"/>
      <c r="DZ420" s="62"/>
      <c r="EA420" s="62"/>
      <c r="EB420" s="62"/>
      <c r="EC420" s="62"/>
      <c r="ED420" s="62"/>
      <c r="EE420" s="62"/>
      <c r="EF420" s="62"/>
      <c r="EG420" s="62"/>
      <c r="EH420" s="62"/>
      <c r="EI420" s="62"/>
      <c r="EJ420" s="62"/>
      <c r="EK420" s="62"/>
      <c r="EL420" s="62"/>
      <c r="EM420" s="62"/>
      <c r="EN420" s="62"/>
      <c r="EO420" s="62"/>
      <c r="EP420" s="62"/>
      <c r="EQ420" s="62"/>
      <c r="ER420" s="62"/>
      <c r="ES420" s="62"/>
      <c r="ET420" s="62"/>
      <c r="EU420" s="62"/>
      <c r="EV420" s="62"/>
      <c r="EW420" s="62"/>
      <c r="EX420" s="62"/>
      <c r="EY420" s="62"/>
      <c r="EZ420" s="62"/>
      <c r="FA420" s="62"/>
      <c r="FB420" s="62"/>
      <c r="FC420" s="62"/>
      <c r="FD420" s="62"/>
      <c r="FE420" s="62"/>
      <c r="FF420" s="62"/>
      <c r="FG420" s="62"/>
      <c r="FH420" s="62"/>
      <c r="FI420" s="62"/>
      <c r="FJ420" s="62"/>
      <c r="FK420" s="62"/>
      <c r="FL420" s="62"/>
      <c r="FM420" s="62"/>
      <c r="FN420" s="62"/>
      <c r="FO420" s="62"/>
      <c r="FP420" s="62"/>
      <c r="FQ420" s="62"/>
      <c r="FR420" s="62"/>
      <c r="FS420" s="62"/>
      <c r="FT420" s="62"/>
      <c r="FU420" s="62"/>
      <c r="FV420" s="62"/>
    </row>
    <row r="421" spans="1:178" ht="13.8">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c r="AY421" s="62"/>
      <c r="AZ421" s="62"/>
      <c r="BA421" s="62"/>
      <c r="BB421" s="62"/>
      <c r="BC421" s="62"/>
      <c r="BD421" s="62"/>
      <c r="BE421" s="62"/>
      <c r="BF421" s="62"/>
      <c r="BG421" s="62"/>
      <c r="BH421" s="62"/>
      <c r="BI421" s="62"/>
      <c r="BJ421" s="62"/>
      <c r="BK421" s="62"/>
      <c r="BL421" s="62"/>
      <c r="BM421" s="62"/>
      <c r="BN421" s="62"/>
      <c r="BO421" s="62"/>
      <c r="BP421" s="62"/>
      <c r="BQ421" s="62"/>
      <c r="BR421" s="62"/>
      <c r="BS421" s="62"/>
      <c r="BT421" s="62"/>
      <c r="BU421" s="62"/>
      <c r="BV421" s="62"/>
      <c r="BW421" s="62"/>
      <c r="BX421" s="62"/>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62"/>
      <c r="CX421" s="62"/>
      <c r="CY421" s="62"/>
      <c r="CZ421" s="62"/>
      <c r="DA421" s="62"/>
      <c r="DB421" s="62"/>
      <c r="DC421" s="62"/>
      <c r="DD421" s="62"/>
      <c r="DE421" s="62"/>
      <c r="DF421" s="62"/>
      <c r="DG421" s="62"/>
      <c r="DH421" s="62"/>
      <c r="DI421" s="62"/>
      <c r="DJ421" s="62"/>
      <c r="DK421" s="62"/>
      <c r="DL421" s="62"/>
      <c r="DM421" s="62"/>
      <c r="DN421" s="62"/>
      <c r="DO421" s="62"/>
      <c r="DP421" s="62"/>
      <c r="DQ421" s="62"/>
      <c r="DR421" s="62"/>
      <c r="DS421" s="62"/>
      <c r="DT421" s="62"/>
      <c r="DU421" s="62"/>
      <c r="DV421" s="62"/>
      <c r="DW421" s="62"/>
      <c r="DX421" s="62"/>
      <c r="DY421" s="62"/>
      <c r="DZ421" s="62"/>
      <c r="EA421" s="62"/>
      <c r="EB421" s="62"/>
      <c r="EC421" s="62"/>
      <c r="ED421" s="62"/>
      <c r="EE421" s="62"/>
      <c r="EF421" s="62"/>
      <c r="EG421" s="62"/>
      <c r="EH421" s="62"/>
      <c r="EI421" s="62"/>
      <c r="EJ421" s="62"/>
      <c r="EK421" s="62"/>
      <c r="EL421" s="62"/>
      <c r="EM421" s="62"/>
      <c r="EN421" s="62"/>
      <c r="EO421" s="62"/>
      <c r="EP421" s="62"/>
      <c r="EQ421" s="62"/>
      <c r="ER421" s="62"/>
      <c r="ES421" s="62"/>
      <c r="ET421" s="62"/>
      <c r="EU421" s="62"/>
      <c r="EV421" s="62"/>
      <c r="EW421" s="62"/>
      <c r="EX421" s="62"/>
      <c r="EY421" s="62"/>
      <c r="EZ421" s="62"/>
      <c r="FA421" s="62"/>
      <c r="FB421" s="62"/>
      <c r="FC421" s="62"/>
      <c r="FD421" s="62"/>
      <c r="FE421" s="62"/>
      <c r="FF421" s="62"/>
      <c r="FG421" s="62"/>
      <c r="FH421" s="62"/>
      <c r="FI421" s="62"/>
      <c r="FJ421" s="62"/>
      <c r="FK421" s="62"/>
      <c r="FL421" s="62"/>
      <c r="FM421" s="62"/>
      <c r="FN421" s="62"/>
      <c r="FO421" s="62"/>
      <c r="FP421" s="62"/>
      <c r="FQ421" s="62"/>
      <c r="FR421" s="62"/>
      <c r="FS421" s="62"/>
      <c r="FT421" s="62"/>
      <c r="FU421" s="62"/>
      <c r="FV421" s="62"/>
    </row>
    <row r="422" spans="1:178" ht="13.8">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62"/>
      <c r="CX422" s="62"/>
      <c r="CY422" s="62"/>
      <c r="CZ422" s="62"/>
      <c r="DA422" s="62"/>
      <c r="DB422" s="62"/>
      <c r="DC422" s="62"/>
      <c r="DD422" s="62"/>
      <c r="DE422" s="62"/>
      <c r="DF422" s="62"/>
      <c r="DG422" s="62"/>
      <c r="DH422" s="62"/>
      <c r="DI422" s="62"/>
      <c r="DJ422" s="62"/>
      <c r="DK422" s="62"/>
      <c r="DL422" s="62"/>
      <c r="DM422" s="62"/>
      <c r="DN422" s="62"/>
      <c r="DO422" s="62"/>
      <c r="DP422" s="62"/>
      <c r="DQ422" s="62"/>
      <c r="DR422" s="62"/>
      <c r="DS422" s="62"/>
      <c r="DT422" s="62"/>
      <c r="DU422" s="62"/>
      <c r="DV422" s="62"/>
      <c r="DW422" s="62"/>
      <c r="DX422" s="62"/>
      <c r="DY422" s="62"/>
      <c r="DZ422" s="62"/>
      <c r="EA422" s="62"/>
      <c r="EB422" s="62"/>
      <c r="EC422" s="62"/>
      <c r="ED422" s="62"/>
      <c r="EE422" s="62"/>
      <c r="EF422" s="62"/>
      <c r="EG422" s="62"/>
      <c r="EH422" s="62"/>
      <c r="EI422" s="62"/>
      <c r="EJ422" s="62"/>
      <c r="EK422" s="62"/>
      <c r="EL422" s="62"/>
      <c r="EM422" s="62"/>
      <c r="EN422" s="62"/>
      <c r="EO422" s="62"/>
      <c r="EP422" s="62"/>
      <c r="EQ422" s="62"/>
      <c r="ER422" s="62"/>
      <c r="ES422" s="62"/>
      <c r="ET422" s="62"/>
      <c r="EU422" s="62"/>
      <c r="EV422" s="62"/>
      <c r="EW422" s="62"/>
      <c r="EX422" s="62"/>
      <c r="EY422" s="62"/>
      <c r="EZ422" s="62"/>
      <c r="FA422" s="62"/>
      <c r="FB422" s="62"/>
      <c r="FC422" s="62"/>
      <c r="FD422" s="62"/>
      <c r="FE422" s="62"/>
      <c r="FF422" s="62"/>
      <c r="FG422" s="62"/>
      <c r="FH422" s="62"/>
      <c r="FI422" s="62"/>
      <c r="FJ422" s="62"/>
      <c r="FK422" s="62"/>
      <c r="FL422" s="62"/>
      <c r="FM422" s="62"/>
      <c r="FN422" s="62"/>
      <c r="FO422" s="62"/>
      <c r="FP422" s="62"/>
      <c r="FQ422" s="62"/>
      <c r="FR422" s="62"/>
      <c r="FS422" s="62"/>
      <c r="FT422" s="62"/>
      <c r="FU422" s="62"/>
      <c r="FV422" s="62"/>
    </row>
    <row r="423" spans="1:178" ht="13.8">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c r="AY423" s="62"/>
      <c r="AZ423" s="62"/>
      <c r="BA423" s="62"/>
      <c r="BB423" s="62"/>
      <c r="BC423" s="62"/>
      <c r="BD423" s="62"/>
      <c r="BE423" s="62"/>
      <c r="BF423" s="62"/>
      <c r="BG423" s="62"/>
      <c r="BH423" s="62"/>
      <c r="BI423" s="62"/>
      <c r="BJ423" s="62"/>
      <c r="BK423" s="62"/>
      <c r="BL423" s="62"/>
      <c r="BM423" s="62"/>
      <c r="BN423" s="62"/>
      <c r="BO423" s="62"/>
      <c r="BP423" s="62"/>
      <c r="BQ423" s="62"/>
      <c r="BR423" s="62"/>
      <c r="BS423" s="62"/>
      <c r="BT423" s="62"/>
      <c r="BU423" s="62"/>
      <c r="BV423" s="62"/>
      <c r="BW423" s="62"/>
      <c r="BX423" s="62"/>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62"/>
      <c r="CX423" s="62"/>
      <c r="CY423" s="62"/>
      <c r="CZ423" s="62"/>
      <c r="DA423" s="62"/>
      <c r="DB423" s="62"/>
      <c r="DC423" s="62"/>
      <c r="DD423" s="62"/>
      <c r="DE423" s="62"/>
      <c r="DF423" s="62"/>
      <c r="DG423" s="62"/>
      <c r="DH423" s="62"/>
      <c r="DI423" s="62"/>
      <c r="DJ423" s="62"/>
      <c r="DK423" s="62"/>
      <c r="DL423" s="62"/>
      <c r="DM423" s="62"/>
      <c r="DN423" s="62"/>
      <c r="DO423" s="62"/>
      <c r="DP423" s="62"/>
      <c r="DQ423" s="62"/>
      <c r="DR423" s="62"/>
      <c r="DS423" s="62"/>
      <c r="DT423" s="62"/>
      <c r="DU423" s="62"/>
      <c r="DV423" s="62"/>
      <c r="DW423" s="62"/>
      <c r="DX423" s="62"/>
      <c r="DY423" s="62"/>
      <c r="DZ423" s="62"/>
      <c r="EA423" s="62"/>
      <c r="EB423" s="62"/>
      <c r="EC423" s="62"/>
      <c r="ED423" s="62"/>
      <c r="EE423" s="62"/>
      <c r="EF423" s="62"/>
      <c r="EG423" s="62"/>
      <c r="EH423" s="62"/>
      <c r="EI423" s="62"/>
      <c r="EJ423" s="62"/>
      <c r="EK423" s="62"/>
      <c r="EL423" s="62"/>
      <c r="EM423" s="62"/>
      <c r="EN423" s="62"/>
      <c r="EO423" s="62"/>
      <c r="EP423" s="62"/>
      <c r="EQ423" s="62"/>
      <c r="ER423" s="62"/>
      <c r="ES423" s="62"/>
      <c r="ET423" s="62"/>
      <c r="EU423" s="62"/>
      <c r="EV423" s="62"/>
      <c r="EW423" s="62"/>
      <c r="EX423" s="62"/>
      <c r="EY423" s="62"/>
      <c r="EZ423" s="62"/>
      <c r="FA423" s="62"/>
      <c r="FB423" s="62"/>
      <c r="FC423" s="62"/>
      <c r="FD423" s="62"/>
      <c r="FE423" s="62"/>
      <c r="FF423" s="62"/>
      <c r="FG423" s="62"/>
      <c r="FH423" s="62"/>
      <c r="FI423" s="62"/>
      <c r="FJ423" s="62"/>
      <c r="FK423" s="62"/>
      <c r="FL423" s="62"/>
      <c r="FM423" s="62"/>
      <c r="FN423" s="62"/>
      <c r="FO423" s="62"/>
      <c r="FP423" s="62"/>
      <c r="FQ423" s="62"/>
      <c r="FR423" s="62"/>
      <c r="FS423" s="62"/>
      <c r="FT423" s="62"/>
      <c r="FU423" s="62"/>
      <c r="FV423" s="62"/>
    </row>
    <row r="424" spans="1:178" ht="13.8">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c r="AY424" s="62"/>
      <c r="AZ424" s="62"/>
      <c r="BA424" s="62"/>
      <c r="BB424" s="62"/>
      <c r="BC424" s="62"/>
      <c r="BD424" s="62"/>
      <c r="BE424" s="62"/>
      <c r="BF424" s="62"/>
      <c r="BG424" s="62"/>
      <c r="BH424" s="62"/>
      <c r="BI424" s="62"/>
      <c r="BJ424" s="62"/>
      <c r="BK424" s="62"/>
      <c r="BL424" s="62"/>
      <c r="BM424" s="62"/>
      <c r="BN424" s="62"/>
      <c r="BO424" s="62"/>
      <c r="BP424" s="62"/>
      <c r="BQ424" s="62"/>
      <c r="BR424" s="62"/>
      <c r="BS424" s="62"/>
      <c r="BT424" s="62"/>
      <c r="BU424" s="62"/>
      <c r="BV424" s="62"/>
      <c r="BW424" s="62"/>
      <c r="BX424" s="62"/>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62"/>
      <c r="CX424" s="62"/>
      <c r="CY424" s="62"/>
      <c r="CZ424" s="62"/>
      <c r="DA424" s="62"/>
      <c r="DB424" s="62"/>
      <c r="DC424" s="62"/>
      <c r="DD424" s="62"/>
      <c r="DE424" s="62"/>
      <c r="DF424" s="62"/>
      <c r="DG424" s="62"/>
      <c r="DH424" s="62"/>
      <c r="DI424" s="62"/>
      <c r="DJ424" s="62"/>
      <c r="DK424" s="62"/>
      <c r="DL424" s="62"/>
      <c r="DM424" s="62"/>
      <c r="DN424" s="62"/>
      <c r="DO424" s="62"/>
      <c r="DP424" s="62"/>
      <c r="DQ424" s="62"/>
      <c r="DR424" s="62"/>
      <c r="DS424" s="62"/>
      <c r="DT424" s="62"/>
      <c r="DU424" s="62"/>
      <c r="DV424" s="62"/>
      <c r="DW424" s="62"/>
      <c r="DX424" s="62"/>
      <c r="DY424" s="62"/>
      <c r="DZ424" s="62"/>
      <c r="EA424" s="62"/>
      <c r="EB424" s="62"/>
      <c r="EC424" s="62"/>
      <c r="ED424" s="62"/>
      <c r="EE424" s="62"/>
      <c r="EF424" s="62"/>
      <c r="EG424" s="62"/>
      <c r="EH424" s="62"/>
      <c r="EI424" s="62"/>
      <c r="EJ424" s="62"/>
      <c r="EK424" s="62"/>
      <c r="EL424" s="62"/>
      <c r="EM424" s="62"/>
      <c r="EN424" s="62"/>
      <c r="EO424" s="62"/>
      <c r="EP424" s="62"/>
      <c r="EQ424" s="62"/>
      <c r="ER424" s="62"/>
      <c r="ES424" s="62"/>
      <c r="ET424" s="62"/>
      <c r="EU424" s="62"/>
      <c r="EV424" s="62"/>
      <c r="EW424" s="62"/>
      <c r="EX424" s="62"/>
      <c r="EY424" s="62"/>
      <c r="EZ424" s="62"/>
      <c r="FA424" s="62"/>
      <c r="FB424" s="62"/>
      <c r="FC424" s="62"/>
      <c r="FD424" s="62"/>
      <c r="FE424" s="62"/>
      <c r="FF424" s="62"/>
      <c r="FG424" s="62"/>
      <c r="FH424" s="62"/>
      <c r="FI424" s="62"/>
      <c r="FJ424" s="62"/>
      <c r="FK424" s="62"/>
      <c r="FL424" s="62"/>
      <c r="FM424" s="62"/>
      <c r="FN424" s="62"/>
      <c r="FO424" s="62"/>
      <c r="FP424" s="62"/>
      <c r="FQ424" s="62"/>
      <c r="FR424" s="62"/>
      <c r="FS424" s="62"/>
      <c r="FT424" s="62"/>
      <c r="FU424" s="62"/>
      <c r="FV424" s="62"/>
    </row>
    <row r="425" spans="1:178" ht="13.8">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c r="AY425" s="62"/>
      <c r="AZ425" s="62"/>
      <c r="BA425" s="62"/>
      <c r="BB425" s="62"/>
      <c r="BC425" s="62"/>
      <c r="BD425" s="62"/>
      <c r="BE425" s="62"/>
      <c r="BF425" s="62"/>
      <c r="BG425" s="62"/>
      <c r="BH425" s="62"/>
      <c r="BI425" s="62"/>
      <c r="BJ425" s="62"/>
      <c r="BK425" s="62"/>
      <c r="BL425" s="62"/>
      <c r="BM425" s="62"/>
      <c r="BN425" s="62"/>
      <c r="BO425" s="62"/>
      <c r="BP425" s="62"/>
      <c r="BQ425" s="62"/>
      <c r="BR425" s="62"/>
      <c r="BS425" s="62"/>
      <c r="BT425" s="62"/>
      <c r="BU425" s="62"/>
      <c r="BV425" s="62"/>
      <c r="BW425" s="62"/>
      <c r="BX425" s="62"/>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62"/>
      <c r="CX425" s="62"/>
      <c r="CY425" s="62"/>
      <c r="CZ425" s="62"/>
      <c r="DA425" s="62"/>
      <c r="DB425" s="62"/>
      <c r="DC425" s="62"/>
      <c r="DD425" s="62"/>
      <c r="DE425" s="62"/>
      <c r="DF425" s="62"/>
      <c r="DG425" s="62"/>
      <c r="DH425" s="62"/>
      <c r="DI425" s="62"/>
      <c r="DJ425" s="62"/>
      <c r="DK425" s="62"/>
      <c r="DL425" s="62"/>
      <c r="DM425" s="62"/>
      <c r="DN425" s="62"/>
      <c r="DO425" s="62"/>
      <c r="DP425" s="62"/>
      <c r="DQ425" s="62"/>
      <c r="DR425" s="62"/>
      <c r="DS425" s="62"/>
      <c r="DT425" s="62"/>
      <c r="DU425" s="62"/>
      <c r="DV425" s="62"/>
      <c r="DW425" s="62"/>
      <c r="DX425" s="62"/>
      <c r="DY425" s="62"/>
      <c r="DZ425" s="62"/>
      <c r="EA425" s="62"/>
      <c r="EB425" s="62"/>
      <c r="EC425" s="62"/>
      <c r="ED425" s="62"/>
      <c r="EE425" s="62"/>
      <c r="EF425" s="62"/>
      <c r="EG425" s="62"/>
      <c r="EH425" s="62"/>
      <c r="EI425" s="62"/>
      <c r="EJ425" s="62"/>
      <c r="EK425" s="62"/>
      <c r="EL425" s="62"/>
      <c r="EM425" s="62"/>
      <c r="EN425" s="62"/>
      <c r="EO425" s="62"/>
      <c r="EP425" s="62"/>
      <c r="EQ425" s="62"/>
      <c r="ER425" s="62"/>
      <c r="ES425" s="62"/>
      <c r="ET425" s="62"/>
      <c r="EU425" s="62"/>
      <c r="EV425" s="62"/>
      <c r="EW425" s="62"/>
      <c r="EX425" s="62"/>
      <c r="EY425" s="62"/>
      <c r="EZ425" s="62"/>
      <c r="FA425" s="62"/>
      <c r="FB425" s="62"/>
      <c r="FC425" s="62"/>
      <c r="FD425" s="62"/>
      <c r="FE425" s="62"/>
      <c r="FF425" s="62"/>
      <c r="FG425" s="62"/>
      <c r="FH425" s="62"/>
      <c r="FI425" s="62"/>
      <c r="FJ425" s="62"/>
      <c r="FK425" s="62"/>
      <c r="FL425" s="62"/>
      <c r="FM425" s="62"/>
      <c r="FN425" s="62"/>
      <c r="FO425" s="62"/>
      <c r="FP425" s="62"/>
      <c r="FQ425" s="62"/>
      <c r="FR425" s="62"/>
      <c r="FS425" s="62"/>
      <c r="FT425" s="62"/>
      <c r="FU425" s="62"/>
      <c r="FV425" s="62"/>
    </row>
    <row r="426" spans="1:178" ht="13.8">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62"/>
      <c r="AZ426" s="62"/>
      <c r="BA426" s="62"/>
      <c r="BB426" s="62"/>
      <c r="BC426" s="62"/>
      <c r="BD426" s="62"/>
      <c r="BE426" s="62"/>
      <c r="BF426" s="62"/>
      <c r="BG426" s="62"/>
      <c r="BH426" s="62"/>
      <c r="BI426" s="62"/>
      <c r="BJ426" s="62"/>
      <c r="BK426" s="62"/>
      <c r="BL426" s="62"/>
      <c r="BM426" s="62"/>
      <c r="BN426" s="62"/>
      <c r="BO426" s="62"/>
      <c r="BP426" s="62"/>
      <c r="BQ426" s="62"/>
      <c r="BR426" s="62"/>
      <c r="BS426" s="62"/>
      <c r="BT426" s="62"/>
      <c r="BU426" s="62"/>
      <c r="BV426" s="62"/>
      <c r="BW426" s="62"/>
      <c r="BX426" s="62"/>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62"/>
      <c r="CX426" s="62"/>
      <c r="CY426" s="62"/>
      <c r="CZ426" s="62"/>
      <c r="DA426" s="62"/>
      <c r="DB426" s="62"/>
      <c r="DC426" s="62"/>
      <c r="DD426" s="62"/>
      <c r="DE426" s="62"/>
      <c r="DF426" s="62"/>
      <c r="DG426" s="62"/>
      <c r="DH426" s="62"/>
      <c r="DI426" s="62"/>
      <c r="DJ426" s="62"/>
      <c r="DK426" s="62"/>
      <c r="DL426" s="62"/>
      <c r="DM426" s="62"/>
      <c r="DN426" s="62"/>
      <c r="DO426" s="62"/>
      <c r="DP426" s="62"/>
      <c r="DQ426" s="62"/>
      <c r="DR426" s="62"/>
      <c r="DS426" s="62"/>
      <c r="DT426" s="62"/>
      <c r="DU426" s="62"/>
      <c r="DV426" s="62"/>
      <c r="DW426" s="62"/>
      <c r="DX426" s="62"/>
      <c r="DY426" s="62"/>
      <c r="DZ426" s="62"/>
      <c r="EA426" s="62"/>
      <c r="EB426" s="62"/>
      <c r="EC426" s="62"/>
      <c r="ED426" s="62"/>
      <c r="EE426" s="62"/>
      <c r="EF426" s="62"/>
      <c r="EG426" s="62"/>
      <c r="EH426" s="62"/>
      <c r="EI426" s="62"/>
      <c r="EJ426" s="62"/>
      <c r="EK426" s="62"/>
      <c r="EL426" s="62"/>
      <c r="EM426" s="62"/>
      <c r="EN426" s="62"/>
      <c r="EO426" s="62"/>
      <c r="EP426" s="62"/>
      <c r="EQ426" s="62"/>
      <c r="ER426" s="62"/>
      <c r="ES426" s="62"/>
      <c r="ET426" s="62"/>
      <c r="EU426" s="62"/>
      <c r="EV426" s="62"/>
      <c r="EW426" s="62"/>
      <c r="EX426" s="62"/>
      <c r="EY426" s="62"/>
      <c r="EZ426" s="62"/>
      <c r="FA426" s="62"/>
      <c r="FB426" s="62"/>
      <c r="FC426" s="62"/>
      <c r="FD426" s="62"/>
      <c r="FE426" s="62"/>
      <c r="FF426" s="62"/>
      <c r="FG426" s="62"/>
      <c r="FH426" s="62"/>
      <c r="FI426" s="62"/>
      <c r="FJ426" s="62"/>
      <c r="FK426" s="62"/>
      <c r="FL426" s="62"/>
      <c r="FM426" s="62"/>
      <c r="FN426" s="62"/>
      <c r="FO426" s="62"/>
      <c r="FP426" s="62"/>
      <c r="FQ426" s="62"/>
      <c r="FR426" s="62"/>
      <c r="FS426" s="62"/>
      <c r="FT426" s="62"/>
      <c r="FU426" s="62"/>
      <c r="FV426" s="62"/>
    </row>
    <row r="427" spans="1:178" ht="13.8">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c r="AY427" s="62"/>
      <c r="AZ427" s="62"/>
      <c r="BA427" s="62"/>
      <c r="BB427" s="62"/>
      <c r="BC427" s="62"/>
      <c r="BD427" s="62"/>
      <c r="BE427" s="62"/>
      <c r="BF427" s="62"/>
      <c r="BG427" s="62"/>
      <c r="BH427" s="62"/>
      <c r="BI427" s="62"/>
      <c r="BJ427" s="62"/>
      <c r="BK427" s="62"/>
      <c r="BL427" s="62"/>
      <c r="BM427" s="62"/>
      <c r="BN427" s="62"/>
      <c r="BO427" s="62"/>
      <c r="BP427" s="62"/>
      <c r="BQ427" s="62"/>
      <c r="BR427" s="62"/>
      <c r="BS427" s="62"/>
      <c r="BT427" s="62"/>
      <c r="BU427" s="62"/>
      <c r="BV427" s="62"/>
      <c r="BW427" s="62"/>
      <c r="BX427" s="62"/>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62"/>
      <c r="CX427" s="62"/>
      <c r="CY427" s="62"/>
      <c r="CZ427" s="62"/>
      <c r="DA427" s="62"/>
      <c r="DB427" s="62"/>
      <c r="DC427" s="62"/>
      <c r="DD427" s="62"/>
      <c r="DE427" s="62"/>
      <c r="DF427" s="62"/>
      <c r="DG427" s="62"/>
      <c r="DH427" s="62"/>
      <c r="DI427" s="62"/>
      <c r="DJ427" s="62"/>
      <c r="DK427" s="62"/>
      <c r="DL427" s="62"/>
      <c r="DM427" s="62"/>
      <c r="DN427" s="62"/>
      <c r="DO427" s="62"/>
      <c r="DP427" s="62"/>
      <c r="DQ427" s="62"/>
      <c r="DR427" s="62"/>
      <c r="DS427" s="62"/>
      <c r="DT427" s="62"/>
      <c r="DU427" s="62"/>
      <c r="DV427" s="62"/>
      <c r="DW427" s="62"/>
      <c r="DX427" s="62"/>
      <c r="DY427" s="62"/>
      <c r="DZ427" s="62"/>
      <c r="EA427" s="62"/>
      <c r="EB427" s="62"/>
      <c r="EC427" s="62"/>
      <c r="ED427" s="62"/>
      <c r="EE427" s="62"/>
      <c r="EF427" s="62"/>
      <c r="EG427" s="62"/>
      <c r="EH427" s="62"/>
      <c r="EI427" s="62"/>
      <c r="EJ427" s="62"/>
      <c r="EK427" s="62"/>
      <c r="EL427" s="62"/>
      <c r="EM427" s="62"/>
      <c r="EN427" s="62"/>
      <c r="EO427" s="62"/>
      <c r="EP427" s="62"/>
      <c r="EQ427" s="62"/>
      <c r="ER427" s="62"/>
      <c r="ES427" s="62"/>
      <c r="ET427" s="62"/>
      <c r="EU427" s="62"/>
      <c r="EV427" s="62"/>
      <c r="EW427" s="62"/>
      <c r="EX427" s="62"/>
      <c r="EY427" s="62"/>
      <c r="EZ427" s="62"/>
      <c r="FA427" s="62"/>
      <c r="FB427" s="62"/>
      <c r="FC427" s="62"/>
      <c r="FD427" s="62"/>
      <c r="FE427" s="62"/>
      <c r="FF427" s="62"/>
      <c r="FG427" s="62"/>
      <c r="FH427" s="62"/>
      <c r="FI427" s="62"/>
      <c r="FJ427" s="62"/>
      <c r="FK427" s="62"/>
      <c r="FL427" s="62"/>
      <c r="FM427" s="62"/>
      <c r="FN427" s="62"/>
      <c r="FO427" s="62"/>
      <c r="FP427" s="62"/>
      <c r="FQ427" s="62"/>
      <c r="FR427" s="62"/>
      <c r="FS427" s="62"/>
      <c r="FT427" s="62"/>
      <c r="FU427" s="62"/>
      <c r="FV427" s="62"/>
    </row>
    <row r="428" spans="1:178" ht="13.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c r="AY428" s="62"/>
      <c r="AZ428" s="62"/>
      <c r="BA428" s="62"/>
      <c r="BB428" s="62"/>
      <c r="BC428" s="62"/>
      <c r="BD428" s="62"/>
      <c r="BE428" s="62"/>
      <c r="BF428" s="62"/>
      <c r="BG428" s="62"/>
      <c r="BH428" s="62"/>
      <c r="BI428" s="62"/>
      <c r="BJ428" s="62"/>
      <c r="BK428" s="62"/>
      <c r="BL428" s="62"/>
      <c r="BM428" s="62"/>
      <c r="BN428" s="62"/>
      <c r="BO428" s="62"/>
      <c r="BP428" s="62"/>
      <c r="BQ428" s="62"/>
      <c r="BR428" s="62"/>
      <c r="BS428" s="62"/>
      <c r="BT428" s="62"/>
      <c r="BU428" s="62"/>
      <c r="BV428" s="62"/>
      <c r="BW428" s="62"/>
      <c r="BX428" s="62"/>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62"/>
      <c r="CX428" s="62"/>
      <c r="CY428" s="62"/>
      <c r="CZ428" s="62"/>
      <c r="DA428" s="62"/>
      <c r="DB428" s="62"/>
      <c r="DC428" s="62"/>
      <c r="DD428" s="62"/>
      <c r="DE428" s="62"/>
      <c r="DF428" s="62"/>
      <c r="DG428" s="62"/>
      <c r="DH428" s="62"/>
      <c r="DI428" s="62"/>
      <c r="DJ428" s="62"/>
      <c r="DK428" s="62"/>
      <c r="DL428" s="62"/>
      <c r="DM428" s="62"/>
      <c r="DN428" s="62"/>
      <c r="DO428" s="62"/>
      <c r="DP428" s="62"/>
      <c r="DQ428" s="62"/>
      <c r="DR428" s="62"/>
      <c r="DS428" s="62"/>
      <c r="DT428" s="62"/>
      <c r="DU428" s="62"/>
      <c r="DV428" s="62"/>
      <c r="DW428" s="62"/>
      <c r="DX428" s="62"/>
      <c r="DY428" s="62"/>
      <c r="DZ428" s="62"/>
      <c r="EA428" s="62"/>
      <c r="EB428" s="62"/>
      <c r="EC428" s="62"/>
      <c r="ED428" s="62"/>
      <c r="EE428" s="62"/>
      <c r="EF428" s="62"/>
      <c r="EG428" s="62"/>
      <c r="EH428" s="62"/>
      <c r="EI428" s="62"/>
      <c r="EJ428" s="62"/>
      <c r="EK428" s="62"/>
      <c r="EL428" s="62"/>
      <c r="EM428" s="62"/>
      <c r="EN428" s="62"/>
      <c r="EO428" s="62"/>
      <c r="EP428" s="62"/>
      <c r="EQ428" s="62"/>
      <c r="ER428" s="62"/>
      <c r="ES428" s="62"/>
      <c r="ET428" s="62"/>
      <c r="EU428" s="62"/>
      <c r="EV428" s="62"/>
      <c r="EW428" s="62"/>
      <c r="EX428" s="62"/>
      <c r="EY428" s="62"/>
      <c r="EZ428" s="62"/>
      <c r="FA428" s="62"/>
      <c r="FB428" s="62"/>
      <c r="FC428" s="62"/>
      <c r="FD428" s="62"/>
      <c r="FE428" s="62"/>
      <c r="FF428" s="62"/>
      <c r="FG428" s="62"/>
      <c r="FH428" s="62"/>
      <c r="FI428" s="62"/>
      <c r="FJ428" s="62"/>
      <c r="FK428" s="62"/>
      <c r="FL428" s="62"/>
      <c r="FM428" s="62"/>
      <c r="FN428" s="62"/>
      <c r="FO428" s="62"/>
      <c r="FP428" s="62"/>
      <c r="FQ428" s="62"/>
      <c r="FR428" s="62"/>
      <c r="FS428" s="62"/>
      <c r="FT428" s="62"/>
      <c r="FU428" s="62"/>
      <c r="FV428" s="62"/>
    </row>
    <row r="429" spans="1:178" ht="13.8">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c r="AY429" s="62"/>
      <c r="AZ429" s="62"/>
      <c r="BA429" s="62"/>
      <c r="BB429" s="62"/>
      <c r="BC429" s="62"/>
      <c r="BD429" s="62"/>
      <c r="BE429" s="62"/>
      <c r="BF429" s="62"/>
      <c r="BG429" s="62"/>
      <c r="BH429" s="62"/>
      <c r="BI429" s="62"/>
      <c r="BJ429" s="62"/>
      <c r="BK429" s="62"/>
      <c r="BL429" s="62"/>
      <c r="BM429" s="62"/>
      <c r="BN429" s="62"/>
      <c r="BO429" s="62"/>
      <c r="BP429" s="62"/>
      <c r="BQ429" s="62"/>
      <c r="BR429" s="62"/>
      <c r="BS429" s="62"/>
      <c r="BT429" s="62"/>
      <c r="BU429" s="62"/>
      <c r="BV429" s="62"/>
      <c r="BW429" s="62"/>
      <c r="BX429" s="62"/>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62"/>
      <c r="CX429" s="62"/>
      <c r="CY429" s="62"/>
      <c r="CZ429" s="62"/>
      <c r="DA429" s="62"/>
      <c r="DB429" s="62"/>
      <c r="DC429" s="62"/>
      <c r="DD429" s="62"/>
      <c r="DE429" s="62"/>
      <c r="DF429" s="62"/>
      <c r="DG429" s="62"/>
      <c r="DH429" s="62"/>
      <c r="DI429" s="62"/>
      <c r="DJ429" s="62"/>
      <c r="DK429" s="62"/>
      <c r="DL429" s="62"/>
      <c r="DM429" s="62"/>
      <c r="DN429" s="62"/>
      <c r="DO429" s="62"/>
      <c r="DP429" s="62"/>
      <c r="DQ429" s="62"/>
      <c r="DR429" s="62"/>
      <c r="DS429" s="62"/>
      <c r="DT429" s="62"/>
      <c r="DU429" s="62"/>
      <c r="DV429" s="62"/>
      <c r="DW429" s="62"/>
      <c r="DX429" s="62"/>
      <c r="DY429" s="62"/>
      <c r="DZ429" s="62"/>
      <c r="EA429" s="62"/>
      <c r="EB429" s="62"/>
      <c r="EC429" s="62"/>
      <c r="ED429" s="62"/>
      <c r="EE429" s="62"/>
      <c r="EF429" s="62"/>
      <c r="EG429" s="62"/>
      <c r="EH429" s="62"/>
      <c r="EI429" s="62"/>
      <c r="EJ429" s="62"/>
      <c r="EK429" s="62"/>
      <c r="EL429" s="62"/>
      <c r="EM429" s="62"/>
      <c r="EN429" s="62"/>
      <c r="EO429" s="62"/>
      <c r="EP429" s="62"/>
      <c r="EQ429" s="62"/>
      <c r="ER429" s="62"/>
      <c r="ES429" s="62"/>
      <c r="ET429" s="62"/>
      <c r="EU429" s="62"/>
      <c r="EV429" s="62"/>
      <c r="EW429" s="62"/>
      <c r="EX429" s="62"/>
      <c r="EY429" s="62"/>
      <c r="EZ429" s="62"/>
      <c r="FA429" s="62"/>
      <c r="FB429" s="62"/>
      <c r="FC429" s="62"/>
      <c r="FD429" s="62"/>
      <c r="FE429" s="62"/>
      <c r="FF429" s="62"/>
      <c r="FG429" s="62"/>
      <c r="FH429" s="62"/>
      <c r="FI429" s="62"/>
      <c r="FJ429" s="62"/>
      <c r="FK429" s="62"/>
      <c r="FL429" s="62"/>
      <c r="FM429" s="62"/>
      <c r="FN429" s="62"/>
      <c r="FO429" s="62"/>
      <c r="FP429" s="62"/>
      <c r="FQ429" s="62"/>
      <c r="FR429" s="62"/>
      <c r="FS429" s="62"/>
      <c r="FT429" s="62"/>
      <c r="FU429" s="62"/>
      <c r="FV429" s="62"/>
    </row>
    <row r="430" spans="1:178" ht="13.8">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c r="AY430" s="62"/>
      <c r="AZ430" s="62"/>
      <c r="BA430" s="62"/>
      <c r="BB430" s="62"/>
      <c r="BC430" s="62"/>
      <c r="BD430" s="62"/>
      <c r="BE430" s="62"/>
      <c r="BF430" s="62"/>
      <c r="BG430" s="62"/>
      <c r="BH430" s="62"/>
      <c r="BI430" s="62"/>
      <c r="BJ430" s="62"/>
      <c r="BK430" s="62"/>
      <c r="BL430" s="62"/>
      <c r="BM430" s="62"/>
      <c r="BN430" s="62"/>
      <c r="BO430" s="62"/>
      <c r="BP430" s="62"/>
      <c r="BQ430" s="62"/>
      <c r="BR430" s="62"/>
      <c r="BS430" s="62"/>
      <c r="BT430" s="62"/>
      <c r="BU430" s="62"/>
      <c r="BV430" s="62"/>
      <c r="BW430" s="62"/>
      <c r="BX430" s="62"/>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62"/>
      <c r="CX430" s="62"/>
      <c r="CY430" s="62"/>
      <c r="CZ430" s="62"/>
      <c r="DA430" s="62"/>
      <c r="DB430" s="62"/>
      <c r="DC430" s="62"/>
      <c r="DD430" s="62"/>
      <c r="DE430" s="62"/>
      <c r="DF430" s="62"/>
      <c r="DG430" s="62"/>
      <c r="DH430" s="62"/>
      <c r="DI430" s="62"/>
      <c r="DJ430" s="62"/>
      <c r="DK430" s="62"/>
      <c r="DL430" s="62"/>
      <c r="DM430" s="62"/>
      <c r="DN430" s="62"/>
      <c r="DO430" s="62"/>
      <c r="DP430" s="62"/>
      <c r="DQ430" s="62"/>
      <c r="DR430" s="62"/>
      <c r="DS430" s="62"/>
      <c r="DT430" s="62"/>
      <c r="DU430" s="62"/>
      <c r="DV430" s="62"/>
      <c r="DW430" s="62"/>
      <c r="DX430" s="62"/>
      <c r="DY430" s="62"/>
      <c r="DZ430" s="62"/>
      <c r="EA430" s="62"/>
      <c r="EB430" s="62"/>
      <c r="EC430" s="62"/>
      <c r="ED430" s="62"/>
      <c r="EE430" s="62"/>
      <c r="EF430" s="62"/>
      <c r="EG430" s="62"/>
      <c r="EH430" s="62"/>
      <c r="EI430" s="62"/>
      <c r="EJ430" s="62"/>
      <c r="EK430" s="62"/>
      <c r="EL430" s="62"/>
      <c r="EM430" s="62"/>
      <c r="EN430" s="62"/>
      <c r="EO430" s="62"/>
      <c r="EP430" s="62"/>
      <c r="EQ430" s="62"/>
      <c r="ER430" s="62"/>
      <c r="ES430" s="62"/>
      <c r="ET430" s="62"/>
      <c r="EU430" s="62"/>
      <c r="EV430" s="62"/>
      <c r="EW430" s="62"/>
      <c r="EX430" s="62"/>
      <c r="EY430" s="62"/>
      <c r="EZ430" s="62"/>
      <c r="FA430" s="62"/>
      <c r="FB430" s="62"/>
      <c r="FC430" s="62"/>
      <c r="FD430" s="62"/>
      <c r="FE430" s="62"/>
      <c r="FF430" s="62"/>
      <c r="FG430" s="62"/>
      <c r="FH430" s="62"/>
      <c r="FI430" s="62"/>
      <c r="FJ430" s="62"/>
      <c r="FK430" s="62"/>
      <c r="FL430" s="62"/>
      <c r="FM430" s="62"/>
      <c r="FN430" s="62"/>
      <c r="FO430" s="62"/>
      <c r="FP430" s="62"/>
      <c r="FQ430" s="62"/>
      <c r="FR430" s="62"/>
      <c r="FS430" s="62"/>
      <c r="FT430" s="62"/>
      <c r="FU430" s="62"/>
      <c r="FV430" s="62"/>
    </row>
    <row r="431" spans="1:178" ht="13.8">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c r="AY431" s="62"/>
      <c r="AZ431" s="62"/>
      <c r="BA431" s="62"/>
      <c r="BB431" s="62"/>
      <c r="BC431" s="62"/>
      <c r="BD431" s="62"/>
      <c r="BE431" s="62"/>
      <c r="BF431" s="62"/>
      <c r="BG431" s="62"/>
      <c r="BH431" s="62"/>
      <c r="BI431" s="62"/>
      <c r="BJ431" s="62"/>
      <c r="BK431" s="62"/>
      <c r="BL431" s="62"/>
      <c r="BM431" s="62"/>
      <c r="BN431" s="62"/>
      <c r="BO431" s="62"/>
      <c r="BP431" s="62"/>
      <c r="BQ431" s="62"/>
      <c r="BR431" s="62"/>
      <c r="BS431" s="62"/>
      <c r="BT431" s="62"/>
      <c r="BU431" s="62"/>
      <c r="BV431" s="62"/>
      <c r="BW431" s="62"/>
      <c r="BX431" s="62"/>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62"/>
      <c r="CX431" s="62"/>
      <c r="CY431" s="62"/>
      <c r="CZ431" s="62"/>
      <c r="DA431" s="62"/>
      <c r="DB431" s="62"/>
      <c r="DC431" s="62"/>
      <c r="DD431" s="62"/>
      <c r="DE431" s="62"/>
      <c r="DF431" s="62"/>
      <c r="DG431" s="62"/>
      <c r="DH431" s="62"/>
      <c r="DI431" s="62"/>
      <c r="DJ431" s="62"/>
      <c r="DK431" s="62"/>
      <c r="DL431" s="62"/>
      <c r="DM431" s="62"/>
      <c r="DN431" s="62"/>
      <c r="DO431" s="62"/>
      <c r="DP431" s="62"/>
      <c r="DQ431" s="62"/>
      <c r="DR431" s="62"/>
      <c r="DS431" s="62"/>
      <c r="DT431" s="62"/>
      <c r="DU431" s="62"/>
      <c r="DV431" s="62"/>
      <c r="DW431" s="62"/>
      <c r="DX431" s="62"/>
      <c r="DY431" s="62"/>
      <c r="DZ431" s="62"/>
      <c r="EA431" s="62"/>
      <c r="EB431" s="62"/>
      <c r="EC431" s="62"/>
      <c r="ED431" s="62"/>
      <c r="EE431" s="62"/>
      <c r="EF431" s="62"/>
      <c r="EG431" s="62"/>
      <c r="EH431" s="62"/>
      <c r="EI431" s="62"/>
      <c r="EJ431" s="62"/>
      <c r="EK431" s="62"/>
      <c r="EL431" s="62"/>
      <c r="EM431" s="62"/>
      <c r="EN431" s="62"/>
      <c r="EO431" s="62"/>
      <c r="EP431" s="62"/>
      <c r="EQ431" s="62"/>
      <c r="ER431" s="62"/>
      <c r="ES431" s="62"/>
      <c r="ET431" s="62"/>
      <c r="EU431" s="62"/>
      <c r="EV431" s="62"/>
      <c r="EW431" s="62"/>
      <c r="EX431" s="62"/>
      <c r="EY431" s="62"/>
      <c r="EZ431" s="62"/>
      <c r="FA431" s="62"/>
      <c r="FB431" s="62"/>
      <c r="FC431" s="62"/>
      <c r="FD431" s="62"/>
      <c r="FE431" s="62"/>
      <c r="FF431" s="62"/>
      <c r="FG431" s="62"/>
      <c r="FH431" s="62"/>
      <c r="FI431" s="62"/>
      <c r="FJ431" s="62"/>
      <c r="FK431" s="62"/>
      <c r="FL431" s="62"/>
      <c r="FM431" s="62"/>
      <c r="FN431" s="62"/>
      <c r="FO431" s="62"/>
      <c r="FP431" s="62"/>
      <c r="FQ431" s="62"/>
      <c r="FR431" s="62"/>
      <c r="FS431" s="62"/>
      <c r="FT431" s="62"/>
      <c r="FU431" s="62"/>
      <c r="FV431" s="62"/>
    </row>
    <row r="432" spans="1:178" ht="13.8">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c r="AY432" s="62"/>
      <c r="AZ432" s="62"/>
      <c r="BA432" s="62"/>
      <c r="BB432" s="62"/>
      <c r="BC432" s="62"/>
      <c r="BD432" s="62"/>
      <c r="BE432" s="62"/>
      <c r="BF432" s="62"/>
      <c r="BG432" s="62"/>
      <c r="BH432" s="62"/>
      <c r="BI432" s="62"/>
      <c r="BJ432" s="62"/>
      <c r="BK432" s="62"/>
      <c r="BL432" s="62"/>
      <c r="BM432" s="62"/>
      <c r="BN432" s="62"/>
      <c r="BO432" s="62"/>
      <c r="BP432" s="62"/>
      <c r="BQ432" s="62"/>
      <c r="BR432" s="62"/>
      <c r="BS432" s="62"/>
      <c r="BT432" s="62"/>
      <c r="BU432" s="62"/>
      <c r="BV432" s="62"/>
      <c r="BW432" s="62"/>
      <c r="BX432" s="62"/>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62"/>
      <c r="CX432" s="62"/>
      <c r="CY432" s="62"/>
      <c r="CZ432" s="62"/>
      <c r="DA432" s="62"/>
      <c r="DB432" s="62"/>
      <c r="DC432" s="62"/>
      <c r="DD432" s="62"/>
      <c r="DE432" s="62"/>
      <c r="DF432" s="62"/>
      <c r="DG432" s="62"/>
      <c r="DH432" s="62"/>
      <c r="DI432" s="62"/>
      <c r="DJ432" s="62"/>
      <c r="DK432" s="62"/>
      <c r="DL432" s="62"/>
      <c r="DM432" s="62"/>
      <c r="DN432" s="62"/>
      <c r="DO432" s="62"/>
      <c r="DP432" s="62"/>
      <c r="DQ432" s="62"/>
      <c r="DR432" s="62"/>
      <c r="DS432" s="62"/>
      <c r="DT432" s="62"/>
      <c r="DU432" s="62"/>
      <c r="DV432" s="62"/>
      <c r="DW432" s="62"/>
      <c r="DX432" s="62"/>
      <c r="DY432" s="62"/>
      <c r="DZ432" s="62"/>
      <c r="EA432" s="62"/>
      <c r="EB432" s="62"/>
      <c r="EC432" s="62"/>
      <c r="ED432" s="62"/>
      <c r="EE432" s="62"/>
      <c r="EF432" s="62"/>
      <c r="EG432" s="62"/>
      <c r="EH432" s="62"/>
      <c r="EI432" s="62"/>
      <c r="EJ432" s="62"/>
      <c r="EK432" s="62"/>
      <c r="EL432" s="62"/>
      <c r="EM432" s="62"/>
      <c r="EN432" s="62"/>
      <c r="EO432" s="62"/>
      <c r="EP432" s="62"/>
      <c r="EQ432" s="62"/>
      <c r="ER432" s="62"/>
      <c r="ES432" s="62"/>
      <c r="ET432" s="62"/>
      <c r="EU432" s="62"/>
      <c r="EV432" s="62"/>
      <c r="EW432" s="62"/>
      <c r="EX432" s="62"/>
      <c r="EY432" s="62"/>
      <c r="EZ432" s="62"/>
      <c r="FA432" s="62"/>
      <c r="FB432" s="62"/>
      <c r="FC432" s="62"/>
      <c r="FD432" s="62"/>
      <c r="FE432" s="62"/>
      <c r="FF432" s="62"/>
      <c r="FG432" s="62"/>
      <c r="FH432" s="62"/>
      <c r="FI432" s="62"/>
      <c r="FJ432" s="62"/>
      <c r="FK432" s="62"/>
      <c r="FL432" s="62"/>
      <c r="FM432" s="62"/>
      <c r="FN432" s="62"/>
      <c r="FO432" s="62"/>
      <c r="FP432" s="62"/>
      <c r="FQ432" s="62"/>
      <c r="FR432" s="62"/>
      <c r="FS432" s="62"/>
      <c r="FT432" s="62"/>
      <c r="FU432" s="62"/>
      <c r="FV432" s="62"/>
    </row>
    <row r="433" spans="1:178" ht="13.8">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c r="AY433" s="62"/>
      <c r="AZ433" s="62"/>
      <c r="BA433" s="62"/>
      <c r="BB433" s="62"/>
      <c r="BC433" s="62"/>
      <c r="BD433" s="62"/>
      <c r="BE433" s="62"/>
      <c r="BF433" s="62"/>
      <c r="BG433" s="62"/>
      <c r="BH433" s="62"/>
      <c r="BI433" s="62"/>
      <c r="BJ433" s="62"/>
      <c r="BK433" s="62"/>
      <c r="BL433" s="62"/>
      <c r="BM433" s="62"/>
      <c r="BN433" s="62"/>
      <c r="BO433" s="62"/>
      <c r="BP433" s="62"/>
      <c r="BQ433" s="62"/>
      <c r="BR433" s="62"/>
      <c r="BS433" s="62"/>
      <c r="BT433" s="62"/>
      <c r="BU433" s="62"/>
      <c r="BV433" s="62"/>
      <c r="BW433" s="62"/>
      <c r="BX433" s="62"/>
      <c r="BY433" s="62"/>
      <c r="BZ433" s="62"/>
      <c r="CA433" s="62"/>
      <c r="CB433" s="62"/>
      <c r="CC433" s="62"/>
      <c r="CD433" s="62"/>
      <c r="CE433" s="62"/>
      <c r="CF433" s="62"/>
      <c r="CG433" s="62"/>
      <c r="CH433" s="62"/>
      <c r="CI433" s="62"/>
      <c r="CJ433" s="62"/>
      <c r="CK433" s="62"/>
      <c r="CL433" s="62"/>
      <c r="CM433" s="62"/>
      <c r="CN433" s="62"/>
      <c r="CO433" s="62"/>
      <c r="CP433" s="62"/>
      <c r="CQ433" s="62"/>
      <c r="CR433" s="62"/>
      <c r="CS433" s="62"/>
      <c r="CT433" s="62"/>
      <c r="CU433" s="62"/>
      <c r="CV433" s="62"/>
      <c r="CW433" s="62"/>
      <c r="CX433" s="62"/>
      <c r="CY433" s="62"/>
      <c r="CZ433" s="62"/>
      <c r="DA433" s="62"/>
      <c r="DB433" s="62"/>
      <c r="DC433" s="62"/>
      <c r="DD433" s="62"/>
      <c r="DE433" s="62"/>
      <c r="DF433" s="62"/>
      <c r="DG433" s="62"/>
      <c r="DH433" s="62"/>
      <c r="DI433" s="62"/>
      <c r="DJ433" s="62"/>
      <c r="DK433" s="62"/>
      <c r="DL433" s="62"/>
      <c r="DM433" s="62"/>
      <c r="DN433" s="62"/>
      <c r="DO433" s="62"/>
      <c r="DP433" s="62"/>
      <c r="DQ433" s="62"/>
      <c r="DR433" s="62"/>
      <c r="DS433" s="62"/>
      <c r="DT433" s="62"/>
      <c r="DU433" s="62"/>
      <c r="DV433" s="62"/>
      <c r="DW433" s="62"/>
      <c r="DX433" s="62"/>
      <c r="DY433" s="62"/>
      <c r="DZ433" s="62"/>
      <c r="EA433" s="62"/>
      <c r="EB433" s="62"/>
      <c r="EC433" s="62"/>
      <c r="ED433" s="62"/>
      <c r="EE433" s="62"/>
      <c r="EF433" s="62"/>
      <c r="EG433" s="62"/>
      <c r="EH433" s="62"/>
      <c r="EI433" s="62"/>
      <c r="EJ433" s="62"/>
      <c r="EK433" s="62"/>
      <c r="EL433" s="62"/>
      <c r="EM433" s="62"/>
      <c r="EN433" s="62"/>
      <c r="EO433" s="62"/>
      <c r="EP433" s="62"/>
      <c r="EQ433" s="62"/>
      <c r="ER433" s="62"/>
      <c r="ES433" s="62"/>
      <c r="ET433" s="62"/>
      <c r="EU433" s="62"/>
      <c r="EV433" s="62"/>
      <c r="EW433" s="62"/>
      <c r="EX433" s="62"/>
      <c r="EY433" s="62"/>
      <c r="EZ433" s="62"/>
      <c r="FA433" s="62"/>
      <c r="FB433" s="62"/>
      <c r="FC433" s="62"/>
      <c r="FD433" s="62"/>
      <c r="FE433" s="62"/>
      <c r="FF433" s="62"/>
      <c r="FG433" s="62"/>
      <c r="FH433" s="62"/>
      <c r="FI433" s="62"/>
      <c r="FJ433" s="62"/>
      <c r="FK433" s="62"/>
      <c r="FL433" s="62"/>
      <c r="FM433" s="62"/>
      <c r="FN433" s="62"/>
      <c r="FO433" s="62"/>
      <c r="FP433" s="62"/>
      <c r="FQ433" s="62"/>
      <c r="FR433" s="62"/>
      <c r="FS433" s="62"/>
      <c r="FT433" s="62"/>
      <c r="FU433" s="62"/>
      <c r="FV433" s="62"/>
    </row>
    <row r="434" spans="1:178" ht="13.8">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c r="AY434" s="62"/>
      <c r="AZ434" s="62"/>
      <c r="BA434" s="62"/>
      <c r="BB434" s="62"/>
      <c r="BC434" s="62"/>
      <c r="BD434" s="62"/>
      <c r="BE434" s="62"/>
      <c r="BF434" s="62"/>
      <c r="BG434" s="62"/>
      <c r="BH434" s="62"/>
      <c r="BI434" s="62"/>
      <c r="BJ434" s="62"/>
      <c r="BK434" s="62"/>
      <c r="BL434" s="62"/>
      <c r="BM434" s="62"/>
      <c r="BN434" s="62"/>
      <c r="BO434" s="62"/>
      <c r="BP434" s="62"/>
      <c r="BQ434" s="62"/>
      <c r="BR434" s="62"/>
      <c r="BS434" s="62"/>
      <c r="BT434" s="62"/>
      <c r="BU434" s="62"/>
      <c r="BV434" s="62"/>
      <c r="BW434" s="62"/>
      <c r="BX434" s="62"/>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62"/>
      <c r="CX434" s="62"/>
      <c r="CY434" s="62"/>
      <c r="CZ434" s="62"/>
      <c r="DA434" s="62"/>
      <c r="DB434" s="62"/>
      <c r="DC434" s="62"/>
      <c r="DD434" s="62"/>
      <c r="DE434" s="62"/>
      <c r="DF434" s="62"/>
      <c r="DG434" s="62"/>
      <c r="DH434" s="62"/>
      <c r="DI434" s="62"/>
      <c r="DJ434" s="62"/>
      <c r="DK434" s="62"/>
      <c r="DL434" s="62"/>
      <c r="DM434" s="62"/>
      <c r="DN434" s="62"/>
      <c r="DO434" s="62"/>
      <c r="DP434" s="62"/>
      <c r="DQ434" s="62"/>
      <c r="DR434" s="62"/>
      <c r="DS434" s="62"/>
      <c r="DT434" s="62"/>
      <c r="DU434" s="62"/>
      <c r="DV434" s="62"/>
      <c r="DW434" s="62"/>
      <c r="DX434" s="62"/>
      <c r="DY434" s="62"/>
      <c r="DZ434" s="62"/>
      <c r="EA434" s="62"/>
      <c r="EB434" s="62"/>
      <c r="EC434" s="62"/>
      <c r="ED434" s="62"/>
      <c r="EE434" s="62"/>
      <c r="EF434" s="62"/>
      <c r="EG434" s="62"/>
      <c r="EH434" s="62"/>
      <c r="EI434" s="62"/>
      <c r="EJ434" s="62"/>
      <c r="EK434" s="62"/>
      <c r="EL434" s="62"/>
      <c r="EM434" s="62"/>
      <c r="EN434" s="62"/>
      <c r="EO434" s="62"/>
      <c r="EP434" s="62"/>
      <c r="EQ434" s="62"/>
      <c r="ER434" s="62"/>
      <c r="ES434" s="62"/>
      <c r="ET434" s="62"/>
      <c r="EU434" s="62"/>
      <c r="EV434" s="62"/>
      <c r="EW434" s="62"/>
      <c r="EX434" s="62"/>
      <c r="EY434" s="62"/>
      <c r="EZ434" s="62"/>
      <c r="FA434" s="62"/>
      <c r="FB434" s="62"/>
      <c r="FC434" s="62"/>
      <c r="FD434" s="62"/>
      <c r="FE434" s="62"/>
      <c r="FF434" s="62"/>
      <c r="FG434" s="62"/>
      <c r="FH434" s="62"/>
      <c r="FI434" s="62"/>
      <c r="FJ434" s="62"/>
      <c r="FK434" s="62"/>
      <c r="FL434" s="62"/>
      <c r="FM434" s="62"/>
      <c r="FN434" s="62"/>
      <c r="FO434" s="62"/>
      <c r="FP434" s="62"/>
      <c r="FQ434" s="62"/>
      <c r="FR434" s="62"/>
      <c r="FS434" s="62"/>
      <c r="FT434" s="62"/>
      <c r="FU434" s="62"/>
      <c r="FV434" s="62"/>
    </row>
    <row r="435" spans="1:178" ht="13.8">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c r="AY435" s="62"/>
      <c r="AZ435" s="62"/>
      <c r="BA435" s="62"/>
      <c r="BB435" s="62"/>
      <c r="BC435" s="62"/>
      <c r="BD435" s="62"/>
      <c r="BE435" s="62"/>
      <c r="BF435" s="62"/>
      <c r="BG435" s="62"/>
      <c r="BH435" s="62"/>
      <c r="BI435" s="62"/>
      <c r="BJ435" s="62"/>
      <c r="BK435" s="62"/>
      <c r="BL435" s="62"/>
      <c r="BM435" s="62"/>
      <c r="BN435" s="62"/>
      <c r="BO435" s="62"/>
      <c r="BP435" s="62"/>
      <c r="BQ435" s="62"/>
      <c r="BR435" s="62"/>
      <c r="BS435" s="62"/>
      <c r="BT435" s="62"/>
      <c r="BU435" s="62"/>
      <c r="BV435" s="62"/>
      <c r="BW435" s="62"/>
      <c r="BX435" s="62"/>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62"/>
      <c r="CX435" s="62"/>
      <c r="CY435" s="62"/>
      <c r="CZ435" s="62"/>
      <c r="DA435" s="62"/>
      <c r="DB435" s="62"/>
      <c r="DC435" s="62"/>
      <c r="DD435" s="62"/>
      <c r="DE435" s="62"/>
      <c r="DF435" s="62"/>
      <c r="DG435" s="62"/>
      <c r="DH435" s="62"/>
      <c r="DI435" s="62"/>
      <c r="DJ435" s="62"/>
      <c r="DK435" s="62"/>
      <c r="DL435" s="62"/>
      <c r="DM435" s="62"/>
      <c r="DN435" s="62"/>
      <c r="DO435" s="62"/>
      <c r="DP435" s="62"/>
      <c r="DQ435" s="62"/>
      <c r="DR435" s="62"/>
      <c r="DS435" s="62"/>
      <c r="DT435" s="62"/>
      <c r="DU435" s="62"/>
      <c r="DV435" s="62"/>
      <c r="DW435" s="62"/>
      <c r="DX435" s="62"/>
      <c r="DY435" s="62"/>
      <c r="DZ435" s="62"/>
      <c r="EA435" s="62"/>
      <c r="EB435" s="62"/>
      <c r="EC435" s="62"/>
      <c r="ED435" s="62"/>
      <c r="EE435" s="62"/>
      <c r="EF435" s="62"/>
      <c r="EG435" s="62"/>
      <c r="EH435" s="62"/>
      <c r="EI435" s="62"/>
      <c r="EJ435" s="62"/>
      <c r="EK435" s="62"/>
      <c r="EL435" s="62"/>
      <c r="EM435" s="62"/>
      <c r="EN435" s="62"/>
      <c r="EO435" s="62"/>
      <c r="EP435" s="62"/>
      <c r="EQ435" s="62"/>
      <c r="ER435" s="62"/>
      <c r="ES435" s="62"/>
      <c r="ET435" s="62"/>
      <c r="EU435" s="62"/>
      <c r="EV435" s="62"/>
      <c r="EW435" s="62"/>
      <c r="EX435" s="62"/>
      <c r="EY435" s="62"/>
      <c r="EZ435" s="62"/>
      <c r="FA435" s="62"/>
      <c r="FB435" s="62"/>
      <c r="FC435" s="62"/>
      <c r="FD435" s="62"/>
      <c r="FE435" s="62"/>
      <c r="FF435" s="62"/>
      <c r="FG435" s="62"/>
      <c r="FH435" s="62"/>
      <c r="FI435" s="62"/>
      <c r="FJ435" s="62"/>
      <c r="FK435" s="62"/>
      <c r="FL435" s="62"/>
      <c r="FM435" s="62"/>
      <c r="FN435" s="62"/>
      <c r="FO435" s="62"/>
      <c r="FP435" s="62"/>
      <c r="FQ435" s="62"/>
      <c r="FR435" s="62"/>
      <c r="FS435" s="62"/>
      <c r="FT435" s="62"/>
      <c r="FU435" s="62"/>
      <c r="FV435" s="62"/>
    </row>
    <row r="436" spans="1:178" ht="13.8">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c r="AY436" s="62"/>
      <c r="AZ436" s="62"/>
      <c r="BA436" s="62"/>
      <c r="BB436" s="62"/>
      <c r="BC436" s="62"/>
      <c r="BD436" s="62"/>
      <c r="BE436" s="62"/>
      <c r="BF436" s="62"/>
      <c r="BG436" s="62"/>
      <c r="BH436" s="62"/>
      <c r="BI436" s="62"/>
      <c r="BJ436" s="62"/>
      <c r="BK436" s="62"/>
      <c r="BL436" s="62"/>
      <c r="BM436" s="62"/>
      <c r="BN436" s="62"/>
      <c r="BO436" s="62"/>
      <c r="BP436" s="62"/>
      <c r="BQ436" s="62"/>
      <c r="BR436" s="62"/>
      <c r="BS436" s="62"/>
      <c r="BT436" s="62"/>
      <c r="BU436" s="62"/>
      <c r="BV436" s="62"/>
      <c r="BW436" s="62"/>
      <c r="BX436" s="62"/>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62"/>
      <c r="CX436" s="62"/>
      <c r="CY436" s="62"/>
      <c r="CZ436" s="62"/>
      <c r="DA436" s="62"/>
      <c r="DB436" s="62"/>
      <c r="DC436" s="62"/>
      <c r="DD436" s="62"/>
      <c r="DE436" s="62"/>
      <c r="DF436" s="62"/>
      <c r="DG436" s="62"/>
      <c r="DH436" s="62"/>
      <c r="DI436" s="62"/>
      <c r="DJ436" s="62"/>
      <c r="DK436" s="62"/>
      <c r="DL436" s="62"/>
      <c r="DM436" s="62"/>
      <c r="DN436" s="62"/>
      <c r="DO436" s="62"/>
      <c r="DP436" s="62"/>
      <c r="DQ436" s="62"/>
      <c r="DR436" s="62"/>
      <c r="DS436" s="62"/>
      <c r="DT436" s="62"/>
      <c r="DU436" s="62"/>
      <c r="DV436" s="62"/>
      <c r="DW436" s="62"/>
      <c r="DX436" s="62"/>
      <c r="DY436" s="62"/>
      <c r="DZ436" s="62"/>
      <c r="EA436" s="62"/>
      <c r="EB436" s="62"/>
      <c r="EC436" s="62"/>
      <c r="ED436" s="62"/>
      <c r="EE436" s="62"/>
      <c r="EF436" s="62"/>
      <c r="EG436" s="62"/>
      <c r="EH436" s="62"/>
      <c r="EI436" s="62"/>
      <c r="EJ436" s="62"/>
      <c r="EK436" s="62"/>
      <c r="EL436" s="62"/>
      <c r="EM436" s="62"/>
      <c r="EN436" s="62"/>
      <c r="EO436" s="62"/>
      <c r="EP436" s="62"/>
      <c r="EQ436" s="62"/>
      <c r="ER436" s="62"/>
      <c r="ES436" s="62"/>
      <c r="ET436" s="62"/>
      <c r="EU436" s="62"/>
      <c r="EV436" s="62"/>
      <c r="EW436" s="62"/>
      <c r="EX436" s="62"/>
      <c r="EY436" s="62"/>
      <c r="EZ436" s="62"/>
      <c r="FA436" s="62"/>
      <c r="FB436" s="62"/>
      <c r="FC436" s="62"/>
      <c r="FD436" s="62"/>
      <c r="FE436" s="62"/>
      <c r="FF436" s="62"/>
      <c r="FG436" s="62"/>
      <c r="FH436" s="62"/>
      <c r="FI436" s="62"/>
      <c r="FJ436" s="62"/>
      <c r="FK436" s="62"/>
      <c r="FL436" s="62"/>
      <c r="FM436" s="62"/>
      <c r="FN436" s="62"/>
      <c r="FO436" s="62"/>
      <c r="FP436" s="62"/>
      <c r="FQ436" s="62"/>
      <c r="FR436" s="62"/>
      <c r="FS436" s="62"/>
      <c r="FT436" s="62"/>
      <c r="FU436" s="62"/>
      <c r="FV436" s="62"/>
    </row>
    <row r="437" spans="1:178" ht="13.8">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c r="AY437" s="62"/>
      <c r="AZ437" s="62"/>
      <c r="BA437" s="62"/>
      <c r="BB437" s="62"/>
      <c r="BC437" s="62"/>
      <c r="BD437" s="62"/>
      <c r="BE437" s="62"/>
      <c r="BF437" s="62"/>
      <c r="BG437" s="62"/>
      <c r="BH437" s="62"/>
      <c r="BI437" s="62"/>
      <c r="BJ437" s="62"/>
      <c r="BK437" s="62"/>
      <c r="BL437" s="62"/>
      <c r="BM437" s="62"/>
      <c r="BN437" s="62"/>
      <c r="BO437" s="62"/>
      <c r="BP437" s="62"/>
      <c r="BQ437" s="62"/>
      <c r="BR437" s="62"/>
      <c r="BS437" s="62"/>
      <c r="BT437" s="62"/>
      <c r="BU437" s="62"/>
      <c r="BV437" s="62"/>
      <c r="BW437" s="62"/>
      <c r="BX437" s="62"/>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62"/>
      <c r="CX437" s="62"/>
      <c r="CY437" s="62"/>
      <c r="CZ437" s="62"/>
      <c r="DA437" s="62"/>
      <c r="DB437" s="62"/>
      <c r="DC437" s="62"/>
      <c r="DD437" s="62"/>
      <c r="DE437" s="62"/>
      <c r="DF437" s="62"/>
      <c r="DG437" s="62"/>
      <c r="DH437" s="62"/>
      <c r="DI437" s="62"/>
      <c r="DJ437" s="62"/>
      <c r="DK437" s="62"/>
      <c r="DL437" s="62"/>
      <c r="DM437" s="62"/>
      <c r="DN437" s="62"/>
      <c r="DO437" s="62"/>
      <c r="DP437" s="62"/>
      <c r="DQ437" s="62"/>
      <c r="DR437" s="62"/>
      <c r="DS437" s="62"/>
      <c r="DT437" s="62"/>
      <c r="DU437" s="62"/>
      <c r="DV437" s="62"/>
      <c r="DW437" s="62"/>
      <c r="DX437" s="62"/>
      <c r="DY437" s="62"/>
      <c r="DZ437" s="62"/>
      <c r="EA437" s="62"/>
      <c r="EB437" s="62"/>
      <c r="EC437" s="62"/>
      <c r="ED437" s="62"/>
      <c r="EE437" s="62"/>
      <c r="EF437" s="62"/>
      <c r="EG437" s="62"/>
      <c r="EH437" s="62"/>
      <c r="EI437" s="62"/>
      <c r="EJ437" s="62"/>
      <c r="EK437" s="62"/>
      <c r="EL437" s="62"/>
      <c r="EM437" s="62"/>
      <c r="EN437" s="62"/>
      <c r="EO437" s="62"/>
      <c r="EP437" s="62"/>
      <c r="EQ437" s="62"/>
      <c r="ER437" s="62"/>
      <c r="ES437" s="62"/>
      <c r="ET437" s="62"/>
      <c r="EU437" s="62"/>
      <c r="EV437" s="62"/>
      <c r="EW437" s="62"/>
      <c r="EX437" s="62"/>
      <c r="EY437" s="62"/>
      <c r="EZ437" s="62"/>
      <c r="FA437" s="62"/>
      <c r="FB437" s="62"/>
      <c r="FC437" s="62"/>
      <c r="FD437" s="62"/>
      <c r="FE437" s="62"/>
      <c r="FF437" s="62"/>
      <c r="FG437" s="62"/>
      <c r="FH437" s="62"/>
      <c r="FI437" s="62"/>
      <c r="FJ437" s="62"/>
      <c r="FK437" s="62"/>
      <c r="FL437" s="62"/>
      <c r="FM437" s="62"/>
      <c r="FN437" s="62"/>
      <c r="FO437" s="62"/>
      <c r="FP437" s="62"/>
      <c r="FQ437" s="62"/>
      <c r="FR437" s="62"/>
      <c r="FS437" s="62"/>
      <c r="FT437" s="62"/>
      <c r="FU437" s="62"/>
      <c r="FV437" s="62"/>
    </row>
    <row r="438" spans="1:178" ht="1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c r="AY438" s="62"/>
      <c r="AZ438" s="62"/>
      <c r="BA438" s="62"/>
      <c r="BB438" s="62"/>
      <c r="BC438" s="62"/>
      <c r="BD438" s="62"/>
      <c r="BE438" s="62"/>
      <c r="BF438" s="62"/>
      <c r="BG438" s="62"/>
      <c r="BH438" s="62"/>
      <c r="BI438" s="62"/>
      <c r="BJ438" s="62"/>
      <c r="BK438" s="62"/>
      <c r="BL438" s="62"/>
      <c r="BM438" s="62"/>
      <c r="BN438" s="62"/>
      <c r="BO438" s="62"/>
      <c r="BP438" s="62"/>
      <c r="BQ438" s="62"/>
      <c r="BR438" s="62"/>
      <c r="BS438" s="62"/>
      <c r="BT438" s="62"/>
      <c r="BU438" s="62"/>
      <c r="BV438" s="62"/>
      <c r="BW438" s="62"/>
      <c r="BX438" s="62"/>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62"/>
      <c r="CX438" s="62"/>
      <c r="CY438" s="62"/>
      <c r="CZ438" s="62"/>
      <c r="DA438" s="62"/>
      <c r="DB438" s="62"/>
      <c r="DC438" s="62"/>
      <c r="DD438" s="62"/>
      <c r="DE438" s="62"/>
      <c r="DF438" s="62"/>
      <c r="DG438" s="62"/>
      <c r="DH438" s="62"/>
      <c r="DI438" s="62"/>
      <c r="DJ438" s="62"/>
      <c r="DK438" s="62"/>
      <c r="DL438" s="62"/>
      <c r="DM438" s="62"/>
      <c r="DN438" s="62"/>
      <c r="DO438" s="62"/>
      <c r="DP438" s="62"/>
      <c r="DQ438" s="62"/>
      <c r="DR438" s="62"/>
      <c r="DS438" s="62"/>
      <c r="DT438" s="62"/>
      <c r="DU438" s="62"/>
      <c r="DV438" s="62"/>
      <c r="DW438" s="62"/>
      <c r="DX438" s="62"/>
      <c r="DY438" s="62"/>
      <c r="DZ438" s="62"/>
      <c r="EA438" s="62"/>
      <c r="EB438" s="62"/>
      <c r="EC438" s="62"/>
      <c r="ED438" s="62"/>
      <c r="EE438" s="62"/>
      <c r="EF438" s="62"/>
      <c r="EG438" s="62"/>
      <c r="EH438" s="62"/>
      <c r="EI438" s="62"/>
      <c r="EJ438" s="62"/>
      <c r="EK438" s="62"/>
      <c r="EL438" s="62"/>
      <c r="EM438" s="62"/>
      <c r="EN438" s="62"/>
      <c r="EO438" s="62"/>
      <c r="EP438" s="62"/>
      <c r="EQ438" s="62"/>
      <c r="ER438" s="62"/>
      <c r="ES438" s="62"/>
      <c r="ET438" s="62"/>
      <c r="EU438" s="62"/>
      <c r="EV438" s="62"/>
      <c r="EW438" s="62"/>
      <c r="EX438" s="62"/>
      <c r="EY438" s="62"/>
      <c r="EZ438" s="62"/>
      <c r="FA438" s="62"/>
      <c r="FB438" s="62"/>
      <c r="FC438" s="62"/>
      <c r="FD438" s="62"/>
      <c r="FE438" s="62"/>
      <c r="FF438" s="62"/>
      <c r="FG438" s="62"/>
      <c r="FH438" s="62"/>
      <c r="FI438" s="62"/>
      <c r="FJ438" s="62"/>
      <c r="FK438" s="62"/>
      <c r="FL438" s="62"/>
      <c r="FM438" s="62"/>
      <c r="FN438" s="62"/>
      <c r="FO438" s="62"/>
      <c r="FP438" s="62"/>
      <c r="FQ438" s="62"/>
      <c r="FR438" s="62"/>
      <c r="FS438" s="62"/>
      <c r="FT438" s="62"/>
      <c r="FU438" s="62"/>
      <c r="FV438" s="62"/>
    </row>
    <row r="439" spans="1:178" ht="13.8">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c r="AY439" s="62"/>
      <c r="AZ439" s="62"/>
      <c r="BA439" s="62"/>
      <c r="BB439" s="62"/>
      <c r="BC439" s="62"/>
      <c r="BD439" s="62"/>
      <c r="BE439" s="62"/>
      <c r="BF439" s="62"/>
      <c r="BG439" s="62"/>
      <c r="BH439" s="62"/>
      <c r="BI439" s="62"/>
      <c r="BJ439" s="62"/>
      <c r="BK439" s="62"/>
      <c r="BL439" s="62"/>
      <c r="BM439" s="62"/>
      <c r="BN439" s="62"/>
      <c r="BO439" s="62"/>
      <c r="BP439" s="62"/>
      <c r="BQ439" s="62"/>
      <c r="BR439" s="62"/>
      <c r="BS439" s="62"/>
      <c r="BT439" s="62"/>
      <c r="BU439" s="62"/>
      <c r="BV439" s="62"/>
      <c r="BW439" s="62"/>
      <c r="BX439" s="62"/>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62"/>
      <c r="CX439" s="62"/>
      <c r="CY439" s="62"/>
      <c r="CZ439" s="62"/>
      <c r="DA439" s="62"/>
      <c r="DB439" s="62"/>
      <c r="DC439" s="62"/>
      <c r="DD439" s="62"/>
      <c r="DE439" s="62"/>
      <c r="DF439" s="62"/>
      <c r="DG439" s="62"/>
      <c r="DH439" s="62"/>
      <c r="DI439" s="62"/>
      <c r="DJ439" s="62"/>
      <c r="DK439" s="62"/>
      <c r="DL439" s="62"/>
      <c r="DM439" s="62"/>
      <c r="DN439" s="62"/>
      <c r="DO439" s="62"/>
      <c r="DP439" s="62"/>
      <c r="DQ439" s="62"/>
      <c r="DR439" s="62"/>
      <c r="DS439" s="62"/>
      <c r="DT439" s="62"/>
      <c r="DU439" s="62"/>
      <c r="DV439" s="62"/>
      <c r="DW439" s="62"/>
      <c r="DX439" s="62"/>
      <c r="DY439" s="62"/>
      <c r="DZ439" s="62"/>
      <c r="EA439" s="62"/>
      <c r="EB439" s="62"/>
      <c r="EC439" s="62"/>
      <c r="ED439" s="62"/>
      <c r="EE439" s="62"/>
      <c r="EF439" s="62"/>
      <c r="EG439" s="62"/>
      <c r="EH439" s="62"/>
      <c r="EI439" s="62"/>
      <c r="EJ439" s="62"/>
      <c r="EK439" s="62"/>
      <c r="EL439" s="62"/>
      <c r="EM439" s="62"/>
      <c r="EN439" s="62"/>
      <c r="EO439" s="62"/>
      <c r="EP439" s="62"/>
      <c r="EQ439" s="62"/>
      <c r="ER439" s="62"/>
      <c r="ES439" s="62"/>
      <c r="ET439" s="62"/>
      <c r="EU439" s="62"/>
      <c r="EV439" s="62"/>
      <c r="EW439" s="62"/>
      <c r="EX439" s="62"/>
      <c r="EY439" s="62"/>
      <c r="EZ439" s="62"/>
      <c r="FA439" s="62"/>
      <c r="FB439" s="62"/>
      <c r="FC439" s="62"/>
      <c r="FD439" s="62"/>
      <c r="FE439" s="62"/>
      <c r="FF439" s="62"/>
      <c r="FG439" s="62"/>
      <c r="FH439" s="62"/>
      <c r="FI439" s="62"/>
      <c r="FJ439" s="62"/>
      <c r="FK439" s="62"/>
      <c r="FL439" s="62"/>
      <c r="FM439" s="62"/>
      <c r="FN439" s="62"/>
      <c r="FO439" s="62"/>
      <c r="FP439" s="62"/>
      <c r="FQ439" s="62"/>
      <c r="FR439" s="62"/>
      <c r="FS439" s="62"/>
      <c r="FT439" s="62"/>
      <c r="FU439" s="62"/>
      <c r="FV439" s="62"/>
    </row>
    <row r="440" spans="1:178" ht="13.8">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c r="AY440" s="62"/>
      <c r="AZ440" s="62"/>
      <c r="BA440" s="62"/>
      <c r="BB440" s="62"/>
      <c r="BC440" s="62"/>
      <c r="BD440" s="62"/>
      <c r="BE440" s="62"/>
      <c r="BF440" s="62"/>
      <c r="BG440" s="62"/>
      <c r="BH440" s="62"/>
      <c r="BI440" s="62"/>
      <c r="BJ440" s="62"/>
      <c r="BK440" s="62"/>
      <c r="BL440" s="62"/>
      <c r="BM440" s="62"/>
      <c r="BN440" s="62"/>
      <c r="BO440" s="62"/>
      <c r="BP440" s="62"/>
      <c r="BQ440" s="62"/>
      <c r="BR440" s="62"/>
      <c r="BS440" s="62"/>
      <c r="BT440" s="62"/>
      <c r="BU440" s="62"/>
      <c r="BV440" s="62"/>
      <c r="BW440" s="62"/>
      <c r="BX440" s="62"/>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62"/>
      <c r="CX440" s="62"/>
      <c r="CY440" s="62"/>
      <c r="CZ440" s="62"/>
      <c r="DA440" s="62"/>
      <c r="DB440" s="62"/>
      <c r="DC440" s="62"/>
      <c r="DD440" s="62"/>
      <c r="DE440" s="62"/>
      <c r="DF440" s="62"/>
      <c r="DG440" s="62"/>
      <c r="DH440" s="62"/>
      <c r="DI440" s="62"/>
      <c r="DJ440" s="62"/>
      <c r="DK440" s="62"/>
      <c r="DL440" s="62"/>
      <c r="DM440" s="62"/>
      <c r="DN440" s="62"/>
      <c r="DO440" s="62"/>
      <c r="DP440" s="62"/>
      <c r="DQ440" s="62"/>
      <c r="DR440" s="62"/>
      <c r="DS440" s="62"/>
      <c r="DT440" s="62"/>
      <c r="DU440" s="62"/>
      <c r="DV440" s="62"/>
      <c r="DW440" s="62"/>
      <c r="DX440" s="62"/>
      <c r="DY440" s="62"/>
      <c r="DZ440" s="62"/>
      <c r="EA440" s="62"/>
      <c r="EB440" s="62"/>
      <c r="EC440" s="62"/>
      <c r="ED440" s="62"/>
      <c r="EE440" s="62"/>
      <c r="EF440" s="62"/>
      <c r="EG440" s="62"/>
      <c r="EH440" s="62"/>
      <c r="EI440" s="62"/>
      <c r="EJ440" s="62"/>
      <c r="EK440" s="62"/>
      <c r="EL440" s="62"/>
      <c r="EM440" s="62"/>
      <c r="EN440" s="62"/>
      <c r="EO440" s="62"/>
      <c r="EP440" s="62"/>
      <c r="EQ440" s="62"/>
      <c r="ER440" s="62"/>
      <c r="ES440" s="62"/>
      <c r="ET440" s="62"/>
      <c r="EU440" s="62"/>
      <c r="EV440" s="62"/>
      <c r="EW440" s="62"/>
      <c r="EX440" s="62"/>
      <c r="EY440" s="62"/>
      <c r="EZ440" s="62"/>
      <c r="FA440" s="62"/>
      <c r="FB440" s="62"/>
      <c r="FC440" s="62"/>
      <c r="FD440" s="62"/>
      <c r="FE440" s="62"/>
      <c r="FF440" s="62"/>
      <c r="FG440" s="62"/>
      <c r="FH440" s="62"/>
      <c r="FI440" s="62"/>
      <c r="FJ440" s="62"/>
      <c r="FK440" s="62"/>
      <c r="FL440" s="62"/>
      <c r="FM440" s="62"/>
      <c r="FN440" s="62"/>
      <c r="FO440" s="62"/>
      <c r="FP440" s="62"/>
      <c r="FQ440" s="62"/>
      <c r="FR440" s="62"/>
      <c r="FS440" s="62"/>
      <c r="FT440" s="62"/>
      <c r="FU440" s="62"/>
      <c r="FV440" s="62"/>
    </row>
    <row r="441" spans="1:178" ht="13.8">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c r="AY441" s="62"/>
      <c r="AZ441" s="62"/>
      <c r="BA441" s="62"/>
      <c r="BB441" s="62"/>
      <c r="BC441" s="62"/>
      <c r="BD441" s="62"/>
      <c r="BE441" s="62"/>
      <c r="BF441" s="62"/>
      <c r="BG441" s="62"/>
      <c r="BH441" s="62"/>
      <c r="BI441" s="62"/>
      <c r="BJ441" s="62"/>
      <c r="BK441" s="62"/>
      <c r="BL441" s="62"/>
      <c r="BM441" s="62"/>
      <c r="BN441" s="62"/>
      <c r="BO441" s="62"/>
      <c r="BP441" s="62"/>
      <c r="BQ441" s="62"/>
      <c r="BR441" s="62"/>
      <c r="BS441" s="62"/>
      <c r="BT441" s="62"/>
      <c r="BU441" s="62"/>
      <c r="BV441" s="62"/>
      <c r="BW441" s="62"/>
      <c r="BX441" s="62"/>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62"/>
      <c r="CX441" s="62"/>
      <c r="CY441" s="62"/>
      <c r="CZ441" s="62"/>
      <c r="DA441" s="62"/>
      <c r="DB441" s="62"/>
      <c r="DC441" s="62"/>
      <c r="DD441" s="62"/>
      <c r="DE441" s="62"/>
      <c r="DF441" s="62"/>
      <c r="DG441" s="62"/>
      <c r="DH441" s="62"/>
      <c r="DI441" s="62"/>
      <c r="DJ441" s="62"/>
      <c r="DK441" s="62"/>
      <c r="DL441" s="62"/>
      <c r="DM441" s="62"/>
      <c r="DN441" s="62"/>
      <c r="DO441" s="62"/>
      <c r="DP441" s="62"/>
      <c r="DQ441" s="62"/>
      <c r="DR441" s="62"/>
      <c r="DS441" s="62"/>
      <c r="DT441" s="62"/>
      <c r="DU441" s="62"/>
      <c r="DV441" s="62"/>
      <c r="DW441" s="62"/>
      <c r="DX441" s="62"/>
      <c r="DY441" s="62"/>
      <c r="DZ441" s="62"/>
      <c r="EA441" s="62"/>
      <c r="EB441" s="62"/>
      <c r="EC441" s="62"/>
      <c r="ED441" s="62"/>
      <c r="EE441" s="62"/>
      <c r="EF441" s="62"/>
      <c r="EG441" s="62"/>
      <c r="EH441" s="62"/>
      <c r="EI441" s="62"/>
      <c r="EJ441" s="62"/>
      <c r="EK441" s="62"/>
      <c r="EL441" s="62"/>
      <c r="EM441" s="62"/>
      <c r="EN441" s="62"/>
      <c r="EO441" s="62"/>
      <c r="EP441" s="62"/>
      <c r="EQ441" s="62"/>
      <c r="ER441" s="62"/>
      <c r="ES441" s="62"/>
      <c r="ET441" s="62"/>
      <c r="EU441" s="62"/>
      <c r="EV441" s="62"/>
      <c r="EW441" s="62"/>
      <c r="EX441" s="62"/>
      <c r="EY441" s="62"/>
      <c r="EZ441" s="62"/>
      <c r="FA441" s="62"/>
      <c r="FB441" s="62"/>
      <c r="FC441" s="62"/>
      <c r="FD441" s="62"/>
      <c r="FE441" s="62"/>
      <c r="FF441" s="62"/>
      <c r="FG441" s="62"/>
      <c r="FH441" s="62"/>
      <c r="FI441" s="62"/>
      <c r="FJ441" s="62"/>
      <c r="FK441" s="62"/>
      <c r="FL441" s="62"/>
      <c r="FM441" s="62"/>
      <c r="FN441" s="62"/>
      <c r="FO441" s="62"/>
      <c r="FP441" s="62"/>
      <c r="FQ441" s="62"/>
      <c r="FR441" s="62"/>
      <c r="FS441" s="62"/>
      <c r="FT441" s="62"/>
      <c r="FU441" s="62"/>
      <c r="FV441" s="62"/>
    </row>
    <row r="442" spans="1:178" ht="13.8">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c r="AY442" s="62"/>
      <c r="AZ442" s="62"/>
      <c r="BA442" s="62"/>
      <c r="BB442" s="62"/>
      <c r="BC442" s="62"/>
      <c r="BD442" s="62"/>
      <c r="BE442" s="62"/>
      <c r="BF442" s="62"/>
      <c r="BG442" s="62"/>
      <c r="BH442" s="62"/>
      <c r="BI442" s="62"/>
      <c r="BJ442" s="62"/>
      <c r="BK442" s="62"/>
      <c r="BL442" s="62"/>
      <c r="BM442" s="62"/>
      <c r="BN442" s="62"/>
      <c r="BO442" s="62"/>
      <c r="BP442" s="62"/>
      <c r="BQ442" s="62"/>
      <c r="BR442" s="62"/>
      <c r="BS442" s="62"/>
      <c r="BT442" s="62"/>
      <c r="BU442" s="62"/>
      <c r="BV442" s="62"/>
      <c r="BW442" s="62"/>
      <c r="BX442" s="62"/>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62"/>
      <c r="CX442" s="62"/>
      <c r="CY442" s="62"/>
      <c r="CZ442" s="62"/>
      <c r="DA442" s="62"/>
      <c r="DB442" s="62"/>
      <c r="DC442" s="62"/>
      <c r="DD442" s="62"/>
      <c r="DE442" s="62"/>
      <c r="DF442" s="62"/>
      <c r="DG442" s="62"/>
      <c r="DH442" s="62"/>
      <c r="DI442" s="62"/>
      <c r="DJ442" s="62"/>
      <c r="DK442" s="62"/>
      <c r="DL442" s="62"/>
      <c r="DM442" s="62"/>
      <c r="DN442" s="62"/>
      <c r="DO442" s="62"/>
      <c r="DP442" s="62"/>
      <c r="DQ442" s="62"/>
      <c r="DR442" s="62"/>
      <c r="DS442" s="62"/>
      <c r="DT442" s="62"/>
      <c r="DU442" s="62"/>
      <c r="DV442" s="62"/>
      <c r="DW442" s="62"/>
      <c r="DX442" s="62"/>
      <c r="DY442" s="62"/>
      <c r="DZ442" s="62"/>
      <c r="EA442" s="62"/>
      <c r="EB442" s="62"/>
      <c r="EC442" s="62"/>
      <c r="ED442" s="62"/>
      <c r="EE442" s="62"/>
      <c r="EF442" s="62"/>
      <c r="EG442" s="62"/>
      <c r="EH442" s="62"/>
      <c r="EI442" s="62"/>
      <c r="EJ442" s="62"/>
      <c r="EK442" s="62"/>
      <c r="EL442" s="62"/>
      <c r="EM442" s="62"/>
      <c r="EN442" s="62"/>
      <c r="EO442" s="62"/>
      <c r="EP442" s="62"/>
      <c r="EQ442" s="62"/>
      <c r="ER442" s="62"/>
      <c r="ES442" s="62"/>
      <c r="ET442" s="62"/>
      <c r="EU442" s="62"/>
      <c r="EV442" s="62"/>
      <c r="EW442" s="62"/>
      <c r="EX442" s="62"/>
      <c r="EY442" s="62"/>
      <c r="EZ442" s="62"/>
      <c r="FA442" s="62"/>
      <c r="FB442" s="62"/>
      <c r="FC442" s="62"/>
      <c r="FD442" s="62"/>
      <c r="FE442" s="62"/>
      <c r="FF442" s="62"/>
      <c r="FG442" s="62"/>
      <c r="FH442" s="62"/>
      <c r="FI442" s="62"/>
      <c r="FJ442" s="62"/>
      <c r="FK442" s="62"/>
      <c r="FL442" s="62"/>
      <c r="FM442" s="62"/>
      <c r="FN442" s="62"/>
      <c r="FO442" s="62"/>
      <c r="FP442" s="62"/>
      <c r="FQ442" s="62"/>
      <c r="FR442" s="62"/>
      <c r="FS442" s="62"/>
      <c r="FT442" s="62"/>
      <c r="FU442" s="62"/>
      <c r="FV442" s="62"/>
    </row>
    <row r="443" spans="1:178" ht="13.8">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c r="AY443" s="62"/>
      <c r="AZ443" s="62"/>
      <c r="BA443" s="62"/>
      <c r="BB443" s="62"/>
      <c r="BC443" s="62"/>
      <c r="BD443" s="62"/>
      <c r="BE443" s="62"/>
      <c r="BF443" s="62"/>
      <c r="BG443" s="62"/>
      <c r="BH443" s="62"/>
      <c r="BI443" s="62"/>
      <c r="BJ443" s="62"/>
      <c r="BK443" s="62"/>
      <c r="BL443" s="62"/>
      <c r="BM443" s="62"/>
      <c r="BN443" s="62"/>
      <c r="BO443" s="62"/>
      <c r="BP443" s="62"/>
      <c r="BQ443" s="62"/>
      <c r="BR443" s="62"/>
      <c r="BS443" s="62"/>
      <c r="BT443" s="62"/>
      <c r="BU443" s="62"/>
      <c r="BV443" s="62"/>
      <c r="BW443" s="62"/>
      <c r="BX443" s="62"/>
      <c r="BY443" s="62"/>
      <c r="BZ443" s="62"/>
      <c r="CA443" s="62"/>
      <c r="CB443" s="62"/>
      <c r="CC443" s="62"/>
      <c r="CD443" s="62"/>
      <c r="CE443" s="62"/>
      <c r="CF443" s="62"/>
      <c r="CG443" s="62"/>
      <c r="CH443" s="62"/>
      <c r="CI443" s="62"/>
      <c r="CJ443" s="62"/>
      <c r="CK443" s="62"/>
      <c r="CL443" s="62"/>
      <c r="CM443" s="62"/>
      <c r="CN443" s="62"/>
      <c r="CO443" s="62"/>
      <c r="CP443" s="62"/>
      <c r="CQ443" s="62"/>
      <c r="CR443" s="62"/>
      <c r="CS443" s="62"/>
      <c r="CT443" s="62"/>
      <c r="CU443" s="62"/>
      <c r="CV443" s="62"/>
      <c r="CW443" s="62"/>
      <c r="CX443" s="62"/>
      <c r="CY443" s="62"/>
      <c r="CZ443" s="62"/>
      <c r="DA443" s="62"/>
      <c r="DB443" s="62"/>
      <c r="DC443" s="62"/>
      <c r="DD443" s="62"/>
      <c r="DE443" s="62"/>
      <c r="DF443" s="62"/>
      <c r="DG443" s="62"/>
      <c r="DH443" s="62"/>
      <c r="DI443" s="62"/>
      <c r="DJ443" s="62"/>
      <c r="DK443" s="62"/>
      <c r="DL443" s="62"/>
      <c r="DM443" s="62"/>
      <c r="DN443" s="62"/>
      <c r="DO443" s="62"/>
      <c r="DP443" s="62"/>
      <c r="DQ443" s="62"/>
      <c r="DR443" s="62"/>
      <c r="DS443" s="62"/>
      <c r="DT443" s="62"/>
      <c r="DU443" s="62"/>
      <c r="DV443" s="62"/>
      <c r="DW443" s="62"/>
      <c r="DX443" s="62"/>
      <c r="DY443" s="62"/>
      <c r="DZ443" s="62"/>
      <c r="EA443" s="62"/>
      <c r="EB443" s="62"/>
      <c r="EC443" s="62"/>
      <c r="ED443" s="62"/>
      <c r="EE443" s="62"/>
      <c r="EF443" s="62"/>
      <c r="EG443" s="62"/>
      <c r="EH443" s="62"/>
      <c r="EI443" s="62"/>
      <c r="EJ443" s="62"/>
      <c r="EK443" s="62"/>
      <c r="EL443" s="62"/>
      <c r="EM443" s="62"/>
      <c r="EN443" s="62"/>
      <c r="EO443" s="62"/>
      <c r="EP443" s="62"/>
      <c r="EQ443" s="62"/>
      <c r="ER443" s="62"/>
      <c r="ES443" s="62"/>
      <c r="ET443" s="62"/>
      <c r="EU443" s="62"/>
      <c r="EV443" s="62"/>
      <c r="EW443" s="62"/>
      <c r="EX443" s="62"/>
      <c r="EY443" s="62"/>
      <c r="EZ443" s="62"/>
      <c r="FA443" s="62"/>
      <c r="FB443" s="62"/>
      <c r="FC443" s="62"/>
      <c r="FD443" s="62"/>
      <c r="FE443" s="62"/>
      <c r="FF443" s="62"/>
      <c r="FG443" s="62"/>
      <c r="FH443" s="62"/>
      <c r="FI443" s="62"/>
      <c r="FJ443" s="62"/>
      <c r="FK443" s="62"/>
      <c r="FL443" s="62"/>
      <c r="FM443" s="62"/>
      <c r="FN443" s="62"/>
      <c r="FO443" s="62"/>
      <c r="FP443" s="62"/>
      <c r="FQ443" s="62"/>
      <c r="FR443" s="62"/>
      <c r="FS443" s="62"/>
      <c r="FT443" s="62"/>
      <c r="FU443" s="62"/>
      <c r="FV443" s="62"/>
    </row>
    <row r="444" spans="1:178" ht="13.8">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c r="AY444" s="62"/>
      <c r="AZ444" s="62"/>
      <c r="BA444" s="62"/>
      <c r="BB444" s="62"/>
      <c r="BC444" s="62"/>
      <c r="BD444" s="62"/>
      <c r="BE444" s="62"/>
      <c r="BF444" s="62"/>
      <c r="BG444" s="62"/>
      <c r="BH444" s="62"/>
      <c r="BI444" s="62"/>
      <c r="BJ444" s="62"/>
      <c r="BK444" s="62"/>
      <c r="BL444" s="62"/>
      <c r="BM444" s="62"/>
      <c r="BN444" s="62"/>
      <c r="BO444" s="62"/>
      <c r="BP444" s="62"/>
      <c r="BQ444" s="62"/>
      <c r="BR444" s="62"/>
      <c r="BS444" s="62"/>
      <c r="BT444" s="62"/>
      <c r="BU444" s="62"/>
      <c r="BV444" s="62"/>
      <c r="BW444" s="62"/>
      <c r="BX444" s="62"/>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62"/>
      <c r="CX444" s="62"/>
      <c r="CY444" s="62"/>
      <c r="CZ444" s="62"/>
      <c r="DA444" s="62"/>
      <c r="DB444" s="62"/>
      <c r="DC444" s="62"/>
      <c r="DD444" s="62"/>
      <c r="DE444" s="62"/>
      <c r="DF444" s="62"/>
      <c r="DG444" s="62"/>
      <c r="DH444" s="62"/>
      <c r="DI444" s="62"/>
      <c r="DJ444" s="62"/>
      <c r="DK444" s="62"/>
      <c r="DL444" s="62"/>
      <c r="DM444" s="62"/>
      <c r="DN444" s="62"/>
      <c r="DO444" s="62"/>
      <c r="DP444" s="62"/>
      <c r="DQ444" s="62"/>
      <c r="DR444" s="62"/>
      <c r="DS444" s="62"/>
      <c r="DT444" s="62"/>
      <c r="DU444" s="62"/>
      <c r="DV444" s="62"/>
      <c r="DW444" s="62"/>
      <c r="DX444" s="62"/>
      <c r="DY444" s="62"/>
      <c r="DZ444" s="62"/>
      <c r="EA444" s="62"/>
      <c r="EB444" s="62"/>
      <c r="EC444" s="62"/>
      <c r="ED444" s="62"/>
      <c r="EE444" s="62"/>
      <c r="EF444" s="62"/>
      <c r="EG444" s="62"/>
      <c r="EH444" s="62"/>
      <c r="EI444" s="62"/>
      <c r="EJ444" s="62"/>
      <c r="EK444" s="62"/>
      <c r="EL444" s="62"/>
      <c r="EM444" s="62"/>
      <c r="EN444" s="62"/>
      <c r="EO444" s="62"/>
      <c r="EP444" s="62"/>
      <c r="EQ444" s="62"/>
      <c r="ER444" s="62"/>
      <c r="ES444" s="62"/>
      <c r="ET444" s="62"/>
      <c r="EU444" s="62"/>
      <c r="EV444" s="62"/>
      <c r="EW444" s="62"/>
      <c r="EX444" s="62"/>
      <c r="EY444" s="62"/>
      <c r="EZ444" s="62"/>
      <c r="FA444" s="62"/>
      <c r="FB444" s="62"/>
      <c r="FC444" s="62"/>
      <c r="FD444" s="62"/>
      <c r="FE444" s="62"/>
      <c r="FF444" s="62"/>
      <c r="FG444" s="62"/>
      <c r="FH444" s="62"/>
      <c r="FI444" s="62"/>
      <c r="FJ444" s="62"/>
      <c r="FK444" s="62"/>
      <c r="FL444" s="62"/>
      <c r="FM444" s="62"/>
      <c r="FN444" s="62"/>
      <c r="FO444" s="62"/>
      <c r="FP444" s="62"/>
      <c r="FQ444" s="62"/>
      <c r="FR444" s="62"/>
      <c r="FS444" s="62"/>
      <c r="FT444" s="62"/>
      <c r="FU444" s="62"/>
      <c r="FV444" s="62"/>
    </row>
    <row r="445" spans="1:178" ht="13.8">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c r="AY445" s="62"/>
      <c r="AZ445" s="62"/>
      <c r="BA445" s="62"/>
      <c r="BB445" s="62"/>
      <c r="BC445" s="62"/>
      <c r="BD445" s="62"/>
      <c r="BE445" s="62"/>
      <c r="BF445" s="62"/>
      <c r="BG445" s="62"/>
      <c r="BH445" s="62"/>
      <c r="BI445" s="62"/>
      <c r="BJ445" s="62"/>
      <c r="BK445" s="62"/>
      <c r="BL445" s="62"/>
      <c r="BM445" s="62"/>
      <c r="BN445" s="62"/>
      <c r="BO445" s="62"/>
      <c r="BP445" s="62"/>
      <c r="BQ445" s="62"/>
      <c r="BR445" s="62"/>
      <c r="BS445" s="62"/>
      <c r="BT445" s="62"/>
      <c r="BU445" s="62"/>
      <c r="BV445" s="62"/>
      <c r="BW445" s="62"/>
      <c r="BX445" s="62"/>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62"/>
      <c r="CX445" s="62"/>
      <c r="CY445" s="62"/>
      <c r="CZ445" s="62"/>
      <c r="DA445" s="62"/>
      <c r="DB445" s="62"/>
      <c r="DC445" s="62"/>
      <c r="DD445" s="62"/>
      <c r="DE445" s="62"/>
      <c r="DF445" s="62"/>
      <c r="DG445" s="62"/>
      <c r="DH445" s="62"/>
      <c r="DI445" s="62"/>
      <c r="DJ445" s="62"/>
      <c r="DK445" s="62"/>
      <c r="DL445" s="62"/>
      <c r="DM445" s="62"/>
      <c r="DN445" s="62"/>
      <c r="DO445" s="62"/>
      <c r="DP445" s="62"/>
      <c r="DQ445" s="62"/>
      <c r="DR445" s="62"/>
      <c r="DS445" s="62"/>
      <c r="DT445" s="62"/>
      <c r="DU445" s="62"/>
      <c r="DV445" s="62"/>
      <c r="DW445" s="62"/>
      <c r="DX445" s="62"/>
      <c r="DY445" s="62"/>
      <c r="DZ445" s="62"/>
      <c r="EA445" s="62"/>
      <c r="EB445" s="62"/>
      <c r="EC445" s="62"/>
      <c r="ED445" s="62"/>
      <c r="EE445" s="62"/>
      <c r="EF445" s="62"/>
      <c r="EG445" s="62"/>
      <c r="EH445" s="62"/>
      <c r="EI445" s="62"/>
      <c r="EJ445" s="62"/>
      <c r="EK445" s="62"/>
      <c r="EL445" s="62"/>
      <c r="EM445" s="62"/>
      <c r="EN445" s="62"/>
      <c r="EO445" s="62"/>
      <c r="EP445" s="62"/>
      <c r="EQ445" s="62"/>
      <c r="ER445" s="62"/>
      <c r="ES445" s="62"/>
      <c r="ET445" s="62"/>
      <c r="EU445" s="62"/>
      <c r="EV445" s="62"/>
      <c r="EW445" s="62"/>
      <c r="EX445" s="62"/>
      <c r="EY445" s="62"/>
      <c r="EZ445" s="62"/>
      <c r="FA445" s="62"/>
      <c r="FB445" s="62"/>
      <c r="FC445" s="62"/>
      <c r="FD445" s="62"/>
      <c r="FE445" s="62"/>
      <c r="FF445" s="62"/>
      <c r="FG445" s="62"/>
      <c r="FH445" s="62"/>
      <c r="FI445" s="62"/>
      <c r="FJ445" s="62"/>
      <c r="FK445" s="62"/>
      <c r="FL445" s="62"/>
      <c r="FM445" s="62"/>
      <c r="FN445" s="62"/>
      <c r="FO445" s="62"/>
      <c r="FP445" s="62"/>
      <c r="FQ445" s="62"/>
      <c r="FR445" s="62"/>
      <c r="FS445" s="62"/>
      <c r="FT445" s="62"/>
      <c r="FU445" s="62"/>
      <c r="FV445" s="62"/>
    </row>
    <row r="446" spans="1:178" ht="13.8">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c r="AY446" s="62"/>
      <c r="AZ446" s="62"/>
      <c r="BA446" s="62"/>
      <c r="BB446" s="62"/>
      <c r="BC446" s="62"/>
      <c r="BD446" s="62"/>
      <c r="BE446" s="62"/>
      <c r="BF446" s="62"/>
      <c r="BG446" s="62"/>
      <c r="BH446" s="62"/>
      <c r="BI446" s="62"/>
      <c r="BJ446" s="62"/>
      <c r="BK446" s="62"/>
      <c r="BL446" s="62"/>
      <c r="BM446" s="62"/>
      <c r="BN446" s="62"/>
      <c r="BO446" s="62"/>
      <c r="BP446" s="62"/>
      <c r="BQ446" s="62"/>
      <c r="BR446" s="62"/>
      <c r="BS446" s="62"/>
      <c r="BT446" s="62"/>
      <c r="BU446" s="62"/>
      <c r="BV446" s="62"/>
      <c r="BW446" s="62"/>
      <c r="BX446" s="62"/>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62"/>
      <c r="CX446" s="62"/>
      <c r="CY446" s="62"/>
      <c r="CZ446" s="62"/>
      <c r="DA446" s="62"/>
      <c r="DB446" s="62"/>
      <c r="DC446" s="62"/>
      <c r="DD446" s="62"/>
      <c r="DE446" s="62"/>
      <c r="DF446" s="62"/>
      <c r="DG446" s="62"/>
      <c r="DH446" s="62"/>
      <c r="DI446" s="62"/>
      <c r="DJ446" s="62"/>
      <c r="DK446" s="62"/>
      <c r="DL446" s="62"/>
      <c r="DM446" s="62"/>
      <c r="DN446" s="62"/>
      <c r="DO446" s="62"/>
      <c r="DP446" s="62"/>
      <c r="DQ446" s="62"/>
      <c r="DR446" s="62"/>
      <c r="DS446" s="62"/>
      <c r="DT446" s="62"/>
      <c r="DU446" s="62"/>
      <c r="DV446" s="62"/>
      <c r="DW446" s="62"/>
      <c r="DX446" s="62"/>
      <c r="DY446" s="62"/>
      <c r="DZ446" s="62"/>
      <c r="EA446" s="62"/>
      <c r="EB446" s="62"/>
      <c r="EC446" s="62"/>
      <c r="ED446" s="62"/>
      <c r="EE446" s="62"/>
      <c r="EF446" s="62"/>
      <c r="EG446" s="62"/>
      <c r="EH446" s="62"/>
      <c r="EI446" s="62"/>
      <c r="EJ446" s="62"/>
      <c r="EK446" s="62"/>
      <c r="EL446" s="62"/>
      <c r="EM446" s="62"/>
      <c r="EN446" s="62"/>
      <c r="EO446" s="62"/>
      <c r="EP446" s="62"/>
      <c r="EQ446" s="62"/>
      <c r="ER446" s="62"/>
      <c r="ES446" s="62"/>
      <c r="ET446" s="62"/>
      <c r="EU446" s="62"/>
      <c r="EV446" s="62"/>
      <c r="EW446" s="62"/>
      <c r="EX446" s="62"/>
      <c r="EY446" s="62"/>
      <c r="EZ446" s="62"/>
      <c r="FA446" s="62"/>
      <c r="FB446" s="62"/>
      <c r="FC446" s="62"/>
      <c r="FD446" s="62"/>
      <c r="FE446" s="62"/>
      <c r="FF446" s="62"/>
      <c r="FG446" s="62"/>
      <c r="FH446" s="62"/>
      <c r="FI446" s="62"/>
      <c r="FJ446" s="62"/>
      <c r="FK446" s="62"/>
      <c r="FL446" s="62"/>
      <c r="FM446" s="62"/>
      <c r="FN446" s="62"/>
      <c r="FO446" s="62"/>
      <c r="FP446" s="62"/>
      <c r="FQ446" s="62"/>
      <c r="FR446" s="62"/>
      <c r="FS446" s="62"/>
      <c r="FT446" s="62"/>
      <c r="FU446" s="62"/>
      <c r="FV446" s="62"/>
    </row>
    <row r="447" spans="1:178" ht="13.8">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c r="AY447" s="62"/>
      <c r="AZ447" s="62"/>
      <c r="BA447" s="62"/>
      <c r="BB447" s="62"/>
      <c r="BC447" s="62"/>
      <c r="BD447" s="62"/>
      <c r="BE447" s="62"/>
      <c r="BF447" s="62"/>
      <c r="BG447" s="62"/>
      <c r="BH447" s="62"/>
      <c r="BI447" s="62"/>
      <c r="BJ447" s="62"/>
      <c r="BK447" s="62"/>
      <c r="BL447" s="62"/>
      <c r="BM447" s="62"/>
      <c r="BN447" s="62"/>
      <c r="BO447" s="62"/>
      <c r="BP447" s="62"/>
      <c r="BQ447" s="62"/>
      <c r="BR447" s="62"/>
      <c r="BS447" s="62"/>
      <c r="BT447" s="62"/>
      <c r="BU447" s="62"/>
      <c r="BV447" s="62"/>
      <c r="BW447" s="62"/>
      <c r="BX447" s="62"/>
      <c r="BY447" s="62"/>
      <c r="BZ447" s="62"/>
      <c r="CA447" s="62"/>
      <c r="CB447" s="62"/>
      <c r="CC447" s="62"/>
      <c r="CD447" s="62"/>
      <c r="CE447" s="62"/>
      <c r="CF447" s="62"/>
      <c r="CG447" s="62"/>
      <c r="CH447" s="62"/>
      <c r="CI447" s="62"/>
      <c r="CJ447" s="62"/>
      <c r="CK447" s="62"/>
      <c r="CL447" s="62"/>
      <c r="CM447" s="62"/>
      <c r="CN447" s="62"/>
      <c r="CO447" s="62"/>
      <c r="CP447" s="62"/>
      <c r="CQ447" s="62"/>
      <c r="CR447" s="62"/>
      <c r="CS447" s="62"/>
      <c r="CT447" s="62"/>
      <c r="CU447" s="62"/>
      <c r="CV447" s="62"/>
      <c r="CW447" s="62"/>
      <c r="CX447" s="62"/>
      <c r="CY447" s="62"/>
      <c r="CZ447" s="62"/>
      <c r="DA447" s="62"/>
      <c r="DB447" s="62"/>
      <c r="DC447" s="62"/>
      <c r="DD447" s="62"/>
      <c r="DE447" s="62"/>
      <c r="DF447" s="62"/>
      <c r="DG447" s="62"/>
      <c r="DH447" s="62"/>
      <c r="DI447" s="62"/>
      <c r="DJ447" s="62"/>
      <c r="DK447" s="62"/>
      <c r="DL447" s="62"/>
      <c r="DM447" s="62"/>
      <c r="DN447" s="62"/>
      <c r="DO447" s="62"/>
      <c r="DP447" s="62"/>
      <c r="DQ447" s="62"/>
      <c r="DR447" s="62"/>
      <c r="DS447" s="62"/>
      <c r="DT447" s="62"/>
      <c r="DU447" s="62"/>
      <c r="DV447" s="62"/>
      <c r="DW447" s="62"/>
      <c r="DX447" s="62"/>
      <c r="DY447" s="62"/>
      <c r="DZ447" s="62"/>
      <c r="EA447" s="62"/>
      <c r="EB447" s="62"/>
      <c r="EC447" s="62"/>
      <c r="ED447" s="62"/>
      <c r="EE447" s="62"/>
      <c r="EF447" s="62"/>
      <c r="EG447" s="62"/>
      <c r="EH447" s="62"/>
      <c r="EI447" s="62"/>
      <c r="EJ447" s="62"/>
      <c r="EK447" s="62"/>
      <c r="EL447" s="62"/>
      <c r="EM447" s="62"/>
      <c r="EN447" s="62"/>
      <c r="EO447" s="62"/>
      <c r="EP447" s="62"/>
      <c r="EQ447" s="62"/>
      <c r="ER447" s="62"/>
      <c r="ES447" s="62"/>
      <c r="ET447" s="62"/>
      <c r="EU447" s="62"/>
      <c r="EV447" s="62"/>
      <c r="EW447" s="62"/>
      <c r="EX447" s="62"/>
      <c r="EY447" s="62"/>
      <c r="EZ447" s="62"/>
      <c r="FA447" s="62"/>
      <c r="FB447" s="62"/>
      <c r="FC447" s="62"/>
      <c r="FD447" s="62"/>
      <c r="FE447" s="62"/>
      <c r="FF447" s="62"/>
      <c r="FG447" s="62"/>
      <c r="FH447" s="62"/>
      <c r="FI447" s="62"/>
      <c r="FJ447" s="62"/>
      <c r="FK447" s="62"/>
      <c r="FL447" s="62"/>
      <c r="FM447" s="62"/>
      <c r="FN447" s="62"/>
      <c r="FO447" s="62"/>
      <c r="FP447" s="62"/>
      <c r="FQ447" s="62"/>
      <c r="FR447" s="62"/>
      <c r="FS447" s="62"/>
      <c r="FT447" s="62"/>
      <c r="FU447" s="62"/>
      <c r="FV447" s="62"/>
    </row>
    <row r="448" spans="1:178" ht="13.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c r="AY448" s="62"/>
      <c r="AZ448" s="62"/>
      <c r="BA448" s="62"/>
      <c r="BB448" s="62"/>
      <c r="BC448" s="62"/>
      <c r="BD448" s="62"/>
      <c r="BE448" s="62"/>
      <c r="BF448" s="62"/>
      <c r="BG448" s="62"/>
      <c r="BH448" s="62"/>
      <c r="BI448" s="62"/>
      <c r="BJ448" s="62"/>
      <c r="BK448" s="62"/>
      <c r="BL448" s="62"/>
      <c r="BM448" s="62"/>
      <c r="BN448" s="62"/>
      <c r="BO448" s="62"/>
      <c r="BP448" s="62"/>
      <c r="BQ448" s="62"/>
      <c r="BR448" s="62"/>
      <c r="BS448" s="62"/>
      <c r="BT448" s="62"/>
      <c r="BU448" s="62"/>
      <c r="BV448" s="62"/>
      <c r="BW448" s="62"/>
      <c r="BX448" s="62"/>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62"/>
      <c r="CX448" s="62"/>
      <c r="CY448" s="62"/>
      <c r="CZ448" s="62"/>
      <c r="DA448" s="62"/>
      <c r="DB448" s="62"/>
      <c r="DC448" s="62"/>
      <c r="DD448" s="62"/>
      <c r="DE448" s="62"/>
      <c r="DF448" s="62"/>
      <c r="DG448" s="62"/>
      <c r="DH448" s="62"/>
      <c r="DI448" s="62"/>
      <c r="DJ448" s="62"/>
      <c r="DK448" s="62"/>
      <c r="DL448" s="62"/>
      <c r="DM448" s="62"/>
      <c r="DN448" s="62"/>
      <c r="DO448" s="62"/>
      <c r="DP448" s="62"/>
      <c r="DQ448" s="62"/>
      <c r="DR448" s="62"/>
      <c r="DS448" s="62"/>
      <c r="DT448" s="62"/>
      <c r="DU448" s="62"/>
      <c r="DV448" s="62"/>
      <c r="DW448" s="62"/>
      <c r="DX448" s="62"/>
      <c r="DY448" s="62"/>
      <c r="DZ448" s="62"/>
      <c r="EA448" s="62"/>
      <c r="EB448" s="62"/>
      <c r="EC448" s="62"/>
      <c r="ED448" s="62"/>
      <c r="EE448" s="62"/>
      <c r="EF448" s="62"/>
      <c r="EG448" s="62"/>
      <c r="EH448" s="62"/>
      <c r="EI448" s="62"/>
      <c r="EJ448" s="62"/>
      <c r="EK448" s="62"/>
      <c r="EL448" s="62"/>
      <c r="EM448" s="62"/>
      <c r="EN448" s="62"/>
      <c r="EO448" s="62"/>
      <c r="EP448" s="62"/>
      <c r="EQ448" s="62"/>
      <c r="ER448" s="62"/>
      <c r="ES448" s="62"/>
      <c r="ET448" s="62"/>
      <c r="EU448" s="62"/>
      <c r="EV448" s="62"/>
      <c r="EW448" s="62"/>
      <c r="EX448" s="62"/>
      <c r="EY448" s="62"/>
      <c r="EZ448" s="62"/>
      <c r="FA448" s="62"/>
      <c r="FB448" s="62"/>
      <c r="FC448" s="62"/>
      <c r="FD448" s="62"/>
      <c r="FE448" s="62"/>
      <c r="FF448" s="62"/>
      <c r="FG448" s="62"/>
      <c r="FH448" s="62"/>
      <c r="FI448" s="62"/>
      <c r="FJ448" s="62"/>
      <c r="FK448" s="62"/>
      <c r="FL448" s="62"/>
      <c r="FM448" s="62"/>
      <c r="FN448" s="62"/>
      <c r="FO448" s="62"/>
      <c r="FP448" s="62"/>
      <c r="FQ448" s="62"/>
      <c r="FR448" s="62"/>
      <c r="FS448" s="62"/>
      <c r="FT448" s="62"/>
      <c r="FU448" s="62"/>
      <c r="FV448" s="62"/>
    </row>
    <row r="449" spans="1:178" ht="13.8">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c r="AY449" s="62"/>
      <c r="AZ449" s="62"/>
      <c r="BA449" s="62"/>
      <c r="BB449" s="62"/>
      <c r="BC449" s="62"/>
      <c r="BD449" s="62"/>
      <c r="BE449" s="62"/>
      <c r="BF449" s="62"/>
      <c r="BG449" s="62"/>
      <c r="BH449" s="62"/>
      <c r="BI449" s="62"/>
      <c r="BJ449" s="62"/>
      <c r="BK449" s="62"/>
      <c r="BL449" s="62"/>
      <c r="BM449" s="62"/>
      <c r="BN449" s="62"/>
      <c r="BO449" s="62"/>
      <c r="BP449" s="62"/>
      <c r="BQ449" s="62"/>
      <c r="BR449" s="62"/>
      <c r="BS449" s="62"/>
      <c r="BT449" s="62"/>
      <c r="BU449" s="62"/>
      <c r="BV449" s="62"/>
      <c r="BW449" s="62"/>
      <c r="BX449" s="62"/>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62"/>
      <c r="CX449" s="62"/>
      <c r="CY449" s="62"/>
      <c r="CZ449" s="62"/>
      <c r="DA449" s="62"/>
      <c r="DB449" s="62"/>
      <c r="DC449" s="62"/>
      <c r="DD449" s="62"/>
      <c r="DE449" s="62"/>
      <c r="DF449" s="62"/>
      <c r="DG449" s="62"/>
      <c r="DH449" s="62"/>
      <c r="DI449" s="62"/>
      <c r="DJ449" s="62"/>
      <c r="DK449" s="62"/>
      <c r="DL449" s="62"/>
      <c r="DM449" s="62"/>
      <c r="DN449" s="62"/>
      <c r="DO449" s="62"/>
      <c r="DP449" s="62"/>
      <c r="DQ449" s="62"/>
      <c r="DR449" s="62"/>
      <c r="DS449" s="62"/>
      <c r="DT449" s="62"/>
      <c r="DU449" s="62"/>
      <c r="DV449" s="62"/>
      <c r="DW449" s="62"/>
      <c r="DX449" s="62"/>
      <c r="DY449" s="62"/>
      <c r="DZ449" s="62"/>
      <c r="EA449" s="62"/>
      <c r="EB449" s="62"/>
      <c r="EC449" s="62"/>
      <c r="ED449" s="62"/>
      <c r="EE449" s="62"/>
      <c r="EF449" s="62"/>
      <c r="EG449" s="62"/>
      <c r="EH449" s="62"/>
      <c r="EI449" s="62"/>
      <c r="EJ449" s="62"/>
      <c r="EK449" s="62"/>
      <c r="EL449" s="62"/>
      <c r="EM449" s="62"/>
      <c r="EN449" s="62"/>
      <c r="EO449" s="62"/>
      <c r="EP449" s="62"/>
      <c r="EQ449" s="62"/>
      <c r="ER449" s="62"/>
      <c r="ES449" s="62"/>
      <c r="ET449" s="62"/>
      <c r="EU449" s="62"/>
      <c r="EV449" s="62"/>
      <c r="EW449" s="62"/>
      <c r="EX449" s="62"/>
      <c r="EY449" s="62"/>
      <c r="EZ449" s="62"/>
      <c r="FA449" s="62"/>
      <c r="FB449" s="62"/>
      <c r="FC449" s="62"/>
      <c r="FD449" s="62"/>
      <c r="FE449" s="62"/>
      <c r="FF449" s="62"/>
      <c r="FG449" s="62"/>
      <c r="FH449" s="62"/>
      <c r="FI449" s="62"/>
      <c r="FJ449" s="62"/>
      <c r="FK449" s="62"/>
      <c r="FL449" s="62"/>
      <c r="FM449" s="62"/>
      <c r="FN449" s="62"/>
      <c r="FO449" s="62"/>
      <c r="FP449" s="62"/>
      <c r="FQ449" s="62"/>
      <c r="FR449" s="62"/>
      <c r="FS449" s="62"/>
      <c r="FT449" s="62"/>
      <c r="FU449" s="62"/>
      <c r="FV449" s="62"/>
    </row>
    <row r="450" spans="1:178" ht="13.8">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c r="AY450" s="62"/>
      <c r="AZ450" s="62"/>
      <c r="BA450" s="62"/>
      <c r="BB450" s="62"/>
      <c r="BC450" s="62"/>
      <c r="BD450" s="62"/>
      <c r="BE450" s="62"/>
      <c r="BF450" s="62"/>
      <c r="BG450" s="62"/>
      <c r="BH450" s="62"/>
      <c r="BI450" s="62"/>
      <c r="BJ450" s="62"/>
      <c r="BK450" s="62"/>
      <c r="BL450" s="62"/>
      <c r="BM450" s="62"/>
      <c r="BN450" s="62"/>
      <c r="BO450" s="62"/>
      <c r="BP450" s="62"/>
      <c r="BQ450" s="62"/>
      <c r="BR450" s="62"/>
      <c r="BS450" s="62"/>
      <c r="BT450" s="62"/>
      <c r="BU450" s="62"/>
      <c r="BV450" s="62"/>
      <c r="BW450" s="62"/>
      <c r="BX450" s="62"/>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62"/>
      <c r="CX450" s="62"/>
      <c r="CY450" s="62"/>
      <c r="CZ450" s="62"/>
      <c r="DA450" s="62"/>
      <c r="DB450" s="62"/>
      <c r="DC450" s="62"/>
      <c r="DD450" s="62"/>
      <c r="DE450" s="62"/>
      <c r="DF450" s="62"/>
      <c r="DG450" s="62"/>
      <c r="DH450" s="62"/>
      <c r="DI450" s="62"/>
      <c r="DJ450" s="62"/>
      <c r="DK450" s="62"/>
      <c r="DL450" s="62"/>
      <c r="DM450" s="62"/>
      <c r="DN450" s="62"/>
      <c r="DO450" s="62"/>
      <c r="DP450" s="62"/>
      <c r="DQ450" s="62"/>
      <c r="DR450" s="62"/>
      <c r="DS450" s="62"/>
      <c r="DT450" s="62"/>
      <c r="DU450" s="62"/>
      <c r="DV450" s="62"/>
      <c r="DW450" s="62"/>
      <c r="DX450" s="62"/>
      <c r="DY450" s="62"/>
      <c r="DZ450" s="62"/>
      <c r="EA450" s="62"/>
      <c r="EB450" s="62"/>
      <c r="EC450" s="62"/>
      <c r="ED450" s="62"/>
      <c r="EE450" s="62"/>
      <c r="EF450" s="62"/>
      <c r="EG450" s="62"/>
      <c r="EH450" s="62"/>
      <c r="EI450" s="62"/>
      <c r="EJ450" s="62"/>
      <c r="EK450" s="62"/>
      <c r="EL450" s="62"/>
      <c r="EM450" s="62"/>
      <c r="EN450" s="62"/>
      <c r="EO450" s="62"/>
      <c r="EP450" s="62"/>
      <c r="EQ450" s="62"/>
      <c r="ER450" s="62"/>
      <c r="ES450" s="62"/>
      <c r="ET450" s="62"/>
      <c r="EU450" s="62"/>
      <c r="EV450" s="62"/>
      <c r="EW450" s="62"/>
      <c r="EX450" s="62"/>
      <c r="EY450" s="62"/>
      <c r="EZ450" s="62"/>
      <c r="FA450" s="62"/>
      <c r="FB450" s="62"/>
      <c r="FC450" s="62"/>
      <c r="FD450" s="62"/>
      <c r="FE450" s="62"/>
      <c r="FF450" s="62"/>
      <c r="FG450" s="62"/>
      <c r="FH450" s="62"/>
      <c r="FI450" s="62"/>
      <c r="FJ450" s="62"/>
      <c r="FK450" s="62"/>
      <c r="FL450" s="62"/>
      <c r="FM450" s="62"/>
      <c r="FN450" s="62"/>
      <c r="FO450" s="62"/>
      <c r="FP450" s="62"/>
      <c r="FQ450" s="62"/>
      <c r="FR450" s="62"/>
      <c r="FS450" s="62"/>
      <c r="FT450" s="62"/>
      <c r="FU450" s="62"/>
      <c r="FV450" s="62"/>
    </row>
    <row r="451" spans="1:178" ht="13.8">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c r="AY451" s="62"/>
      <c r="AZ451" s="62"/>
      <c r="BA451" s="62"/>
      <c r="BB451" s="62"/>
      <c r="BC451" s="62"/>
      <c r="BD451" s="62"/>
      <c r="BE451" s="62"/>
      <c r="BF451" s="62"/>
      <c r="BG451" s="62"/>
      <c r="BH451" s="62"/>
      <c r="BI451" s="62"/>
      <c r="BJ451" s="62"/>
      <c r="BK451" s="62"/>
      <c r="BL451" s="62"/>
      <c r="BM451" s="62"/>
      <c r="BN451" s="62"/>
      <c r="BO451" s="62"/>
      <c r="BP451" s="62"/>
      <c r="BQ451" s="62"/>
      <c r="BR451" s="62"/>
      <c r="BS451" s="62"/>
      <c r="BT451" s="62"/>
      <c r="BU451" s="62"/>
      <c r="BV451" s="62"/>
      <c r="BW451" s="62"/>
      <c r="BX451" s="62"/>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62"/>
      <c r="CX451" s="62"/>
      <c r="CY451" s="62"/>
      <c r="CZ451" s="62"/>
      <c r="DA451" s="62"/>
      <c r="DB451" s="62"/>
      <c r="DC451" s="62"/>
      <c r="DD451" s="62"/>
      <c r="DE451" s="62"/>
      <c r="DF451" s="62"/>
      <c r="DG451" s="62"/>
      <c r="DH451" s="62"/>
      <c r="DI451" s="62"/>
      <c r="DJ451" s="62"/>
      <c r="DK451" s="62"/>
      <c r="DL451" s="62"/>
      <c r="DM451" s="62"/>
      <c r="DN451" s="62"/>
      <c r="DO451" s="62"/>
      <c r="DP451" s="62"/>
      <c r="DQ451" s="62"/>
      <c r="DR451" s="62"/>
      <c r="DS451" s="62"/>
      <c r="DT451" s="62"/>
      <c r="DU451" s="62"/>
      <c r="DV451" s="62"/>
      <c r="DW451" s="62"/>
      <c r="DX451" s="62"/>
      <c r="DY451" s="62"/>
      <c r="DZ451" s="62"/>
      <c r="EA451" s="62"/>
      <c r="EB451" s="62"/>
      <c r="EC451" s="62"/>
      <c r="ED451" s="62"/>
      <c r="EE451" s="62"/>
      <c r="EF451" s="62"/>
      <c r="EG451" s="62"/>
      <c r="EH451" s="62"/>
      <c r="EI451" s="62"/>
      <c r="EJ451" s="62"/>
      <c r="EK451" s="62"/>
      <c r="EL451" s="62"/>
      <c r="EM451" s="62"/>
      <c r="EN451" s="62"/>
      <c r="EO451" s="62"/>
      <c r="EP451" s="62"/>
      <c r="EQ451" s="62"/>
      <c r="ER451" s="62"/>
      <c r="ES451" s="62"/>
      <c r="ET451" s="62"/>
      <c r="EU451" s="62"/>
      <c r="EV451" s="62"/>
      <c r="EW451" s="62"/>
      <c r="EX451" s="62"/>
      <c r="EY451" s="62"/>
      <c r="EZ451" s="62"/>
      <c r="FA451" s="62"/>
      <c r="FB451" s="62"/>
      <c r="FC451" s="62"/>
      <c r="FD451" s="62"/>
      <c r="FE451" s="62"/>
      <c r="FF451" s="62"/>
      <c r="FG451" s="62"/>
      <c r="FH451" s="62"/>
      <c r="FI451" s="62"/>
      <c r="FJ451" s="62"/>
      <c r="FK451" s="62"/>
      <c r="FL451" s="62"/>
      <c r="FM451" s="62"/>
      <c r="FN451" s="62"/>
      <c r="FO451" s="62"/>
      <c r="FP451" s="62"/>
      <c r="FQ451" s="62"/>
      <c r="FR451" s="62"/>
      <c r="FS451" s="62"/>
      <c r="FT451" s="62"/>
      <c r="FU451" s="62"/>
      <c r="FV451" s="62"/>
    </row>
    <row r="452" spans="1:178" ht="13.8">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c r="AY452" s="62"/>
      <c r="AZ452" s="62"/>
      <c r="BA452" s="62"/>
      <c r="BB452" s="62"/>
      <c r="BC452" s="62"/>
      <c r="BD452" s="62"/>
      <c r="BE452" s="62"/>
      <c r="BF452" s="62"/>
      <c r="BG452" s="62"/>
      <c r="BH452" s="62"/>
      <c r="BI452" s="62"/>
      <c r="BJ452" s="62"/>
      <c r="BK452" s="62"/>
      <c r="BL452" s="62"/>
      <c r="BM452" s="62"/>
      <c r="BN452" s="62"/>
      <c r="BO452" s="62"/>
      <c r="BP452" s="62"/>
      <c r="BQ452" s="62"/>
      <c r="BR452" s="62"/>
      <c r="BS452" s="62"/>
      <c r="BT452" s="62"/>
      <c r="BU452" s="62"/>
      <c r="BV452" s="62"/>
      <c r="BW452" s="62"/>
      <c r="BX452" s="62"/>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62"/>
      <c r="CX452" s="62"/>
      <c r="CY452" s="62"/>
      <c r="CZ452" s="62"/>
      <c r="DA452" s="62"/>
      <c r="DB452" s="62"/>
      <c r="DC452" s="62"/>
      <c r="DD452" s="62"/>
      <c r="DE452" s="62"/>
      <c r="DF452" s="62"/>
      <c r="DG452" s="62"/>
      <c r="DH452" s="62"/>
      <c r="DI452" s="62"/>
      <c r="DJ452" s="62"/>
      <c r="DK452" s="62"/>
      <c r="DL452" s="62"/>
      <c r="DM452" s="62"/>
      <c r="DN452" s="62"/>
      <c r="DO452" s="62"/>
      <c r="DP452" s="62"/>
      <c r="DQ452" s="62"/>
      <c r="DR452" s="62"/>
      <c r="DS452" s="62"/>
      <c r="DT452" s="62"/>
      <c r="DU452" s="62"/>
      <c r="DV452" s="62"/>
      <c r="DW452" s="62"/>
      <c r="DX452" s="62"/>
      <c r="DY452" s="62"/>
      <c r="DZ452" s="62"/>
      <c r="EA452" s="62"/>
      <c r="EB452" s="62"/>
      <c r="EC452" s="62"/>
      <c r="ED452" s="62"/>
      <c r="EE452" s="62"/>
      <c r="EF452" s="62"/>
      <c r="EG452" s="62"/>
      <c r="EH452" s="62"/>
      <c r="EI452" s="62"/>
      <c r="EJ452" s="62"/>
      <c r="EK452" s="62"/>
      <c r="EL452" s="62"/>
      <c r="EM452" s="62"/>
      <c r="EN452" s="62"/>
      <c r="EO452" s="62"/>
      <c r="EP452" s="62"/>
      <c r="EQ452" s="62"/>
      <c r="ER452" s="62"/>
      <c r="ES452" s="62"/>
      <c r="ET452" s="62"/>
      <c r="EU452" s="62"/>
      <c r="EV452" s="62"/>
      <c r="EW452" s="62"/>
      <c r="EX452" s="62"/>
      <c r="EY452" s="62"/>
      <c r="EZ452" s="62"/>
      <c r="FA452" s="62"/>
      <c r="FB452" s="62"/>
      <c r="FC452" s="62"/>
      <c r="FD452" s="62"/>
      <c r="FE452" s="62"/>
      <c r="FF452" s="62"/>
      <c r="FG452" s="62"/>
      <c r="FH452" s="62"/>
      <c r="FI452" s="62"/>
      <c r="FJ452" s="62"/>
      <c r="FK452" s="62"/>
      <c r="FL452" s="62"/>
      <c r="FM452" s="62"/>
      <c r="FN452" s="62"/>
      <c r="FO452" s="62"/>
      <c r="FP452" s="62"/>
      <c r="FQ452" s="62"/>
      <c r="FR452" s="62"/>
      <c r="FS452" s="62"/>
      <c r="FT452" s="62"/>
      <c r="FU452" s="62"/>
      <c r="FV452" s="62"/>
    </row>
    <row r="453" spans="1:178" ht="13.8">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c r="AY453" s="62"/>
      <c r="AZ453" s="62"/>
      <c r="BA453" s="62"/>
      <c r="BB453" s="62"/>
      <c r="BC453" s="62"/>
      <c r="BD453" s="62"/>
      <c r="BE453" s="62"/>
      <c r="BF453" s="62"/>
      <c r="BG453" s="62"/>
      <c r="BH453" s="62"/>
      <c r="BI453" s="62"/>
      <c r="BJ453" s="62"/>
      <c r="BK453" s="62"/>
      <c r="BL453" s="62"/>
      <c r="BM453" s="62"/>
      <c r="BN453" s="62"/>
      <c r="BO453" s="62"/>
      <c r="BP453" s="62"/>
      <c r="BQ453" s="62"/>
      <c r="BR453" s="62"/>
      <c r="BS453" s="62"/>
      <c r="BT453" s="62"/>
      <c r="BU453" s="62"/>
      <c r="BV453" s="62"/>
      <c r="BW453" s="62"/>
      <c r="BX453" s="62"/>
      <c r="BY453" s="62"/>
      <c r="BZ453" s="62"/>
      <c r="CA453" s="62"/>
      <c r="CB453" s="62"/>
      <c r="CC453" s="62"/>
      <c r="CD453" s="62"/>
      <c r="CE453" s="62"/>
      <c r="CF453" s="62"/>
      <c r="CG453" s="62"/>
      <c r="CH453" s="62"/>
      <c r="CI453" s="62"/>
      <c r="CJ453" s="62"/>
      <c r="CK453" s="62"/>
      <c r="CL453" s="62"/>
      <c r="CM453" s="62"/>
      <c r="CN453" s="62"/>
      <c r="CO453" s="62"/>
      <c r="CP453" s="62"/>
      <c r="CQ453" s="62"/>
      <c r="CR453" s="62"/>
      <c r="CS453" s="62"/>
      <c r="CT453" s="62"/>
      <c r="CU453" s="62"/>
      <c r="CV453" s="62"/>
      <c r="CW453" s="62"/>
      <c r="CX453" s="62"/>
      <c r="CY453" s="62"/>
      <c r="CZ453" s="62"/>
      <c r="DA453" s="62"/>
      <c r="DB453" s="62"/>
      <c r="DC453" s="62"/>
      <c r="DD453" s="62"/>
      <c r="DE453" s="62"/>
      <c r="DF453" s="62"/>
      <c r="DG453" s="62"/>
      <c r="DH453" s="62"/>
      <c r="DI453" s="62"/>
      <c r="DJ453" s="62"/>
      <c r="DK453" s="62"/>
      <c r="DL453" s="62"/>
      <c r="DM453" s="62"/>
      <c r="DN453" s="62"/>
      <c r="DO453" s="62"/>
      <c r="DP453" s="62"/>
      <c r="DQ453" s="62"/>
      <c r="DR453" s="62"/>
      <c r="DS453" s="62"/>
      <c r="DT453" s="62"/>
      <c r="DU453" s="62"/>
      <c r="DV453" s="62"/>
      <c r="DW453" s="62"/>
      <c r="DX453" s="62"/>
      <c r="DY453" s="62"/>
      <c r="DZ453" s="62"/>
      <c r="EA453" s="62"/>
      <c r="EB453" s="62"/>
      <c r="EC453" s="62"/>
      <c r="ED453" s="62"/>
      <c r="EE453" s="62"/>
      <c r="EF453" s="62"/>
      <c r="EG453" s="62"/>
      <c r="EH453" s="62"/>
      <c r="EI453" s="62"/>
      <c r="EJ453" s="62"/>
      <c r="EK453" s="62"/>
      <c r="EL453" s="62"/>
      <c r="EM453" s="62"/>
      <c r="EN453" s="62"/>
      <c r="EO453" s="62"/>
      <c r="EP453" s="62"/>
      <c r="EQ453" s="62"/>
      <c r="ER453" s="62"/>
      <c r="ES453" s="62"/>
      <c r="ET453" s="62"/>
      <c r="EU453" s="62"/>
      <c r="EV453" s="62"/>
      <c r="EW453" s="62"/>
      <c r="EX453" s="62"/>
      <c r="EY453" s="62"/>
      <c r="EZ453" s="62"/>
      <c r="FA453" s="62"/>
      <c r="FB453" s="62"/>
      <c r="FC453" s="62"/>
      <c r="FD453" s="62"/>
      <c r="FE453" s="62"/>
      <c r="FF453" s="62"/>
      <c r="FG453" s="62"/>
      <c r="FH453" s="62"/>
      <c r="FI453" s="62"/>
      <c r="FJ453" s="62"/>
      <c r="FK453" s="62"/>
      <c r="FL453" s="62"/>
      <c r="FM453" s="62"/>
      <c r="FN453" s="62"/>
      <c r="FO453" s="62"/>
      <c r="FP453" s="62"/>
      <c r="FQ453" s="62"/>
      <c r="FR453" s="62"/>
      <c r="FS453" s="62"/>
      <c r="FT453" s="62"/>
      <c r="FU453" s="62"/>
      <c r="FV453" s="62"/>
    </row>
    <row r="454" spans="1:178" ht="13.8">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c r="AY454" s="62"/>
      <c r="AZ454" s="62"/>
      <c r="BA454" s="62"/>
      <c r="BB454" s="62"/>
      <c r="BC454" s="62"/>
      <c r="BD454" s="62"/>
      <c r="BE454" s="62"/>
      <c r="BF454" s="62"/>
      <c r="BG454" s="62"/>
      <c r="BH454" s="62"/>
      <c r="BI454" s="62"/>
      <c r="BJ454" s="62"/>
      <c r="BK454" s="62"/>
      <c r="BL454" s="62"/>
      <c r="BM454" s="62"/>
      <c r="BN454" s="62"/>
      <c r="BO454" s="62"/>
      <c r="BP454" s="62"/>
      <c r="BQ454" s="62"/>
      <c r="BR454" s="62"/>
      <c r="BS454" s="62"/>
      <c r="BT454" s="62"/>
      <c r="BU454" s="62"/>
      <c r="BV454" s="62"/>
      <c r="BW454" s="62"/>
      <c r="BX454" s="62"/>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62"/>
      <c r="CX454" s="62"/>
      <c r="CY454" s="62"/>
      <c r="CZ454" s="62"/>
      <c r="DA454" s="62"/>
      <c r="DB454" s="62"/>
      <c r="DC454" s="62"/>
      <c r="DD454" s="62"/>
      <c r="DE454" s="62"/>
      <c r="DF454" s="62"/>
      <c r="DG454" s="62"/>
      <c r="DH454" s="62"/>
      <c r="DI454" s="62"/>
      <c r="DJ454" s="62"/>
      <c r="DK454" s="62"/>
      <c r="DL454" s="62"/>
      <c r="DM454" s="62"/>
      <c r="DN454" s="62"/>
      <c r="DO454" s="62"/>
      <c r="DP454" s="62"/>
      <c r="DQ454" s="62"/>
      <c r="DR454" s="62"/>
      <c r="DS454" s="62"/>
      <c r="DT454" s="62"/>
      <c r="DU454" s="62"/>
      <c r="DV454" s="62"/>
      <c r="DW454" s="62"/>
      <c r="DX454" s="62"/>
      <c r="DY454" s="62"/>
      <c r="DZ454" s="62"/>
      <c r="EA454" s="62"/>
      <c r="EB454" s="62"/>
      <c r="EC454" s="62"/>
      <c r="ED454" s="62"/>
      <c r="EE454" s="62"/>
      <c r="EF454" s="62"/>
      <c r="EG454" s="62"/>
      <c r="EH454" s="62"/>
      <c r="EI454" s="62"/>
      <c r="EJ454" s="62"/>
      <c r="EK454" s="62"/>
      <c r="EL454" s="62"/>
      <c r="EM454" s="62"/>
      <c r="EN454" s="62"/>
      <c r="EO454" s="62"/>
      <c r="EP454" s="62"/>
      <c r="EQ454" s="62"/>
      <c r="ER454" s="62"/>
      <c r="ES454" s="62"/>
      <c r="ET454" s="62"/>
      <c r="EU454" s="62"/>
      <c r="EV454" s="62"/>
      <c r="EW454" s="62"/>
      <c r="EX454" s="62"/>
      <c r="EY454" s="62"/>
      <c r="EZ454" s="62"/>
      <c r="FA454" s="62"/>
      <c r="FB454" s="62"/>
      <c r="FC454" s="62"/>
      <c r="FD454" s="62"/>
      <c r="FE454" s="62"/>
      <c r="FF454" s="62"/>
      <c r="FG454" s="62"/>
      <c r="FH454" s="62"/>
      <c r="FI454" s="62"/>
      <c r="FJ454" s="62"/>
      <c r="FK454" s="62"/>
      <c r="FL454" s="62"/>
      <c r="FM454" s="62"/>
      <c r="FN454" s="62"/>
      <c r="FO454" s="62"/>
      <c r="FP454" s="62"/>
      <c r="FQ454" s="62"/>
      <c r="FR454" s="62"/>
      <c r="FS454" s="62"/>
      <c r="FT454" s="62"/>
      <c r="FU454" s="62"/>
      <c r="FV454" s="62"/>
    </row>
    <row r="455" spans="1:178" ht="13.8">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62"/>
      <c r="CX455" s="62"/>
      <c r="CY455" s="62"/>
      <c r="CZ455" s="62"/>
      <c r="DA455" s="62"/>
      <c r="DB455" s="62"/>
      <c r="DC455" s="62"/>
      <c r="DD455" s="62"/>
      <c r="DE455" s="62"/>
      <c r="DF455" s="62"/>
      <c r="DG455" s="62"/>
      <c r="DH455" s="62"/>
      <c r="DI455" s="62"/>
      <c r="DJ455" s="62"/>
      <c r="DK455" s="62"/>
      <c r="DL455" s="62"/>
      <c r="DM455" s="62"/>
      <c r="DN455" s="62"/>
      <c r="DO455" s="62"/>
      <c r="DP455" s="62"/>
      <c r="DQ455" s="62"/>
      <c r="DR455" s="62"/>
      <c r="DS455" s="62"/>
      <c r="DT455" s="62"/>
      <c r="DU455" s="62"/>
      <c r="DV455" s="62"/>
      <c r="DW455" s="62"/>
      <c r="DX455" s="62"/>
      <c r="DY455" s="62"/>
      <c r="DZ455" s="62"/>
      <c r="EA455" s="62"/>
      <c r="EB455" s="62"/>
      <c r="EC455" s="62"/>
      <c r="ED455" s="62"/>
      <c r="EE455" s="62"/>
      <c r="EF455" s="62"/>
      <c r="EG455" s="62"/>
      <c r="EH455" s="62"/>
      <c r="EI455" s="62"/>
      <c r="EJ455" s="62"/>
      <c r="EK455" s="62"/>
      <c r="EL455" s="62"/>
      <c r="EM455" s="62"/>
      <c r="EN455" s="62"/>
      <c r="EO455" s="62"/>
      <c r="EP455" s="62"/>
      <c r="EQ455" s="62"/>
      <c r="ER455" s="62"/>
      <c r="ES455" s="62"/>
      <c r="ET455" s="62"/>
      <c r="EU455" s="62"/>
      <c r="EV455" s="62"/>
      <c r="EW455" s="62"/>
      <c r="EX455" s="62"/>
      <c r="EY455" s="62"/>
      <c r="EZ455" s="62"/>
      <c r="FA455" s="62"/>
      <c r="FB455" s="62"/>
      <c r="FC455" s="62"/>
      <c r="FD455" s="62"/>
      <c r="FE455" s="62"/>
      <c r="FF455" s="62"/>
      <c r="FG455" s="62"/>
      <c r="FH455" s="62"/>
      <c r="FI455" s="62"/>
      <c r="FJ455" s="62"/>
      <c r="FK455" s="62"/>
      <c r="FL455" s="62"/>
      <c r="FM455" s="62"/>
      <c r="FN455" s="62"/>
      <c r="FO455" s="62"/>
      <c r="FP455" s="62"/>
      <c r="FQ455" s="62"/>
      <c r="FR455" s="62"/>
      <c r="FS455" s="62"/>
      <c r="FT455" s="62"/>
      <c r="FU455" s="62"/>
      <c r="FV455" s="62"/>
    </row>
    <row r="456" spans="1:178" ht="13.8">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c r="AY456" s="62"/>
      <c r="AZ456" s="62"/>
      <c r="BA456" s="62"/>
      <c r="BB456" s="62"/>
      <c r="BC456" s="62"/>
      <c r="BD456" s="62"/>
      <c r="BE456" s="62"/>
      <c r="BF456" s="62"/>
      <c r="BG456" s="62"/>
      <c r="BH456" s="62"/>
      <c r="BI456" s="62"/>
      <c r="BJ456" s="62"/>
      <c r="BK456" s="62"/>
      <c r="BL456" s="62"/>
      <c r="BM456" s="62"/>
      <c r="BN456" s="62"/>
      <c r="BO456" s="62"/>
      <c r="BP456" s="62"/>
      <c r="BQ456" s="62"/>
      <c r="BR456" s="62"/>
      <c r="BS456" s="62"/>
      <c r="BT456" s="62"/>
      <c r="BU456" s="62"/>
      <c r="BV456" s="62"/>
      <c r="BW456" s="62"/>
      <c r="BX456" s="62"/>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62"/>
      <c r="CX456" s="62"/>
      <c r="CY456" s="62"/>
      <c r="CZ456" s="62"/>
      <c r="DA456" s="62"/>
      <c r="DB456" s="62"/>
      <c r="DC456" s="62"/>
      <c r="DD456" s="62"/>
      <c r="DE456" s="62"/>
      <c r="DF456" s="62"/>
      <c r="DG456" s="62"/>
      <c r="DH456" s="62"/>
      <c r="DI456" s="62"/>
      <c r="DJ456" s="62"/>
      <c r="DK456" s="62"/>
      <c r="DL456" s="62"/>
      <c r="DM456" s="62"/>
      <c r="DN456" s="62"/>
      <c r="DO456" s="62"/>
      <c r="DP456" s="62"/>
      <c r="DQ456" s="62"/>
      <c r="DR456" s="62"/>
      <c r="DS456" s="62"/>
      <c r="DT456" s="62"/>
      <c r="DU456" s="62"/>
      <c r="DV456" s="62"/>
      <c r="DW456" s="62"/>
      <c r="DX456" s="62"/>
      <c r="DY456" s="62"/>
      <c r="DZ456" s="62"/>
      <c r="EA456" s="62"/>
      <c r="EB456" s="62"/>
      <c r="EC456" s="62"/>
      <c r="ED456" s="62"/>
      <c r="EE456" s="62"/>
      <c r="EF456" s="62"/>
      <c r="EG456" s="62"/>
      <c r="EH456" s="62"/>
      <c r="EI456" s="62"/>
      <c r="EJ456" s="62"/>
      <c r="EK456" s="62"/>
      <c r="EL456" s="62"/>
      <c r="EM456" s="62"/>
      <c r="EN456" s="62"/>
      <c r="EO456" s="62"/>
      <c r="EP456" s="62"/>
      <c r="EQ456" s="62"/>
      <c r="ER456" s="62"/>
      <c r="ES456" s="62"/>
      <c r="ET456" s="62"/>
      <c r="EU456" s="62"/>
      <c r="EV456" s="62"/>
      <c r="EW456" s="62"/>
      <c r="EX456" s="62"/>
      <c r="EY456" s="62"/>
      <c r="EZ456" s="62"/>
      <c r="FA456" s="62"/>
      <c r="FB456" s="62"/>
      <c r="FC456" s="62"/>
      <c r="FD456" s="62"/>
      <c r="FE456" s="62"/>
      <c r="FF456" s="62"/>
      <c r="FG456" s="62"/>
      <c r="FH456" s="62"/>
      <c r="FI456" s="62"/>
      <c r="FJ456" s="62"/>
      <c r="FK456" s="62"/>
      <c r="FL456" s="62"/>
      <c r="FM456" s="62"/>
      <c r="FN456" s="62"/>
      <c r="FO456" s="62"/>
      <c r="FP456" s="62"/>
      <c r="FQ456" s="62"/>
      <c r="FR456" s="62"/>
      <c r="FS456" s="62"/>
      <c r="FT456" s="62"/>
      <c r="FU456" s="62"/>
      <c r="FV456" s="62"/>
    </row>
    <row r="457" spans="1:178" ht="13.8">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c r="AY457" s="62"/>
      <c r="AZ457" s="62"/>
      <c r="BA457" s="62"/>
      <c r="BB457" s="62"/>
      <c r="BC457" s="62"/>
      <c r="BD457" s="62"/>
      <c r="BE457" s="62"/>
      <c r="BF457" s="62"/>
      <c r="BG457" s="62"/>
      <c r="BH457" s="62"/>
      <c r="BI457" s="62"/>
      <c r="BJ457" s="62"/>
      <c r="BK457" s="62"/>
      <c r="BL457" s="62"/>
      <c r="BM457" s="62"/>
      <c r="BN457" s="62"/>
      <c r="BO457" s="62"/>
      <c r="BP457" s="62"/>
      <c r="BQ457" s="62"/>
      <c r="BR457" s="62"/>
      <c r="BS457" s="62"/>
      <c r="BT457" s="62"/>
      <c r="BU457" s="62"/>
      <c r="BV457" s="62"/>
      <c r="BW457" s="62"/>
      <c r="BX457" s="62"/>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62"/>
      <c r="CX457" s="62"/>
      <c r="CY457" s="62"/>
      <c r="CZ457" s="62"/>
      <c r="DA457" s="62"/>
      <c r="DB457" s="62"/>
      <c r="DC457" s="62"/>
      <c r="DD457" s="62"/>
      <c r="DE457" s="62"/>
      <c r="DF457" s="62"/>
      <c r="DG457" s="62"/>
      <c r="DH457" s="62"/>
      <c r="DI457" s="62"/>
      <c r="DJ457" s="62"/>
      <c r="DK457" s="62"/>
      <c r="DL457" s="62"/>
      <c r="DM457" s="62"/>
      <c r="DN457" s="62"/>
      <c r="DO457" s="62"/>
      <c r="DP457" s="62"/>
      <c r="DQ457" s="62"/>
      <c r="DR457" s="62"/>
      <c r="DS457" s="62"/>
      <c r="DT457" s="62"/>
      <c r="DU457" s="62"/>
      <c r="DV457" s="62"/>
      <c r="DW457" s="62"/>
      <c r="DX457" s="62"/>
      <c r="DY457" s="62"/>
      <c r="DZ457" s="62"/>
      <c r="EA457" s="62"/>
      <c r="EB457" s="62"/>
      <c r="EC457" s="62"/>
      <c r="ED457" s="62"/>
      <c r="EE457" s="62"/>
      <c r="EF457" s="62"/>
      <c r="EG457" s="62"/>
      <c r="EH457" s="62"/>
      <c r="EI457" s="62"/>
      <c r="EJ457" s="62"/>
      <c r="EK457" s="62"/>
      <c r="EL457" s="62"/>
      <c r="EM457" s="62"/>
      <c r="EN457" s="62"/>
      <c r="EO457" s="62"/>
      <c r="EP457" s="62"/>
      <c r="EQ457" s="62"/>
      <c r="ER457" s="62"/>
      <c r="ES457" s="62"/>
      <c r="ET457" s="62"/>
      <c r="EU457" s="62"/>
      <c r="EV457" s="62"/>
      <c r="EW457" s="62"/>
      <c r="EX457" s="62"/>
      <c r="EY457" s="62"/>
      <c r="EZ457" s="62"/>
      <c r="FA457" s="62"/>
      <c r="FB457" s="62"/>
      <c r="FC457" s="62"/>
      <c r="FD457" s="62"/>
      <c r="FE457" s="62"/>
      <c r="FF457" s="62"/>
      <c r="FG457" s="62"/>
      <c r="FH457" s="62"/>
      <c r="FI457" s="62"/>
      <c r="FJ457" s="62"/>
      <c r="FK457" s="62"/>
      <c r="FL457" s="62"/>
      <c r="FM457" s="62"/>
      <c r="FN457" s="62"/>
      <c r="FO457" s="62"/>
      <c r="FP457" s="62"/>
      <c r="FQ457" s="62"/>
      <c r="FR457" s="62"/>
      <c r="FS457" s="62"/>
      <c r="FT457" s="62"/>
      <c r="FU457" s="62"/>
      <c r="FV457" s="62"/>
    </row>
    <row r="458" spans="1:178" ht="13.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c r="AY458" s="62"/>
      <c r="AZ458" s="62"/>
      <c r="BA458" s="62"/>
      <c r="BB458" s="62"/>
      <c r="BC458" s="62"/>
      <c r="BD458" s="62"/>
      <c r="BE458" s="62"/>
      <c r="BF458" s="62"/>
      <c r="BG458" s="62"/>
      <c r="BH458" s="62"/>
      <c r="BI458" s="62"/>
      <c r="BJ458" s="62"/>
      <c r="BK458" s="62"/>
      <c r="BL458" s="62"/>
      <c r="BM458" s="62"/>
      <c r="BN458" s="62"/>
      <c r="BO458" s="62"/>
      <c r="BP458" s="62"/>
      <c r="BQ458" s="62"/>
      <c r="BR458" s="62"/>
      <c r="BS458" s="62"/>
      <c r="BT458" s="62"/>
      <c r="BU458" s="62"/>
      <c r="BV458" s="62"/>
      <c r="BW458" s="62"/>
      <c r="BX458" s="62"/>
      <c r="BY458" s="62"/>
      <c r="BZ458" s="62"/>
      <c r="CA458" s="62"/>
      <c r="CB458" s="62"/>
      <c r="CC458" s="62"/>
      <c r="CD458" s="62"/>
      <c r="CE458" s="62"/>
      <c r="CF458" s="62"/>
      <c r="CG458" s="62"/>
      <c r="CH458" s="62"/>
      <c r="CI458" s="62"/>
      <c r="CJ458" s="62"/>
      <c r="CK458" s="62"/>
      <c r="CL458" s="62"/>
      <c r="CM458" s="62"/>
      <c r="CN458" s="62"/>
      <c r="CO458" s="62"/>
      <c r="CP458" s="62"/>
      <c r="CQ458" s="62"/>
      <c r="CR458" s="62"/>
      <c r="CS458" s="62"/>
      <c r="CT458" s="62"/>
      <c r="CU458" s="62"/>
      <c r="CV458" s="62"/>
      <c r="CW458" s="62"/>
      <c r="CX458" s="62"/>
      <c r="CY458" s="62"/>
      <c r="CZ458" s="62"/>
      <c r="DA458" s="62"/>
      <c r="DB458" s="62"/>
      <c r="DC458" s="62"/>
      <c r="DD458" s="62"/>
      <c r="DE458" s="62"/>
      <c r="DF458" s="62"/>
      <c r="DG458" s="62"/>
      <c r="DH458" s="62"/>
      <c r="DI458" s="62"/>
      <c r="DJ458" s="62"/>
      <c r="DK458" s="62"/>
      <c r="DL458" s="62"/>
      <c r="DM458" s="62"/>
      <c r="DN458" s="62"/>
      <c r="DO458" s="62"/>
      <c r="DP458" s="62"/>
      <c r="DQ458" s="62"/>
      <c r="DR458" s="62"/>
      <c r="DS458" s="62"/>
      <c r="DT458" s="62"/>
      <c r="DU458" s="62"/>
      <c r="DV458" s="62"/>
      <c r="DW458" s="62"/>
      <c r="DX458" s="62"/>
      <c r="DY458" s="62"/>
      <c r="DZ458" s="62"/>
      <c r="EA458" s="62"/>
      <c r="EB458" s="62"/>
      <c r="EC458" s="62"/>
      <c r="ED458" s="62"/>
      <c r="EE458" s="62"/>
      <c r="EF458" s="62"/>
      <c r="EG458" s="62"/>
      <c r="EH458" s="62"/>
      <c r="EI458" s="62"/>
      <c r="EJ458" s="62"/>
      <c r="EK458" s="62"/>
      <c r="EL458" s="62"/>
      <c r="EM458" s="62"/>
      <c r="EN458" s="62"/>
      <c r="EO458" s="62"/>
      <c r="EP458" s="62"/>
      <c r="EQ458" s="62"/>
      <c r="ER458" s="62"/>
      <c r="ES458" s="62"/>
      <c r="ET458" s="62"/>
      <c r="EU458" s="62"/>
      <c r="EV458" s="62"/>
      <c r="EW458" s="62"/>
      <c r="EX458" s="62"/>
      <c r="EY458" s="62"/>
      <c r="EZ458" s="62"/>
      <c r="FA458" s="62"/>
      <c r="FB458" s="62"/>
      <c r="FC458" s="62"/>
      <c r="FD458" s="62"/>
      <c r="FE458" s="62"/>
      <c r="FF458" s="62"/>
      <c r="FG458" s="62"/>
      <c r="FH458" s="62"/>
      <c r="FI458" s="62"/>
      <c r="FJ458" s="62"/>
      <c r="FK458" s="62"/>
      <c r="FL458" s="62"/>
      <c r="FM458" s="62"/>
      <c r="FN458" s="62"/>
      <c r="FO458" s="62"/>
      <c r="FP458" s="62"/>
      <c r="FQ458" s="62"/>
      <c r="FR458" s="62"/>
      <c r="FS458" s="62"/>
      <c r="FT458" s="62"/>
      <c r="FU458" s="62"/>
      <c r="FV458" s="62"/>
    </row>
    <row r="459" spans="1:178" ht="13.8">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c r="AY459" s="62"/>
      <c r="AZ459" s="62"/>
      <c r="BA459" s="62"/>
      <c r="BB459" s="62"/>
      <c r="BC459" s="62"/>
      <c r="BD459" s="62"/>
      <c r="BE459" s="62"/>
      <c r="BF459" s="62"/>
      <c r="BG459" s="62"/>
      <c r="BH459" s="62"/>
      <c r="BI459" s="62"/>
      <c r="BJ459" s="62"/>
      <c r="BK459" s="62"/>
      <c r="BL459" s="62"/>
      <c r="BM459" s="62"/>
      <c r="BN459" s="62"/>
      <c r="BO459" s="62"/>
      <c r="BP459" s="62"/>
      <c r="BQ459" s="62"/>
      <c r="BR459" s="62"/>
      <c r="BS459" s="62"/>
      <c r="BT459" s="62"/>
      <c r="BU459" s="62"/>
      <c r="BV459" s="62"/>
      <c r="BW459" s="62"/>
      <c r="BX459" s="62"/>
      <c r="BY459" s="62"/>
      <c r="BZ459" s="62"/>
      <c r="CA459" s="62"/>
      <c r="CB459" s="62"/>
      <c r="CC459" s="62"/>
      <c r="CD459" s="62"/>
      <c r="CE459" s="62"/>
      <c r="CF459" s="62"/>
      <c r="CG459" s="62"/>
      <c r="CH459" s="62"/>
      <c r="CI459" s="62"/>
      <c r="CJ459" s="62"/>
      <c r="CK459" s="62"/>
      <c r="CL459" s="62"/>
      <c r="CM459" s="62"/>
      <c r="CN459" s="62"/>
      <c r="CO459" s="62"/>
      <c r="CP459" s="62"/>
      <c r="CQ459" s="62"/>
      <c r="CR459" s="62"/>
      <c r="CS459" s="62"/>
      <c r="CT459" s="62"/>
      <c r="CU459" s="62"/>
      <c r="CV459" s="62"/>
      <c r="CW459" s="62"/>
      <c r="CX459" s="62"/>
      <c r="CY459" s="62"/>
      <c r="CZ459" s="62"/>
      <c r="DA459" s="62"/>
      <c r="DB459" s="62"/>
      <c r="DC459" s="62"/>
      <c r="DD459" s="62"/>
      <c r="DE459" s="62"/>
      <c r="DF459" s="62"/>
      <c r="DG459" s="62"/>
      <c r="DH459" s="62"/>
      <c r="DI459" s="62"/>
      <c r="DJ459" s="62"/>
      <c r="DK459" s="62"/>
      <c r="DL459" s="62"/>
      <c r="DM459" s="62"/>
      <c r="DN459" s="62"/>
      <c r="DO459" s="62"/>
      <c r="DP459" s="62"/>
      <c r="DQ459" s="62"/>
      <c r="DR459" s="62"/>
      <c r="DS459" s="62"/>
      <c r="DT459" s="62"/>
      <c r="DU459" s="62"/>
      <c r="DV459" s="62"/>
      <c r="DW459" s="62"/>
      <c r="DX459" s="62"/>
      <c r="DY459" s="62"/>
      <c r="DZ459" s="62"/>
      <c r="EA459" s="62"/>
      <c r="EB459" s="62"/>
      <c r="EC459" s="62"/>
      <c r="ED459" s="62"/>
      <c r="EE459" s="62"/>
      <c r="EF459" s="62"/>
      <c r="EG459" s="62"/>
      <c r="EH459" s="62"/>
      <c r="EI459" s="62"/>
      <c r="EJ459" s="62"/>
      <c r="EK459" s="62"/>
      <c r="EL459" s="62"/>
      <c r="EM459" s="62"/>
      <c r="EN459" s="62"/>
      <c r="EO459" s="62"/>
      <c r="EP459" s="62"/>
      <c r="EQ459" s="62"/>
      <c r="ER459" s="62"/>
      <c r="ES459" s="62"/>
      <c r="ET459" s="62"/>
      <c r="EU459" s="62"/>
      <c r="EV459" s="62"/>
      <c r="EW459" s="62"/>
      <c r="EX459" s="62"/>
      <c r="EY459" s="62"/>
      <c r="EZ459" s="62"/>
      <c r="FA459" s="62"/>
      <c r="FB459" s="62"/>
      <c r="FC459" s="62"/>
      <c r="FD459" s="62"/>
      <c r="FE459" s="62"/>
      <c r="FF459" s="62"/>
      <c r="FG459" s="62"/>
      <c r="FH459" s="62"/>
      <c r="FI459" s="62"/>
      <c r="FJ459" s="62"/>
      <c r="FK459" s="62"/>
      <c r="FL459" s="62"/>
      <c r="FM459" s="62"/>
      <c r="FN459" s="62"/>
      <c r="FO459" s="62"/>
      <c r="FP459" s="62"/>
      <c r="FQ459" s="62"/>
      <c r="FR459" s="62"/>
      <c r="FS459" s="62"/>
      <c r="FT459" s="62"/>
      <c r="FU459" s="62"/>
      <c r="FV459" s="62"/>
    </row>
    <row r="460" spans="1:178" ht="13.8">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c r="AY460" s="62"/>
      <c r="AZ460" s="62"/>
      <c r="BA460" s="62"/>
      <c r="BB460" s="62"/>
      <c r="BC460" s="62"/>
      <c r="BD460" s="62"/>
      <c r="BE460" s="62"/>
      <c r="BF460" s="62"/>
      <c r="BG460" s="62"/>
      <c r="BH460" s="62"/>
      <c r="BI460" s="62"/>
      <c r="BJ460" s="62"/>
      <c r="BK460" s="62"/>
      <c r="BL460" s="62"/>
      <c r="BM460" s="62"/>
      <c r="BN460" s="62"/>
      <c r="BO460" s="62"/>
      <c r="BP460" s="62"/>
      <c r="BQ460" s="62"/>
      <c r="BR460" s="62"/>
      <c r="BS460" s="62"/>
      <c r="BT460" s="62"/>
      <c r="BU460" s="62"/>
      <c r="BV460" s="62"/>
      <c r="BW460" s="62"/>
      <c r="BX460" s="62"/>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62"/>
      <c r="CX460" s="62"/>
      <c r="CY460" s="62"/>
      <c r="CZ460" s="62"/>
      <c r="DA460" s="62"/>
      <c r="DB460" s="62"/>
      <c r="DC460" s="62"/>
      <c r="DD460" s="62"/>
      <c r="DE460" s="62"/>
      <c r="DF460" s="62"/>
      <c r="DG460" s="62"/>
      <c r="DH460" s="62"/>
      <c r="DI460" s="62"/>
      <c r="DJ460" s="62"/>
      <c r="DK460" s="62"/>
      <c r="DL460" s="62"/>
      <c r="DM460" s="62"/>
      <c r="DN460" s="62"/>
      <c r="DO460" s="62"/>
      <c r="DP460" s="62"/>
      <c r="DQ460" s="62"/>
      <c r="DR460" s="62"/>
      <c r="DS460" s="62"/>
      <c r="DT460" s="62"/>
      <c r="DU460" s="62"/>
      <c r="DV460" s="62"/>
      <c r="DW460" s="62"/>
      <c r="DX460" s="62"/>
      <c r="DY460" s="62"/>
      <c r="DZ460" s="62"/>
      <c r="EA460" s="62"/>
      <c r="EB460" s="62"/>
      <c r="EC460" s="62"/>
      <c r="ED460" s="62"/>
      <c r="EE460" s="62"/>
      <c r="EF460" s="62"/>
      <c r="EG460" s="62"/>
      <c r="EH460" s="62"/>
      <c r="EI460" s="62"/>
      <c r="EJ460" s="62"/>
      <c r="EK460" s="62"/>
      <c r="EL460" s="62"/>
      <c r="EM460" s="62"/>
      <c r="EN460" s="62"/>
      <c r="EO460" s="62"/>
      <c r="EP460" s="62"/>
      <c r="EQ460" s="62"/>
      <c r="ER460" s="62"/>
      <c r="ES460" s="62"/>
      <c r="ET460" s="62"/>
      <c r="EU460" s="62"/>
      <c r="EV460" s="62"/>
      <c r="EW460" s="62"/>
      <c r="EX460" s="62"/>
      <c r="EY460" s="62"/>
      <c r="EZ460" s="62"/>
      <c r="FA460" s="62"/>
      <c r="FB460" s="62"/>
      <c r="FC460" s="62"/>
      <c r="FD460" s="62"/>
      <c r="FE460" s="62"/>
      <c r="FF460" s="62"/>
      <c r="FG460" s="62"/>
      <c r="FH460" s="62"/>
      <c r="FI460" s="62"/>
      <c r="FJ460" s="62"/>
      <c r="FK460" s="62"/>
      <c r="FL460" s="62"/>
      <c r="FM460" s="62"/>
      <c r="FN460" s="62"/>
      <c r="FO460" s="62"/>
      <c r="FP460" s="62"/>
      <c r="FQ460" s="62"/>
      <c r="FR460" s="62"/>
      <c r="FS460" s="62"/>
      <c r="FT460" s="62"/>
      <c r="FU460" s="62"/>
      <c r="FV460" s="62"/>
    </row>
    <row r="461" spans="1:178" ht="13.8">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c r="AY461" s="62"/>
      <c r="AZ461" s="62"/>
      <c r="BA461" s="62"/>
      <c r="BB461" s="62"/>
      <c r="BC461" s="62"/>
      <c r="BD461" s="62"/>
      <c r="BE461" s="62"/>
      <c r="BF461" s="62"/>
      <c r="BG461" s="62"/>
      <c r="BH461" s="62"/>
      <c r="BI461" s="62"/>
      <c r="BJ461" s="62"/>
      <c r="BK461" s="62"/>
      <c r="BL461" s="62"/>
      <c r="BM461" s="62"/>
      <c r="BN461" s="62"/>
      <c r="BO461" s="62"/>
      <c r="BP461" s="62"/>
      <c r="BQ461" s="62"/>
      <c r="BR461" s="62"/>
      <c r="BS461" s="62"/>
      <c r="BT461" s="62"/>
      <c r="BU461" s="62"/>
      <c r="BV461" s="62"/>
      <c r="BW461" s="62"/>
      <c r="BX461" s="62"/>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62"/>
      <c r="CX461" s="62"/>
      <c r="CY461" s="62"/>
      <c r="CZ461" s="62"/>
      <c r="DA461" s="62"/>
      <c r="DB461" s="62"/>
      <c r="DC461" s="62"/>
      <c r="DD461" s="62"/>
      <c r="DE461" s="62"/>
      <c r="DF461" s="62"/>
      <c r="DG461" s="62"/>
      <c r="DH461" s="62"/>
      <c r="DI461" s="62"/>
      <c r="DJ461" s="62"/>
      <c r="DK461" s="62"/>
      <c r="DL461" s="62"/>
      <c r="DM461" s="62"/>
      <c r="DN461" s="62"/>
      <c r="DO461" s="62"/>
      <c r="DP461" s="62"/>
      <c r="DQ461" s="62"/>
      <c r="DR461" s="62"/>
      <c r="DS461" s="62"/>
      <c r="DT461" s="62"/>
      <c r="DU461" s="62"/>
      <c r="DV461" s="62"/>
      <c r="DW461" s="62"/>
      <c r="DX461" s="62"/>
      <c r="DY461" s="62"/>
      <c r="DZ461" s="62"/>
      <c r="EA461" s="62"/>
      <c r="EB461" s="62"/>
      <c r="EC461" s="62"/>
      <c r="ED461" s="62"/>
      <c r="EE461" s="62"/>
      <c r="EF461" s="62"/>
      <c r="EG461" s="62"/>
      <c r="EH461" s="62"/>
      <c r="EI461" s="62"/>
      <c r="EJ461" s="62"/>
      <c r="EK461" s="62"/>
      <c r="EL461" s="62"/>
      <c r="EM461" s="62"/>
      <c r="EN461" s="62"/>
      <c r="EO461" s="62"/>
      <c r="EP461" s="62"/>
      <c r="EQ461" s="62"/>
      <c r="ER461" s="62"/>
      <c r="ES461" s="62"/>
      <c r="ET461" s="62"/>
      <c r="EU461" s="62"/>
      <c r="EV461" s="62"/>
      <c r="EW461" s="62"/>
      <c r="EX461" s="62"/>
      <c r="EY461" s="62"/>
      <c r="EZ461" s="62"/>
      <c r="FA461" s="62"/>
      <c r="FB461" s="62"/>
      <c r="FC461" s="62"/>
      <c r="FD461" s="62"/>
      <c r="FE461" s="62"/>
      <c r="FF461" s="62"/>
      <c r="FG461" s="62"/>
      <c r="FH461" s="62"/>
      <c r="FI461" s="62"/>
      <c r="FJ461" s="62"/>
      <c r="FK461" s="62"/>
      <c r="FL461" s="62"/>
      <c r="FM461" s="62"/>
      <c r="FN461" s="62"/>
      <c r="FO461" s="62"/>
      <c r="FP461" s="62"/>
      <c r="FQ461" s="62"/>
      <c r="FR461" s="62"/>
      <c r="FS461" s="62"/>
      <c r="FT461" s="62"/>
      <c r="FU461" s="62"/>
      <c r="FV461" s="62"/>
    </row>
    <row r="462" spans="1:178" ht="13.8">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c r="AY462" s="62"/>
      <c r="AZ462" s="62"/>
      <c r="BA462" s="62"/>
      <c r="BB462" s="62"/>
      <c r="BC462" s="62"/>
      <c r="BD462" s="62"/>
      <c r="BE462" s="62"/>
      <c r="BF462" s="62"/>
      <c r="BG462" s="62"/>
      <c r="BH462" s="62"/>
      <c r="BI462" s="62"/>
      <c r="BJ462" s="62"/>
      <c r="BK462" s="62"/>
      <c r="BL462" s="62"/>
      <c r="BM462" s="62"/>
      <c r="BN462" s="62"/>
      <c r="BO462" s="62"/>
      <c r="BP462" s="62"/>
      <c r="BQ462" s="62"/>
      <c r="BR462" s="62"/>
      <c r="BS462" s="62"/>
      <c r="BT462" s="62"/>
      <c r="BU462" s="62"/>
      <c r="BV462" s="62"/>
      <c r="BW462" s="62"/>
      <c r="BX462" s="62"/>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62"/>
      <c r="CX462" s="62"/>
      <c r="CY462" s="62"/>
      <c r="CZ462" s="62"/>
      <c r="DA462" s="62"/>
      <c r="DB462" s="62"/>
      <c r="DC462" s="62"/>
      <c r="DD462" s="62"/>
      <c r="DE462" s="62"/>
      <c r="DF462" s="62"/>
      <c r="DG462" s="62"/>
      <c r="DH462" s="62"/>
      <c r="DI462" s="62"/>
      <c r="DJ462" s="62"/>
      <c r="DK462" s="62"/>
      <c r="DL462" s="62"/>
      <c r="DM462" s="62"/>
      <c r="DN462" s="62"/>
      <c r="DO462" s="62"/>
      <c r="DP462" s="62"/>
      <c r="DQ462" s="62"/>
      <c r="DR462" s="62"/>
      <c r="DS462" s="62"/>
      <c r="DT462" s="62"/>
      <c r="DU462" s="62"/>
      <c r="DV462" s="62"/>
      <c r="DW462" s="62"/>
      <c r="DX462" s="62"/>
      <c r="DY462" s="62"/>
      <c r="DZ462" s="62"/>
      <c r="EA462" s="62"/>
      <c r="EB462" s="62"/>
      <c r="EC462" s="62"/>
      <c r="ED462" s="62"/>
      <c r="EE462" s="62"/>
      <c r="EF462" s="62"/>
      <c r="EG462" s="62"/>
      <c r="EH462" s="62"/>
      <c r="EI462" s="62"/>
      <c r="EJ462" s="62"/>
      <c r="EK462" s="62"/>
      <c r="EL462" s="62"/>
      <c r="EM462" s="62"/>
      <c r="EN462" s="62"/>
      <c r="EO462" s="62"/>
      <c r="EP462" s="62"/>
      <c r="EQ462" s="62"/>
      <c r="ER462" s="62"/>
      <c r="ES462" s="62"/>
      <c r="ET462" s="62"/>
      <c r="EU462" s="62"/>
      <c r="EV462" s="62"/>
      <c r="EW462" s="62"/>
      <c r="EX462" s="62"/>
      <c r="EY462" s="62"/>
      <c r="EZ462" s="62"/>
      <c r="FA462" s="62"/>
      <c r="FB462" s="62"/>
      <c r="FC462" s="62"/>
      <c r="FD462" s="62"/>
      <c r="FE462" s="62"/>
      <c r="FF462" s="62"/>
      <c r="FG462" s="62"/>
      <c r="FH462" s="62"/>
      <c r="FI462" s="62"/>
      <c r="FJ462" s="62"/>
      <c r="FK462" s="62"/>
      <c r="FL462" s="62"/>
      <c r="FM462" s="62"/>
      <c r="FN462" s="62"/>
      <c r="FO462" s="62"/>
      <c r="FP462" s="62"/>
      <c r="FQ462" s="62"/>
      <c r="FR462" s="62"/>
      <c r="FS462" s="62"/>
      <c r="FT462" s="62"/>
      <c r="FU462" s="62"/>
      <c r="FV462" s="62"/>
    </row>
    <row r="463" spans="1:178" ht="13.8">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c r="AY463" s="62"/>
      <c r="AZ463" s="62"/>
      <c r="BA463" s="62"/>
      <c r="BB463" s="62"/>
      <c r="BC463" s="62"/>
      <c r="BD463" s="62"/>
      <c r="BE463" s="62"/>
      <c r="BF463" s="62"/>
      <c r="BG463" s="62"/>
      <c r="BH463" s="62"/>
      <c r="BI463" s="62"/>
      <c r="BJ463" s="62"/>
      <c r="BK463" s="62"/>
      <c r="BL463" s="62"/>
      <c r="BM463" s="62"/>
      <c r="BN463" s="62"/>
      <c r="BO463" s="62"/>
      <c r="BP463" s="62"/>
      <c r="BQ463" s="62"/>
      <c r="BR463" s="62"/>
      <c r="BS463" s="62"/>
      <c r="BT463" s="62"/>
      <c r="BU463" s="62"/>
      <c r="BV463" s="62"/>
      <c r="BW463" s="62"/>
      <c r="BX463" s="62"/>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62"/>
      <c r="CX463" s="62"/>
      <c r="CY463" s="62"/>
      <c r="CZ463" s="62"/>
      <c r="DA463" s="62"/>
      <c r="DB463" s="62"/>
      <c r="DC463" s="62"/>
      <c r="DD463" s="62"/>
      <c r="DE463" s="62"/>
      <c r="DF463" s="62"/>
      <c r="DG463" s="62"/>
      <c r="DH463" s="62"/>
      <c r="DI463" s="62"/>
      <c r="DJ463" s="62"/>
      <c r="DK463" s="62"/>
      <c r="DL463" s="62"/>
      <c r="DM463" s="62"/>
      <c r="DN463" s="62"/>
      <c r="DO463" s="62"/>
      <c r="DP463" s="62"/>
      <c r="DQ463" s="62"/>
      <c r="DR463" s="62"/>
      <c r="DS463" s="62"/>
      <c r="DT463" s="62"/>
      <c r="DU463" s="62"/>
      <c r="DV463" s="62"/>
      <c r="DW463" s="62"/>
      <c r="DX463" s="62"/>
      <c r="DY463" s="62"/>
      <c r="DZ463" s="62"/>
      <c r="EA463" s="62"/>
      <c r="EB463" s="62"/>
      <c r="EC463" s="62"/>
      <c r="ED463" s="62"/>
      <c r="EE463" s="62"/>
      <c r="EF463" s="62"/>
      <c r="EG463" s="62"/>
      <c r="EH463" s="62"/>
      <c r="EI463" s="62"/>
      <c r="EJ463" s="62"/>
      <c r="EK463" s="62"/>
      <c r="EL463" s="62"/>
      <c r="EM463" s="62"/>
      <c r="EN463" s="62"/>
      <c r="EO463" s="62"/>
      <c r="EP463" s="62"/>
      <c r="EQ463" s="62"/>
      <c r="ER463" s="62"/>
      <c r="ES463" s="62"/>
      <c r="ET463" s="62"/>
      <c r="EU463" s="62"/>
      <c r="EV463" s="62"/>
      <c r="EW463" s="62"/>
      <c r="EX463" s="62"/>
      <c r="EY463" s="62"/>
      <c r="EZ463" s="62"/>
      <c r="FA463" s="62"/>
      <c r="FB463" s="62"/>
      <c r="FC463" s="62"/>
      <c r="FD463" s="62"/>
      <c r="FE463" s="62"/>
      <c r="FF463" s="62"/>
      <c r="FG463" s="62"/>
      <c r="FH463" s="62"/>
      <c r="FI463" s="62"/>
      <c r="FJ463" s="62"/>
      <c r="FK463" s="62"/>
      <c r="FL463" s="62"/>
      <c r="FM463" s="62"/>
      <c r="FN463" s="62"/>
      <c r="FO463" s="62"/>
      <c r="FP463" s="62"/>
      <c r="FQ463" s="62"/>
      <c r="FR463" s="62"/>
      <c r="FS463" s="62"/>
      <c r="FT463" s="62"/>
      <c r="FU463" s="62"/>
      <c r="FV463" s="62"/>
    </row>
    <row r="464" spans="1:178" ht="13.8">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c r="AY464" s="62"/>
      <c r="AZ464" s="62"/>
      <c r="BA464" s="62"/>
      <c r="BB464" s="62"/>
      <c r="BC464" s="62"/>
      <c r="BD464" s="62"/>
      <c r="BE464" s="62"/>
      <c r="BF464" s="62"/>
      <c r="BG464" s="62"/>
      <c r="BH464" s="62"/>
      <c r="BI464" s="62"/>
      <c r="BJ464" s="62"/>
      <c r="BK464" s="62"/>
      <c r="BL464" s="62"/>
      <c r="BM464" s="62"/>
      <c r="BN464" s="62"/>
      <c r="BO464" s="62"/>
      <c r="BP464" s="62"/>
      <c r="BQ464" s="62"/>
      <c r="BR464" s="62"/>
      <c r="BS464" s="62"/>
      <c r="BT464" s="62"/>
      <c r="BU464" s="62"/>
      <c r="BV464" s="62"/>
      <c r="BW464" s="62"/>
      <c r="BX464" s="62"/>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62"/>
      <c r="CX464" s="62"/>
      <c r="CY464" s="62"/>
      <c r="CZ464" s="62"/>
      <c r="DA464" s="62"/>
      <c r="DB464" s="62"/>
      <c r="DC464" s="62"/>
      <c r="DD464" s="62"/>
      <c r="DE464" s="62"/>
      <c r="DF464" s="62"/>
      <c r="DG464" s="62"/>
      <c r="DH464" s="62"/>
      <c r="DI464" s="62"/>
      <c r="DJ464" s="62"/>
      <c r="DK464" s="62"/>
      <c r="DL464" s="62"/>
      <c r="DM464" s="62"/>
      <c r="DN464" s="62"/>
      <c r="DO464" s="62"/>
      <c r="DP464" s="62"/>
      <c r="DQ464" s="62"/>
      <c r="DR464" s="62"/>
      <c r="DS464" s="62"/>
      <c r="DT464" s="62"/>
      <c r="DU464" s="62"/>
      <c r="DV464" s="62"/>
      <c r="DW464" s="62"/>
      <c r="DX464" s="62"/>
      <c r="DY464" s="62"/>
      <c r="DZ464" s="62"/>
      <c r="EA464" s="62"/>
      <c r="EB464" s="62"/>
      <c r="EC464" s="62"/>
      <c r="ED464" s="62"/>
      <c r="EE464" s="62"/>
      <c r="EF464" s="62"/>
      <c r="EG464" s="62"/>
      <c r="EH464" s="62"/>
      <c r="EI464" s="62"/>
      <c r="EJ464" s="62"/>
      <c r="EK464" s="62"/>
      <c r="EL464" s="62"/>
      <c r="EM464" s="62"/>
      <c r="EN464" s="62"/>
      <c r="EO464" s="62"/>
      <c r="EP464" s="62"/>
      <c r="EQ464" s="62"/>
      <c r="ER464" s="62"/>
      <c r="ES464" s="62"/>
      <c r="ET464" s="62"/>
      <c r="EU464" s="62"/>
      <c r="EV464" s="62"/>
      <c r="EW464" s="62"/>
      <c r="EX464" s="62"/>
      <c r="EY464" s="62"/>
      <c r="EZ464" s="62"/>
      <c r="FA464" s="62"/>
      <c r="FB464" s="62"/>
      <c r="FC464" s="62"/>
      <c r="FD464" s="62"/>
      <c r="FE464" s="62"/>
      <c r="FF464" s="62"/>
      <c r="FG464" s="62"/>
      <c r="FH464" s="62"/>
      <c r="FI464" s="62"/>
      <c r="FJ464" s="62"/>
      <c r="FK464" s="62"/>
      <c r="FL464" s="62"/>
      <c r="FM464" s="62"/>
      <c r="FN464" s="62"/>
      <c r="FO464" s="62"/>
      <c r="FP464" s="62"/>
      <c r="FQ464" s="62"/>
      <c r="FR464" s="62"/>
      <c r="FS464" s="62"/>
      <c r="FT464" s="62"/>
      <c r="FU464" s="62"/>
      <c r="FV464" s="62"/>
    </row>
    <row r="465" spans="1:178" ht="13.8">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c r="AY465" s="62"/>
      <c r="AZ465" s="62"/>
      <c r="BA465" s="62"/>
      <c r="BB465" s="62"/>
      <c r="BC465" s="62"/>
      <c r="BD465" s="62"/>
      <c r="BE465" s="62"/>
      <c r="BF465" s="62"/>
      <c r="BG465" s="62"/>
      <c r="BH465" s="62"/>
      <c r="BI465" s="62"/>
      <c r="BJ465" s="62"/>
      <c r="BK465" s="62"/>
      <c r="BL465" s="62"/>
      <c r="BM465" s="62"/>
      <c r="BN465" s="62"/>
      <c r="BO465" s="62"/>
      <c r="BP465" s="62"/>
      <c r="BQ465" s="62"/>
      <c r="BR465" s="62"/>
      <c r="BS465" s="62"/>
      <c r="BT465" s="62"/>
      <c r="BU465" s="62"/>
      <c r="BV465" s="62"/>
      <c r="BW465" s="62"/>
      <c r="BX465" s="62"/>
      <c r="BY465" s="62"/>
      <c r="BZ465" s="62"/>
      <c r="CA465" s="62"/>
      <c r="CB465" s="62"/>
      <c r="CC465" s="62"/>
      <c r="CD465" s="62"/>
      <c r="CE465" s="62"/>
      <c r="CF465" s="62"/>
      <c r="CG465" s="62"/>
      <c r="CH465" s="62"/>
      <c r="CI465" s="62"/>
      <c r="CJ465" s="62"/>
      <c r="CK465" s="62"/>
      <c r="CL465" s="62"/>
      <c r="CM465" s="62"/>
      <c r="CN465" s="62"/>
      <c r="CO465" s="62"/>
      <c r="CP465" s="62"/>
      <c r="CQ465" s="62"/>
      <c r="CR465" s="62"/>
      <c r="CS465" s="62"/>
      <c r="CT465" s="62"/>
      <c r="CU465" s="62"/>
      <c r="CV465" s="62"/>
      <c r="CW465" s="62"/>
      <c r="CX465" s="62"/>
      <c r="CY465" s="62"/>
      <c r="CZ465" s="62"/>
      <c r="DA465" s="62"/>
      <c r="DB465" s="62"/>
      <c r="DC465" s="62"/>
      <c r="DD465" s="62"/>
      <c r="DE465" s="62"/>
      <c r="DF465" s="62"/>
      <c r="DG465" s="62"/>
      <c r="DH465" s="62"/>
      <c r="DI465" s="62"/>
      <c r="DJ465" s="62"/>
      <c r="DK465" s="62"/>
      <c r="DL465" s="62"/>
      <c r="DM465" s="62"/>
      <c r="DN465" s="62"/>
      <c r="DO465" s="62"/>
      <c r="DP465" s="62"/>
      <c r="DQ465" s="62"/>
      <c r="DR465" s="62"/>
      <c r="DS465" s="62"/>
      <c r="DT465" s="62"/>
      <c r="DU465" s="62"/>
      <c r="DV465" s="62"/>
      <c r="DW465" s="62"/>
      <c r="DX465" s="62"/>
      <c r="DY465" s="62"/>
      <c r="DZ465" s="62"/>
      <c r="EA465" s="62"/>
      <c r="EB465" s="62"/>
      <c r="EC465" s="62"/>
      <c r="ED465" s="62"/>
      <c r="EE465" s="62"/>
      <c r="EF465" s="62"/>
      <c r="EG465" s="62"/>
      <c r="EH465" s="62"/>
      <c r="EI465" s="62"/>
      <c r="EJ465" s="62"/>
      <c r="EK465" s="62"/>
      <c r="EL465" s="62"/>
      <c r="EM465" s="62"/>
      <c r="EN465" s="62"/>
      <c r="EO465" s="62"/>
      <c r="EP465" s="62"/>
      <c r="EQ465" s="62"/>
      <c r="ER465" s="62"/>
      <c r="ES465" s="62"/>
      <c r="ET465" s="62"/>
      <c r="EU465" s="62"/>
      <c r="EV465" s="62"/>
      <c r="EW465" s="62"/>
      <c r="EX465" s="62"/>
      <c r="EY465" s="62"/>
      <c r="EZ465" s="62"/>
      <c r="FA465" s="62"/>
      <c r="FB465" s="62"/>
      <c r="FC465" s="62"/>
      <c r="FD465" s="62"/>
      <c r="FE465" s="62"/>
      <c r="FF465" s="62"/>
      <c r="FG465" s="62"/>
      <c r="FH465" s="62"/>
      <c r="FI465" s="62"/>
      <c r="FJ465" s="62"/>
      <c r="FK465" s="62"/>
      <c r="FL465" s="62"/>
      <c r="FM465" s="62"/>
      <c r="FN465" s="62"/>
      <c r="FO465" s="62"/>
      <c r="FP465" s="62"/>
      <c r="FQ465" s="62"/>
      <c r="FR465" s="62"/>
      <c r="FS465" s="62"/>
      <c r="FT465" s="62"/>
      <c r="FU465" s="62"/>
      <c r="FV465" s="62"/>
    </row>
    <row r="466" spans="1:178" ht="13.8">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62"/>
      <c r="CX466" s="62"/>
      <c r="CY466" s="62"/>
      <c r="CZ466" s="62"/>
      <c r="DA466" s="62"/>
      <c r="DB466" s="62"/>
      <c r="DC466" s="62"/>
      <c r="DD466" s="62"/>
      <c r="DE466" s="62"/>
      <c r="DF466" s="62"/>
      <c r="DG466" s="62"/>
      <c r="DH466" s="62"/>
      <c r="DI466" s="62"/>
      <c r="DJ466" s="62"/>
      <c r="DK466" s="62"/>
      <c r="DL466" s="62"/>
      <c r="DM466" s="62"/>
      <c r="DN466" s="62"/>
      <c r="DO466" s="62"/>
      <c r="DP466" s="62"/>
      <c r="DQ466" s="62"/>
      <c r="DR466" s="62"/>
      <c r="DS466" s="62"/>
      <c r="DT466" s="62"/>
      <c r="DU466" s="62"/>
      <c r="DV466" s="62"/>
      <c r="DW466" s="62"/>
      <c r="DX466" s="62"/>
      <c r="DY466" s="62"/>
      <c r="DZ466" s="62"/>
      <c r="EA466" s="62"/>
      <c r="EB466" s="62"/>
      <c r="EC466" s="62"/>
      <c r="ED466" s="62"/>
      <c r="EE466" s="62"/>
      <c r="EF466" s="62"/>
      <c r="EG466" s="62"/>
      <c r="EH466" s="62"/>
      <c r="EI466" s="62"/>
      <c r="EJ466" s="62"/>
      <c r="EK466" s="62"/>
      <c r="EL466" s="62"/>
      <c r="EM466" s="62"/>
      <c r="EN466" s="62"/>
      <c r="EO466" s="62"/>
      <c r="EP466" s="62"/>
      <c r="EQ466" s="62"/>
      <c r="ER466" s="62"/>
      <c r="ES466" s="62"/>
      <c r="ET466" s="62"/>
      <c r="EU466" s="62"/>
      <c r="EV466" s="62"/>
      <c r="EW466" s="62"/>
      <c r="EX466" s="62"/>
      <c r="EY466" s="62"/>
      <c r="EZ466" s="62"/>
      <c r="FA466" s="62"/>
      <c r="FB466" s="62"/>
      <c r="FC466" s="62"/>
      <c r="FD466" s="62"/>
      <c r="FE466" s="62"/>
      <c r="FF466" s="62"/>
      <c r="FG466" s="62"/>
      <c r="FH466" s="62"/>
      <c r="FI466" s="62"/>
      <c r="FJ466" s="62"/>
      <c r="FK466" s="62"/>
      <c r="FL466" s="62"/>
      <c r="FM466" s="62"/>
      <c r="FN466" s="62"/>
      <c r="FO466" s="62"/>
      <c r="FP466" s="62"/>
      <c r="FQ466" s="62"/>
      <c r="FR466" s="62"/>
      <c r="FS466" s="62"/>
      <c r="FT466" s="62"/>
      <c r="FU466" s="62"/>
      <c r="FV466" s="62"/>
    </row>
    <row r="467" spans="1:178" ht="13.8">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c r="AY467" s="62"/>
      <c r="AZ467" s="62"/>
      <c r="BA467" s="62"/>
      <c r="BB467" s="62"/>
      <c r="BC467" s="62"/>
      <c r="BD467" s="62"/>
      <c r="BE467" s="62"/>
      <c r="BF467" s="62"/>
      <c r="BG467" s="62"/>
      <c r="BH467" s="62"/>
      <c r="BI467" s="62"/>
      <c r="BJ467" s="62"/>
      <c r="BK467" s="62"/>
      <c r="BL467" s="62"/>
      <c r="BM467" s="62"/>
      <c r="BN467" s="62"/>
      <c r="BO467" s="62"/>
      <c r="BP467" s="62"/>
      <c r="BQ467" s="62"/>
      <c r="BR467" s="62"/>
      <c r="BS467" s="62"/>
      <c r="BT467" s="62"/>
      <c r="BU467" s="62"/>
      <c r="BV467" s="62"/>
      <c r="BW467" s="62"/>
      <c r="BX467" s="62"/>
      <c r="BY467" s="62"/>
      <c r="BZ467" s="62"/>
      <c r="CA467" s="62"/>
      <c r="CB467" s="62"/>
      <c r="CC467" s="62"/>
      <c r="CD467" s="62"/>
      <c r="CE467" s="62"/>
      <c r="CF467" s="62"/>
      <c r="CG467" s="62"/>
      <c r="CH467" s="62"/>
      <c r="CI467" s="62"/>
      <c r="CJ467" s="62"/>
      <c r="CK467" s="62"/>
      <c r="CL467" s="62"/>
      <c r="CM467" s="62"/>
      <c r="CN467" s="62"/>
      <c r="CO467" s="62"/>
      <c r="CP467" s="62"/>
      <c r="CQ467" s="62"/>
      <c r="CR467" s="62"/>
      <c r="CS467" s="62"/>
      <c r="CT467" s="62"/>
      <c r="CU467" s="62"/>
      <c r="CV467" s="62"/>
      <c r="CW467" s="62"/>
      <c r="CX467" s="62"/>
      <c r="CY467" s="62"/>
      <c r="CZ467" s="62"/>
      <c r="DA467" s="62"/>
      <c r="DB467" s="62"/>
      <c r="DC467" s="62"/>
      <c r="DD467" s="62"/>
      <c r="DE467" s="62"/>
      <c r="DF467" s="62"/>
      <c r="DG467" s="62"/>
      <c r="DH467" s="62"/>
      <c r="DI467" s="62"/>
      <c r="DJ467" s="62"/>
      <c r="DK467" s="62"/>
      <c r="DL467" s="62"/>
      <c r="DM467" s="62"/>
      <c r="DN467" s="62"/>
      <c r="DO467" s="62"/>
      <c r="DP467" s="62"/>
      <c r="DQ467" s="62"/>
      <c r="DR467" s="62"/>
      <c r="DS467" s="62"/>
      <c r="DT467" s="62"/>
      <c r="DU467" s="62"/>
      <c r="DV467" s="62"/>
      <c r="DW467" s="62"/>
      <c r="DX467" s="62"/>
      <c r="DY467" s="62"/>
      <c r="DZ467" s="62"/>
      <c r="EA467" s="62"/>
      <c r="EB467" s="62"/>
      <c r="EC467" s="62"/>
      <c r="ED467" s="62"/>
      <c r="EE467" s="62"/>
      <c r="EF467" s="62"/>
      <c r="EG467" s="62"/>
      <c r="EH467" s="62"/>
      <c r="EI467" s="62"/>
      <c r="EJ467" s="62"/>
      <c r="EK467" s="62"/>
      <c r="EL467" s="62"/>
      <c r="EM467" s="62"/>
      <c r="EN467" s="62"/>
      <c r="EO467" s="62"/>
      <c r="EP467" s="62"/>
      <c r="EQ467" s="62"/>
      <c r="ER467" s="62"/>
      <c r="ES467" s="62"/>
      <c r="ET467" s="62"/>
      <c r="EU467" s="62"/>
      <c r="EV467" s="62"/>
      <c r="EW467" s="62"/>
      <c r="EX467" s="62"/>
      <c r="EY467" s="62"/>
      <c r="EZ467" s="62"/>
      <c r="FA467" s="62"/>
      <c r="FB467" s="62"/>
      <c r="FC467" s="62"/>
      <c r="FD467" s="62"/>
      <c r="FE467" s="62"/>
      <c r="FF467" s="62"/>
      <c r="FG467" s="62"/>
      <c r="FH467" s="62"/>
      <c r="FI467" s="62"/>
      <c r="FJ467" s="62"/>
      <c r="FK467" s="62"/>
      <c r="FL467" s="62"/>
      <c r="FM467" s="62"/>
      <c r="FN467" s="62"/>
      <c r="FO467" s="62"/>
      <c r="FP467" s="62"/>
      <c r="FQ467" s="62"/>
      <c r="FR467" s="62"/>
      <c r="FS467" s="62"/>
      <c r="FT467" s="62"/>
      <c r="FU467" s="62"/>
      <c r="FV467" s="62"/>
    </row>
    <row r="468" spans="1:178" ht="13.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c r="AY468" s="62"/>
      <c r="AZ468" s="62"/>
      <c r="BA468" s="62"/>
      <c r="BB468" s="62"/>
      <c r="BC468" s="62"/>
      <c r="BD468" s="62"/>
      <c r="BE468" s="62"/>
      <c r="BF468" s="62"/>
      <c r="BG468" s="62"/>
      <c r="BH468" s="62"/>
      <c r="BI468" s="62"/>
      <c r="BJ468" s="62"/>
      <c r="BK468" s="62"/>
      <c r="BL468" s="62"/>
      <c r="BM468" s="62"/>
      <c r="BN468" s="62"/>
      <c r="BO468" s="62"/>
      <c r="BP468" s="62"/>
      <c r="BQ468" s="62"/>
      <c r="BR468" s="62"/>
      <c r="BS468" s="62"/>
      <c r="BT468" s="62"/>
      <c r="BU468" s="62"/>
      <c r="BV468" s="62"/>
      <c r="BW468" s="62"/>
      <c r="BX468" s="62"/>
      <c r="BY468" s="62"/>
      <c r="BZ468" s="62"/>
      <c r="CA468" s="62"/>
      <c r="CB468" s="62"/>
      <c r="CC468" s="62"/>
      <c r="CD468" s="62"/>
      <c r="CE468" s="62"/>
      <c r="CF468" s="62"/>
      <c r="CG468" s="62"/>
      <c r="CH468" s="62"/>
      <c r="CI468" s="62"/>
      <c r="CJ468" s="62"/>
      <c r="CK468" s="62"/>
      <c r="CL468" s="62"/>
      <c r="CM468" s="62"/>
      <c r="CN468" s="62"/>
      <c r="CO468" s="62"/>
      <c r="CP468" s="62"/>
      <c r="CQ468" s="62"/>
      <c r="CR468" s="62"/>
      <c r="CS468" s="62"/>
      <c r="CT468" s="62"/>
      <c r="CU468" s="62"/>
      <c r="CV468" s="62"/>
      <c r="CW468" s="62"/>
      <c r="CX468" s="62"/>
      <c r="CY468" s="62"/>
      <c r="CZ468" s="62"/>
      <c r="DA468" s="62"/>
      <c r="DB468" s="62"/>
      <c r="DC468" s="62"/>
      <c r="DD468" s="62"/>
      <c r="DE468" s="62"/>
      <c r="DF468" s="62"/>
      <c r="DG468" s="62"/>
      <c r="DH468" s="62"/>
      <c r="DI468" s="62"/>
      <c r="DJ468" s="62"/>
      <c r="DK468" s="62"/>
      <c r="DL468" s="62"/>
      <c r="DM468" s="62"/>
      <c r="DN468" s="62"/>
      <c r="DO468" s="62"/>
      <c r="DP468" s="62"/>
      <c r="DQ468" s="62"/>
      <c r="DR468" s="62"/>
      <c r="DS468" s="62"/>
      <c r="DT468" s="62"/>
      <c r="DU468" s="62"/>
      <c r="DV468" s="62"/>
      <c r="DW468" s="62"/>
      <c r="DX468" s="62"/>
      <c r="DY468" s="62"/>
      <c r="DZ468" s="62"/>
      <c r="EA468" s="62"/>
      <c r="EB468" s="62"/>
      <c r="EC468" s="62"/>
      <c r="ED468" s="62"/>
      <c r="EE468" s="62"/>
      <c r="EF468" s="62"/>
      <c r="EG468" s="62"/>
      <c r="EH468" s="62"/>
      <c r="EI468" s="62"/>
      <c r="EJ468" s="62"/>
      <c r="EK468" s="62"/>
      <c r="EL468" s="62"/>
      <c r="EM468" s="62"/>
      <c r="EN468" s="62"/>
      <c r="EO468" s="62"/>
      <c r="EP468" s="62"/>
      <c r="EQ468" s="62"/>
      <c r="ER468" s="62"/>
      <c r="ES468" s="62"/>
      <c r="ET468" s="62"/>
      <c r="EU468" s="62"/>
      <c r="EV468" s="62"/>
      <c r="EW468" s="62"/>
      <c r="EX468" s="62"/>
      <c r="EY468" s="62"/>
      <c r="EZ468" s="62"/>
      <c r="FA468" s="62"/>
      <c r="FB468" s="62"/>
      <c r="FC468" s="62"/>
      <c r="FD468" s="62"/>
      <c r="FE468" s="62"/>
      <c r="FF468" s="62"/>
      <c r="FG468" s="62"/>
      <c r="FH468" s="62"/>
      <c r="FI468" s="62"/>
      <c r="FJ468" s="62"/>
      <c r="FK468" s="62"/>
      <c r="FL468" s="62"/>
      <c r="FM468" s="62"/>
      <c r="FN468" s="62"/>
      <c r="FO468" s="62"/>
      <c r="FP468" s="62"/>
      <c r="FQ468" s="62"/>
      <c r="FR468" s="62"/>
      <c r="FS468" s="62"/>
      <c r="FT468" s="62"/>
      <c r="FU468" s="62"/>
      <c r="FV468" s="62"/>
    </row>
    <row r="469" spans="1:178" ht="13.8">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c r="AY469" s="62"/>
      <c r="AZ469" s="62"/>
      <c r="BA469" s="62"/>
      <c r="BB469" s="62"/>
      <c r="BC469" s="62"/>
      <c r="BD469" s="62"/>
      <c r="BE469" s="62"/>
      <c r="BF469" s="62"/>
      <c r="BG469" s="62"/>
      <c r="BH469" s="62"/>
      <c r="BI469" s="62"/>
      <c r="BJ469" s="62"/>
      <c r="BK469" s="62"/>
      <c r="BL469" s="62"/>
      <c r="BM469" s="62"/>
      <c r="BN469" s="62"/>
      <c r="BO469" s="62"/>
      <c r="BP469" s="62"/>
      <c r="BQ469" s="62"/>
      <c r="BR469" s="62"/>
      <c r="BS469" s="62"/>
      <c r="BT469" s="62"/>
      <c r="BU469" s="62"/>
      <c r="BV469" s="62"/>
      <c r="BW469" s="62"/>
      <c r="BX469" s="62"/>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62"/>
      <c r="CX469" s="62"/>
      <c r="CY469" s="62"/>
      <c r="CZ469" s="62"/>
      <c r="DA469" s="62"/>
      <c r="DB469" s="62"/>
      <c r="DC469" s="62"/>
      <c r="DD469" s="62"/>
      <c r="DE469" s="62"/>
      <c r="DF469" s="62"/>
      <c r="DG469" s="62"/>
      <c r="DH469" s="62"/>
      <c r="DI469" s="62"/>
      <c r="DJ469" s="62"/>
      <c r="DK469" s="62"/>
      <c r="DL469" s="62"/>
      <c r="DM469" s="62"/>
      <c r="DN469" s="62"/>
      <c r="DO469" s="62"/>
      <c r="DP469" s="62"/>
      <c r="DQ469" s="62"/>
      <c r="DR469" s="62"/>
      <c r="DS469" s="62"/>
      <c r="DT469" s="62"/>
      <c r="DU469" s="62"/>
      <c r="DV469" s="62"/>
      <c r="DW469" s="62"/>
      <c r="DX469" s="62"/>
      <c r="DY469" s="62"/>
      <c r="DZ469" s="62"/>
      <c r="EA469" s="62"/>
      <c r="EB469" s="62"/>
      <c r="EC469" s="62"/>
      <c r="ED469" s="62"/>
      <c r="EE469" s="62"/>
      <c r="EF469" s="62"/>
      <c r="EG469" s="62"/>
      <c r="EH469" s="62"/>
      <c r="EI469" s="62"/>
      <c r="EJ469" s="62"/>
      <c r="EK469" s="62"/>
      <c r="EL469" s="62"/>
      <c r="EM469" s="62"/>
      <c r="EN469" s="62"/>
      <c r="EO469" s="62"/>
      <c r="EP469" s="62"/>
      <c r="EQ469" s="62"/>
      <c r="ER469" s="62"/>
      <c r="ES469" s="62"/>
      <c r="ET469" s="62"/>
      <c r="EU469" s="62"/>
      <c r="EV469" s="62"/>
      <c r="EW469" s="62"/>
      <c r="EX469" s="62"/>
      <c r="EY469" s="62"/>
      <c r="EZ469" s="62"/>
      <c r="FA469" s="62"/>
      <c r="FB469" s="62"/>
      <c r="FC469" s="62"/>
      <c r="FD469" s="62"/>
      <c r="FE469" s="62"/>
      <c r="FF469" s="62"/>
      <c r="FG469" s="62"/>
      <c r="FH469" s="62"/>
      <c r="FI469" s="62"/>
      <c r="FJ469" s="62"/>
      <c r="FK469" s="62"/>
      <c r="FL469" s="62"/>
      <c r="FM469" s="62"/>
      <c r="FN469" s="62"/>
      <c r="FO469" s="62"/>
      <c r="FP469" s="62"/>
      <c r="FQ469" s="62"/>
      <c r="FR469" s="62"/>
      <c r="FS469" s="62"/>
      <c r="FT469" s="62"/>
      <c r="FU469" s="62"/>
      <c r="FV469" s="62"/>
    </row>
    <row r="470" spans="1:178" ht="13.8">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c r="AY470" s="62"/>
      <c r="AZ470" s="62"/>
      <c r="BA470" s="62"/>
      <c r="BB470" s="62"/>
      <c r="BC470" s="62"/>
      <c r="BD470" s="62"/>
      <c r="BE470" s="62"/>
      <c r="BF470" s="62"/>
      <c r="BG470" s="62"/>
      <c r="BH470" s="62"/>
      <c r="BI470" s="62"/>
      <c r="BJ470" s="62"/>
      <c r="BK470" s="62"/>
      <c r="BL470" s="62"/>
      <c r="BM470" s="62"/>
      <c r="BN470" s="62"/>
      <c r="BO470" s="62"/>
      <c r="BP470" s="62"/>
      <c r="BQ470" s="62"/>
      <c r="BR470" s="62"/>
      <c r="BS470" s="62"/>
      <c r="BT470" s="62"/>
      <c r="BU470" s="62"/>
      <c r="BV470" s="62"/>
      <c r="BW470" s="62"/>
      <c r="BX470" s="62"/>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62"/>
      <c r="CX470" s="62"/>
      <c r="CY470" s="62"/>
      <c r="CZ470" s="62"/>
      <c r="DA470" s="62"/>
      <c r="DB470" s="62"/>
      <c r="DC470" s="62"/>
      <c r="DD470" s="62"/>
      <c r="DE470" s="62"/>
      <c r="DF470" s="62"/>
      <c r="DG470" s="62"/>
      <c r="DH470" s="62"/>
      <c r="DI470" s="62"/>
      <c r="DJ470" s="62"/>
      <c r="DK470" s="62"/>
      <c r="DL470" s="62"/>
      <c r="DM470" s="62"/>
      <c r="DN470" s="62"/>
      <c r="DO470" s="62"/>
      <c r="DP470" s="62"/>
      <c r="DQ470" s="62"/>
      <c r="DR470" s="62"/>
      <c r="DS470" s="62"/>
      <c r="DT470" s="62"/>
      <c r="DU470" s="62"/>
      <c r="DV470" s="62"/>
      <c r="DW470" s="62"/>
      <c r="DX470" s="62"/>
      <c r="DY470" s="62"/>
      <c r="DZ470" s="62"/>
      <c r="EA470" s="62"/>
      <c r="EB470" s="62"/>
      <c r="EC470" s="62"/>
      <c r="ED470" s="62"/>
      <c r="EE470" s="62"/>
      <c r="EF470" s="62"/>
      <c r="EG470" s="62"/>
      <c r="EH470" s="62"/>
      <c r="EI470" s="62"/>
      <c r="EJ470" s="62"/>
      <c r="EK470" s="62"/>
      <c r="EL470" s="62"/>
      <c r="EM470" s="62"/>
      <c r="EN470" s="62"/>
      <c r="EO470" s="62"/>
      <c r="EP470" s="62"/>
      <c r="EQ470" s="62"/>
      <c r="ER470" s="62"/>
      <c r="ES470" s="62"/>
      <c r="ET470" s="62"/>
      <c r="EU470" s="62"/>
      <c r="EV470" s="62"/>
      <c r="EW470" s="62"/>
      <c r="EX470" s="62"/>
      <c r="EY470" s="62"/>
      <c r="EZ470" s="62"/>
      <c r="FA470" s="62"/>
      <c r="FB470" s="62"/>
      <c r="FC470" s="62"/>
      <c r="FD470" s="62"/>
      <c r="FE470" s="62"/>
      <c r="FF470" s="62"/>
      <c r="FG470" s="62"/>
      <c r="FH470" s="62"/>
      <c r="FI470" s="62"/>
      <c r="FJ470" s="62"/>
      <c r="FK470" s="62"/>
      <c r="FL470" s="62"/>
      <c r="FM470" s="62"/>
      <c r="FN470" s="62"/>
      <c r="FO470" s="62"/>
      <c r="FP470" s="62"/>
      <c r="FQ470" s="62"/>
      <c r="FR470" s="62"/>
      <c r="FS470" s="62"/>
      <c r="FT470" s="62"/>
      <c r="FU470" s="62"/>
      <c r="FV470" s="62"/>
    </row>
    <row r="471" spans="1:178" ht="13.8">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c r="AY471" s="62"/>
      <c r="AZ471" s="62"/>
      <c r="BA471" s="62"/>
      <c r="BB471" s="62"/>
      <c r="BC471" s="62"/>
      <c r="BD471" s="62"/>
      <c r="BE471" s="62"/>
      <c r="BF471" s="62"/>
      <c r="BG471" s="62"/>
      <c r="BH471" s="62"/>
      <c r="BI471" s="62"/>
      <c r="BJ471" s="62"/>
      <c r="BK471" s="62"/>
      <c r="BL471" s="62"/>
      <c r="BM471" s="62"/>
      <c r="BN471" s="62"/>
      <c r="BO471" s="62"/>
      <c r="BP471" s="62"/>
      <c r="BQ471" s="62"/>
      <c r="BR471" s="62"/>
      <c r="BS471" s="62"/>
      <c r="BT471" s="62"/>
      <c r="BU471" s="62"/>
      <c r="BV471" s="62"/>
      <c r="BW471" s="62"/>
      <c r="BX471" s="62"/>
      <c r="BY471" s="62"/>
      <c r="BZ471" s="62"/>
      <c r="CA471" s="62"/>
      <c r="CB471" s="62"/>
      <c r="CC471" s="62"/>
      <c r="CD471" s="62"/>
      <c r="CE471" s="62"/>
      <c r="CF471" s="62"/>
      <c r="CG471" s="62"/>
      <c r="CH471" s="62"/>
      <c r="CI471" s="62"/>
      <c r="CJ471" s="62"/>
      <c r="CK471" s="62"/>
      <c r="CL471" s="62"/>
      <c r="CM471" s="62"/>
      <c r="CN471" s="62"/>
      <c r="CO471" s="62"/>
      <c r="CP471" s="62"/>
      <c r="CQ471" s="62"/>
      <c r="CR471" s="62"/>
      <c r="CS471" s="62"/>
      <c r="CT471" s="62"/>
      <c r="CU471" s="62"/>
      <c r="CV471" s="62"/>
      <c r="CW471" s="62"/>
      <c r="CX471" s="62"/>
      <c r="CY471" s="62"/>
      <c r="CZ471" s="62"/>
      <c r="DA471" s="62"/>
      <c r="DB471" s="62"/>
      <c r="DC471" s="62"/>
      <c r="DD471" s="62"/>
      <c r="DE471" s="62"/>
      <c r="DF471" s="62"/>
      <c r="DG471" s="62"/>
      <c r="DH471" s="62"/>
      <c r="DI471" s="62"/>
      <c r="DJ471" s="62"/>
      <c r="DK471" s="62"/>
      <c r="DL471" s="62"/>
      <c r="DM471" s="62"/>
      <c r="DN471" s="62"/>
      <c r="DO471" s="62"/>
      <c r="DP471" s="62"/>
      <c r="DQ471" s="62"/>
      <c r="DR471" s="62"/>
      <c r="DS471" s="62"/>
      <c r="DT471" s="62"/>
      <c r="DU471" s="62"/>
      <c r="DV471" s="62"/>
      <c r="DW471" s="62"/>
      <c r="DX471" s="62"/>
      <c r="DY471" s="62"/>
      <c r="DZ471" s="62"/>
      <c r="EA471" s="62"/>
      <c r="EB471" s="62"/>
      <c r="EC471" s="62"/>
      <c r="ED471" s="62"/>
      <c r="EE471" s="62"/>
      <c r="EF471" s="62"/>
      <c r="EG471" s="62"/>
      <c r="EH471" s="62"/>
      <c r="EI471" s="62"/>
      <c r="EJ471" s="62"/>
      <c r="EK471" s="62"/>
      <c r="EL471" s="62"/>
      <c r="EM471" s="62"/>
      <c r="EN471" s="62"/>
      <c r="EO471" s="62"/>
      <c r="EP471" s="62"/>
      <c r="EQ471" s="62"/>
      <c r="ER471" s="62"/>
      <c r="ES471" s="62"/>
      <c r="ET471" s="62"/>
      <c r="EU471" s="62"/>
      <c r="EV471" s="62"/>
      <c r="EW471" s="62"/>
      <c r="EX471" s="62"/>
      <c r="EY471" s="62"/>
      <c r="EZ471" s="62"/>
      <c r="FA471" s="62"/>
      <c r="FB471" s="62"/>
      <c r="FC471" s="62"/>
      <c r="FD471" s="62"/>
      <c r="FE471" s="62"/>
      <c r="FF471" s="62"/>
      <c r="FG471" s="62"/>
      <c r="FH471" s="62"/>
      <c r="FI471" s="62"/>
      <c r="FJ471" s="62"/>
      <c r="FK471" s="62"/>
      <c r="FL471" s="62"/>
      <c r="FM471" s="62"/>
      <c r="FN471" s="62"/>
      <c r="FO471" s="62"/>
      <c r="FP471" s="62"/>
      <c r="FQ471" s="62"/>
      <c r="FR471" s="62"/>
      <c r="FS471" s="62"/>
      <c r="FT471" s="62"/>
      <c r="FU471" s="62"/>
      <c r="FV471" s="62"/>
    </row>
    <row r="472" spans="1:178" ht="13.8">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c r="AY472" s="62"/>
      <c r="AZ472" s="62"/>
      <c r="BA472" s="62"/>
      <c r="BB472" s="62"/>
      <c r="BC472" s="62"/>
      <c r="BD472" s="62"/>
      <c r="BE472" s="62"/>
      <c r="BF472" s="62"/>
      <c r="BG472" s="62"/>
      <c r="BH472" s="62"/>
      <c r="BI472" s="62"/>
      <c r="BJ472" s="62"/>
      <c r="BK472" s="62"/>
      <c r="BL472" s="62"/>
      <c r="BM472" s="62"/>
      <c r="BN472" s="62"/>
      <c r="BO472" s="62"/>
      <c r="BP472" s="62"/>
      <c r="BQ472" s="62"/>
      <c r="BR472" s="62"/>
      <c r="BS472" s="62"/>
      <c r="BT472" s="62"/>
      <c r="BU472" s="62"/>
      <c r="BV472" s="62"/>
      <c r="BW472" s="62"/>
      <c r="BX472" s="62"/>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62"/>
      <c r="CX472" s="62"/>
      <c r="CY472" s="62"/>
      <c r="CZ472" s="62"/>
      <c r="DA472" s="62"/>
      <c r="DB472" s="62"/>
      <c r="DC472" s="62"/>
      <c r="DD472" s="62"/>
      <c r="DE472" s="62"/>
      <c r="DF472" s="62"/>
      <c r="DG472" s="62"/>
      <c r="DH472" s="62"/>
      <c r="DI472" s="62"/>
      <c r="DJ472" s="62"/>
      <c r="DK472" s="62"/>
      <c r="DL472" s="62"/>
      <c r="DM472" s="62"/>
      <c r="DN472" s="62"/>
      <c r="DO472" s="62"/>
      <c r="DP472" s="62"/>
      <c r="DQ472" s="62"/>
      <c r="DR472" s="62"/>
      <c r="DS472" s="62"/>
      <c r="DT472" s="62"/>
      <c r="DU472" s="62"/>
      <c r="DV472" s="62"/>
      <c r="DW472" s="62"/>
      <c r="DX472" s="62"/>
      <c r="DY472" s="62"/>
      <c r="DZ472" s="62"/>
      <c r="EA472" s="62"/>
      <c r="EB472" s="62"/>
      <c r="EC472" s="62"/>
      <c r="ED472" s="62"/>
      <c r="EE472" s="62"/>
      <c r="EF472" s="62"/>
      <c r="EG472" s="62"/>
      <c r="EH472" s="62"/>
      <c r="EI472" s="62"/>
      <c r="EJ472" s="62"/>
      <c r="EK472" s="62"/>
      <c r="EL472" s="62"/>
      <c r="EM472" s="62"/>
      <c r="EN472" s="62"/>
      <c r="EO472" s="62"/>
      <c r="EP472" s="62"/>
      <c r="EQ472" s="62"/>
      <c r="ER472" s="62"/>
      <c r="ES472" s="62"/>
      <c r="ET472" s="62"/>
      <c r="EU472" s="62"/>
      <c r="EV472" s="62"/>
      <c r="EW472" s="62"/>
      <c r="EX472" s="62"/>
      <c r="EY472" s="62"/>
      <c r="EZ472" s="62"/>
      <c r="FA472" s="62"/>
      <c r="FB472" s="62"/>
      <c r="FC472" s="62"/>
      <c r="FD472" s="62"/>
      <c r="FE472" s="62"/>
      <c r="FF472" s="62"/>
      <c r="FG472" s="62"/>
      <c r="FH472" s="62"/>
      <c r="FI472" s="62"/>
      <c r="FJ472" s="62"/>
      <c r="FK472" s="62"/>
      <c r="FL472" s="62"/>
      <c r="FM472" s="62"/>
      <c r="FN472" s="62"/>
      <c r="FO472" s="62"/>
      <c r="FP472" s="62"/>
      <c r="FQ472" s="62"/>
      <c r="FR472" s="62"/>
      <c r="FS472" s="62"/>
      <c r="FT472" s="62"/>
      <c r="FU472" s="62"/>
      <c r="FV472" s="62"/>
    </row>
    <row r="473" spans="1:178" ht="13.8">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c r="AY473" s="62"/>
      <c r="AZ473" s="62"/>
      <c r="BA473" s="62"/>
      <c r="BB473" s="62"/>
      <c r="BC473" s="62"/>
      <c r="BD473" s="62"/>
      <c r="BE473" s="62"/>
      <c r="BF473" s="62"/>
      <c r="BG473" s="62"/>
      <c r="BH473" s="62"/>
      <c r="BI473" s="62"/>
      <c r="BJ473" s="62"/>
      <c r="BK473" s="62"/>
      <c r="BL473" s="62"/>
      <c r="BM473" s="62"/>
      <c r="BN473" s="62"/>
      <c r="BO473" s="62"/>
      <c r="BP473" s="62"/>
      <c r="BQ473" s="62"/>
      <c r="BR473" s="62"/>
      <c r="BS473" s="62"/>
      <c r="BT473" s="62"/>
      <c r="BU473" s="62"/>
      <c r="BV473" s="62"/>
      <c r="BW473" s="62"/>
      <c r="BX473" s="62"/>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62"/>
      <c r="CX473" s="62"/>
      <c r="CY473" s="62"/>
      <c r="CZ473" s="62"/>
      <c r="DA473" s="62"/>
      <c r="DB473" s="62"/>
      <c r="DC473" s="62"/>
      <c r="DD473" s="62"/>
      <c r="DE473" s="62"/>
      <c r="DF473" s="62"/>
      <c r="DG473" s="62"/>
      <c r="DH473" s="62"/>
      <c r="DI473" s="62"/>
      <c r="DJ473" s="62"/>
      <c r="DK473" s="62"/>
      <c r="DL473" s="62"/>
      <c r="DM473" s="62"/>
      <c r="DN473" s="62"/>
      <c r="DO473" s="62"/>
      <c r="DP473" s="62"/>
      <c r="DQ473" s="62"/>
      <c r="DR473" s="62"/>
      <c r="DS473" s="62"/>
      <c r="DT473" s="62"/>
      <c r="DU473" s="62"/>
      <c r="DV473" s="62"/>
      <c r="DW473" s="62"/>
      <c r="DX473" s="62"/>
      <c r="DY473" s="62"/>
      <c r="DZ473" s="62"/>
      <c r="EA473" s="62"/>
      <c r="EB473" s="62"/>
      <c r="EC473" s="62"/>
      <c r="ED473" s="62"/>
      <c r="EE473" s="62"/>
      <c r="EF473" s="62"/>
      <c r="EG473" s="62"/>
      <c r="EH473" s="62"/>
      <c r="EI473" s="62"/>
      <c r="EJ473" s="62"/>
      <c r="EK473" s="62"/>
      <c r="EL473" s="62"/>
      <c r="EM473" s="62"/>
      <c r="EN473" s="62"/>
      <c r="EO473" s="62"/>
      <c r="EP473" s="62"/>
      <c r="EQ473" s="62"/>
      <c r="ER473" s="62"/>
      <c r="ES473" s="62"/>
      <c r="ET473" s="62"/>
      <c r="EU473" s="62"/>
      <c r="EV473" s="62"/>
      <c r="EW473" s="62"/>
      <c r="EX473" s="62"/>
      <c r="EY473" s="62"/>
      <c r="EZ473" s="62"/>
      <c r="FA473" s="62"/>
      <c r="FB473" s="62"/>
      <c r="FC473" s="62"/>
      <c r="FD473" s="62"/>
      <c r="FE473" s="62"/>
      <c r="FF473" s="62"/>
      <c r="FG473" s="62"/>
      <c r="FH473" s="62"/>
      <c r="FI473" s="62"/>
      <c r="FJ473" s="62"/>
      <c r="FK473" s="62"/>
      <c r="FL473" s="62"/>
      <c r="FM473" s="62"/>
      <c r="FN473" s="62"/>
      <c r="FO473" s="62"/>
      <c r="FP473" s="62"/>
      <c r="FQ473" s="62"/>
      <c r="FR473" s="62"/>
      <c r="FS473" s="62"/>
      <c r="FT473" s="62"/>
      <c r="FU473" s="62"/>
      <c r="FV473" s="62"/>
    </row>
    <row r="474" spans="1:178" ht="13.8">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c r="AY474" s="62"/>
      <c r="AZ474" s="62"/>
      <c r="BA474" s="62"/>
      <c r="BB474" s="62"/>
      <c r="BC474" s="62"/>
      <c r="BD474" s="62"/>
      <c r="BE474" s="62"/>
      <c r="BF474" s="62"/>
      <c r="BG474" s="62"/>
      <c r="BH474" s="62"/>
      <c r="BI474" s="62"/>
      <c r="BJ474" s="62"/>
      <c r="BK474" s="62"/>
      <c r="BL474" s="62"/>
      <c r="BM474" s="62"/>
      <c r="BN474" s="62"/>
      <c r="BO474" s="62"/>
      <c r="BP474" s="62"/>
      <c r="BQ474" s="62"/>
      <c r="BR474" s="62"/>
      <c r="BS474" s="62"/>
      <c r="BT474" s="62"/>
      <c r="BU474" s="62"/>
      <c r="BV474" s="62"/>
      <c r="BW474" s="62"/>
      <c r="BX474" s="62"/>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62"/>
      <c r="CX474" s="62"/>
      <c r="CY474" s="62"/>
      <c r="CZ474" s="62"/>
      <c r="DA474" s="62"/>
      <c r="DB474" s="62"/>
      <c r="DC474" s="62"/>
      <c r="DD474" s="62"/>
      <c r="DE474" s="62"/>
      <c r="DF474" s="62"/>
      <c r="DG474" s="62"/>
      <c r="DH474" s="62"/>
      <c r="DI474" s="62"/>
      <c r="DJ474" s="62"/>
      <c r="DK474" s="62"/>
      <c r="DL474" s="62"/>
      <c r="DM474" s="62"/>
      <c r="DN474" s="62"/>
      <c r="DO474" s="62"/>
      <c r="DP474" s="62"/>
      <c r="DQ474" s="62"/>
      <c r="DR474" s="62"/>
      <c r="DS474" s="62"/>
      <c r="DT474" s="62"/>
      <c r="DU474" s="62"/>
      <c r="DV474" s="62"/>
      <c r="DW474" s="62"/>
      <c r="DX474" s="62"/>
      <c r="DY474" s="62"/>
      <c r="DZ474" s="62"/>
      <c r="EA474" s="62"/>
      <c r="EB474" s="62"/>
      <c r="EC474" s="62"/>
      <c r="ED474" s="62"/>
      <c r="EE474" s="62"/>
      <c r="EF474" s="62"/>
      <c r="EG474" s="62"/>
      <c r="EH474" s="62"/>
      <c r="EI474" s="62"/>
      <c r="EJ474" s="62"/>
      <c r="EK474" s="62"/>
      <c r="EL474" s="62"/>
      <c r="EM474" s="62"/>
      <c r="EN474" s="62"/>
      <c r="EO474" s="62"/>
      <c r="EP474" s="62"/>
      <c r="EQ474" s="62"/>
      <c r="ER474" s="62"/>
      <c r="ES474" s="62"/>
      <c r="ET474" s="62"/>
      <c r="EU474" s="62"/>
      <c r="EV474" s="62"/>
      <c r="EW474" s="62"/>
      <c r="EX474" s="62"/>
      <c r="EY474" s="62"/>
      <c r="EZ474" s="62"/>
      <c r="FA474" s="62"/>
      <c r="FB474" s="62"/>
      <c r="FC474" s="62"/>
      <c r="FD474" s="62"/>
      <c r="FE474" s="62"/>
      <c r="FF474" s="62"/>
      <c r="FG474" s="62"/>
      <c r="FH474" s="62"/>
      <c r="FI474" s="62"/>
      <c r="FJ474" s="62"/>
      <c r="FK474" s="62"/>
      <c r="FL474" s="62"/>
      <c r="FM474" s="62"/>
      <c r="FN474" s="62"/>
      <c r="FO474" s="62"/>
      <c r="FP474" s="62"/>
      <c r="FQ474" s="62"/>
      <c r="FR474" s="62"/>
      <c r="FS474" s="62"/>
      <c r="FT474" s="62"/>
      <c r="FU474" s="62"/>
      <c r="FV474" s="62"/>
    </row>
    <row r="475" spans="1:178" ht="13.8">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c r="AY475" s="62"/>
      <c r="AZ475" s="62"/>
      <c r="BA475" s="62"/>
      <c r="BB475" s="62"/>
      <c r="BC475" s="62"/>
      <c r="BD475" s="62"/>
      <c r="BE475" s="62"/>
      <c r="BF475" s="62"/>
      <c r="BG475" s="62"/>
      <c r="BH475" s="62"/>
      <c r="BI475" s="62"/>
      <c r="BJ475" s="62"/>
      <c r="BK475" s="62"/>
      <c r="BL475" s="62"/>
      <c r="BM475" s="62"/>
      <c r="BN475" s="62"/>
      <c r="BO475" s="62"/>
      <c r="BP475" s="62"/>
      <c r="BQ475" s="62"/>
      <c r="BR475" s="62"/>
      <c r="BS475" s="62"/>
      <c r="BT475" s="62"/>
      <c r="BU475" s="62"/>
      <c r="BV475" s="62"/>
      <c r="BW475" s="62"/>
      <c r="BX475" s="62"/>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62"/>
      <c r="CX475" s="62"/>
      <c r="CY475" s="62"/>
      <c r="CZ475" s="62"/>
      <c r="DA475" s="62"/>
      <c r="DB475" s="62"/>
      <c r="DC475" s="62"/>
      <c r="DD475" s="62"/>
      <c r="DE475" s="62"/>
      <c r="DF475" s="62"/>
      <c r="DG475" s="62"/>
      <c r="DH475" s="62"/>
      <c r="DI475" s="62"/>
      <c r="DJ475" s="62"/>
      <c r="DK475" s="62"/>
      <c r="DL475" s="62"/>
      <c r="DM475" s="62"/>
      <c r="DN475" s="62"/>
      <c r="DO475" s="62"/>
      <c r="DP475" s="62"/>
      <c r="DQ475" s="62"/>
      <c r="DR475" s="62"/>
      <c r="DS475" s="62"/>
      <c r="DT475" s="62"/>
      <c r="DU475" s="62"/>
      <c r="DV475" s="62"/>
      <c r="DW475" s="62"/>
      <c r="DX475" s="62"/>
      <c r="DY475" s="62"/>
      <c r="DZ475" s="62"/>
      <c r="EA475" s="62"/>
      <c r="EB475" s="62"/>
      <c r="EC475" s="62"/>
      <c r="ED475" s="62"/>
      <c r="EE475" s="62"/>
      <c r="EF475" s="62"/>
      <c r="EG475" s="62"/>
      <c r="EH475" s="62"/>
      <c r="EI475" s="62"/>
      <c r="EJ475" s="62"/>
      <c r="EK475" s="62"/>
      <c r="EL475" s="62"/>
      <c r="EM475" s="62"/>
      <c r="EN475" s="62"/>
      <c r="EO475" s="62"/>
      <c r="EP475" s="62"/>
      <c r="EQ475" s="62"/>
      <c r="ER475" s="62"/>
      <c r="ES475" s="62"/>
      <c r="ET475" s="62"/>
      <c r="EU475" s="62"/>
      <c r="EV475" s="62"/>
      <c r="EW475" s="62"/>
      <c r="EX475" s="62"/>
      <c r="EY475" s="62"/>
      <c r="EZ475" s="62"/>
      <c r="FA475" s="62"/>
      <c r="FB475" s="62"/>
      <c r="FC475" s="62"/>
      <c r="FD475" s="62"/>
      <c r="FE475" s="62"/>
      <c r="FF475" s="62"/>
      <c r="FG475" s="62"/>
      <c r="FH475" s="62"/>
      <c r="FI475" s="62"/>
      <c r="FJ475" s="62"/>
      <c r="FK475" s="62"/>
      <c r="FL475" s="62"/>
      <c r="FM475" s="62"/>
      <c r="FN475" s="62"/>
      <c r="FO475" s="62"/>
      <c r="FP475" s="62"/>
      <c r="FQ475" s="62"/>
      <c r="FR475" s="62"/>
      <c r="FS475" s="62"/>
      <c r="FT475" s="62"/>
      <c r="FU475" s="62"/>
      <c r="FV475" s="62"/>
    </row>
    <row r="476" spans="1:178" ht="13.8">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c r="AY476" s="62"/>
      <c r="AZ476" s="62"/>
      <c r="BA476" s="62"/>
      <c r="BB476" s="62"/>
      <c r="BC476" s="62"/>
      <c r="BD476" s="62"/>
      <c r="BE476" s="62"/>
      <c r="BF476" s="62"/>
      <c r="BG476" s="62"/>
      <c r="BH476" s="62"/>
      <c r="BI476" s="62"/>
      <c r="BJ476" s="62"/>
      <c r="BK476" s="62"/>
      <c r="BL476" s="62"/>
      <c r="BM476" s="62"/>
      <c r="BN476" s="62"/>
      <c r="BO476" s="62"/>
      <c r="BP476" s="62"/>
      <c r="BQ476" s="62"/>
      <c r="BR476" s="62"/>
      <c r="BS476" s="62"/>
      <c r="BT476" s="62"/>
      <c r="BU476" s="62"/>
      <c r="BV476" s="62"/>
      <c r="BW476" s="62"/>
      <c r="BX476" s="62"/>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62"/>
      <c r="CX476" s="62"/>
      <c r="CY476" s="62"/>
      <c r="CZ476" s="62"/>
      <c r="DA476" s="62"/>
      <c r="DB476" s="62"/>
      <c r="DC476" s="62"/>
      <c r="DD476" s="62"/>
      <c r="DE476" s="62"/>
      <c r="DF476" s="62"/>
      <c r="DG476" s="62"/>
      <c r="DH476" s="62"/>
      <c r="DI476" s="62"/>
      <c r="DJ476" s="62"/>
      <c r="DK476" s="62"/>
      <c r="DL476" s="62"/>
      <c r="DM476" s="62"/>
      <c r="DN476" s="62"/>
      <c r="DO476" s="62"/>
      <c r="DP476" s="62"/>
      <c r="DQ476" s="62"/>
      <c r="DR476" s="62"/>
      <c r="DS476" s="62"/>
      <c r="DT476" s="62"/>
      <c r="DU476" s="62"/>
      <c r="DV476" s="62"/>
      <c r="DW476" s="62"/>
      <c r="DX476" s="62"/>
      <c r="DY476" s="62"/>
      <c r="DZ476" s="62"/>
      <c r="EA476" s="62"/>
      <c r="EB476" s="62"/>
      <c r="EC476" s="62"/>
      <c r="ED476" s="62"/>
      <c r="EE476" s="62"/>
      <c r="EF476" s="62"/>
      <c r="EG476" s="62"/>
      <c r="EH476" s="62"/>
      <c r="EI476" s="62"/>
      <c r="EJ476" s="62"/>
      <c r="EK476" s="62"/>
      <c r="EL476" s="62"/>
      <c r="EM476" s="62"/>
      <c r="EN476" s="62"/>
      <c r="EO476" s="62"/>
      <c r="EP476" s="62"/>
      <c r="EQ476" s="62"/>
      <c r="ER476" s="62"/>
      <c r="ES476" s="62"/>
      <c r="ET476" s="62"/>
      <c r="EU476" s="62"/>
      <c r="EV476" s="62"/>
      <c r="EW476" s="62"/>
      <c r="EX476" s="62"/>
      <c r="EY476" s="62"/>
      <c r="EZ476" s="62"/>
      <c r="FA476" s="62"/>
      <c r="FB476" s="62"/>
      <c r="FC476" s="62"/>
      <c r="FD476" s="62"/>
      <c r="FE476" s="62"/>
      <c r="FF476" s="62"/>
      <c r="FG476" s="62"/>
      <c r="FH476" s="62"/>
      <c r="FI476" s="62"/>
      <c r="FJ476" s="62"/>
      <c r="FK476" s="62"/>
      <c r="FL476" s="62"/>
      <c r="FM476" s="62"/>
      <c r="FN476" s="62"/>
      <c r="FO476" s="62"/>
      <c r="FP476" s="62"/>
      <c r="FQ476" s="62"/>
      <c r="FR476" s="62"/>
      <c r="FS476" s="62"/>
      <c r="FT476" s="62"/>
      <c r="FU476" s="62"/>
      <c r="FV476" s="62"/>
    </row>
    <row r="477" spans="1:178" ht="13.8">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c r="AY477" s="62"/>
      <c r="AZ477" s="62"/>
      <c r="BA477" s="62"/>
      <c r="BB477" s="62"/>
      <c r="BC477" s="62"/>
      <c r="BD477" s="62"/>
      <c r="BE477" s="62"/>
      <c r="BF477" s="62"/>
      <c r="BG477" s="62"/>
      <c r="BH477" s="62"/>
      <c r="BI477" s="62"/>
      <c r="BJ477" s="62"/>
      <c r="BK477" s="62"/>
      <c r="BL477" s="62"/>
      <c r="BM477" s="62"/>
      <c r="BN477" s="62"/>
      <c r="BO477" s="62"/>
      <c r="BP477" s="62"/>
      <c r="BQ477" s="62"/>
      <c r="BR477" s="62"/>
      <c r="BS477" s="62"/>
      <c r="BT477" s="62"/>
      <c r="BU477" s="62"/>
      <c r="BV477" s="62"/>
      <c r="BW477" s="62"/>
      <c r="BX477" s="62"/>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62"/>
      <c r="CX477" s="62"/>
      <c r="CY477" s="62"/>
      <c r="CZ477" s="62"/>
      <c r="DA477" s="62"/>
      <c r="DB477" s="62"/>
      <c r="DC477" s="62"/>
      <c r="DD477" s="62"/>
      <c r="DE477" s="62"/>
      <c r="DF477" s="62"/>
      <c r="DG477" s="62"/>
      <c r="DH477" s="62"/>
      <c r="DI477" s="62"/>
      <c r="DJ477" s="62"/>
      <c r="DK477" s="62"/>
      <c r="DL477" s="62"/>
      <c r="DM477" s="62"/>
      <c r="DN477" s="62"/>
      <c r="DO477" s="62"/>
      <c r="DP477" s="62"/>
      <c r="DQ477" s="62"/>
      <c r="DR477" s="62"/>
      <c r="DS477" s="62"/>
      <c r="DT477" s="62"/>
      <c r="DU477" s="62"/>
      <c r="DV477" s="62"/>
      <c r="DW477" s="62"/>
      <c r="DX477" s="62"/>
      <c r="DY477" s="62"/>
      <c r="DZ477" s="62"/>
      <c r="EA477" s="62"/>
      <c r="EB477" s="62"/>
      <c r="EC477" s="62"/>
      <c r="ED477" s="62"/>
      <c r="EE477" s="62"/>
      <c r="EF477" s="62"/>
      <c r="EG477" s="62"/>
      <c r="EH477" s="62"/>
      <c r="EI477" s="62"/>
      <c r="EJ477" s="62"/>
      <c r="EK477" s="62"/>
      <c r="EL477" s="62"/>
      <c r="EM477" s="62"/>
      <c r="EN477" s="62"/>
      <c r="EO477" s="62"/>
      <c r="EP477" s="62"/>
      <c r="EQ477" s="62"/>
      <c r="ER477" s="62"/>
      <c r="ES477" s="62"/>
      <c r="ET477" s="62"/>
      <c r="EU477" s="62"/>
      <c r="EV477" s="62"/>
      <c r="EW477" s="62"/>
      <c r="EX477" s="62"/>
      <c r="EY477" s="62"/>
      <c r="EZ477" s="62"/>
      <c r="FA477" s="62"/>
      <c r="FB477" s="62"/>
      <c r="FC477" s="62"/>
      <c r="FD477" s="62"/>
      <c r="FE477" s="62"/>
      <c r="FF477" s="62"/>
      <c r="FG477" s="62"/>
      <c r="FH477" s="62"/>
      <c r="FI477" s="62"/>
      <c r="FJ477" s="62"/>
      <c r="FK477" s="62"/>
      <c r="FL477" s="62"/>
      <c r="FM477" s="62"/>
      <c r="FN477" s="62"/>
      <c r="FO477" s="62"/>
      <c r="FP477" s="62"/>
      <c r="FQ477" s="62"/>
      <c r="FR477" s="62"/>
      <c r="FS477" s="62"/>
      <c r="FT477" s="62"/>
      <c r="FU477" s="62"/>
      <c r="FV477" s="62"/>
    </row>
    <row r="478" spans="1:178" ht="13.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c r="AY478" s="62"/>
      <c r="AZ478" s="62"/>
      <c r="BA478" s="62"/>
      <c r="BB478" s="62"/>
      <c r="BC478" s="62"/>
      <c r="BD478" s="62"/>
      <c r="BE478" s="62"/>
      <c r="BF478" s="62"/>
      <c r="BG478" s="62"/>
      <c r="BH478" s="62"/>
      <c r="BI478" s="62"/>
      <c r="BJ478" s="62"/>
      <c r="BK478" s="62"/>
      <c r="BL478" s="62"/>
      <c r="BM478" s="62"/>
      <c r="BN478" s="62"/>
      <c r="BO478" s="62"/>
      <c r="BP478" s="62"/>
      <c r="BQ478" s="62"/>
      <c r="BR478" s="62"/>
      <c r="BS478" s="62"/>
      <c r="BT478" s="62"/>
      <c r="BU478" s="62"/>
      <c r="BV478" s="62"/>
      <c r="BW478" s="62"/>
      <c r="BX478" s="62"/>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62"/>
      <c r="CX478" s="62"/>
      <c r="CY478" s="62"/>
      <c r="CZ478" s="62"/>
      <c r="DA478" s="62"/>
      <c r="DB478" s="62"/>
      <c r="DC478" s="62"/>
      <c r="DD478" s="62"/>
      <c r="DE478" s="62"/>
      <c r="DF478" s="62"/>
      <c r="DG478" s="62"/>
      <c r="DH478" s="62"/>
      <c r="DI478" s="62"/>
      <c r="DJ478" s="62"/>
      <c r="DK478" s="62"/>
      <c r="DL478" s="62"/>
      <c r="DM478" s="62"/>
      <c r="DN478" s="62"/>
      <c r="DO478" s="62"/>
      <c r="DP478" s="62"/>
      <c r="DQ478" s="62"/>
      <c r="DR478" s="62"/>
      <c r="DS478" s="62"/>
      <c r="DT478" s="62"/>
      <c r="DU478" s="62"/>
      <c r="DV478" s="62"/>
      <c r="DW478" s="62"/>
      <c r="DX478" s="62"/>
      <c r="DY478" s="62"/>
      <c r="DZ478" s="62"/>
      <c r="EA478" s="62"/>
      <c r="EB478" s="62"/>
      <c r="EC478" s="62"/>
      <c r="ED478" s="62"/>
      <c r="EE478" s="62"/>
      <c r="EF478" s="62"/>
      <c r="EG478" s="62"/>
      <c r="EH478" s="62"/>
      <c r="EI478" s="62"/>
      <c r="EJ478" s="62"/>
      <c r="EK478" s="62"/>
      <c r="EL478" s="62"/>
      <c r="EM478" s="62"/>
      <c r="EN478" s="62"/>
      <c r="EO478" s="62"/>
      <c r="EP478" s="62"/>
      <c r="EQ478" s="62"/>
      <c r="ER478" s="62"/>
      <c r="ES478" s="62"/>
      <c r="ET478" s="62"/>
      <c r="EU478" s="62"/>
      <c r="EV478" s="62"/>
      <c r="EW478" s="62"/>
      <c r="EX478" s="62"/>
      <c r="EY478" s="62"/>
      <c r="EZ478" s="62"/>
      <c r="FA478" s="62"/>
      <c r="FB478" s="62"/>
      <c r="FC478" s="62"/>
      <c r="FD478" s="62"/>
      <c r="FE478" s="62"/>
      <c r="FF478" s="62"/>
      <c r="FG478" s="62"/>
      <c r="FH478" s="62"/>
      <c r="FI478" s="62"/>
      <c r="FJ478" s="62"/>
      <c r="FK478" s="62"/>
      <c r="FL478" s="62"/>
      <c r="FM478" s="62"/>
      <c r="FN478" s="62"/>
      <c r="FO478" s="62"/>
      <c r="FP478" s="62"/>
      <c r="FQ478" s="62"/>
      <c r="FR478" s="62"/>
      <c r="FS478" s="62"/>
      <c r="FT478" s="62"/>
      <c r="FU478" s="62"/>
      <c r="FV478" s="62"/>
    </row>
    <row r="479" spans="1:178" ht="13.8">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c r="AY479" s="62"/>
      <c r="AZ479" s="62"/>
      <c r="BA479" s="62"/>
      <c r="BB479" s="62"/>
      <c r="BC479" s="62"/>
      <c r="BD479" s="62"/>
      <c r="BE479" s="62"/>
      <c r="BF479" s="62"/>
      <c r="BG479" s="62"/>
      <c r="BH479" s="62"/>
      <c r="BI479" s="62"/>
      <c r="BJ479" s="62"/>
      <c r="BK479" s="62"/>
      <c r="BL479" s="62"/>
      <c r="BM479" s="62"/>
      <c r="BN479" s="62"/>
      <c r="BO479" s="62"/>
      <c r="BP479" s="62"/>
      <c r="BQ479" s="62"/>
      <c r="BR479" s="62"/>
      <c r="BS479" s="62"/>
      <c r="BT479" s="62"/>
      <c r="BU479" s="62"/>
      <c r="BV479" s="62"/>
      <c r="BW479" s="62"/>
      <c r="BX479" s="62"/>
      <c r="BY479" s="62"/>
      <c r="BZ479" s="62"/>
      <c r="CA479" s="62"/>
      <c r="CB479" s="62"/>
      <c r="CC479" s="62"/>
      <c r="CD479" s="62"/>
      <c r="CE479" s="62"/>
      <c r="CF479" s="62"/>
      <c r="CG479" s="62"/>
      <c r="CH479" s="62"/>
      <c r="CI479" s="62"/>
      <c r="CJ479" s="62"/>
      <c r="CK479" s="62"/>
      <c r="CL479" s="62"/>
      <c r="CM479" s="62"/>
      <c r="CN479" s="62"/>
      <c r="CO479" s="62"/>
      <c r="CP479" s="62"/>
      <c r="CQ479" s="62"/>
      <c r="CR479" s="62"/>
      <c r="CS479" s="62"/>
      <c r="CT479" s="62"/>
      <c r="CU479" s="62"/>
      <c r="CV479" s="62"/>
      <c r="CW479" s="62"/>
      <c r="CX479" s="62"/>
      <c r="CY479" s="62"/>
      <c r="CZ479" s="62"/>
      <c r="DA479" s="62"/>
      <c r="DB479" s="62"/>
      <c r="DC479" s="62"/>
      <c r="DD479" s="62"/>
      <c r="DE479" s="62"/>
      <c r="DF479" s="62"/>
      <c r="DG479" s="62"/>
      <c r="DH479" s="62"/>
      <c r="DI479" s="62"/>
      <c r="DJ479" s="62"/>
      <c r="DK479" s="62"/>
      <c r="DL479" s="62"/>
      <c r="DM479" s="62"/>
      <c r="DN479" s="62"/>
      <c r="DO479" s="62"/>
      <c r="DP479" s="62"/>
      <c r="DQ479" s="62"/>
      <c r="DR479" s="62"/>
      <c r="DS479" s="62"/>
      <c r="DT479" s="62"/>
      <c r="DU479" s="62"/>
      <c r="DV479" s="62"/>
      <c r="DW479" s="62"/>
      <c r="DX479" s="62"/>
      <c r="DY479" s="62"/>
      <c r="DZ479" s="62"/>
      <c r="EA479" s="62"/>
      <c r="EB479" s="62"/>
      <c r="EC479" s="62"/>
      <c r="ED479" s="62"/>
      <c r="EE479" s="62"/>
      <c r="EF479" s="62"/>
      <c r="EG479" s="62"/>
      <c r="EH479" s="62"/>
      <c r="EI479" s="62"/>
      <c r="EJ479" s="62"/>
      <c r="EK479" s="62"/>
      <c r="EL479" s="62"/>
      <c r="EM479" s="62"/>
      <c r="EN479" s="62"/>
      <c r="EO479" s="62"/>
      <c r="EP479" s="62"/>
      <c r="EQ479" s="62"/>
      <c r="ER479" s="62"/>
      <c r="ES479" s="62"/>
      <c r="ET479" s="62"/>
      <c r="EU479" s="62"/>
      <c r="EV479" s="62"/>
      <c r="EW479" s="62"/>
      <c r="EX479" s="62"/>
      <c r="EY479" s="62"/>
      <c r="EZ479" s="62"/>
      <c r="FA479" s="62"/>
      <c r="FB479" s="62"/>
      <c r="FC479" s="62"/>
      <c r="FD479" s="62"/>
      <c r="FE479" s="62"/>
      <c r="FF479" s="62"/>
      <c r="FG479" s="62"/>
      <c r="FH479" s="62"/>
      <c r="FI479" s="62"/>
      <c r="FJ479" s="62"/>
      <c r="FK479" s="62"/>
      <c r="FL479" s="62"/>
      <c r="FM479" s="62"/>
      <c r="FN479" s="62"/>
      <c r="FO479" s="62"/>
      <c r="FP479" s="62"/>
      <c r="FQ479" s="62"/>
      <c r="FR479" s="62"/>
      <c r="FS479" s="62"/>
      <c r="FT479" s="62"/>
      <c r="FU479" s="62"/>
      <c r="FV479" s="62"/>
    </row>
    <row r="480" spans="1:178" ht="13.8">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2"/>
      <c r="EX480" s="62"/>
      <c r="EY480" s="62"/>
      <c r="EZ480" s="62"/>
      <c r="FA480" s="62"/>
      <c r="FB480" s="62"/>
      <c r="FC480" s="62"/>
      <c r="FD480" s="62"/>
      <c r="FE480" s="62"/>
      <c r="FF480" s="62"/>
      <c r="FG480" s="62"/>
      <c r="FH480" s="62"/>
      <c r="FI480" s="62"/>
      <c r="FJ480" s="62"/>
      <c r="FK480" s="62"/>
      <c r="FL480" s="62"/>
      <c r="FM480" s="62"/>
      <c r="FN480" s="62"/>
      <c r="FO480" s="62"/>
      <c r="FP480" s="62"/>
      <c r="FQ480" s="62"/>
      <c r="FR480" s="62"/>
      <c r="FS480" s="62"/>
      <c r="FT480" s="62"/>
      <c r="FU480" s="62"/>
      <c r="FV480" s="62"/>
    </row>
    <row r="481" spans="1:178" ht="13.8">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c r="AY481" s="62"/>
      <c r="AZ481" s="62"/>
      <c r="BA481" s="62"/>
      <c r="BB481" s="62"/>
      <c r="BC481" s="62"/>
      <c r="BD481" s="62"/>
      <c r="BE481" s="62"/>
      <c r="BF481" s="62"/>
      <c r="BG481" s="62"/>
      <c r="BH481" s="62"/>
      <c r="BI481" s="62"/>
      <c r="BJ481" s="62"/>
      <c r="BK481" s="62"/>
      <c r="BL481" s="62"/>
      <c r="BM481" s="62"/>
      <c r="BN481" s="62"/>
      <c r="BO481" s="62"/>
      <c r="BP481" s="62"/>
      <c r="BQ481" s="62"/>
      <c r="BR481" s="62"/>
      <c r="BS481" s="62"/>
      <c r="BT481" s="62"/>
      <c r="BU481" s="62"/>
      <c r="BV481" s="62"/>
      <c r="BW481" s="62"/>
      <c r="BX481" s="62"/>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62"/>
      <c r="CX481" s="62"/>
      <c r="CY481" s="62"/>
      <c r="CZ481" s="62"/>
      <c r="DA481" s="62"/>
      <c r="DB481" s="62"/>
      <c r="DC481" s="62"/>
      <c r="DD481" s="62"/>
      <c r="DE481" s="62"/>
      <c r="DF481" s="62"/>
      <c r="DG481" s="62"/>
      <c r="DH481" s="62"/>
      <c r="DI481" s="62"/>
      <c r="DJ481" s="62"/>
      <c r="DK481" s="62"/>
      <c r="DL481" s="62"/>
      <c r="DM481" s="62"/>
      <c r="DN481" s="62"/>
      <c r="DO481" s="62"/>
      <c r="DP481" s="62"/>
      <c r="DQ481" s="62"/>
      <c r="DR481" s="62"/>
      <c r="DS481" s="62"/>
      <c r="DT481" s="62"/>
      <c r="DU481" s="62"/>
      <c r="DV481" s="62"/>
      <c r="DW481" s="62"/>
      <c r="DX481" s="62"/>
      <c r="DY481" s="62"/>
      <c r="DZ481" s="62"/>
      <c r="EA481" s="62"/>
      <c r="EB481" s="62"/>
      <c r="EC481" s="62"/>
      <c r="ED481" s="62"/>
      <c r="EE481" s="62"/>
      <c r="EF481" s="62"/>
      <c r="EG481" s="62"/>
      <c r="EH481" s="62"/>
      <c r="EI481" s="62"/>
      <c r="EJ481" s="62"/>
      <c r="EK481" s="62"/>
      <c r="EL481" s="62"/>
      <c r="EM481" s="62"/>
      <c r="EN481" s="62"/>
      <c r="EO481" s="62"/>
      <c r="EP481" s="62"/>
      <c r="EQ481" s="62"/>
      <c r="ER481" s="62"/>
      <c r="ES481" s="62"/>
      <c r="ET481" s="62"/>
      <c r="EU481" s="62"/>
      <c r="EV481" s="62"/>
      <c r="EW481" s="62"/>
      <c r="EX481" s="62"/>
      <c r="EY481" s="62"/>
      <c r="EZ481" s="62"/>
      <c r="FA481" s="62"/>
      <c r="FB481" s="62"/>
      <c r="FC481" s="62"/>
      <c r="FD481" s="62"/>
      <c r="FE481" s="62"/>
      <c r="FF481" s="62"/>
      <c r="FG481" s="62"/>
      <c r="FH481" s="62"/>
      <c r="FI481" s="62"/>
      <c r="FJ481" s="62"/>
      <c r="FK481" s="62"/>
      <c r="FL481" s="62"/>
      <c r="FM481" s="62"/>
      <c r="FN481" s="62"/>
      <c r="FO481" s="62"/>
      <c r="FP481" s="62"/>
      <c r="FQ481" s="62"/>
      <c r="FR481" s="62"/>
      <c r="FS481" s="62"/>
      <c r="FT481" s="62"/>
      <c r="FU481" s="62"/>
      <c r="FV481" s="62"/>
    </row>
    <row r="482" spans="1:178" ht="13.8">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c r="AY482" s="62"/>
      <c r="AZ482" s="62"/>
      <c r="BA482" s="62"/>
      <c r="BB482" s="62"/>
      <c r="BC482" s="62"/>
      <c r="BD482" s="62"/>
      <c r="BE482" s="62"/>
      <c r="BF482" s="62"/>
      <c r="BG482" s="62"/>
      <c r="BH482" s="62"/>
      <c r="BI482" s="62"/>
      <c r="BJ482" s="62"/>
      <c r="BK482" s="62"/>
      <c r="BL482" s="62"/>
      <c r="BM482" s="62"/>
      <c r="BN482" s="62"/>
      <c r="BO482" s="62"/>
      <c r="BP482" s="62"/>
      <c r="BQ482" s="62"/>
      <c r="BR482" s="62"/>
      <c r="BS482" s="62"/>
      <c r="BT482" s="62"/>
      <c r="BU482" s="62"/>
      <c r="BV482" s="62"/>
      <c r="BW482" s="62"/>
      <c r="BX482" s="62"/>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62"/>
      <c r="CX482" s="62"/>
      <c r="CY482" s="62"/>
      <c r="CZ482" s="62"/>
      <c r="DA482" s="62"/>
      <c r="DB482" s="62"/>
      <c r="DC482" s="62"/>
      <c r="DD482" s="62"/>
      <c r="DE482" s="62"/>
      <c r="DF482" s="62"/>
      <c r="DG482" s="62"/>
      <c r="DH482" s="62"/>
      <c r="DI482" s="62"/>
      <c r="DJ482" s="62"/>
      <c r="DK482" s="62"/>
      <c r="DL482" s="62"/>
      <c r="DM482" s="62"/>
      <c r="DN482" s="62"/>
      <c r="DO482" s="62"/>
      <c r="DP482" s="62"/>
      <c r="DQ482" s="62"/>
      <c r="DR482" s="62"/>
      <c r="DS482" s="62"/>
      <c r="DT482" s="62"/>
      <c r="DU482" s="62"/>
      <c r="DV482" s="62"/>
      <c r="DW482" s="62"/>
      <c r="DX482" s="62"/>
      <c r="DY482" s="62"/>
      <c r="DZ482" s="62"/>
      <c r="EA482" s="62"/>
      <c r="EB482" s="62"/>
      <c r="EC482" s="62"/>
      <c r="ED482" s="62"/>
      <c r="EE482" s="62"/>
      <c r="EF482" s="62"/>
      <c r="EG482" s="62"/>
      <c r="EH482" s="62"/>
      <c r="EI482" s="62"/>
      <c r="EJ482" s="62"/>
      <c r="EK482" s="62"/>
      <c r="EL482" s="62"/>
      <c r="EM482" s="62"/>
      <c r="EN482" s="62"/>
      <c r="EO482" s="62"/>
      <c r="EP482" s="62"/>
      <c r="EQ482" s="62"/>
      <c r="ER482" s="62"/>
      <c r="ES482" s="62"/>
      <c r="ET482" s="62"/>
      <c r="EU482" s="62"/>
      <c r="EV482" s="62"/>
      <c r="EW482" s="62"/>
      <c r="EX482" s="62"/>
      <c r="EY482" s="62"/>
      <c r="EZ482" s="62"/>
      <c r="FA482" s="62"/>
      <c r="FB482" s="62"/>
      <c r="FC482" s="62"/>
      <c r="FD482" s="62"/>
      <c r="FE482" s="62"/>
      <c r="FF482" s="62"/>
      <c r="FG482" s="62"/>
      <c r="FH482" s="62"/>
      <c r="FI482" s="62"/>
      <c r="FJ482" s="62"/>
      <c r="FK482" s="62"/>
      <c r="FL482" s="62"/>
      <c r="FM482" s="62"/>
      <c r="FN482" s="62"/>
      <c r="FO482" s="62"/>
      <c r="FP482" s="62"/>
      <c r="FQ482" s="62"/>
      <c r="FR482" s="62"/>
      <c r="FS482" s="62"/>
      <c r="FT482" s="62"/>
      <c r="FU482" s="62"/>
      <c r="FV482" s="62"/>
    </row>
    <row r="483" spans="1:178" ht="13.8">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c r="AY483" s="62"/>
      <c r="AZ483" s="62"/>
      <c r="BA483" s="62"/>
      <c r="BB483" s="62"/>
      <c r="BC483" s="62"/>
      <c r="BD483" s="62"/>
      <c r="BE483" s="62"/>
      <c r="BF483" s="62"/>
      <c r="BG483" s="62"/>
      <c r="BH483" s="62"/>
      <c r="BI483" s="62"/>
      <c r="BJ483" s="62"/>
      <c r="BK483" s="62"/>
      <c r="BL483" s="62"/>
      <c r="BM483" s="62"/>
      <c r="BN483" s="62"/>
      <c r="BO483" s="62"/>
      <c r="BP483" s="62"/>
      <c r="BQ483" s="62"/>
      <c r="BR483" s="62"/>
      <c r="BS483" s="62"/>
      <c r="BT483" s="62"/>
      <c r="BU483" s="62"/>
      <c r="BV483" s="62"/>
      <c r="BW483" s="62"/>
      <c r="BX483" s="62"/>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62"/>
      <c r="CX483" s="62"/>
      <c r="CY483" s="62"/>
      <c r="CZ483" s="62"/>
      <c r="DA483" s="62"/>
      <c r="DB483" s="62"/>
      <c r="DC483" s="62"/>
      <c r="DD483" s="62"/>
      <c r="DE483" s="62"/>
      <c r="DF483" s="62"/>
      <c r="DG483" s="62"/>
      <c r="DH483" s="62"/>
      <c r="DI483" s="62"/>
      <c r="DJ483" s="62"/>
      <c r="DK483" s="62"/>
      <c r="DL483" s="62"/>
      <c r="DM483" s="62"/>
      <c r="DN483" s="62"/>
      <c r="DO483" s="62"/>
      <c r="DP483" s="62"/>
      <c r="DQ483" s="62"/>
      <c r="DR483" s="62"/>
      <c r="DS483" s="62"/>
      <c r="DT483" s="62"/>
      <c r="DU483" s="62"/>
      <c r="DV483" s="62"/>
      <c r="DW483" s="62"/>
      <c r="DX483" s="62"/>
      <c r="DY483" s="62"/>
      <c r="DZ483" s="62"/>
      <c r="EA483" s="62"/>
      <c r="EB483" s="62"/>
      <c r="EC483" s="62"/>
      <c r="ED483" s="62"/>
      <c r="EE483" s="62"/>
      <c r="EF483" s="62"/>
      <c r="EG483" s="62"/>
      <c r="EH483" s="62"/>
      <c r="EI483" s="62"/>
      <c r="EJ483" s="62"/>
      <c r="EK483" s="62"/>
      <c r="EL483" s="62"/>
      <c r="EM483" s="62"/>
      <c r="EN483" s="62"/>
      <c r="EO483" s="62"/>
      <c r="EP483" s="62"/>
      <c r="EQ483" s="62"/>
      <c r="ER483" s="62"/>
      <c r="ES483" s="62"/>
      <c r="ET483" s="62"/>
      <c r="EU483" s="62"/>
      <c r="EV483" s="62"/>
      <c r="EW483" s="62"/>
      <c r="EX483" s="62"/>
      <c r="EY483" s="62"/>
      <c r="EZ483" s="62"/>
      <c r="FA483" s="62"/>
      <c r="FB483" s="62"/>
      <c r="FC483" s="62"/>
      <c r="FD483" s="62"/>
      <c r="FE483" s="62"/>
      <c r="FF483" s="62"/>
      <c r="FG483" s="62"/>
      <c r="FH483" s="62"/>
      <c r="FI483" s="62"/>
      <c r="FJ483" s="62"/>
      <c r="FK483" s="62"/>
      <c r="FL483" s="62"/>
      <c r="FM483" s="62"/>
      <c r="FN483" s="62"/>
      <c r="FO483" s="62"/>
      <c r="FP483" s="62"/>
      <c r="FQ483" s="62"/>
      <c r="FR483" s="62"/>
      <c r="FS483" s="62"/>
      <c r="FT483" s="62"/>
      <c r="FU483" s="62"/>
      <c r="FV483" s="62"/>
    </row>
    <row r="484" spans="1:178" ht="13.8">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c r="AY484" s="62"/>
      <c r="AZ484" s="62"/>
      <c r="BA484" s="62"/>
      <c r="BB484" s="62"/>
      <c r="BC484" s="62"/>
      <c r="BD484" s="62"/>
      <c r="BE484" s="62"/>
      <c r="BF484" s="62"/>
      <c r="BG484" s="62"/>
      <c r="BH484" s="62"/>
      <c r="BI484" s="62"/>
      <c r="BJ484" s="62"/>
      <c r="BK484" s="62"/>
      <c r="BL484" s="62"/>
      <c r="BM484" s="62"/>
      <c r="BN484" s="62"/>
      <c r="BO484" s="62"/>
      <c r="BP484" s="62"/>
      <c r="BQ484" s="62"/>
      <c r="BR484" s="62"/>
      <c r="BS484" s="62"/>
      <c r="BT484" s="62"/>
      <c r="BU484" s="62"/>
      <c r="BV484" s="62"/>
      <c r="BW484" s="62"/>
      <c r="BX484" s="62"/>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62"/>
      <c r="CX484" s="62"/>
      <c r="CY484" s="62"/>
      <c r="CZ484" s="62"/>
      <c r="DA484" s="62"/>
      <c r="DB484" s="62"/>
      <c r="DC484" s="62"/>
      <c r="DD484" s="62"/>
      <c r="DE484" s="62"/>
      <c r="DF484" s="62"/>
      <c r="DG484" s="62"/>
      <c r="DH484" s="62"/>
      <c r="DI484" s="62"/>
      <c r="DJ484" s="62"/>
      <c r="DK484" s="62"/>
      <c r="DL484" s="62"/>
      <c r="DM484" s="62"/>
      <c r="DN484" s="62"/>
      <c r="DO484" s="62"/>
      <c r="DP484" s="62"/>
      <c r="DQ484" s="62"/>
      <c r="DR484" s="62"/>
      <c r="DS484" s="62"/>
      <c r="DT484" s="62"/>
      <c r="DU484" s="62"/>
      <c r="DV484" s="62"/>
      <c r="DW484" s="62"/>
      <c r="DX484" s="62"/>
      <c r="DY484" s="62"/>
      <c r="DZ484" s="62"/>
      <c r="EA484" s="62"/>
      <c r="EB484" s="62"/>
      <c r="EC484" s="62"/>
      <c r="ED484" s="62"/>
      <c r="EE484" s="62"/>
      <c r="EF484" s="62"/>
      <c r="EG484" s="62"/>
      <c r="EH484" s="62"/>
      <c r="EI484" s="62"/>
      <c r="EJ484" s="62"/>
      <c r="EK484" s="62"/>
      <c r="EL484" s="62"/>
      <c r="EM484" s="62"/>
      <c r="EN484" s="62"/>
      <c r="EO484" s="62"/>
      <c r="EP484" s="62"/>
      <c r="EQ484" s="62"/>
      <c r="ER484" s="62"/>
      <c r="ES484" s="62"/>
      <c r="ET484" s="62"/>
      <c r="EU484" s="62"/>
      <c r="EV484" s="62"/>
      <c r="EW484" s="62"/>
      <c r="EX484" s="62"/>
      <c r="EY484" s="62"/>
      <c r="EZ484" s="62"/>
      <c r="FA484" s="62"/>
      <c r="FB484" s="62"/>
      <c r="FC484" s="62"/>
      <c r="FD484" s="62"/>
      <c r="FE484" s="62"/>
      <c r="FF484" s="62"/>
      <c r="FG484" s="62"/>
      <c r="FH484" s="62"/>
      <c r="FI484" s="62"/>
      <c r="FJ484" s="62"/>
      <c r="FK484" s="62"/>
      <c r="FL484" s="62"/>
      <c r="FM484" s="62"/>
      <c r="FN484" s="62"/>
      <c r="FO484" s="62"/>
      <c r="FP484" s="62"/>
      <c r="FQ484" s="62"/>
      <c r="FR484" s="62"/>
      <c r="FS484" s="62"/>
      <c r="FT484" s="62"/>
      <c r="FU484" s="62"/>
      <c r="FV484" s="62"/>
    </row>
    <row r="485" spans="1:178" ht="13.8">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c r="AY485" s="62"/>
      <c r="AZ485" s="62"/>
      <c r="BA485" s="62"/>
      <c r="BB485" s="62"/>
      <c r="BC485" s="62"/>
      <c r="BD485" s="62"/>
      <c r="BE485" s="62"/>
      <c r="BF485" s="62"/>
      <c r="BG485" s="62"/>
      <c r="BH485" s="62"/>
      <c r="BI485" s="62"/>
      <c r="BJ485" s="62"/>
      <c r="BK485" s="62"/>
      <c r="BL485" s="62"/>
      <c r="BM485" s="62"/>
      <c r="BN485" s="62"/>
      <c r="BO485" s="62"/>
      <c r="BP485" s="62"/>
      <c r="BQ485" s="62"/>
      <c r="BR485" s="62"/>
      <c r="BS485" s="62"/>
      <c r="BT485" s="62"/>
      <c r="BU485" s="62"/>
      <c r="BV485" s="62"/>
      <c r="BW485" s="62"/>
      <c r="BX485" s="62"/>
      <c r="BY485" s="62"/>
      <c r="BZ485" s="62"/>
      <c r="CA485" s="62"/>
      <c r="CB485" s="62"/>
      <c r="CC485" s="62"/>
      <c r="CD485" s="62"/>
      <c r="CE485" s="62"/>
      <c r="CF485" s="62"/>
      <c r="CG485" s="62"/>
      <c r="CH485" s="62"/>
      <c r="CI485" s="62"/>
      <c r="CJ485" s="62"/>
      <c r="CK485" s="62"/>
      <c r="CL485" s="62"/>
      <c r="CM485" s="62"/>
      <c r="CN485" s="62"/>
      <c r="CO485" s="62"/>
      <c r="CP485" s="62"/>
      <c r="CQ485" s="62"/>
      <c r="CR485" s="62"/>
      <c r="CS485" s="62"/>
      <c r="CT485" s="62"/>
      <c r="CU485" s="62"/>
      <c r="CV485" s="62"/>
      <c r="CW485" s="62"/>
      <c r="CX485" s="62"/>
      <c r="CY485" s="62"/>
      <c r="CZ485" s="62"/>
      <c r="DA485" s="62"/>
      <c r="DB485" s="62"/>
      <c r="DC485" s="62"/>
      <c r="DD485" s="62"/>
      <c r="DE485" s="62"/>
      <c r="DF485" s="62"/>
      <c r="DG485" s="62"/>
      <c r="DH485" s="62"/>
      <c r="DI485" s="62"/>
      <c r="DJ485" s="62"/>
      <c r="DK485" s="62"/>
      <c r="DL485" s="62"/>
      <c r="DM485" s="62"/>
      <c r="DN485" s="62"/>
      <c r="DO485" s="62"/>
      <c r="DP485" s="62"/>
      <c r="DQ485" s="62"/>
      <c r="DR485" s="62"/>
      <c r="DS485" s="62"/>
      <c r="DT485" s="62"/>
      <c r="DU485" s="62"/>
      <c r="DV485" s="62"/>
      <c r="DW485" s="62"/>
      <c r="DX485" s="62"/>
      <c r="DY485" s="62"/>
      <c r="DZ485" s="62"/>
      <c r="EA485" s="62"/>
      <c r="EB485" s="62"/>
      <c r="EC485" s="62"/>
      <c r="ED485" s="62"/>
      <c r="EE485" s="62"/>
      <c r="EF485" s="62"/>
      <c r="EG485" s="62"/>
      <c r="EH485" s="62"/>
      <c r="EI485" s="62"/>
      <c r="EJ485" s="62"/>
      <c r="EK485" s="62"/>
      <c r="EL485" s="62"/>
      <c r="EM485" s="62"/>
      <c r="EN485" s="62"/>
      <c r="EO485" s="62"/>
      <c r="EP485" s="62"/>
      <c r="EQ485" s="62"/>
      <c r="ER485" s="62"/>
      <c r="ES485" s="62"/>
      <c r="ET485" s="62"/>
      <c r="EU485" s="62"/>
      <c r="EV485" s="62"/>
      <c r="EW485" s="62"/>
      <c r="EX485" s="62"/>
      <c r="EY485" s="62"/>
      <c r="EZ485" s="62"/>
      <c r="FA485" s="62"/>
      <c r="FB485" s="62"/>
      <c r="FC485" s="62"/>
      <c r="FD485" s="62"/>
      <c r="FE485" s="62"/>
      <c r="FF485" s="62"/>
      <c r="FG485" s="62"/>
      <c r="FH485" s="62"/>
      <c r="FI485" s="62"/>
      <c r="FJ485" s="62"/>
      <c r="FK485" s="62"/>
      <c r="FL485" s="62"/>
      <c r="FM485" s="62"/>
      <c r="FN485" s="62"/>
      <c r="FO485" s="62"/>
      <c r="FP485" s="62"/>
      <c r="FQ485" s="62"/>
      <c r="FR485" s="62"/>
      <c r="FS485" s="62"/>
      <c r="FT485" s="62"/>
      <c r="FU485" s="62"/>
      <c r="FV485" s="62"/>
    </row>
    <row r="486" spans="1:178" ht="13.8">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c r="AY486" s="62"/>
      <c r="AZ486" s="62"/>
      <c r="BA486" s="62"/>
      <c r="BB486" s="62"/>
      <c r="BC486" s="62"/>
      <c r="BD486" s="62"/>
      <c r="BE486" s="62"/>
      <c r="BF486" s="62"/>
      <c r="BG486" s="62"/>
      <c r="BH486" s="62"/>
      <c r="BI486" s="62"/>
      <c r="BJ486" s="62"/>
      <c r="BK486" s="62"/>
      <c r="BL486" s="62"/>
      <c r="BM486" s="62"/>
      <c r="BN486" s="62"/>
      <c r="BO486" s="62"/>
      <c r="BP486" s="62"/>
      <c r="BQ486" s="62"/>
      <c r="BR486" s="62"/>
      <c r="BS486" s="62"/>
      <c r="BT486" s="62"/>
      <c r="BU486" s="62"/>
      <c r="BV486" s="62"/>
      <c r="BW486" s="62"/>
      <c r="BX486" s="62"/>
      <c r="BY486" s="62"/>
      <c r="BZ486" s="62"/>
      <c r="CA486" s="62"/>
      <c r="CB486" s="62"/>
      <c r="CC486" s="62"/>
      <c r="CD486" s="62"/>
      <c r="CE486" s="62"/>
      <c r="CF486" s="62"/>
      <c r="CG486" s="62"/>
      <c r="CH486" s="62"/>
      <c r="CI486" s="62"/>
      <c r="CJ486" s="62"/>
      <c r="CK486" s="62"/>
      <c r="CL486" s="62"/>
      <c r="CM486" s="62"/>
      <c r="CN486" s="62"/>
      <c r="CO486" s="62"/>
      <c r="CP486" s="62"/>
      <c r="CQ486" s="62"/>
      <c r="CR486" s="62"/>
      <c r="CS486" s="62"/>
      <c r="CT486" s="62"/>
      <c r="CU486" s="62"/>
      <c r="CV486" s="62"/>
      <c r="CW486" s="62"/>
      <c r="CX486" s="62"/>
      <c r="CY486" s="62"/>
      <c r="CZ486" s="62"/>
      <c r="DA486" s="62"/>
      <c r="DB486" s="62"/>
      <c r="DC486" s="62"/>
      <c r="DD486" s="62"/>
      <c r="DE486" s="62"/>
      <c r="DF486" s="62"/>
      <c r="DG486" s="62"/>
      <c r="DH486" s="62"/>
      <c r="DI486" s="62"/>
      <c r="DJ486" s="62"/>
      <c r="DK486" s="62"/>
      <c r="DL486" s="62"/>
      <c r="DM486" s="62"/>
      <c r="DN486" s="62"/>
      <c r="DO486" s="62"/>
      <c r="DP486" s="62"/>
      <c r="DQ486" s="62"/>
      <c r="DR486" s="62"/>
      <c r="DS486" s="62"/>
      <c r="DT486" s="62"/>
      <c r="DU486" s="62"/>
      <c r="DV486" s="62"/>
      <c r="DW486" s="62"/>
      <c r="DX486" s="62"/>
      <c r="DY486" s="62"/>
      <c r="DZ486" s="62"/>
      <c r="EA486" s="62"/>
      <c r="EB486" s="62"/>
      <c r="EC486" s="62"/>
      <c r="ED486" s="62"/>
      <c r="EE486" s="62"/>
      <c r="EF486" s="62"/>
      <c r="EG486" s="62"/>
      <c r="EH486" s="62"/>
      <c r="EI486" s="62"/>
      <c r="EJ486" s="62"/>
      <c r="EK486" s="62"/>
      <c r="EL486" s="62"/>
      <c r="EM486" s="62"/>
      <c r="EN486" s="62"/>
      <c r="EO486" s="62"/>
      <c r="EP486" s="62"/>
      <c r="EQ486" s="62"/>
      <c r="ER486" s="62"/>
      <c r="ES486" s="62"/>
      <c r="ET486" s="62"/>
      <c r="EU486" s="62"/>
      <c r="EV486" s="62"/>
      <c r="EW486" s="62"/>
      <c r="EX486" s="62"/>
      <c r="EY486" s="62"/>
      <c r="EZ486" s="62"/>
      <c r="FA486" s="62"/>
      <c r="FB486" s="62"/>
      <c r="FC486" s="62"/>
      <c r="FD486" s="62"/>
      <c r="FE486" s="62"/>
      <c r="FF486" s="62"/>
      <c r="FG486" s="62"/>
      <c r="FH486" s="62"/>
      <c r="FI486" s="62"/>
      <c r="FJ486" s="62"/>
      <c r="FK486" s="62"/>
      <c r="FL486" s="62"/>
      <c r="FM486" s="62"/>
      <c r="FN486" s="62"/>
      <c r="FO486" s="62"/>
      <c r="FP486" s="62"/>
      <c r="FQ486" s="62"/>
      <c r="FR486" s="62"/>
      <c r="FS486" s="62"/>
      <c r="FT486" s="62"/>
      <c r="FU486" s="62"/>
      <c r="FV486" s="62"/>
    </row>
    <row r="487" spans="1:178" ht="13.8">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c r="AY487" s="62"/>
      <c r="AZ487" s="62"/>
      <c r="BA487" s="62"/>
      <c r="BB487" s="62"/>
      <c r="BC487" s="62"/>
      <c r="BD487" s="62"/>
      <c r="BE487" s="62"/>
      <c r="BF487" s="62"/>
      <c r="BG487" s="62"/>
      <c r="BH487" s="62"/>
      <c r="BI487" s="62"/>
      <c r="BJ487" s="62"/>
      <c r="BK487" s="62"/>
      <c r="BL487" s="62"/>
      <c r="BM487" s="62"/>
      <c r="BN487" s="62"/>
      <c r="BO487" s="62"/>
      <c r="BP487" s="62"/>
      <c r="BQ487" s="62"/>
      <c r="BR487" s="62"/>
      <c r="BS487" s="62"/>
      <c r="BT487" s="62"/>
      <c r="BU487" s="62"/>
      <c r="BV487" s="62"/>
      <c r="BW487" s="62"/>
      <c r="BX487" s="62"/>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62"/>
      <c r="CX487" s="62"/>
      <c r="CY487" s="62"/>
      <c r="CZ487" s="62"/>
      <c r="DA487" s="62"/>
      <c r="DB487" s="62"/>
      <c r="DC487" s="62"/>
      <c r="DD487" s="62"/>
      <c r="DE487" s="62"/>
      <c r="DF487" s="62"/>
      <c r="DG487" s="62"/>
      <c r="DH487" s="62"/>
      <c r="DI487" s="62"/>
      <c r="DJ487" s="62"/>
      <c r="DK487" s="62"/>
      <c r="DL487" s="62"/>
      <c r="DM487" s="62"/>
      <c r="DN487" s="62"/>
      <c r="DO487" s="62"/>
      <c r="DP487" s="62"/>
      <c r="DQ487" s="62"/>
      <c r="DR487" s="62"/>
      <c r="DS487" s="62"/>
      <c r="DT487" s="62"/>
      <c r="DU487" s="62"/>
      <c r="DV487" s="62"/>
      <c r="DW487" s="62"/>
      <c r="DX487" s="62"/>
      <c r="DY487" s="62"/>
      <c r="DZ487" s="62"/>
      <c r="EA487" s="62"/>
      <c r="EB487" s="62"/>
      <c r="EC487" s="62"/>
      <c r="ED487" s="62"/>
      <c r="EE487" s="62"/>
      <c r="EF487" s="62"/>
      <c r="EG487" s="62"/>
      <c r="EH487" s="62"/>
      <c r="EI487" s="62"/>
      <c r="EJ487" s="62"/>
      <c r="EK487" s="62"/>
      <c r="EL487" s="62"/>
      <c r="EM487" s="62"/>
      <c r="EN487" s="62"/>
      <c r="EO487" s="62"/>
      <c r="EP487" s="62"/>
      <c r="EQ487" s="62"/>
      <c r="ER487" s="62"/>
      <c r="ES487" s="62"/>
      <c r="ET487" s="62"/>
      <c r="EU487" s="62"/>
      <c r="EV487" s="62"/>
      <c r="EW487" s="62"/>
      <c r="EX487" s="62"/>
      <c r="EY487" s="62"/>
      <c r="EZ487" s="62"/>
      <c r="FA487" s="62"/>
      <c r="FB487" s="62"/>
      <c r="FC487" s="62"/>
      <c r="FD487" s="62"/>
      <c r="FE487" s="62"/>
      <c r="FF487" s="62"/>
      <c r="FG487" s="62"/>
      <c r="FH487" s="62"/>
      <c r="FI487" s="62"/>
      <c r="FJ487" s="62"/>
      <c r="FK487" s="62"/>
      <c r="FL487" s="62"/>
      <c r="FM487" s="62"/>
      <c r="FN487" s="62"/>
      <c r="FO487" s="62"/>
      <c r="FP487" s="62"/>
      <c r="FQ487" s="62"/>
      <c r="FR487" s="62"/>
      <c r="FS487" s="62"/>
      <c r="FT487" s="62"/>
      <c r="FU487" s="62"/>
      <c r="FV487" s="62"/>
    </row>
    <row r="488" spans="1:178" ht="13.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c r="AY488" s="62"/>
      <c r="AZ488" s="62"/>
      <c r="BA488" s="62"/>
      <c r="BB488" s="62"/>
      <c r="BC488" s="62"/>
      <c r="BD488" s="62"/>
      <c r="BE488" s="62"/>
      <c r="BF488" s="62"/>
      <c r="BG488" s="62"/>
      <c r="BH488" s="62"/>
      <c r="BI488" s="62"/>
      <c r="BJ488" s="62"/>
      <c r="BK488" s="62"/>
      <c r="BL488" s="62"/>
      <c r="BM488" s="62"/>
      <c r="BN488" s="62"/>
      <c r="BO488" s="62"/>
      <c r="BP488" s="62"/>
      <c r="BQ488" s="62"/>
      <c r="BR488" s="62"/>
      <c r="BS488" s="62"/>
      <c r="BT488" s="62"/>
      <c r="BU488" s="62"/>
      <c r="BV488" s="62"/>
      <c r="BW488" s="62"/>
      <c r="BX488" s="62"/>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62"/>
      <c r="CX488" s="62"/>
      <c r="CY488" s="62"/>
      <c r="CZ488" s="62"/>
      <c r="DA488" s="62"/>
      <c r="DB488" s="62"/>
      <c r="DC488" s="62"/>
      <c r="DD488" s="62"/>
      <c r="DE488" s="62"/>
      <c r="DF488" s="62"/>
      <c r="DG488" s="62"/>
      <c r="DH488" s="62"/>
      <c r="DI488" s="62"/>
      <c r="DJ488" s="62"/>
      <c r="DK488" s="62"/>
      <c r="DL488" s="62"/>
      <c r="DM488" s="62"/>
      <c r="DN488" s="62"/>
      <c r="DO488" s="62"/>
      <c r="DP488" s="62"/>
      <c r="DQ488" s="62"/>
      <c r="DR488" s="62"/>
      <c r="DS488" s="62"/>
      <c r="DT488" s="62"/>
      <c r="DU488" s="62"/>
      <c r="DV488" s="62"/>
      <c r="DW488" s="62"/>
      <c r="DX488" s="62"/>
      <c r="DY488" s="62"/>
      <c r="DZ488" s="62"/>
      <c r="EA488" s="62"/>
      <c r="EB488" s="62"/>
      <c r="EC488" s="62"/>
      <c r="ED488" s="62"/>
      <c r="EE488" s="62"/>
      <c r="EF488" s="62"/>
      <c r="EG488" s="62"/>
      <c r="EH488" s="62"/>
      <c r="EI488" s="62"/>
      <c r="EJ488" s="62"/>
      <c r="EK488" s="62"/>
      <c r="EL488" s="62"/>
      <c r="EM488" s="62"/>
      <c r="EN488" s="62"/>
      <c r="EO488" s="62"/>
      <c r="EP488" s="62"/>
      <c r="EQ488" s="62"/>
      <c r="ER488" s="62"/>
      <c r="ES488" s="62"/>
      <c r="ET488" s="62"/>
      <c r="EU488" s="62"/>
      <c r="EV488" s="62"/>
      <c r="EW488" s="62"/>
      <c r="EX488" s="62"/>
      <c r="EY488" s="62"/>
      <c r="EZ488" s="62"/>
      <c r="FA488" s="62"/>
      <c r="FB488" s="62"/>
      <c r="FC488" s="62"/>
      <c r="FD488" s="62"/>
      <c r="FE488" s="62"/>
      <c r="FF488" s="62"/>
      <c r="FG488" s="62"/>
      <c r="FH488" s="62"/>
      <c r="FI488" s="62"/>
      <c r="FJ488" s="62"/>
      <c r="FK488" s="62"/>
      <c r="FL488" s="62"/>
      <c r="FM488" s="62"/>
      <c r="FN488" s="62"/>
      <c r="FO488" s="62"/>
      <c r="FP488" s="62"/>
      <c r="FQ488" s="62"/>
      <c r="FR488" s="62"/>
      <c r="FS488" s="62"/>
      <c r="FT488" s="62"/>
      <c r="FU488" s="62"/>
      <c r="FV488" s="62"/>
    </row>
    <row r="489" spans="1:178" ht="13.8">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c r="DQ489" s="62"/>
      <c r="DR489" s="62"/>
      <c r="DS489" s="62"/>
      <c r="DT489" s="62"/>
      <c r="DU489" s="62"/>
      <c r="DV489" s="62"/>
      <c r="DW489" s="62"/>
      <c r="DX489" s="62"/>
      <c r="DY489" s="62"/>
      <c r="DZ489" s="62"/>
      <c r="EA489" s="62"/>
      <c r="EB489" s="62"/>
      <c r="EC489" s="62"/>
      <c r="ED489" s="62"/>
      <c r="EE489" s="62"/>
      <c r="EF489" s="62"/>
      <c r="EG489" s="62"/>
      <c r="EH489" s="62"/>
      <c r="EI489" s="62"/>
      <c r="EJ489" s="62"/>
      <c r="EK489" s="62"/>
      <c r="EL489" s="62"/>
      <c r="EM489" s="62"/>
      <c r="EN489" s="62"/>
      <c r="EO489" s="62"/>
      <c r="EP489" s="62"/>
      <c r="EQ489" s="62"/>
      <c r="ER489" s="62"/>
      <c r="ES489" s="62"/>
      <c r="ET489" s="62"/>
      <c r="EU489" s="62"/>
      <c r="EV489" s="62"/>
      <c r="EW489" s="62"/>
      <c r="EX489" s="62"/>
      <c r="EY489" s="62"/>
      <c r="EZ489" s="62"/>
      <c r="FA489" s="62"/>
      <c r="FB489" s="62"/>
      <c r="FC489" s="62"/>
      <c r="FD489" s="62"/>
      <c r="FE489" s="62"/>
      <c r="FF489" s="62"/>
      <c r="FG489" s="62"/>
      <c r="FH489" s="62"/>
      <c r="FI489" s="62"/>
      <c r="FJ489" s="62"/>
      <c r="FK489" s="62"/>
      <c r="FL489" s="62"/>
      <c r="FM489" s="62"/>
      <c r="FN489" s="62"/>
      <c r="FO489" s="62"/>
      <c r="FP489" s="62"/>
      <c r="FQ489" s="62"/>
      <c r="FR489" s="62"/>
      <c r="FS489" s="62"/>
      <c r="FT489" s="62"/>
      <c r="FU489" s="62"/>
      <c r="FV489" s="62"/>
    </row>
    <row r="490" spans="1:178" ht="13.8">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c r="AY490" s="62"/>
      <c r="AZ490" s="62"/>
      <c r="BA490" s="62"/>
      <c r="BB490" s="62"/>
      <c r="BC490" s="62"/>
      <c r="BD490" s="62"/>
      <c r="BE490" s="62"/>
      <c r="BF490" s="62"/>
      <c r="BG490" s="62"/>
      <c r="BH490" s="62"/>
      <c r="BI490" s="62"/>
      <c r="BJ490" s="62"/>
      <c r="BK490" s="62"/>
      <c r="BL490" s="62"/>
      <c r="BM490" s="62"/>
      <c r="BN490" s="62"/>
      <c r="BO490" s="62"/>
      <c r="BP490" s="62"/>
      <c r="BQ490" s="62"/>
      <c r="BR490" s="62"/>
      <c r="BS490" s="62"/>
      <c r="BT490" s="62"/>
      <c r="BU490" s="62"/>
      <c r="BV490" s="62"/>
      <c r="BW490" s="62"/>
      <c r="BX490" s="62"/>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62"/>
      <c r="CX490" s="62"/>
      <c r="CY490" s="62"/>
      <c r="CZ490" s="62"/>
      <c r="DA490" s="62"/>
      <c r="DB490" s="62"/>
      <c r="DC490" s="62"/>
      <c r="DD490" s="62"/>
      <c r="DE490" s="62"/>
      <c r="DF490" s="62"/>
      <c r="DG490" s="62"/>
      <c r="DH490" s="62"/>
      <c r="DI490" s="62"/>
      <c r="DJ490" s="62"/>
      <c r="DK490" s="62"/>
      <c r="DL490" s="62"/>
      <c r="DM490" s="62"/>
      <c r="DN490" s="62"/>
      <c r="DO490" s="62"/>
      <c r="DP490" s="62"/>
      <c r="DQ490" s="62"/>
      <c r="DR490" s="62"/>
      <c r="DS490" s="62"/>
      <c r="DT490" s="62"/>
      <c r="DU490" s="62"/>
      <c r="DV490" s="62"/>
      <c r="DW490" s="62"/>
      <c r="DX490" s="62"/>
      <c r="DY490" s="62"/>
      <c r="DZ490" s="62"/>
      <c r="EA490" s="62"/>
      <c r="EB490" s="62"/>
      <c r="EC490" s="62"/>
      <c r="ED490" s="62"/>
      <c r="EE490" s="62"/>
      <c r="EF490" s="62"/>
      <c r="EG490" s="62"/>
      <c r="EH490" s="62"/>
      <c r="EI490" s="62"/>
      <c r="EJ490" s="62"/>
      <c r="EK490" s="62"/>
      <c r="EL490" s="62"/>
      <c r="EM490" s="62"/>
      <c r="EN490" s="62"/>
      <c r="EO490" s="62"/>
      <c r="EP490" s="62"/>
      <c r="EQ490" s="62"/>
      <c r="ER490" s="62"/>
      <c r="ES490" s="62"/>
      <c r="ET490" s="62"/>
      <c r="EU490" s="62"/>
      <c r="EV490" s="62"/>
      <c r="EW490" s="62"/>
      <c r="EX490" s="62"/>
      <c r="EY490" s="62"/>
      <c r="EZ490" s="62"/>
      <c r="FA490" s="62"/>
      <c r="FB490" s="62"/>
      <c r="FC490" s="62"/>
      <c r="FD490" s="62"/>
      <c r="FE490" s="62"/>
      <c r="FF490" s="62"/>
      <c r="FG490" s="62"/>
      <c r="FH490" s="62"/>
      <c r="FI490" s="62"/>
      <c r="FJ490" s="62"/>
      <c r="FK490" s="62"/>
      <c r="FL490" s="62"/>
      <c r="FM490" s="62"/>
      <c r="FN490" s="62"/>
      <c r="FO490" s="62"/>
      <c r="FP490" s="62"/>
      <c r="FQ490" s="62"/>
      <c r="FR490" s="62"/>
      <c r="FS490" s="62"/>
      <c r="FT490" s="62"/>
      <c r="FU490" s="62"/>
      <c r="FV490" s="62"/>
    </row>
    <row r="491" spans="1:178" ht="13.8">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c r="AY491" s="62"/>
      <c r="AZ491" s="62"/>
      <c r="BA491" s="62"/>
      <c r="BB491" s="62"/>
      <c r="BC491" s="62"/>
      <c r="BD491" s="62"/>
      <c r="BE491" s="62"/>
      <c r="BF491" s="62"/>
      <c r="BG491" s="62"/>
      <c r="BH491" s="62"/>
      <c r="BI491" s="62"/>
      <c r="BJ491" s="62"/>
      <c r="BK491" s="62"/>
      <c r="BL491" s="62"/>
      <c r="BM491" s="62"/>
      <c r="BN491" s="62"/>
      <c r="BO491" s="62"/>
      <c r="BP491" s="62"/>
      <c r="BQ491" s="62"/>
      <c r="BR491" s="62"/>
      <c r="BS491" s="62"/>
      <c r="BT491" s="62"/>
      <c r="BU491" s="62"/>
      <c r="BV491" s="62"/>
      <c r="BW491" s="62"/>
      <c r="BX491" s="62"/>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62"/>
      <c r="CX491" s="62"/>
      <c r="CY491" s="62"/>
      <c r="CZ491" s="62"/>
      <c r="DA491" s="62"/>
      <c r="DB491" s="62"/>
      <c r="DC491" s="62"/>
      <c r="DD491" s="62"/>
      <c r="DE491" s="62"/>
      <c r="DF491" s="62"/>
      <c r="DG491" s="62"/>
      <c r="DH491" s="62"/>
      <c r="DI491" s="62"/>
      <c r="DJ491" s="62"/>
      <c r="DK491" s="62"/>
      <c r="DL491" s="62"/>
      <c r="DM491" s="62"/>
      <c r="DN491" s="62"/>
      <c r="DO491" s="62"/>
      <c r="DP491" s="62"/>
      <c r="DQ491" s="62"/>
      <c r="DR491" s="62"/>
      <c r="DS491" s="62"/>
      <c r="DT491" s="62"/>
      <c r="DU491" s="62"/>
      <c r="DV491" s="62"/>
      <c r="DW491" s="62"/>
      <c r="DX491" s="62"/>
      <c r="DY491" s="62"/>
      <c r="DZ491" s="62"/>
      <c r="EA491" s="62"/>
      <c r="EB491" s="62"/>
      <c r="EC491" s="62"/>
      <c r="ED491" s="62"/>
      <c r="EE491" s="62"/>
      <c r="EF491" s="62"/>
      <c r="EG491" s="62"/>
      <c r="EH491" s="62"/>
      <c r="EI491" s="62"/>
      <c r="EJ491" s="62"/>
      <c r="EK491" s="62"/>
      <c r="EL491" s="62"/>
      <c r="EM491" s="62"/>
      <c r="EN491" s="62"/>
      <c r="EO491" s="62"/>
      <c r="EP491" s="62"/>
      <c r="EQ491" s="62"/>
      <c r="ER491" s="62"/>
      <c r="ES491" s="62"/>
      <c r="ET491" s="62"/>
      <c r="EU491" s="62"/>
      <c r="EV491" s="62"/>
      <c r="EW491" s="62"/>
      <c r="EX491" s="62"/>
      <c r="EY491" s="62"/>
      <c r="EZ491" s="62"/>
      <c r="FA491" s="62"/>
      <c r="FB491" s="62"/>
      <c r="FC491" s="62"/>
      <c r="FD491" s="62"/>
      <c r="FE491" s="62"/>
      <c r="FF491" s="62"/>
      <c r="FG491" s="62"/>
      <c r="FH491" s="62"/>
      <c r="FI491" s="62"/>
      <c r="FJ491" s="62"/>
      <c r="FK491" s="62"/>
      <c r="FL491" s="62"/>
      <c r="FM491" s="62"/>
      <c r="FN491" s="62"/>
      <c r="FO491" s="62"/>
      <c r="FP491" s="62"/>
      <c r="FQ491" s="62"/>
      <c r="FR491" s="62"/>
      <c r="FS491" s="62"/>
      <c r="FT491" s="62"/>
      <c r="FU491" s="62"/>
      <c r="FV491" s="62"/>
    </row>
    <row r="492" spans="1:178" ht="13.8">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c r="AY492" s="62"/>
      <c r="AZ492" s="62"/>
      <c r="BA492" s="62"/>
      <c r="BB492" s="62"/>
      <c r="BC492" s="62"/>
      <c r="BD492" s="62"/>
      <c r="BE492" s="62"/>
      <c r="BF492" s="62"/>
      <c r="BG492" s="62"/>
      <c r="BH492" s="62"/>
      <c r="BI492" s="62"/>
      <c r="BJ492" s="62"/>
      <c r="BK492" s="62"/>
      <c r="BL492" s="62"/>
      <c r="BM492" s="62"/>
      <c r="BN492" s="62"/>
      <c r="BO492" s="62"/>
      <c r="BP492" s="62"/>
      <c r="BQ492" s="62"/>
      <c r="BR492" s="62"/>
      <c r="BS492" s="62"/>
      <c r="BT492" s="62"/>
      <c r="BU492" s="62"/>
      <c r="BV492" s="62"/>
      <c r="BW492" s="62"/>
      <c r="BX492" s="62"/>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62"/>
      <c r="CX492" s="62"/>
      <c r="CY492" s="62"/>
      <c r="CZ492" s="62"/>
      <c r="DA492" s="62"/>
      <c r="DB492" s="62"/>
      <c r="DC492" s="62"/>
      <c r="DD492" s="62"/>
      <c r="DE492" s="62"/>
      <c r="DF492" s="62"/>
      <c r="DG492" s="62"/>
      <c r="DH492" s="62"/>
      <c r="DI492" s="62"/>
      <c r="DJ492" s="62"/>
      <c r="DK492" s="62"/>
      <c r="DL492" s="62"/>
      <c r="DM492" s="62"/>
      <c r="DN492" s="62"/>
      <c r="DO492" s="62"/>
      <c r="DP492" s="62"/>
      <c r="DQ492" s="62"/>
      <c r="DR492" s="62"/>
      <c r="DS492" s="62"/>
      <c r="DT492" s="62"/>
      <c r="DU492" s="62"/>
      <c r="DV492" s="62"/>
      <c r="DW492" s="62"/>
      <c r="DX492" s="62"/>
      <c r="DY492" s="62"/>
      <c r="DZ492" s="62"/>
      <c r="EA492" s="62"/>
      <c r="EB492" s="62"/>
      <c r="EC492" s="62"/>
      <c r="ED492" s="62"/>
      <c r="EE492" s="62"/>
      <c r="EF492" s="62"/>
      <c r="EG492" s="62"/>
      <c r="EH492" s="62"/>
      <c r="EI492" s="62"/>
      <c r="EJ492" s="62"/>
      <c r="EK492" s="62"/>
      <c r="EL492" s="62"/>
      <c r="EM492" s="62"/>
      <c r="EN492" s="62"/>
      <c r="EO492" s="62"/>
      <c r="EP492" s="62"/>
      <c r="EQ492" s="62"/>
      <c r="ER492" s="62"/>
      <c r="ES492" s="62"/>
      <c r="ET492" s="62"/>
      <c r="EU492" s="62"/>
      <c r="EV492" s="62"/>
      <c r="EW492" s="62"/>
      <c r="EX492" s="62"/>
      <c r="EY492" s="62"/>
      <c r="EZ492" s="62"/>
      <c r="FA492" s="62"/>
      <c r="FB492" s="62"/>
      <c r="FC492" s="62"/>
      <c r="FD492" s="62"/>
      <c r="FE492" s="62"/>
      <c r="FF492" s="62"/>
      <c r="FG492" s="62"/>
      <c r="FH492" s="62"/>
      <c r="FI492" s="62"/>
      <c r="FJ492" s="62"/>
      <c r="FK492" s="62"/>
      <c r="FL492" s="62"/>
      <c r="FM492" s="62"/>
      <c r="FN492" s="62"/>
      <c r="FO492" s="62"/>
      <c r="FP492" s="62"/>
      <c r="FQ492" s="62"/>
      <c r="FR492" s="62"/>
      <c r="FS492" s="62"/>
      <c r="FT492" s="62"/>
      <c r="FU492" s="62"/>
      <c r="FV492" s="62"/>
    </row>
    <row r="493" spans="1:178" ht="13.8">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c r="AY493" s="62"/>
      <c r="AZ493" s="62"/>
      <c r="BA493" s="62"/>
      <c r="BB493" s="62"/>
      <c r="BC493" s="62"/>
      <c r="BD493" s="62"/>
      <c r="BE493" s="62"/>
      <c r="BF493" s="62"/>
      <c r="BG493" s="62"/>
      <c r="BH493" s="62"/>
      <c r="BI493" s="62"/>
      <c r="BJ493" s="62"/>
      <c r="BK493" s="62"/>
      <c r="BL493" s="62"/>
      <c r="BM493" s="62"/>
      <c r="BN493" s="62"/>
      <c r="BO493" s="62"/>
      <c r="BP493" s="62"/>
      <c r="BQ493" s="62"/>
      <c r="BR493" s="62"/>
      <c r="BS493" s="62"/>
      <c r="BT493" s="62"/>
      <c r="BU493" s="62"/>
      <c r="BV493" s="62"/>
      <c r="BW493" s="62"/>
      <c r="BX493" s="62"/>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62"/>
      <c r="CX493" s="62"/>
      <c r="CY493" s="62"/>
      <c r="CZ493" s="62"/>
      <c r="DA493" s="62"/>
      <c r="DB493" s="62"/>
      <c r="DC493" s="62"/>
      <c r="DD493" s="62"/>
      <c r="DE493" s="62"/>
      <c r="DF493" s="62"/>
      <c r="DG493" s="62"/>
      <c r="DH493" s="62"/>
      <c r="DI493" s="62"/>
      <c r="DJ493" s="62"/>
      <c r="DK493" s="62"/>
      <c r="DL493" s="62"/>
      <c r="DM493" s="62"/>
      <c r="DN493" s="62"/>
      <c r="DO493" s="62"/>
      <c r="DP493" s="62"/>
      <c r="DQ493" s="62"/>
      <c r="DR493" s="62"/>
      <c r="DS493" s="62"/>
      <c r="DT493" s="62"/>
      <c r="DU493" s="62"/>
      <c r="DV493" s="62"/>
      <c r="DW493" s="62"/>
      <c r="DX493" s="62"/>
      <c r="DY493" s="62"/>
      <c r="DZ493" s="62"/>
      <c r="EA493" s="62"/>
      <c r="EB493" s="62"/>
      <c r="EC493" s="62"/>
      <c r="ED493" s="62"/>
      <c r="EE493" s="62"/>
      <c r="EF493" s="62"/>
      <c r="EG493" s="62"/>
      <c r="EH493" s="62"/>
      <c r="EI493" s="62"/>
      <c r="EJ493" s="62"/>
      <c r="EK493" s="62"/>
      <c r="EL493" s="62"/>
      <c r="EM493" s="62"/>
      <c r="EN493" s="62"/>
      <c r="EO493" s="62"/>
      <c r="EP493" s="62"/>
      <c r="EQ493" s="62"/>
      <c r="ER493" s="62"/>
      <c r="ES493" s="62"/>
      <c r="ET493" s="62"/>
      <c r="EU493" s="62"/>
      <c r="EV493" s="62"/>
      <c r="EW493" s="62"/>
      <c r="EX493" s="62"/>
      <c r="EY493" s="62"/>
      <c r="EZ493" s="62"/>
      <c r="FA493" s="62"/>
      <c r="FB493" s="62"/>
      <c r="FC493" s="62"/>
      <c r="FD493" s="62"/>
      <c r="FE493" s="62"/>
      <c r="FF493" s="62"/>
      <c r="FG493" s="62"/>
      <c r="FH493" s="62"/>
      <c r="FI493" s="62"/>
      <c r="FJ493" s="62"/>
      <c r="FK493" s="62"/>
      <c r="FL493" s="62"/>
      <c r="FM493" s="62"/>
      <c r="FN493" s="62"/>
      <c r="FO493" s="62"/>
      <c r="FP493" s="62"/>
      <c r="FQ493" s="62"/>
      <c r="FR493" s="62"/>
      <c r="FS493" s="62"/>
      <c r="FT493" s="62"/>
      <c r="FU493" s="62"/>
      <c r="FV493" s="62"/>
    </row>
    <row r="494" spans="1:178" ht="13.8">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c r="AY494" s="62"/>
      <c r="AZ494" s="62"/>
      <c r="BA494" s="62"/>
      <c r="BB494" s="62"/>
      <c r="BC494" s="62"/>
      <c r="BD494" s="62"/>
      <c r="BE494" s="62"/>
      <c r="BF494" s="62"/>
      <c r="BG494" s="62"/>
      <c r="BH494" s="62"/>
      <c r="BI494" s="62"/>
      <c r="BJ494" s="62"/>
      <c r="BK494" s="62"/>
      <c r="BL494" s="62"/>
      <c r="BM494" s="62"/>
      <c r="BN494" s="62"/>
      <c r="BO494" s="62"/>
      <c r="BP494" s="62"/>
      <c r="BQ494" s="62"/>
      <c r="BR494" s="62"/>
      <c r="BS494" s="62"/>
      <c r="BT494" s="62"/>
      <c r="BU494" s="62"/>
      <c r="BV494" s="62"/>
      <c r="BW494" s="62"/>
      <c r="BX494" s="62"/>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62"/>
      <c r="CX494" s="62"/>
      <c r="CY494" s="62"/>
      <c r="CZ494" s="62"/>
      <c r="DA494" s="62"/>
      <c r="DB494" s="62"/>
      <c r="DC494" s="62"/>
      <c r="DD494" s="62"/>
      <c r="DE494" s="62"/>
      <c r="DF494" s="62"/>
      <c r="DG494" s="62"/>
      <c r="DH494" s="62"/>
      <c r="DI494" s="62"/>
      <c r="DJ494" s="62"/>
      <c r="DK494" s="62"/>
      <c r="DL494" s="62"/>
      <c r="DM494" s="62"/>
      <c r="DN494" s="62"/>
      <c r="DO494" s="62"/>
      <c r="DP494" s="62"/>
      <c r="DQ494" s="62"/>
      <c r="DR494" s="62"/>
      <c r="DS494" s="62"/>
      <c r="DT494" s="62"/>
      <c r="DU494" s="62"/>
      <c r="DV494" s="62"/>
      <c r="DW494" s="62"/>
      <c r="DX494" s="62"/>
      <c r="DY494" s="62"/>
      <c r="DZ494" s="62"/>
      <c r="EA494" s="62"/>
      <c r="EB494" s="62"/>
      <c r="EC494" s="62"/>
      <c r="ED494" s="62"/>
      <c r="EE494" s="62"/>
      <c r="EF494" s="62"/>
      <c r="EG494" s="62"/>
      <c r="EH494" s="62"/>
      <c r="EI494" s="62"/>
      <c r="EJ494" s="62"/>
      <c r="EK494" s="62"/>
      <c r="EL494" s="62"/>
      <c r="EM494" s="62"/>
      <c r="EN494" s="62"/>
      <c r="EO494" s="62"/>
      <c r="EP494" s="62"/>
      <c r="EQ494" s="62"/>
      <c r="ER494" s="62"/>
      <c r="ES494" s="62"/>
      <c r="ET494" s="62"/>
      <c r="EU494" s="62"/>
      <c r="EV494" s="62"/>
      <c r="EW494" s="62"/>
      <c r="EX494" s="62"/>
      <c r="EY494" s="62"/>
      <c r="EZ494" s="62"/>
      <c r="FA494" s="62"/>
      <c r="FB494" s="62"/>
      <c r="FC494" s="62"/>
      <c r="FD494" s="62"/>
      <c r="FE494" s="62"/>
      <c r="FF494" s="62"/>
      <c r="FG494" s="62"/>
      <c r="FH494" s="62"/>
      <c r="FI494" s="62"/>
      <c r="FJ494" s="62"/>
      <c r="FK494" s="62"/>
      <c r="FL494" s="62"/>
      <c r="FM494" s="62"/>
      <c r="FN494" s="62"/>
      <c r="FO494" s="62"/>
      <c r="FP494" s="62"/>
      <c r="FQ494" s="62"/>
      <c r="FR494" s="62"/>
      <c r="FS494" s="62"/>
      <c r="FT494" s="62"/>
      <c r="FU494" s="62"/>
      <c r="FV494" s="62"/>
    </row>
    <row r="495" spans="1:178" ht="13.8">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c r="AY495" s="62"/>
      <c r="AZ495" s="62"/>
      <c r="BA495" s="62"/>
      <c r="BB495" s="62"/>
      <c r="BC495" s="62"/>
      <c r="BD495" s="62"/>
      <c r="BE495" s="62"/>
      <c r="BF495" s="62"/>
      <c r="BG495" s="62"/>
      <c r="BH495" s="62"/>
      <c r="BI495" s="62"/>
      <c r="BJ495" s="62"/>
      <c r="BK495" s="62"/>
      <c r="BL495" s="62"/>
      <c r="BM495" s="62"/>
      <c r="BN495" s="62"/>
      <c r="BO495" s="62"/>
      <c r="BP495" s="62"/>
      <c r="BQ495" s="62"/>
      <c r="BR495" s="62"/>
      <c r="BS495" s="62"/>
      <c r="BT495" s="62"/>
      <c r="BU495" s="62"/>
      <c r="BV495" s="62"/>
      <c r="BW495" s="62"/>
      <c r="BX495" s="62"/>
      <c r="BY495" s="62"/>
      <c r="BZ495" s="62"/>
      <c r="CA495" s="62"/>
      <c r="CB495" s="62"/>
      <c r="CC495" s="62"/>
      <c r="CD495" s="62"/>
      <c r="CE495" s="62"/>
      <c r="CF495" s="62"/>
      <c r="CG495" s="62"/>
      <c r="CH495" s="62"/>
      <c r="CI495" s="62"/>
      <c r="CJ495" s="62"/>
      <c r="CK495" s="62"/>
      <c r="CL495" s="62"/>
      <c r="CM495" s="62"/>
      <c r="CN495" s="62"/>
      <c r="CO495" s="62"/>
      <c r="CP495" s="62"/>
      <c r="CQ495" s="62"/>
      <c r="CR495" s="62"/>
      <c r="CS495" s="62"/>
      <c r="CT495" s="62"/>
      <c r="CU495" s="62"/>
      <c r="CV495" s="62"/>
      <c r="CW495" s="62"/>
      <c r="CX495" s="62"/>
      <c r="CY495" s="62"/>
      <c r="CZ495" s="62"/>
      <c r="DA495" s="62"/>
      <c r="DB495" s="62"/>
      <c r="DC495" s="62"/>
      <c r="DD495" s="62"/>
      <c r="DE495" s="62"/>
      <c r="DF495" s="62"/>
      <c r="DG495" s="62"/>
      <c r="DH495" s="62"/>
      <c r="DI495" s="62"/>
      <c r="DJ495" s="62"/>
      <c r="DK495" s="62"/>
      <c r="DL495" s="62"/>
      <c r="DM495" s="62"/>
      <c r="DN495" s="62"/>
      <c r="DO495" s="62"/>
      <c r="DP495" s="62"/>
      <c r="DQ495" s="62"/>
      <c r="DR495" s="62"/>
      <c r="DS495" s="62"/>
      <c r="DT495" s="62"/>
      <c r="DU495" s="62"/>
      <c r="DV495" s="62"/>
      <c r="DW495" s="62"/>
      <c r="DX495" s="62"/>
      <c r="DY495" s="62"/>
      <c r="DZ495" s="62"/>
      <c r="EA495" s="62"/>
      <c r="EB495" s="62"/>
      <c r="EC495" s="62"/>
      <c r="ED495" s="62"/>
      <c r="EE495" s="62"/>
      <c r="EF495" s="62"/>
      <c r="EG495" s="62"/>
      <c r="EH495" s="62"/>
      <c r="EI495" s="62"/>
      <c r="EJ495" s="62"/>
      <c r="EK495" s="62"/>
      <c r="EL495" s="62"/>
      <c r="EM495" s="62"/>
      <c r="EN495" s="62"/>
      <c r="EO495" s="62"/>
      <c r="EP495" s="62"/>
      <c r="EQ495" s="62"/>
      <c r="ER495" s="62"/>
      <c r="ES495" s="62"/>
      <c r="ET495" s="62"/>
      <c r="EU495" s="62"/>
      <c r="EV495" s="62"/>
      <c r="EW495" s="62"/>
      <c r="EX495" s="62"/>
      <c r="EY495" s="62"/>
      <c r="EZ495" s="62"/>
      <c r="FA495" s="62"/>
      <c r="FB495" s="62"/>
      <c r="FC495" s="62"/>
      <c r="FD495" s="62"/>
      <c r="FE495" s="62"/>
      <c r="FF495" s="62"/>
      <c r="FG495" s="62"/>
      <c r="FH495" s="62"/>
      <c r="FI495" s="62"/>
      <c r="FJ495" s="62"/>
      <c r="FK495" s="62"/>
      <c r="FL495" s="62"/>
      <c r="FM495" s="62"/>
      <c r="FN495" s="62"/>
      <c r="FO495" s="62"/>
      <c r="FP495" s="62"/>
      <c r="FQ495" s="62"/>
      <c r="FR495" s="62"/>
      <c r="FS495" s="62"/>
      <c r="FT495" s="62"/>
      <c r="FU495" s="62"/>
      <c r="FV495" s="62"/>
    </row>
    <row r="496" spans="1:178" ht="13.8">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2"/>
      <c r="EX496" s="62"/>
      <c r="EY496" s="62"/>
      <c r="EZ496" s="62"/>
      <c r="FA496" s="62"/>
      <c r="FB496" s="62"/>
      <c r="FC496" s="62"/>
      <c r="FD496" s="62"/>
      <c r="FE496" s="62"/>
      <c r="FF496" s="62"/>
      <c r="FG496" s="62"/>
      <c r="FH496" s="62"/>
      <c r="FI496" s="62"/>
      <c r="FJ496" s="62"/>
      <c r="FK496" s="62"/>
      <c r="FL496" s="62"/>
      <c r="FM496" s="62"/>
      <c r="FN496" s="62"/>
      <c r="FO496" s="62"/>
      <c r="FP496" s="62"/>
      <c r="FQ496" s="62"/>
      <c r="FR496" s="62"/>
      <c r="FS496" s="62"/>
      <c r="FT496" s="62"/>
      <c r="FU496" s="62"/>
      <c r="FV496" s="62"/>
    </row>
    <row r="497" spans="1:178" ht="13.8">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c r="AY497" s="62"/>
      <c r="AZ497" s="62"/>
      <c r="BA497" s="62"/>
      <c r="BB497" s="62"/>
      <c r="BC497" s="62"/>
      <c r="BD497" s="62"/>
      <c r="BE497" s="62"/>
      <c r="BF497" s="62"/>
      <c r="BG497" s="62"/>
      <c r="BH497" s="62"/>
      <c r="BI497" s="62"/>
      <c r="BJ497" s="62"/>
      <c r="BK497" s="62"/>
      <c r="BL497" s="62"/>
      <c r="BM497" s="62"/>
      <c r="BN497" s="62"/>
      <c r="BO497" s="62"/>
      <c r="BP497" s="62"/>
      <c r="BQ497" s="62"/>
      <c r="BR497" s="62"/>
      <c r="BS497" s="62"/>
      <c r="BT497" s="62"/>
      <c r="BU497" s="62"/>
      <c r="BV497" s="62"/>
      <c r="BW497" s="62"/>
      <c r="BX497" s="62"/>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62"/>
      <c r="CX497" s="62"/>
      <c r="CY497" s="62"/>
      <c r="CZ497" s="62"/>
      <c r="DA497" s="62"/>
      <c r="DB497" s="62"/>
      <c r="DC497" s="62"/>
      <c r="DD497" s="62"/>
      <c r="DE497" s="62"/>
      <c r="DF497" s="62"/>
      <c r="DG497" s="62"/>
      <c r="DH497" s="62"/>
      <c r="DI497" s="62"/>
      <c r="DJ497" s="62"/>
      <c r="DK497" s="62"/>
      <c r="DL497" s="62"/>
      <c r="DM497" s="62"/>
      <c r="DN497" s="62"/>
      <c r="DO497" s="62"/>
      <c r="DP497" s="62"/>
      <c r="DQ497" s="62"/>
      <c r="DR497" s="62"/>
      <c r="DS497" s="62"/>
      <c r="DT497" s="62"/>
      <c r="DU497" s="62"/>
      <c r="DV497" s="62"/>
      <c r="DW497" s="62"/>
      <c r="DX497" s="62"/>
      <c r="DY497" s="62"/>
      <c r="DZ497" s="62"/>
      <c r="EA497" s="62"/>
      <c r="EB497" s="62"/>
      <c r="EC497" s="62"/>
      <c r="ED497" s="62"/>
      <c r="EE497" s="62"/>
      <c r="EF497" s="62"/>
      <c r="EG497" s="62"/>
      <c r="EH497" s="62"/>
      <c r="EI497" s="62"/>
      <c r="EJ497" s="62"/>
      <c r="EK497" s="62"/>
      <c r="EL497" s="62"/>
      <c r="EM497" s="62"/>
      <c r="EN497" s="62"/>
      <c r="EO497" s="62"/>
      <c r="EP497" s="62"/>
      <c r="EQ497" s="62"/>
      <c r="ER497" s="62"/>
      <c r="ES497" s="62"/>
      <c r="ET497" s="62"/>
      <c r="EU497" s="62"/>
      <c r="EV497" s="62"/>
      <c r="EW497" s="62"/>
      <c r="EX497" s="62"/>
      <c r="EY497" s="62"/>
      <c r="EZ497" s="62"/>
      <c r="FA497" s="62"/>
      <c r="FB497" s="62"/>
      <c r="FC497" s="62"/>
      <c r="FD497" s="62"/>
      <c r="FE497" s="62"/>
      <c r="FF497" s="62"/>
      <c r="FG497" s="62"/>
      <c r="FH497" s="62"/>
      <c r="FI497" s="62"/>
      <c r="FJ497" s="62"/>
      <c r="FK497" s="62"/>
      <c r="FL497" s="62"/>
      <c r="FM497" s="62"/>
      <c r="FN497" s="62"/>
      <c r="FO497" s="62"/>
      <c r="FP497" s="62"/>
      <c r="FQ497" s="62"/>
      <c r="FR497" s="62"/>
      <c r="FS497" s="62"/>
      <c r="FT497" s="62"/>
      <c r="FU497" s="62"/>
      <c r="FV497" s="62"/>
    </row>
    <row r="498" spans="1:178" ht="13.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c r="AY498" s="62"/>
      <c r="AZ498" s="62"/>
      <c r="BA498" s="62"/>
      <c r="BB498" s="62"/>
      <c r="BC498" s="62"/>
      <c r="BD498" s="62"/>
      <c r="BE498" s="62"/>
      <c r="BF498" s="62"/>
      <c r="BG498" s="62"/>
      <c r="BH498" s="62"/>
      <c r="BI498" s="62"/>
      <c r="BJ498" s="62"/>
      <c r="BK498" s="62"/>
      <c r="BL498" s="62"/>
      <c r="BM498" s="62"/>
      <c r="BN498" s="62"/>
      <c r="BO498" s="62"/>
      <c r="BP498" s="62"/>
      <c r="BQ498" s="62"/>
      <c r="BR498" s="62"/>
      <c r="BS498" s="62"/>
      <c r="BT498" s="62"/>
      <c r="BU498" s="62"/>
      <c r="BV498" s="62"/>
      <c r="BW498" s="62"/>
      <c r="BX498" s="62"/>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62"/>
      <c r="CX498" s="62"/>
      <c r="CY498" s="62"/>
      <c r="CZ498" s="62"/>
      <c r="DA498" s="62"/>
      <c r="DB498" s="62"/>
      <c r="DC498" s="62"/>
      <c r="DD498" s="62"/>
      <c r="DE498" s="62"/>
      <c r="DF498" s="62"/>
      <c r="DG498" s="62"/>
      <c r="DH498" s="62"/>
      <c r="DI498" s="62"/>
      <c r="DJ498" s="62"/>
      <c r="DK498" s="62"/>
      <c r="DL498" s="62"/>
      <c r="DM498" s="62"/>
      <c r="DN498" s="62"/>
      <c r="DO498" s="62"/>
      <c r="DP498" s="62"/>
      <c r="DQ498" s="62"/>
      <c r="DR498" s="62"/>
      <c r="DS498" s="62"/>
      <c r="DT498" s="62"/>
      <c r="DU498" s="62"/>
      <c r="DV498" s="62"/>
      <c r="DW498" s="62"/>
      <c r="DX498" s="62"/>
      <c r="DY498" s="62"/>
      <c r="DZ498" s="62"/>
      <c r="EA498" s="62"/>
      <c r="EB498" s="62"/>
      <c r="EC498" s="62"/>
      <c r="ED498" s="62"/>
      <c r="EE498" s="62"/>
      <c r="EF498" s="62"/>
      <c r="EG498" s="62"/>
      <c r="EH498" s="62"/>
      <c r="EI498" s="62"/>
      <c r="EJ498" s="62"/>
      <c r="EK498" s="62"/>
      <c r="EL498" s="62"/>
      <c r="EM498" s="62"/>
      <c r="EN498" s="62"/>
      <c r="EO498" s="62"/>
      <c r="EP498" s="62"/>
      <c r="EQ498" s="62"/>
      <c r="ER498" s="62"/>
      <c r="ES498" s="62"/>
      <c r="ET498" s="62"/>
      <c r="EU498" s="62"/>
      <c r="EV498" s="62"/>
      <c r="EW498" s="62"/>
      <c r="EX498" s="62"/>
      <c r="EY498" s="62"/>
      <c r="EZ498" s="62"/>
      <c r="FA498" s="62"/>
      <c r="FB498" s="62"/>
      <c r="FC498" s="62"/>
      <c r="FD498" s="62"/>
      <c r="FE498" s="62"/>
      <c r="FF498" s="62"/>
      <c r="FG498" s="62"/>
      <c r="FH498" s="62"/>
      <c r="FI498" s="62"/>
      <c r="FJ498" s="62"/>
      <c r="FK498" s="62"/>
      <c r="FL498" s="62"/>
      <c r="FM498" s="62"/>
      <c r="FN498" s="62"/>
      <c r="FO498" s="62"/>
      <c r="FP498" s="62"/>
      <c r="FQ498" s="62"/>
      <c r="FR498" s="62"/>
      <c r="FS498" s="62"/>
      <c r="FT498" s="62"/>
      <c r="FU498" s="62"/>
      <c r="FV498" s="62"/>
    </row>
    <row r="499" spans="1:178" ht="13.8">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c r="AY499" s="62"/>
      <c r="AZ499" s="62"/>
      <c r="BA499" s="62"/>
      <c r="BB499" s="62"/>
      <c r="BC499" s="62"/>
      <c r="BD499" s="62"/>
      <c r="BE499" s="62"/>
      <c r="BF499" s="62"/>
      <c r="BG499" s="62"/>
      <c r="BH499" s="62"/>
      <c r="BI499" s="62"/>
      <c r="BJ499" s="62"/>
      <c r="BK499" s="62"/>
      <c r="BL499" s="62"/>
      <c r="BM499" s="62"/>
      <c r="BN499" s="62"/>
      <c r="BO499" s="62"/>
      <c r="BP499" s="62"/>
      <c r="BQ499" s="62"/>
      <c r="BR499" s="62"/>
      <c r="BS499" s="62"/>
      <c r="BT499" s="62"/>
      <c r="BU499" s="62"/>
      <c r="BV499" s="62"/>
      <c r="BW499" s="62"/>
      <c r="BX499" s="62"/>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62"/>
      <c r="CX499" s="62"/>
      <c r="CY499" s="62"/>
      <c r="CZ499" s="62"/>
      <c r="DA499" s="62"/>
      <c r="DB499" s="62"/>
      <c r="DC499" s="62"/>
      <c r="DD499" s="62"/>
      <c r="DE499" s="62"/>
      <c r="DF499" s="62"/>
      <c r="DG499" s="62"/>
      <c r="DH499" s="62"/>
      <c r="DI499" s="62"/>
      <c r="DJ499" s="62"/>
      <c r="DK499" s="62"/>
      <c r="DL499" s="62"/>
      <c r="DM499" s="62"/>
      <c r="DN499" s="62"/>
      <c r="DO499" s="62"/>
      <c r="DP499" s="62"/>
      <c r="DQ499" s="62"/>
      <c r="DR499" s="62"/>
      <c r="DS499" s="62"/>
      <c r="DT499" s="62"/>
      <c r="DU499" s="62"/>
      <c r="DV499" s="62"/>
      <c r="DW499" s="62"/>
      <c r="DX499" s="62"/>
      <c r="DY499" s="62"/>
      <c r="DZ499" s="62"/>
      <c r="EA499" s="62"/>
      <c r="EB499" s="62"/>
      <c r="EC499" s="62"/>
      <c r="ED499" s="62"/>
      <c r="EE499" s="62"/>
      <c r="EF499" s="62"/>
      <c r="EG499" s="62"/>
      <c r="EH499" s="62"/>
      <c r="EI499" s="62"/>
      <c r="EJ499" s="62"/>
      <c r="EK499" s="62"/>
      <c r="EL499" s="62"/>
      <c r="EM499" s="62"/>
      <c r="EN499" s="62"/>
      <c r="EO499" s="62"/>
      <c r="EP499" s="62"/>
      <c r="EQ499" s="62"/>
      <c r="ER499" s="62"/>
      <c r="ES499" s="62"/>
      <c r="ET499" s="62"/>
      <c r="EU499" s="62"/>
      <c r="EV499" s="62"/>
      <c r="EW499" s="62"/>
      <c r="EX499" s="62"/>
      <c r="EY499" s="62"/>
      <c r="EZ499" s="62"/>
      <c r="FA499" s="62"/>
      <c r="FB499" s="62"/>
      <c r="FC499" s="62"/>
      <c r="FD499" s="62"/>
      <c r="FE499" s="62"/>
      <c r="FF499" s="62"/>
      <c r="FG499" s="62"/>
      <c r="FH499" s="62"/>
      <c r="FI499" s="62"/>
      <c r="FJ499" s="62"/>
      <c r="FK499" s="62"/>
      <c r="FL499" s="62"/>
      <c r="FM499" s="62"/>
      <c r="FN499" s="62"/>
      <c r="FO499" s="62"/>
      <c r="FP499" s="62"/>
      <c r="FQ499" s="62"/>
      <c r="FR499" s="62"/>
      <c r="FS499" s="62"/>
      <c r="FT499" s="62"/>
      <c r="FU499" s="62"/>
      <c r="FV499" s="62"/>
    </row>
    <row r="500" spans="1:178" ht="13.8">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2"/>
      <c r="DV500" s="62"/>
      <c r="DW500" s="62"/>
      <c r="DX500" s="62"/>
      <c r="DY500" s="62"/>
      <c r="DZ500" s="62"/>
      <c r="EA500" s="62"/>
      <c r="EB500" s="62"/>
      <c r="EC500" s="62"/>
      <c r="ED500" s="62"/>
      <c r="EE500" s="62"/>
      <c r="EF500" s="62"/>
      <c r="EG500" s="62"/>
      <c r="EH500" s="62"/>
      <c r="EI500" s="62"/>
      <c r="EJ500" s="62"/>
      <c r="EK500" s="62"/>
      <c r="EL500" s="62"/>
      <c r="EM500" s="62"/>
      <c r="EN500" s="62"/>
      <c r="EO500" s="62"/>
      <c r="EP500" s="62"/>
      <c r="EQ500" s="62"/>
      <c r="ER500" s="62"/>
      <c r="ES500" s="62"/>
      <c r="ET500" s="62"/>
      <c r="EU500" s="62"/>
      <c r="EV500" s="62"/>
      <c r="EW500" s="62"/>
      <c r="EX500" s="62"/>
      <c r="EY500" s="62"/>
      <c r="EZ500" s="62"/>
      <c r="FA500" s="62"/>
      <c r="FB500" s="62"/>
      <c r="FC500" s="62"/>
      <c r="FD500" s="62"/>
      <c r="FE500" s="62"/>
      <c r="FF500" s="62"/>
      <c r="FG500" s="62"/>
      <c r="FH500" s="62"/>
      <c r="FI500" s="62"/>
      <c r="FJ500" s="62"/>
      <c r="FK500" s="62"/>
      <c r="FL500" s="62"/>
      <c r="FM500" s="62"/>
      <c r="FN500" s="62"/>
      <c r="FO500" s="62"/>
      <c r="FP500" s="62"/>
      <c r="FQ500" s="62"/>
      <c r="FR500" s="62"/>
      <c r="FS500" s="62"/>
      <c r="FT500" s="62"/>
      <c r="FU500" s="62"/>
      <c r="FV500" s="62"/>
    </row>
    <row r="501" spans="1:178" ht="13.8">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c r="AY501" s="62"/>
      <c r="AZ501" s="62"/>
      <c r="BA501" s="62"/>
      <c r="BB501" s="62"/>
      <c r="BC501" s="62"/>
      <c r="BD501" s="62"/>
      <c r="BE501" s="62"/>
      <c r="BF501" s="62"/>
      <c r="BG501" s="62"/>
      <c r="BH501" s="62"/>
      <c r="BI501" s="62"/>
      <c r="BJ501" s="62"/>
      <c r="BK501" s="62"/>
      <c r="BL501" s="62"/>
      <c r="BM501" s="62"/>
      <c r="BN501" s="62"/>
      <c r="BO501" s="62"/>
      <c r="BP501" s="62"/>
      <c r="BQ501" s="62"/>
      <c r="BR501" s="62"/>
      <c r="BS501" s="62"/>
      <c r="BT501" s="62"/>
      <c r="BU501" s="62"/>
      <c r="BV501" s="62"/>
      <c r="BW501" s="62"/>
      <c r="BX501" s="62"/>
      <c r="BY501" s="62"/>
      <c r="BZ501" s="62"/>
      <c r="CA501" s="62"/>
      <c r="CB501" s="62"/>
      <c r="CC501" s="62"/>
      <c r="CD501" s="62"/>
      <c r="CE501" s="62"/>
      <c r="CF501" s="62"/>
      <c r="CG501" s="62"/>
      <c r="CH501" s="62"/>
      <c r="CI501" s="62"/>
      <c r="CJ501" s="62"/>
      <c r="CK501" s="62"/>
      <c r="CL501" s="62"/>
      <c r="CM501" s="62"/>
      <c r="CN501" s="62"/>
      <c r="CO501" s="62"/>
      <c r="CP501" s="62"/>
      <c r="CQ501" s="62"/>
      <c r="CR501" s="62"/>
      <c r="CS501" s="62"/>
      <c r="CT501" s="62"/>
      <c r="CU501" s="62"/>
      <c r="CV501" s="62"/>
      <c r="CW501" s="62"/>
      <c r="CX501" s="62"/>
      <c r="CY501" s="62"/>
      <c r="CZ501" s="62"/>
      <c r="DA501" s="62"/>
      <c r="DB501" s="62"/>
      <c r="DC501" s="62"/>
      <c r="DD501" s="62"/>
      <c r="DE501" s="62"/>
      <c r="DF501" s="62"/>
      <c r="DG501" s="62"/>
      <c r="DH501" s="62"/>
      <c r="DI501" s="62"/>
      <c r="DJ501" s="62"/>
      <c r="DK501" s="62"/>
      <c r="DL501" s="62"/>
      <c r="DM501" s="62"/>
      <c r="DN501" s="62"/>
      <c r="DO501" s="62"/>
      <c r="DP501" s="62"/>
      <c r="DQ501" s="62"/>
      <c r="DR501" s="62"/>
      <c r="DS501" s="62"/>
      <c r="DT501" s="62"/>
      <c r="DU501" s="62"/>
      <c r="DV501" s="62"/>
      <c r="DW501" s="62"/>
      <c r="DX501" s="62"/>
      <c r="DY501" s="62"/>
      <c r="DZ501" s="62"/>
      <c r="EA501" s="62"/>
      <c r="EB501" s="62"/>
      <c r="EC501" s="62"/>
      <c r="ED501" s="62"/>
      <c r="EE501" s="62"/>
      <c r="EF501" s="62"/>
      <c r="EG501" s="62"/>
      <c r="EH501" s="62"/>
      <c r="EI501" s="62"/>
      <c r="EJ501" s="62"/>
      <c r="EK501" s="62"/>
      <c r="EL501" s="62"/>
      <c r="EM501" s="62"/>
      <c r="EN501" s="62"/>
      <c r="EO501" s="62"/>
      <c r="EP501" s="62"/>
      <c r="EQ501" s="62"/>
      <c r="ER501" s="62"/>
      <c r="ES501" s="62"/>
      <c r="ET501" s="62"/>
      <c r="EU501" s="62"/>
      <c r="EV501" s="62"/>
      <c r="EW501" s="62"/>
      <c r="EX501" s="62"/>
      <c r="EY501" s="62"/>
      <c r="EZ501" s="62"/>
      <c r="FA501" s="62"/>
      <c r="FB501" s="62"/>
      <c r="FC501" s="62"/>
      <c r="FD501" s="62"/>
      <c r="FE501" s="62"/>
      <c r="FF501" s="62"/>
      <c r="FG501" s="62"/>
      <c r="FH501" s="62"/>
      <c r="FI501" s="62"/>
      <c r="FJ501" s="62"/>
      <c r="FK501" s="62"/>
      <c r="FL501" s="62"/>
      <c r="FM501" s="62"/>
      <c r="FN501" s="62"/>
      <c r="FO501" s="62"/>
      <c r="FP501" s="62"/>
      <c r="FQ501" s="62"/>
      <c r="FR501" s="62"/>
      <c r="FS501" s="62"/>
      <c r="FT501" s="62"/>
      <c r="FU501" s="62"/>
      <c r="FV501" s="62"/>
    </row>
    <row r="502" spans="1:178" ht="13.8">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c r="AY502" s="62"/>
      <c r="AZ502" s="62"/>
      <c r="BA502" s="62"/>
      <c r="BB502" s="62"/>
      <c r="BC502" s="62"/>
      <c r="BD502" s="62"/>
      <c r="BE502" s="62"/>
      <c r="BF502" s="62"/>
      <c r="BG502" s="62"/>
      <c r="BH502" s="62"/>
      <c r="BI502" s="62"/>
      <c r="BJ502" s="62"/>
      <c r="BK502" s="62"/>
      <c r="BL502" s="62"/>
      <c r="BM502" s="62"/>
      <c r="BN502" s="62"/>
      <c r="BO502" s="62"/>
      <c r="BP502" s="62"/>
      <c r="BQ502" s="62"/>
      <c r="BR502" s="62"/>
      <c r="BS502" s="62"/>
      <c r="BT502" s="62"/>
      <c r="BU502" s="62"/>
      <c r="BV502" s="62"/>
      <c r="BW502" s="62"/>
      <c r="BX502" s="62"/>
      <c r="BY502" s="62"/>
      <c r="BZ502" s="62"/>
      <c r="CA502" s="62"/>
      <c r="CB502" s="62"/>
      <c r="CC502" s="62"/>
      <c r="CD502" s="62"/>
      <c r="CE502" s="62"/>
      <c r="CF502" s="62"/>
      <c r="CG502" s="62"/>
      <c r="CH502" s="62"/>
      <c r="CI502" s="62"/>
      <c r="CJ502" s="62"/>
      <c r="CK502" s="62"/>
      <c r="CL502" s="62"/>
      <c r="CM502" s="62"/>
      <c r="CN502" s="62"/>
      <c r="CO502" s="62"/>
      <c r="CP502" s="62"/>
      <c r="CQ502" s="62"/>
      <c r="CR502" s="62"/>
      <c r="CS502" s="62"/>
      <c r="CT502" s="62"/>
      <c r="CU502" s="62"/>
      <c r="CV502" s="62"/>
      <c r="CW502" s="62"/>
      <c r="CX502" s="62"/>
      <c r="CY502" s="62"/>
      <c r="CZ502" s="62"/>
      <c r="DA502" s="62"/>
      <c r="DB502" s="62"/>
      <c r="DC502" s="62"/>
      <c r="DD502" s="62"/>
      <c r="DE502" s="62"/>
      <c r="DF502" s="62"/>
      <c r="DG502" s="62"/>
      <c r="DH502" s="62"/>
      <c r="DI502" s="62"/>
      <c r="DJ502" s="62"/>
      <c r="DK502" s="62"/>
      <c r="DL502" s="62"/>
      <c r="DM502" s="62"/>
      <c r="DN502" s="62"/>
      <c r="DO502" s="62"/>
      <c r="DP502" s="62"/>
      <c r="DQ502" s="62"/>
      <c r="DR502" s="62"/>
      <c r="DS502" s="62"/>
      <c r="DT502" s="62"/>
      <c r="DU502" s="62"/>
      <c r="DV502" s="62"/>
      <c r="DW502" s="62"/>
      <c r="DX502" s="62"/>
      <c r="DY502" s="62"/>
      <c r="DZ502" s="62"/>
      <c r="EA502" s="62"/>
      <c r="EB502" s="62"/>
      <c r="EC502" s="62"/>
      <c r="ED502" s="62"/>
      <c r="EE502" s="62"/>
      <c r="EF502" s="62"/>
      <c r="EG502" s="62"/>
      <c r="EH502" s="62"/>
      <c r="EI502" s="62"/>
      <c r="EJ502" s="62"/>
      <c r="EK502" s="62"/>
      <c r="EL502" s="62"/>
      <c r="EM502" s="62"/>
      <c r="EN502" s="62"/>
      <c r="EO502" s="62"/>
      <c r="EP502" s="62"/>
      <c r="EQ502" s="62"/>
      <c r="ER502" s="62"/>
      <c r="ES502" s="62"/>
      <c r="ET502" s="62"/>
      <c r="EU502" s="62"/>
      <c r="EV502" s="62"/>
      <c r="EW502" s="62"/>
      <c r="EX502" s="62"/>
      <c r="EY502" s="62"/>
      <c r="EZ502" s="62"/>
      <c r="FA502" s="62"/>
      <c r="FB502" s="62"/>
      <c r="FC502" s="62"/>
      <c r="FD502" s="62"/>
      <c r="FE502" s="62"/>
      <c r="FF502" s="62"/>
      <c r="FG502" s="62"/>
      <c r="FH502" s="62"/>
      <c r="FI502" s="62"/>
      <c r="FJ502" s="62"/>
      <c r="FK502" s="62"/>
      <c r="FL502" s="62"/>
      <c r="FM502" s="62"/>
      <c r="FN502" s="62"/>
      <c r="FO502" s="62"/>
      <c r="FP502" s="62"/>
      <c r="FQ502" s="62"/>
      <c r="FR502" s="62"/>
      <c r="FS502" s="62"/>
      <c r="FT502" s="62"/>
      <c r="FU502" s="62"/>
      <c r="FV502" s="62"/>
    </row>
    <row r="503" spans="1:178" ht="13.8">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c r="AY503" s="62"/>
      <c r="AZ503" s="62"/>
      <c r="BA503" s="62"/>
      <c r="BB503" s="62"/>
      <c r="BC503" s="62"/>
      <c r="BD503" s="62"/>
      <c r="BE503" s="62"/>
      <c r="BF503" s="62"/>
      <c r="BG503" s="62"/>
      <c r="BH503" s="62"/>
      <c r="BI503" s="62"/>
      <c r="BJ503" s="62"/>
      <c r="BK503" s="62"/>
      <c r="BL503" s="62"/>
      <c r="BM503" s="62"/>
      <c r="BN503" s="62"/>
      <c r="BO503" s="62"/>
      <c r="BP503" s="62"/>
      <c r="BQ503" s="62"/>
      <c r="BR503" s="62"/>
      <c r="BS503" s="62"/>
      <c r="BT503" s="62"/>
      <c r="BU503" s="62"/>
      <c r="BV503" s="62"/>
      <c r="BW503" s="62"/>
      <c r="BX503" s="62"/>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62"/>
      <c r="CX503" s="62"/>
      <c r="CY503" s="62"/>
      <c r="CZ503" s="62"/>
      <c r="DA503" s="62"/>
      <c r="DB503" s="62"/>
      <c r="DC503" s="62"/>
      <c r="DD503" s="62"/>
      <c r="DE503" s="62"/>
      <c r="DF503" s="62"/>
      <c r="DG503" s="62"/>
      <c r="DH503" s="62"/>
      <c r="DI503" s="62"/>
      <c r="DJ503" s="62"/>
      <c r="DK503" s="62"/>
      <c r="DL503" s="62"/>
      <c r="DM503" s="62"/>
      <c r="DN503" s="62"/>
      <c r="DO503" s="62"/>
      <c r="DP503" s="62"/>
      <c r="DQ503" s="62"/>
      <c r="DR503" s="62"/>
      <c r="DS503" s="62"/>
      <c r="DT503" s="62"/>
      <c r="DU503" s="62"/>
      <c r="DV503" s="62"/>
      <c r="DW503" s="62"/>
      <c r="DX503" s="62"/>
      <c r="DY503" s="62"/>
      <c r="DZ503" s="62"/>
      <c r="EA503" s="62"/>
      <c r="EB503" s="62"/>
      <c r="EC503" s="62"/>
      <c r="ED503" s="62"/>
      <c r="EE503" s="62"/>
      <c r="EF503" s="62"/>
      <c r="EG503" s="62"/>
      <c r="EH503" s="62"/>
      <c r="EI503" s="62"/>
      <c r="EJ503" s="62"/>
      <c r="EK503" s="62"/>
      <c r="EL503" s="62"/>
      <c r="EM503" s="62"/>
      <c r="EN503" s="62"/>
      <c r="EO503" s="62"/>
      <c r="EP503" s="62"/>
      <c r="EQ503" s="62"/>
      <c r="ER503" s="62"/>
      <c r="ES503" s="62"/>
      <c r="ET503" s="62"/>
      <c r="EU503" s="62"/>
      <c r="EV503" s="62"/>
      <c r="EW503" s="62"/>
      <c r="EX503" s="62"/>
      <c r="EY503" s="62"/>
      <c r="EZ503" s="62"/>
      <c r="FA503" s="62"/>
      <c r="FB503" s="62"/>
      <c r="FC503" s="62"/>
      <c r="FD503" s="62"/>
      <c r="FE503" s="62"/>
      <c r="FF503" s="62"/>
      <c r="FG503" s="62"/>
      <c r="FH503" s="62"/>
      <c r="FI503" s="62"/>
      <c r="FJ503" s="62"/>
      <c r="FK503" s="62"/>
      <c r="FL503" s="62"/>
      <c r="FM503" s="62"/>
      <c r="FN503" s="62"/>
      <c r="FO503" s="62"/>
      <c r="FP503" s="62"/>
      <c r="FQ503" s="62"/>
      <c r="FR503" s="62"/>
      <c r="FS503" s="62"/>
      <c r="FT503" s="62"/>
      <c r="FU503" s="62"/>
      <c r="FV503" s="62"/>
    </row>
    <row r="504" spans="1:178" ht="13.8">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c r="AY504" s="62"/>
      <c r="AZ504" s="62"/>
      <c r="BA504" s="62"/>
      <c r="BB504" s="62"/>
      <c r="BC504" s="62"/>
      <c r="BD504" s="62"/>
      <c r="BE504" s="62"/>
      <c r="BF504" s="62"/>
      <c r="BG504" s="62"/>
      <c r="BH504" s="62"/>
      <c r="BI504" s="62"/>
      <c r="BJ504" s="62"/>
      <c r="BK504" s="62"/>
      <c r="BL504" s="62"/>
      <c r="BM504" s="62"/>
      <c r="BN504" s="62"/>
      <c r="BO504" s="62"/>
      <c r="BP504" s="62"/>
      <c r="BQ504" s="62"/>
      <c r="BR504" s="62"/>
      <c r="BS504" s="62"/>
      <c r="BT504" s="62"/>
      <c r="BU504" s="62"/>
      <c r="BV504" s="62"/>
      <c r="BW504" s="62"/>
      <c r="BX504" s="62"/>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62"/>
      <c r="CX504" s="62"/>
      <c r="CY504" s="62"/>
      <c r="CZ504" s="62"/>
      <c r="DA504" s="62"/>
      <c r="DB504" s="62"/>
      <c r="DC504" s="62"/>
      <c r="DD504" s="62"/>
      <c r="DE504" s="62"/>
      <c r="DF504" s="62"/>
      <c r="DG504" s="62"/>
      <c r="DH504" s="62"/>
      <c r="DI504" s="62"/>
      <c r="DJ504" s="62"/>
      <c r="DK504" s="62"/>
      <c r="DL504" s="62"/>
      <c r="DM504" s="62"/>
      <c r="DN504" s="62"/>
      <c r="DO504" s="62"/>
      <c r="DP504" s="62"/>
      <c r="DQ504" s="62"/>
      <c r="DR504" s="62"/>
      <c r="DS504" s="62"/>
      <c r="DT504" s="62"/>
      <c r="DU504" s="62"/>
      <c r="DV504" s="62"/>
      <c r="DW504" s="62"/>
      <c r="DX504" s="62"/>
      <c r="DY504" s="62"/>
      <c r="DZ504" s="62"/>
      <c r="EA504" s="62"/>
      <c r="EB504" s="62"/>
      <c r="EC504" s="62"/>
      <c r="ED504" s="62"/>
      <c r="EE504" s="62"/>
      <c r="EF504" s="62"/>
      <c r="EG504" s="62"/>
      <c r="EH504" s="62"/>
      <c r="EI504" s="62"/>
      <c r="EJ504" s="62"/>
      <c r="EK504" s="62"/>
      <c r="EL504" s="62"/>
      <c r="EM504" s="62"/>
      <c r="EN504" s="62"/>
      <c r="EO504" s="62"/>
      <c r="EP504" s="62"/>
      <c r="EQ504" s="62"/>
      <c r="ER504" s="62"/>
      <c r="ES504" s="62"/>
      <c r="ET504" s="62"/>
      <c r="EU504" s="62"/>
      <c r="EV504" s="62"/>
      <c r="EW504" s="62"/>
      <c r="EX504" s="62"/>
      <c r="EY504" s="62"/>
      <c r="EZ504" s="62"/>
      <c r="FA504" s="62"/>
      <c r="FB504" s="62"/>
      <c r="FC504" s="62"/>
      <c r="FD504" s="62"/>
      <c r="FE504" s="62"/>
      <c r="FF504" s="62"/>
      <c r="FG504" s="62"/>
      <c r="FH504" s="62"/>
      <c r="FI504" s="62"/>
      <c r="FJ504" s="62"/>
      <c r="FK504" s="62"/>
      <c r="FL504" s="62"/>
      <c r="FM504" s="62"/>
      <c r="FN504" s="62"/>
      <c r="FO504" s="62"/>
      <c r="FP504" s="62"/>
      <c r="FQ504" s="62"/>
      <c r="FR504" s="62"/>
      <c r="FS504" s="62"/>
      <c r="FT504" s="62"/>
      <c r="FU504" s="62"/>
      <c r="FV504" s="62"/>
    </row>
    <row r="505" spans="1:178" ht="13.8">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2"/>
      <c r="EX505" s="62"/>
      <c r="EY505" s="62"/>
      <c r="EZ505" s="62"/>
      <c r="FA505" s="62"/>
      <c r="FB505" s="62"/>
      <c r="FC505" s="62"/>
      <c r="FD505" s="62"/>
      <c r="FE505" s="62"/>
      <c r="FF505" s="62"/>
      <c r="FG505" s="62"/>
      <c r="FH505" s="62"/>
      <c r="FI505" s="62"/>
      <c r="FJ505" s="62"/>
      <c r="FK505" s="62"/>
      <c r="FL505" s="62"/>
      <c r="FM505" s="62"/>
      <c r="FN505" s="62"/>
      <c r="FO505" s="62"/>
      <c r="FP505" s="62"/>
      <c r="FQ505" s="62"/>
      <c r="FR505" s="62"/>
      <c r="FS505" s="62"/>
      <c r="FT505" s="62"/>
      <c r="FU505" s="62"/>
      <c r="FV505" s="62"/>
    </row>
    <row r="506" spans="1:178" ht="13.8">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c r="AY506" s="62"/>
      <c r="AZ506" s="62"/>
      <c r="BA506" s="62"/>
      <c r="BB506" s="62"/>
      <c r="BC506" s="62"/>
      <c r="BD506" s="62"/>
      <c r="BE506" s="62"/>
      <c r="BF506" s="62"/>
      <c r="BG506" s="62"/>
      <c r="BH506" s="62"/>
      <c r="BI506" s="62"/>
      <c r="BJ506" s="62"/>
      <c r="BK506" s="62"/>
      <c r="BL506" s="62"/>
      <c r="BM506" s="62"/>
      <c r="BN506" s="62"/>
      <c r="BO506" s="62"/>
      <c r="BP506" s="62"/>
      <c r="BQ506" s="62"/>
      <c r="BR506" s="62"/>
      <c r="BS506" s="62"/>
      <c r="BT506" s="62"/>
      <c r="BU506" s="62"/>
      <c r="BV506" s="62"/>
      <c r="BW506" s="62"/>
      <c r="BX506" s="62"/>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62"/>
      <c r="CX506" s="62"/>
      <c r="CY506" s="62"/>
      <c r="CZ506" s="62"/>
      <c r="DA506" s="62"/>
      <c r="DB506" s="62"/>
      <c r="DC506" s="62"/>
      <c r="DD506" s="62"/>
      <c r="DE506" s="62"/>
      <c r="DF506" s="62"/>
      <c r="DG506" s="62"/>
      <c r="DH506" s="62"/>
      <c r="DI506" s="62"/>
      <c r="DJ506" s="62"/>
      <c r="DK506" s="62"/>
      <c r="DL506" s="62"/>
      <c r="DM506" s="62"/>
      <c r="DN506" s="62"/>
      <c r="DO506" s="62"/>
      <c r="DP506" s="62"/>
      <c r="DQ506" s="62"/>
      <c r="DR506" s="62"/>
      <c r="DS506" s="62"/>
      <c r="DT506" s="62"/>
      <c r="DU506" s="62"/>
      <c r="DV506" s="62"/>
      <c r="DW506" s="62"/>
      <c r="DX506" s="62"/>
      <c r="DY506" s="62"/>
      <c r="DZ506" s="62"/>
      <c r="EA506" s="62"/>
      <c r="EB506" s="62"/>
      <c r="EC506" s="62"/>
      <c r="ED506" s="62"/>
      <c r="EE506" s="62"/>
      <c r="EF506" s="62"/>
      <c r="EG506" s="62"/>
      <c r="EH506" s="62"/>
      <c r="EI506" s="62"/>
      <c r="EJ506" s="62"/>
      <c r="EK506" s="62"/>
      <c r="EL506" s="62"/>
      <c r="EM506" s="62"/>
      <c r="EN506" s="62"/>
      <c r="EO506" s="62"/>
      <c r="EP506" s="62"/>
      <c r="EQ506" s="62"/>
      <c r="ER506" s="62"/>
      <c r="ES506" s="62"/>
      <c r="ET506" s="62"/>
      <c r="EU506" s="62"/>
      <c r="EV506" s="62"/>
      <c r="EW506" s="62"/>
      <c r="EX506" s="62"/>
      <c r="EY506" s="62"/>
      <c r="EZ506" s="62"/>
      <c r="FA506" s="62"/>
      <c r="FB506" s="62"/>
      <c r="FC506" s="62"/>
      <c r="FD506" s="62"/>
      <c r="FE506" s="62"/>
      <c r="FF506" s="62"/>
      <c r="FG506" s="62"/>
      <c r="FH506" s="62"/>
      <c r="FI506" s="62"/>
      <c r="FJ506" s="62"/>
      <c r="FK506" s="62"/>
      <c r="FL506" s="62"/>
      <c r="FM506" s="62"/>
      <c r="FN506" s="62"/>
      <c r="FO506" s="62"/>
      <c r="FP506" s="62"/>
      <c r="FQ506" s="62"/>
      <c r="FR506" s="62"/>
      <c r="FS506" s="62"/>
      <c r="FT506" s="62"/>
      <c r="FU506" s="62"/>
      <c r="FV506" s="62"/>
    </row>
    <row r="507" spans="1:178" ht="13.8">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62"/>
      <c r="CX507" s="62"/>
      <c r="CY507" s="62"/>
      <c r="CZ507" s="62"/>
      <c r="DA507" s="62"/>
      <c r="DB507" s="62"/>
      <c r="DC507" s="62"/>
      <c r="DD507" s="62"/>
      <c r="DE507" s="62"/>
      <c r="DF507" s="62"/>
      <c r="DG507" s="62"/>
      <c r="DH507" s="62"/>
      <c r="DI507" s="62"/>
      <c r="DJ507" s="62"/>
      <c r="DK507" s="62"/>
      <c r="DL507" s="62"/>
      <c r="DM507" s="62"/>
      <c r="DN507" s="62"/>
      <c r="DO507" s="62"/>
      <c r="DP507" s="62"/>
      <c r="DQ507" s="62"/>
      <c r="DR507" s="62"/>
      <c r="DS507" s="62"/>
      <c r="DT507" s="62"/>
      <c r="DU507" s="62"/>
      <c r="DV507" s="62"/>
      <c r="DW507" s="62"/>
      <c r="DX507" s="62"/>
      <c r="DY507" s="62"/>
      <c r="DZ507" s="62"/>
      <c r="EA507" s="62"/>
      <c r="EB507" s="62"/>
      <c r="EC507" s="62"/>
      <c r="ED507" s="62"/>
      <c r="EE507" s="62"/>
      <c r="EF507" s="62"/>
      <c r="EG507" s="62"/>
      <c r="EH507" s="62"/>
      <c r="EI507" s="62"/>
      <c r="EJ507" s="62"/>
      <c r="EK507" s="62"/>
      <c r="EL507" s="62"/>
      <c r="EM507" s="62"/>
      <c r="EN507" s="62"/>
      <c r="EO507" s="62"/>
      <c r="EP507" s="62"/>
      <c r="EQ507" s="62"/>
      <c r="ER507" s="62"/>
      <c r="ES507" s="62"/>
      <c r="ET507" s="62"/>
      <c r="EU507" s="62"/>
      <c r="EV507" s="62"/>
      <c r="EW507" s="62"/>
      <c r="EX507" s="62"/>
      <c r="EY507" s="62"/>
      <c r="EZ507" s="62"/>
      <c r="FA507" s="62"/>
      <c r="FB507" s="62"/>
      <c r="FC507" s="62"/>
      <c r="FD507" s="62"/>
      <c r="FE507" s="62"/>
      <c r="FF507" s="62"/>
      <c r="FG507" s="62"/>
      <c r="FH507" s="62"/>
      <c r="FI507" s="62"/>
      <c r="FJ507" s="62"/>
      <c r="FK507" s="62"/>
      <c r="FL507" s="62"/>
      <c r="FM507" s="62"/>
      <c r="FN507" s="62"/>
      <c r="FO507" s="62"/>
      <c r="FP507" s="62"/>
      <c r="FQ507" s="62"/>
      <c r="FR507" s="62"/>
      <c r="FS507" s="62"/>
      <c r="FT507" s="62"/>
      <c r="FU507" s="62"/>
      <c r="FV507" s="62"/>
    </row>
    <row r="508" spans="1:178" ht="13.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c r="AY508" s="62"/>
      <c r="AZ508" s="62"/>
      <c r="BA508" s="62"/>
      <c r="BB508" s="62"/>
      <c r="BC508" s="62"/>
      <c r="BD508" s="62"/>
      <c r="BE508" s="62"/>
      <c r="BF508" s="62"/>
      <c r="BG508" s="62"/>
      <c r="BH508" s="62"/>
      <c r="BI508" s="62"/>
      <c r="BJ508" s="62"/>
      <c r="BK508" s="62"/>
      <c r="BL508" s="62"/>
      <c r="BM508" s="62"/>
      <c r="BN508" s="62"/>
      <c r="BO508" s="62"/>
      <c r="BP508" s="62"/>
      <c r="BQ508" s="62"/>
      <c r="BR508" s="62"/>
      <c r="BS508" s="62"/>
      <c r="BT508" s="62"/>
      <c r="BU508" s="62"/>
      <c r="BV508" s="62"/>
      <c r="BW508" s="62"/>
      <c r="BX508" s="62"/>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62"/>
      <c r="CX508" s="62"/>
      <c r="CY508" s="62"/>
      <c r="CZ508" s="62"/>
      <c r="DA508" s="62"/>
      <c r="DB508" s="62"/>
      <c r="DC508" s="62"/>
      <c r="DD508" s="62"/>
      <c r="DE508" s="62"/>
      <c r="DF508" s="62"/>
      <c r="DG508" s="62"/>
      <c r="DH508" s="62"/>
      <c r="DI508" s="62"/>
      <c r="DJ508" s="62"/>
      <c r="DK508" s="62"/>
      <c r="DL508" s="62"/>
      <c r="DM508" s="62"/>
      <c r="DN508" s="62"/>
      <c r="DO508" s="62"/>
      <c r="DP508" s="62"/>
      <c r="DQ508" s="62"/>
      <c r="DR508" s="62"/>
      <c r="DS508" s="62"/>
      <c r="DT508" s="62"/>
      <c r="DU508" s="62"/>
      <c r="DV508" s="62"/>
      <c r="DW508" s="62"/>
      <c r="DX508" s="62"/>
      <c r="DY508" s="62"/>
      <c r="DZ508" s="62"/>
      <c r="EA508" s="62"/>
      <c r="EB508" s="62"/>
      <c r="EC508" s="62"/>
      <c r="ED508" s="62"/>
      <c r="EE508" s="62"/>
      <c r="EF508" s="62"/>
      <c r="EG508" s="62"/>
      <c r="EH508" s="62"/>
      <c r="EI508" s="62"/>
      <c r="EJ508" s="62"/>
      <c r="EK508" s="62"/>
      <c r="EL508" s="62"/>
      <c r="EM508" s="62"/>
      <c r="EN508" s="62"/>
      <c r="EO508" s="62"/>
      <c r="EP508" s="62"/>
      <c r="EQ508" s="62"/>
      <c r="ER508" s="62"/>
      <c r="ES508" s="62"/>
      <c r="ET508" s="62"/>
      <c r="EU508" s="62"/>
      <c r="EV508" s="62"/>
      <c r="EW508" s="62"/>
      <c r="EX508" s="62"/>
      <c r="EY508" s="62"/>
      <c r="EZ508" s="62"/>
      <c r="FA508" s="62"/>
      <c r="FB508" s="62"/>
      <c r="FC508" s="62"/>
      <c r="FD508" s="62"/>
      <c r="FE508" s="62"/>
      <c r="FF508" s="62"/>
      <c r="FG508" s="62"/>
      <c r="FH508" s="62"/>
      <c r="FI508" s="62"/>
      <c r="FJ508" s="62"/>
      <c r="FK508" s="62"/>
      <c r="FL508" s="62"/>
      <c r="FM508" s="62"/>
      <c r="FN508" s="62"/>
      <c r="FO508" s="62"/>
      <c r="FP508" s="62"/>
      <c r="FQ508" s="62"/>
      <c r="FR508" s="62"/>
      <c r="FS508" s="62"/>
      <c r="FT508" s="62"/>
      <c r="FU508" s="62"/>
      <c r="FV508" s="62"/>
    </row>
    <row r="509" spans="1:178" ht="13.8">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c r="AY509" s="62"/>
      <c r="AZ509" s="62"/>
      <c r="BA509" s="62"/>
      <c r="BB509" s="62"/>
      <c r="BC509" s="62"/>
      <c r="BD509" s="62"/>
      <c r="BE509" s="62"/>
      <c r="BF509" s="62"/>
      <c r="BG509" s="62"/>
      <c r="BH509" s="62"/>
      <c r="BI509" s="62"/>
      <c r="BJ509" s="62"/>
      <c r="BK509" s="62"/>
      <c r="BL509" s="62"/>
      <c r="BM509" s="62"/>
      <c r="BN509" s="62"/>
      <c r="BO509" s="62"/>
      <c r="BP509" s="62"/>
      <c r="BQ509" s="62"/>
      <c r="BR509" s="62"/>
      <c r="BS509" s="62"/>
      <c r="BT509" s="62"/>
      <c r="BU509" s="62"/>
      <c r="BV509" s="62"/>
      <c r="BW509" s="62"/>
      <c r="BX509" s="62"/>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62"/>
      <c r="CX509" s="62"/>
      <c r="CY509" s="62"/>
      <c r="CZ509" s="62"/>
      <c r="DA509" s="62"/>
      <c r="DB509" s="62"/>
      <c r="DC509" s="62"/>
      <c r="DD509" s="62"/>
      <c r="DE509" s="62"/>
      <c r="DF509" s="62"/>
      <c r="DG509" s="62"/>
      <c r="DH509" s="62"/>
      <c r="DI509" s="62"/>
      <c r="DJ509" s="62"/>
      <c r="DK509" s="62"/>
      <c r="DL509" s="62"/>
      <c r="DM509" s="62"/>
      <c r="DN509" s="62"/>
      <c r="DO509" s="62"/>
      <c r="DP509" s="62"/>
      <c r="DQ509" s="62"/>
      <c r="DR509" s="62"/>
      <c r="DS509" s="62"/>
      <c r="DT509" s="62"/>
      <c r="DU509" s="62"/>
      <c r="DV509" s="62"/>
      <c r="DW509" s="62"/>
      <c r="DX509" s="62"/>
      <c r="DY509" s="62"/>
      <c r="DZ509" s="62"/>
      <c r="EA509" s="62"/>
      <c r="EB509" s="62"/>
      <c r="EC509" s="62"/>
      <c r="ED509" s="62"/>
      <c r="EE509" s="62"/>
      <c r="EF509" s="62"/>
      <c r="EG509" s="62"/>
      <c r="EH509" s="62"/>
      <c r="EI509" s="62"/>
      <c r="EJ509" s="62"/>
      <c r="EK509" s="62"/>
      <c r="EL509" s="62"/>
      <c r="EM509" s="62"/>
      <c r="EN509" s="62"/>
      <c r="EO509" s="62"/>
      <c r="EP509" s="62"/>
      <c r="EQ509" s="62"/>
      <c r="ER509" s="62"/>
      <c r="ES509" s="62"/>
      <c r="ET509" s="62"/>
      <c r="EU509" s="62"/>
      <c r="EV509" s="62"/>
      <c r="EW509" s="62"/>
      <c r="EX509" s="62"/>
      <c r="EY509" s="62"/>
      <c r="EZ509" s="62"/>
      <c r="FA509" s="62"/>
      <c r="FB509" s="62"/>
      <c r="FC509" s="62"/>
      <c r="FD509" s="62"/>
      <c r="FE509" s="62"/>
      <c r="FF509" s="62"/>
      <c r="FG509" s="62"/>
      <c r="FH509" s="62"/>
      <c r="FI509" s="62"/>
      <c r="FJ509" s="62"/>
      <c r="FK509" s="62"/>
      <c r="FL509" s="62"/>
      <c r="FM509" s="62"/>
      <c r="FN509" s="62"/>
      <c r="FO509" s="62"/>
      <c r="FP509" s="62"/>
      <c r="FQ509" s="62"/>
      <c r="FR509" s="62"/>
      <c r="FS509" s="62"/>
      <c r="FT509" s="62"/>
      <c r="FU509" s="62"/>
      <c r="FV509" s="62"/>
    </row>
    <row r="510" spans="1:178" ht="13.8">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c r="AY510" s="62"/>
      <c r="AZ510" s="62"/>
      <c r="BA510" s="62"/>
      <c r="BB510" s="62"/>
      <c r="BC510" s="62"/>
      <c r="BD510" s="62"/>
      <c r="BE510" s="62"/>
      <c r="BF510" s="62"/>
      <c r="BG510" s="62"/>
      <c r="BH510" s="62"/>
      <c r="BI510" s="62"/>
      <c r="BJ510" s="62"/>
      <c r="BK510" s="62"/>
      <c r="BL510" s="62"/>
      <c r="BM510" s="62"/>
      <c r="BN510" s="62"/>
      <c r="BO510" s="62"/>
      <c r="BP510" s="62"/>
      <c r="BQ510" s="62"/>
      <c r="BR510" s="62"/>
      <c r="BS510" s="62"/>
      <c r="BT510" s="62"/>
      <c r="BU510" s="62"/>
      <c r="BV510" s="62"/>
      <c r="BW510" s="62"/>
      <c r="BX510" s="62"/>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62"/>
      <c r="CX510" s="62"/>
      <c r="CY510" s="62"/>
      <c r="CZ510" s="62"/>
      <c r="DA510" s="62"/>
      <c r="DB510" s="62"/>
      <c r="DC510" s="62"/>
      <c r="DD510" s="62"/>
      <c r="DE510" s="62"/>
      <c r="DF510" s="62"/>
      <c r="DG510" s="62"/>
      <c r="DH510" s="62"/>
      <c r="DI510" s="62"/>
      <c r="DJ510" s="62"/>
      <c r="DK510" s="62"/>
      <c r="DL510" s="62"/>
      <c r="DM510" s="62"/>
      <c r="DN510" s="62"/>
      <c r="DO510" s="62"/>
      <c r="DP510" s="62"/>
      <c r="DQ510" s="62"/>
      <c r="DR510" s="62"/>
      <c r="DS510" s="62"/>
      <c r="DT510" s="62"/>
      <c r="DU510" s="62"/>
      <c r="DV510" s="62"/>
      <c r="DW510" s="62"/>
      <c r="DX510" s="62"/>
      <c r="DY510" s="62"/>
      <c r="DZ510" s="62"/>
      <c r="EA510" s="62"/>
      <c r="EB510" s="62"/>
      <c r="EC510" s="62"/>
      <c r="ED510" s="62"/>
      <c r="EE510" s="62"/>
      <c r="EF510" s="62"/>
      <c r="EG510" s="62"/>
      <c r="EH510" s="62"/>
      <c r="EI510" s="62"/>
      <c r="EJ510" s="62"/>
      <c r="EK510" s="62"/>
      <c r="EL510" s="62"/>
      <c r="EM510" s="62"/>
      <c r="EN510" s="62"/>
      <c r="EO510" s="62"/>
      <c r="EP510" s="62"/>
      <c r="EQ510" s="62"/>
      <c r="ER510" s="62"/>
      <c r="ES510" s="62"/>
      <c r="ET510" s="62"/>
      <c r="EU510" s="62"/>
      <c r="EV510" s="62"/>
      <c r="EW510" s="62"/>
      <c r="EX510" s="62"/>
      <c r="EY510" s="62"/>
      <c r="EZ510" s="62"/>
      <c r="FA510" s="62"/>
      <c r="FB510" s="62"/>
      <c r="FC510" s="62"/>
      <c r="FD510" s="62"/>
      <c r="FE510" s="62"/>
      <c r="FF510" s="62"/>
      <c r="FG510" s="62"/>
      <c r="FH510" s="62"/>
      <c r="FI510" s="62"/>
      <c r="FJ510" s="62"/>
      <c r="FK510" s="62"/>
      <c r="FL510" s="62"/>
      <c r="FM510" s="62"/>
      <c r="FN510" s="62"/>
      <c r="FO510" s="62"/>
      <c r="FP510" s="62"/>
      <c r="FQ510" s="62"/>
      <c r="FR510" s="62"/>
      <c r="FS510" s="62"/>
      <c r="FT510" s="62"/>
      <c r="FU510" s="62"/>
      <c r="FV510" s="62"/>
    </row>
    <row r="511" spans="1:178" ht="13.8">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c r="AY511" s="62"/>
      <c r="AZ511" s="62"/>
      <c r="BA511" s="62"/>
      <c r="BB511" s="62"/>
      <c r="BC511" s="62"/>
      <c r="BD511" s="62"/>
      <c r="BE511" s="62"/>
      <c r="BF511" s="62"/>
      <c r="BG511" s="62"/>
      <c r="BH511" s="62"/>
      <c r="BI511" s="62"/>
      <c r="BJ511" s="62"/>
      <c r="BK511" s="62"/>
      <c r="BL511" s="62"/>
      <c r="BM511" s="62"/>
      <c r="BN511" s="62"/>
      <c r="BO511" s="62"/>
      <c r="BP511" s="62"/>
      <c r="BQ511" s="62"/>
      <c r="BR511" s="62"/>
      <c r="BS511" s="62"/>
      <c r="BT511" s="62"/>
      <c r="BU511" s="62"/>
      <c r="BV511" s="62"/>
      <c r="BW511" s="62"/>
      <c r="BX511" s="62"/>
      <c r="BY511" s="62"/>
      <c r="BZ511" s="62"/>
      <c r="CA511" s="62"/>
      <c r="CB511" s="62"/>
      <c r="CC511" s="62"/>
      <c r="CD511" s="62"/>
      <c r="CE511" s="62"/>
      <c r="CF511" s="62"/>
      <c r="CG511" s="62"/>
      <c r="CH511" s="62"/>
      <c r="CI511" s="62"/>
      <c r="CJ511" s="62"/>
      <c r="CK511" s="62"/>
      <c r="CL511" s="62"/>
      <c r="CM511" s="62"/>
      <c r="CN511" s="62"/>
      <c r="CO511" s="62"/>
      <c r="CP511" s="62"/>
      <c r="CQ511" s="62"/>
      <c r="CR511" s="62"/>
      <c r="CS511" s="62"/>
      <c r="CT511" s="62"/>
      <c r="CU511" s="62"/>
      <c r="CV511" s="62"/>
      <c r="CW511" s="62"/>
      <c r="CX511" s="62"/>
      <c r="CY511" s="62"/>
      <c r="CZ511" s="62"/>
      <c r="DA511" s="62"/>
      <c r="DB511" s="62"/>
      <c r="DC511" s="62"/>
      <c r="DD511" s="62"/>
      <c r="DE511" s="62"/>
      <c r="DF511" s="62"/>
      <c r="DG511" s="62"/>
      <c r="DH511" s="62"/>
      <c r="DI511" s="62"/>
      <c r="DJ511" s="62"/>
      <c r="DK511" s="62"/>
      <c r="DL511" s="62"/>
      <c r="DM511" s="62"/>
      <c r="DN511" s="62"/>
      <c r="DO511" s="62"/>
      <c r="DP511" s="62"/>
      <c r="DQ511" s="62"/>
      <c r="DR511" s="62"/>
      <c r="DS511" s="62"/>
      <c r="DT511" s="62"/>
      <c r="DU511" s="62"/>
      <c r="DV511" s="62"/>
      <c r="DW511" s="62"/>
      <c r="DX511" s="62"/>
      <c r="DY511" s="62"/>
      <c r="DZ511" s="62"/>
      <c r="EA511" s="62"/>
      <c r="EB511" s="62"/>
      <c r="EC511" s="62"/>
      <c r="ED511" s="62"/>
      <c r="EE511" s="62"/>
      <c r="EF511" s="62"/>
      <c r="EG511" s="62"/>
      <c r="EH511" s="62"/>
      <c r="EI511" s="62"/>
      <c r="EJ511" s="62"/>
      <c r="EK511" s="62"/>
      <c r="EL511" s="62"/>
      <c r="EM511" s="62"/>
      <c r="EN511" s="62"/>
      <c r="EO511" s="62"/>
      <c r="EP511" s="62"/>
      <c r="EQ511" s="62"/>
      <c r="ER511" s="62"/>
      <c r="ES511" s="62"/>
      <c r="ET511" s="62"/>
      <c r="EU511" s="62"/>
      <c r="EV511" s="62"/>
      <c r="EW511" s="62"/>
      <c r="EX511" s="62"/>
      <c r="EY511" s="62"/>
      <c r="EZ511" s="62"/>
      <c r="FA511" s="62"/>
      <c r="FB511" s="62"/>
      <c r="FC511" s="62"/>
      <c r="FD511" s="62"/>
      <c r="FE511" s="62"/>
      <c r="FF511" s="62"/>
      <c r="FG511" s="62"/>
      <c r="FH511" s="62"/>
      <c r="FI511" s="62"/>
      <c r="FJ511" s="62"/>
      <c r="FK511" s="62"/>
      <c r="FL511" s="62"/>
      <c r="FM511" s="62"/>
      <c r="FN511" s="62"/>
      <c r="FO511" s="62"/>
      <c r="FP511" s="62"/>
      <c r="FQ511" s="62"/>
      <c r="FR511" s="62"/>
      <c r="FS511" s="62"/>
      <c r="FT511" s="62"/>
      <c r="FU511" s="62"/>
      <c r="FV511" s="62"/>
    </row>
    <row r="512" spans="1:178" ht="13.8">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2"/>
      <c r="EX512" s="62"/>
      <c r="EY512" s="62"/>
      <c r="EZ512" s="62"/>
      <c r="FA512" s="62"/>
      <c r="FB512" s="62"/>
      <c r="FC512" s="62"/>
      <c r="FD512" s="62"/>
      <c r="FE512" s="62"/>
      <c r="FF512" s="62"/>
      <c r="FG512" s="62"/>
      <c r="FH512" s="62"/>
      <c r="FI512" s="62"/>
      <c r="FJ512" s="62"/>
      <c r="FK512" s="62"/>
      <c r="FL512" s="62"/>
      <c r="FM512" s="62"/>
      <c r="FN512" s="62"/>
      <c r="FO512" s="62"/>
      <c r="FP512" s="62"/>
      <c r="FQ512" s="62"/>
      <c r="FR512" s="62"/>
      <c r="FS512" s="62"/>
      <c r="FT512" s="62"/>
      <c r="FU512" s="62"/>
      <c r="FV512" s="62"/>
    </row>
    <row r="513" spans="1:178" ht="13.8">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c r="AY513" s="62"/>
      <c r="AZ513" s="62"/>
      <c r="BA513" s="62"/>
      <c r="BB513" s="62"/>
      <c r="BC513" s="62"/>
      <c r="BD513" s="62"/>
      <c r="BE513" s="62"/>
      <c r="BF513" s="62"/>
      <c r="BG513" s="62"/>
      <c r="BH513" s="62"/>
      <c r="BI513" s="62"/>
      <c r="BJ513" s="62"/>
      <c r="BK513" s="62"/>
      <c r="BL513" s="62"/>
      <c r="BM513" s="62"/>
      <c r="BN513" s="62"/>
      <c r="BO513" s="62"/>
      <c r="BP513" s="62"/>
      <c r="BQ513" s="62"/>
      <c r="BR513" s="62"/>
      <c r="BS513" s="62"/>
      <c r="BT513" s="62"/>
      <c r="BU513" s="62"/>
      <c r="BV513" s="62"/>
      <c r="BW513" s="62"/>
      <c r="BX513" s="62"/>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62"/>
      <c r="CX513" s="62"/>
      <c r="CY513" s="62"/>
      <c r="CZ513" s="62"/>
      <c r="DA513" s="62"/>
      <c r="DB513" s="62"/>
      <c r="DC513" s="62"/>
      <c r="DD513" s="62"/>
      <c r="DE513" s="62"/>
      <c r="DF513" s="62"/>
      <c r="DG513" s="62"/>
      <c r="DH513" s="62"/>
      <c r="DI513" s="62"/>
      <c r="DJ513" s="62"/>
      <c r="DK513" s="62"/>
      <c r="DL513" s="62"/>
      <c r="DM513" s="62"/>
      <c r="DN513" s="62"/>
      <c r="DO513" s="62"/>
      <c r="DP513" s="62"/>
      <c r="DQ513" s="62"/>
      <c r="DR513" s="62"/>
      <c r="DS513" s="62"/>
      <c r="DT513" s="62"/>
      <c r="DU513" s="62"/>
      <c r="DV513" s="62"/>
      <c r="DW513" s="62"/>
      <c r="DX513" s="62"/>
      <c r="DY513" s="62"/>
      <c r="DZ513" s="62"/>
      <c r="EA513" s="62"/>
      <c r="EB513" s="62"/>
      <c r="EC513" s="62"/>
      <c r="ED513" s="62"/>
      <c r="EE513" s="62"/>
      <c r="EF513" s="62"/>
      <c r="EG513" s="62"/>
      <c r="EH513" s="62"/>
      <c r="EI513" s="62"/>
      <c r="EJ513" s="62"/>
      <c r="EK513" s="62"/>
      <c r="EL513" s="62"/>
      <c r="EM513" s="62"/>
      <c r="EN513" s="62"/>
      <c r="EO513" s="62"/>
      <c r="EP513" s="62"/>
      <c r="EQ513" s="62"/>
      <c r="ER513" s="62"/>
      <c r="ES513" s="62"/>
      <c r="ET513" s="62"/>
      <c r="EU513" s="62"/>
      <c r="EV513" s="62"/>
      <c r="EW513" s="62"/>
      <c r="EX513" s="62"/>
      <c r="EY513" s="62"/>
      <c r="EZ513" s="62"/>
      <c r="FA513" s="62"/>
      <c r="FB513" s="62"/>
      <c r="FC513" s="62"/>
      <c r="FD513" s="62"/>
      <c r="FE513" s="62"/>
      <c r="FF513" s="62"/>
      <c r="FG513" s="62"/>
      <c r="FH513" s="62"/>
      <c r="FI513" s="62"/>
      <c r="FJ513" s="62"/>
      <c r="FK513" s="62"/>
      <c r="FL513" s="62"/>
      <c r="FM513" s="62"/>
      <c r="FN513" s="62"/>
      <c r="FO513" s="62"/>
      <c r="FP513" s="62"/>
      <c r="FQ513" s="62"/>
      <c r="FR513" s="62"/>
      <c r="FS513" s="62"/>
      <c r="FT513" s="62"/>
      <c r="FU513" s="62"/>
      <c r="FV513" s="62"/>
    </row>
    <row r="514" spans="1:178" ht="13.8">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c r="AY514" s="62"/>
      <c r="AZ514" s="62"/>
      <c r="BA514" s="62"/>
      <c r="BB514" s="62"/>
      <c r="BC514" s="62"/>
      <c r="BD514" s="62"/>
      <c r="BE514" s="62"/>
      <c r="BF514" s="62"/>
      <c r="BG514" s="62"/>
      <c r="BH514" s="62"/>
      <c r="BI514" s="62"/>
      <c r="BJ514" s="62"/>
      <c r="BK514" s="62"/>
      <c r="BL514" s="62"/>
      <c r="BM514" s="62"/>
      <c r="BN514" s="62"/>
      <c r="BO514" s="62"/>
      <c r="BP514" s="62"/>
      <c r="BQ514" s="62"/>
      <c r="BR514" s="62"/>
      <c r="BS514" s="62"/>
      <c r="BT514" s="62"/>
      <c r="BU514" s="62"/>
      <c r="BV514" s="62"/>
      <c r="BW514" s="62"/>
      <c r="BX514" s="62"/>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62"/>
      <c r="CX514" s="62"/>
      <c r="CY514" s="62"/>
      <c r="CZ514" s="62"/>
      <c r="DA514" s="62"/>
      <c r="DB514" s="62"/>
      <c r="DC514" s="62"/>
      <c r="DD514" s="62"/>
      <c r="DE514" s="62"/>
      <c r="DF514" s="62"/>
      <c r="DG514" s="62"/>
      <c r="DH514" s="62"/>
      <c r="DI514" s="62"/>
      <c r="DJ514" s="62"/>
      <c r="DK514" s="62"/>
      <c r="DL514" s="62"/>
      <c r="DM514" s="62"/>
      <c r="DN514" s="62"/>
      <c r="DO514" s="62"/>
      <c r="DP514" s="62"/>
      <c r="DQ514" s="62"/>
      <c r="DR514" s="62"/>
      <c r="DS514" s="62"/>
      <c r="DT514" s="62"/>
      <c r="DU514" s="62"/>
      <c r="DV514" s="62"/>
      <c r="DW514" s="62"/>
      <c r="DX514" s="62"/>
      <c r="DY514" s="62"/>
      <c r="DZ514" s="62"/>
      <c r="EA514" s="62"/>
      <c r="EB514" s="62"/>
      <c r="EC514" s="62"/>
      <c r="ED514" s="62"/>
      <c r="EE514" s="62"/>
      <c r="EF514" s="62"/>
      <c r="EG514" s="62"/>
      <c r="EH514" s="62"/>
      <c r="EI514" s="62"/>
      <c r="EJ514" s="62"/>
      <c r="EK514" s="62"/>
      <c r="EL514" s="62"/>
      <c r="EM514" s="62"/>
      <c r="EN514" s="62"/>
      <c r="EO514" s="62"/>
      <c r="EP514" s="62"/>
      <c r="EQ514" s="62"/>
      <c r="ER514" s="62"/>
      <c r="ES514" s="62"/>
      <c r="ET514" s="62"/>
      <c r="EU514" s="62"/>
      <c r="EV514" s="62"/>
      <c r="EW514" s="62"/>
      <c r="EX514" s="62"/>
      <c r="EY514" s="62"/>
      <c r="EZ514" s="62"/>
      <c r="FA514" s="62"/>
      <c r="FB514" s="62"/>
      <c r="FC514" s="62"/>
      <c r="FD514" s="62"/>
      <c r="FE514" s="62"/>
      <c r="FF514" s="62"/>
      <c r="FG514" s="62"/>
      <c r="FH514" s="62"/>
      <c r="FI514" s="62"/>
      <c r="FJ514" s="62"/>
      <c r="FK514" s="62"/>
      <c r="FL514" s="62"/>
      <c r="FM514" s="62"/>
      <c r="FN514" s="62"/>
      <c r="FO514" s="62"/>
      <c r="FP514" s="62"/>
      <c r="FQ514" s="62"/>
      <c r="FR514" s="62"/>
      <c r="FS514" s="62"/>
      <c r="FT514" s="62"/>
      <c r="FU514" s="62"/>
      <c r="FV514" s="62"/>
    </row>
    <row r="515" spans="1:178" ht="13.8">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c r="AY515" s="62"/>
      <c r="AZ515" s="62"/>
      <c r="BA515" s="62"/>
      <c r="BB515" s="62"/>
      <c r="BC515" s="62"/>
      <c r="BD515" s="62"/>
      <c r="BE515" s="62"/>
      <c r="BF515" s="62"/>
      <c r="BG515" s="62"/>
      <c r="BH515" s="62"/>
      <c r="BI515" s="62"/>
      <c r="BJ515" s="62"/>
      <c r="BK515" s="62"/>
      <c r="BL515" s="62"/>
      <c r="BM515" s="62"/>
      <c r="BN515" s="62"/>
      <c r="BO515" s="62"/>
      <c r="BP515" s="62"/>
      <c r="BQ515" s="62"/>
      <c r="BR515" s="62"/>
      <c r="BS515" s="62"/>
      <c r="BT515" s="62"/>
      <c r="BU515" s="62"/>
      <c r="BV515" s="62"/>
      <c r="BW515" s="62"/>
      <c r="BX515" s="62"/>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62"/>
      <c r="CX515" s="62"/>
      <c r="CY515" s="62"/>
      <c r="CZ515" s="62"/>
      <c r="DA515" s="62"/>
      <c r="DB515" s="62"/>
      <c r="DC515" s="62"/>
      <c r="DD515" s="62"/>
      <c r="DE515" s="62"/>
      <c r="DF515" s="62"/>
      <c r="DG515" s="62"/>
      <c r="DH515" s="62"/>
      <c r="DI515" s="62"/>
      <c r="DJ515" s="62"/>
      <c r="DK515" s="62"/>
      <c r="DL515" s="62"/>
      <c r="DM515" s="62"/>
      <c r="DN515" s="62"/>
      <c r="DO515" s="62"/>
      <c r="DP515" s="62"/>
      <c r="DQ515" s="62"/>
      <c r="DR515" s="62"/>
      <c r="DS515" s="62"/>
      <c r="DT515" s="62"/>
      <c r="DU515" s="62"/>
      <c r="DV515" s="62"/>
      <c r="DW515" s="62"/>
      <c r="DX515" s="62"/>
      <c r="DY515" s="62"/>
      <c r="DZ515" s="62"/>
      <c r="EA515" s="62"/>
      <c r="EB515" s="62"/>
      <c r="EC515" s="62"/>
      <c r="ED515" s="62"/>
      <c r="EE515" s="62"/>
      <c r="EF515" s="62"/>
      <c r="EG515" s="62"/>
      <c r="EH515" s="62"/>
      <c r="EI515" s="62"/>
      <c r="EJ515" s="62"/>
      <c r="EK515" s="62"/>
      <c r="EL515" s="62"/>
      <c r="EM515" s="62"/>
      <c r="EN515" s="62"/>
      <c r="EO515" s="62"/>
      <c r="EP515" s="62"/>
      <c r="EQ515" s="62"/>
      <c r="ER515" s="62"/>
      <c r="ES515" s="62"/>
      <c r="ET515" s="62"/>
      <c r="EU515" s="62"/>
      <c r="EV515" s="62"/>
      <c r="EW515" s="62"/>
      <c r="EX515" s="62"/>
      <c r="EY515" s="62"/>
      <c r="EZ515" s="62"/>
      <c r="FA515" s="62"/>
      <c r="FB515" s="62"/>
      <c r="FC515" s="62"/>
      <c r="FD515" s="62"/>
      <c r="FE515" s="62"/>
      <c r="FF515" s="62"/>
      <c r="FG515" s="62"/>
      <c r="FH515" s="62"/>
      <c r="FI515" s="62"/>
      <c r="FJ515" s="62"/>
      <c r="FK515" s="62"/>
      <c r="FL515" s="62"/>
      <c r="FM515" s="62"/>
      <c r="FN515" s="62"/>
      <c r="FO515" s="62"/>
      <c r="FP515" s="62"/>
      <c r="FQ515" s="62"/>
      <c r="FR515" s="62"/>
      <c r="FS515" s="62"/>
      <c r="FT515" s="62"/>
      <c r="FU515" s="62"/>
      <c r="FV515" s="62"/>
    </row>
    <row r="516" spans="1:178" ht="13.8">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c r="AY516" s="62"/>
      <c r="AZ516" s="62"/>
      <c r="BA516" s="62"/>
      <c r="BB516" s="62"/>
      <c r="BC516" s="62"/>
      <c r="BD516" s="62"/>
      <c r="BE516" s="62"/>
      <c r="BF516" s="62"/>
      <c r="BG516" s="62"/>
      <c r="BH516" s="62"/>
      <c r="BI516" s="62"/>
      <c r="BJ516" s="62"/>
      <c r="BK516" s="62"/>
      <c r="BL516" s="62"/>
      <c r="BM516" s="62"/>
      <c r="BN516" s="62"/>
      <c r="BO516" s="62"/>
      <c r="BP516" s="62"/>
      <c r="BQ516" s="62"/>
      <c r="BR516" s="62"/>
      <c r="BS516" s="62"/>
      <c r="BT516" s="62"/>
      <c r="BU516" s="62"/>
      <c r="BV516" s="62"/>
      <c r="BW516" s="62"/>
      <c r="BX516" s="62"/>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62"/>
      <c r="CX516" s="62"/>
      <c r="CY516" s="62"/>
      <c r="CZ516" s="62"/>
      <c r="DA516" s="62"/>
      <c r="DB516" s="62"/>
      <c r="DC516" s="62"/>
      <c r="DD516" s="62"/>
      <c r="DE516" s="62"/>
      <c r="DF516" s="62"/>
      <c r="DG516" s="62"/>
      <c r="DH516" s="62"/>
      <c r="DI516" s="62"/>
      <c r="DJ516" s="62"/>
      <c r="DK516" s="62"/>
      <c r="DL516" s="62"/>
      <c r="DM516" s="62"/>
      <c r="DN516" s="62"/>
      <c r="DO516" s="62"/>
      <c r="DP516" s="62"/>
      <c r="DQ516" s="62"/>
      <c r="DR516" s="62"/>
      <c r="DS516" s="62"/>
      <c r="DT516" s="62"/>
      <c r="DU516" s="62"/>
      <c r="DV516" s="62"/>
      <c r="DW516" s="62"/>
      <c r="DX516" s="62"/>
      <c r="DY516" s="62"/>
      <c r="DZ516" s="62"/>
      <c r="EA516" s="62"/>
      <c r="EB516" s="62"/>
      <c r="EC516" s="62"/>
      <c r="ED516" s="62"/>
      <c r="EE516" s="62"/>
      <c r="EF516" s="62"/>
      <c r="EG516" s="62"/>
      <c r="EH516" s="62"/>
      <c r="EI516" s="62"/>
      <c r="EJ516" s="62"/>
      <c r="EK516" s="62"/>
      <c r="EL516" s="62"/>
      <c r="EM516" s="62"/>
      <c r="EN516" s="62"/>
      <c r="EO516" s="62"/>
      <c r="EP516" s="62"/>
      <c r="EQ516" s="62"/>
      <c r="ER516" s="62"/>
      <c r="ES516" s="62"/>
      <c r="ET516" s="62"/>
      <c r="EU516" s="62"/>
      <c r="EV516" s="62"/>
      <c r="EW516" s="62"/>
      <c r="EX516" s="62"/>
      <c r="EY516" s="62"/>
      <c r="EZ516" s="62"/>
      <c r="FA516" s="62"/>
      <c r="FB516" s="62"/>
      <c r="FC516" s="62"/>
      <c r="FD516" s="62"/>
      <c r="FE516" s="62"/>
      <c r="FF516" s="62"/>
      <c r="FG516" s="62"/>
      <c r="FH516" s="62"/>
      <c r="FI516" s="62"/>
      <c r="FJ516" s="62"/>
      <c r="FK516" s="62"/>
      <c r="FL516" s="62"/>
      <c r="FM516" s="62"/>
      <c r="FN516" s="62"/>
      <c r="FO516" s="62"/>
      <c r="FP516" s="62"/>
      <c r="FQ516" s="62"/>
      <c r="FR516" s="62"/>
      <c r="FS516" s="62"/>
      <c r="FT516" s="62"/>
      <c r="FU516" s="62"/>
      <c r="FV516" s="62"/>
    </row>
    <row r="517" spans="1:178" ht="13.8">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c r="AY517" s="62"/>
      <c r="AZ517" s="62"/>
      <c r="BA517" s="62"/>
      <c r="BB517" s="62"/>
      <c r="BC517" s="62"/>
      <c r="BD517" s="62"/>
      <c r="BE517" s="62"/>
      <c r="BF517" s="62"/>
      <c r="BG517" s="62"/>
      <c r="BH517" s="62"/>
      <c r="BI517" s="62"/>
      <c r="BJ517" s="62"/>
      <c r="BK517" s="62"/>
      <c r="BL517" s="62"/>
      <c r="BM517" s="62"/>
      <c r="BN517" s="62"/>
      <c r="BO517" s="62"/>
      <c r="BP517" s="62"/>
      <c r="BQ517" s="62"/>
      <c r="BR517" s="62"/>
      <c r="BS517" s="62"/>
      <c r="BT517" s="62"/>
      <c r="BU517" s="62"/>
      <c r="BV517" s="62"/>
      <c r="BW517" s="62"/>
      <c r="BX517" s="62"/>
      <c r="BY517" s="62"/>
      <c r="BZ517" s="62"/>
      <c r="CA517" s="62"/>
      <c r="CB517" s="62"/>
      <c r="CC517" s="62"/>
      <c r="CD517" s="62"/>
      <c r="CE517" s="62"/>
      <c r="CF517" s="62"/>
      <c r="CG517" s="62"/>
      <c r="CH517" s="62"/>
      <c r="CI517" s="62"/>
      <c r="CJ517" s="62"/>
      <c r="CK517" s="62"/>
      <c r="CL517" s="62"/>
      <c r="CM517" s="62"/>
      <c r="CN517" s="62"/>
      <c r="CO517" s="62"/>
      <c r="CP517" s="62"/>
      <c r="CQ517" s="62"/>
      <c r="CR517" s="62"/>
      <c r="CS517" s="62"/>
      <c r="CT517" s="62"/>
      <c r="CU517" s="62"/>
      <c r="CV517" s="62"/>
      <c r="CW517" s="62"/>
      <c r="CX517" s="62"/>
      <c r="CY517" s="62"/>
      <c r="CZ517" s="62"/>
      <c r="DA517" s="62"/>
      <c r="DB517" s="62"/>
      <c r="DC517" s="62"/>
      <c r="DD517" s="62"/>
      <c r="DE517" s="62"/>
      <c r="DF517" s="62"/>
      <c r="DG517" s="62"/>
      <c r="DH517" s="62"/>
      <c r="DI517" s="62"/>
      <c r="DJ517" s="62"/>
      <c r="DK517" s="62"/>
      <c r="DL517" s="62"/>
      <c r="DM517" s="62"/>
      <c r="DN517" s="62"/>
      <c r="DO517" s="62"/>
      <c r="DP517" s="62"/>
      <c r="DQ517" s="62"/>
      <c r="DR517" s="62"/>
      <c r="DS517" s="62"/>
      <c r="DT517" s="62"/>
      <c r="DU517" s="62"/>
      <c r="DV517" s="62"/>
      <c r="DW517" s="62"/>
      <c r="DX517" s="62"/>
      <c r="DY517" s="62"/>
      <c r="DZ517" s="62"/>
      <c r="EA517" s="62"/>
      <c r="EB517" s="62"/>
      <c r="EC517" s="62"/>
      <c r="ED517" s="62"/>
      <c r="EE517" s="62"/>
      <c r="EF517" s="62"/>
      <c r="EG517" s="62"/>
      <c r="EH517" s="62"/>
      <c r="EI517" s="62"/>
      <c r="EJ517" s="62"/>
      <c r="EK517" s="62"/>
      <c r="EL517" s="62"/>
      <c r="EM517" s="62"/>
      <c r="EN517" s="62"/>
      <c r="EO517" s="62"/>
      <c r="EP517" s="62"/>
      <c r="EQ517" s="62"/>
      <c r="ER517" s="62"/>
      <c r="ES517" s="62"/>
      <c r="ET517" s="62"/>
      <c r="EU517" s="62"/>
      <c r="EV517" s="62"/>
      <c r="EW517" s="62"/>
      <c r="EX517" s="62"/>
      <c r="EY517" s="62"/>
      <c r="EZ517" s="62"/>
      <c r="FA517" s="62"/>
      <c r="FB517" s="62"/>
      <c r="FC517" s="62"/>
      <c r="FD517" s="62"/>
      <c r="FE517" s="62"/>
      <c r="FF517" s="62"/>
      <c r="FG517" s="62"/>
      <c r="FH517" s="62"/>
      <c r="FI517" s="62"/>
      <c r="FJ517" s="62"/>
      <c r="FK517" s="62"/>
      <c r="FL517" s="62"/>
      <c r="FM517" s="62"/>
      <c r="FN517" s="62"/>
      <c r="FO517" s="62"/>
      <c r="FP517" s="62"/>
      <c r="FQ517" s="62"/>
      <c r="FR517" s="62"/>
      <c r="FS517" s="62"/>
      <c r="FT517" s="62"/>
      <c r="FU517" s="62"/>
      <c r="FV517" s="62"/>
    </row>
    <row r="518" spans="1:178" ht="13.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c r="AY518" s="62"/>
      <c r="AZ518" s="62"/>
      <c r="BA518" s="62"/>
      <c r="BB518" s="62"/>
      <c r="BC518" s="62"/>
      <c r="BD518" s="62"/>
      <c r="BE518" s="62"/>
      <c r="BF518" s="62"/>
      <c r="BG518" s="62"/>
      <c r="BH518" s="62"/>
      <c r="BI518" s="62"/>
      <c r="BJ518" s="62"/>
      <c r="BK518" s="62"/>
      <c r="BL518" s="62"/>
      <c r="BM518" s="62"/>
      <c r="BN518" s="62"/>
      <c r="BO518" s="62"/>
      <c r="BP518" s="62"/>
      <c r="BQ518" s="62"/>
      <c r="BR518" s="62"/>
      <c r="BS518" s="62"/>
      <c r="BT518" s="62"/>
      <c r="BU518" s="62"/>
      <c r="BV518" s="62"/>
      <c r="BW518" s="62"/>
      <c r="BX518" s="62"/>
      <c r="BY518" s="62"/>
      <c r="BZ518" s="62"/>
      <c r="CA518" s="62"/>
      <c r="CB518" s="62"/>
      <c r="CC518" s="62"/>
      <c r="CD518" s="62"/>
      <c r="CE518" s="62"/>
      <c r="CF518" s="62"/>
      <c r="CG518" s="62"/>
      <c r="CH518" s="62"/>
      <c r="CI518" s="62"/>
      <c r="CJ518" s="62"/>
      <c r="CK518" s="62"/>
      <c r="CL518" s="62"/>
      <c r="CM518" s="62"/>
      <c r="CN518" s="62"/>
      <c r="CO518" s="62"/>
      <c r="CP518" s="62"/>
      <c r="CQ518" s="62"/>
      <c r="CR518" s="62"/>
      <c r="CS518" s="62"/>
      <c r="CT518" s="62"/>
      <c r="CU518" s="62"/>
      <c r="CV518" s="62"/>
      <c r="CW518" s="62"/>
      <c r="CX518" s="62"/>
      <c r="CY518" s="62"/>
      <c r="CZ518" s="62"/>
      <c r="DA518" s="62"/>
      <c r="DB518" s="62"/>
      <c r="DC518" s="62"/>
      <c r="DD518" s="62"/>
      <c r="DE518" s="62"/>
      <c r="DF518" s="62"/>
      <c r="DG518" s="62"/>
      <c r="DH518" s="62"/>
      <c r="DI518" s="62"/>
      <c r="DJ518" s="62"/>
      <c r="DK518" s="62"/>
      <c r="DL518" s="62"/>
      <c r="DM518" s="62"/>
      <c r="DN518" s="62"/>
      <c r="DO518" s="62"/>
      <c r="DP518" s="62"/>
      <c r="DQ518" s="62"/>
      <c r="DR518" s="62"/>
      <c r="DS518" s="62"/>
      <c r="DT518" s="62"/>
      <c r="DU518" s="62"/>
      <c r="DV518" s="62"/>
      <c r="DW518" s="62"/>
      <c r="DX518" s="62"/>
      <c r="DY518" s="62"/>
      <c r="DZ518" s="62"/>
      <c r="EA518" s="62"/>
      <c r="EB518" s="62"/>
      <c r="EC518" s="62"/>
      <c r="ED518" s="62"/>
      <c r="EE518" s="62"/>
      <c r="EF518" s="62"/>
      <c r="EG518" s="62"/>
      <c r="EH518" s="62"/>
      <c r="EI518" s="62"/>
      <c r="EJ518" s="62"/>
      <c r="EK518" s="62"/>
      <c r="EL518" s="62"/>
      <c r="EM518" s="62"/>
      <c r="EN518" s="62"/>
      <c r="EO518" s="62"/>
      <c r="EP518" s="62"/>
      <c r="EQ518" s="62"/>
      <c r="ER518" s="62"/>
      <c r="ES518" s="62"/>
      <c r="ET518" s="62"/>
      <c r="EU518" s="62"/>
      <c r="EV518" s="62"/>
      <c r="EW518" s="62"/>
      <c r="EX518" s="62"/>
      <c r="EY518" s="62"/>
      <c r="EZ518" s="62"/>
      <c r="FA518" s="62"/>
      <c r="FB518" s="62"/>
      <c r="FC518" s="62"/>
      <c r="FD518" s="62"/>
      <c r="FE518" s="62"/>
      <c r="FF518" s="62"/>
      <c r="FG518" s="62"/>
      <c r="FH518" s="62"/>
      <c r="FI518" s="62"/>
      <c r="FJ518" s="62"/>
      <c r="FK518" s="62"/>
      <c r="FL518" s="62"/>
      <c r="FM518" s="62"/>
      <c r="FN518" s="62"/>
      <c r="FO518" s="62"/>
      <c r="FP518" s="62"/>
      <c r="FQ518" s="62"/>
      <c r="FR518" s="62"/>
      <c r="FS518" s="62"/>
      <c r="FT518" s="62"/>
      <c r="FU518" s="62"/>
      <c r="FV518" s="62"/>
    </row>
    <row r="519" spans="1:178" ht="13.8">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c r="AY519" s="62"/>
      <c r="AZ519" s="62"/>
      <c r="BA519" s="62"/>
      <c r="BB519" s="62"/>
      <c r="BC519" s="62"/>
      <c r="BD519" s="62"/>
      <c r="BE519" s="62"/>
      <c r="BF519" s="62"/>
      <c r="BG519" s="62"/>
      <c r="BH519" s="62"/>
      <c r="BI519" s="62"/>
      <c r="BJ519" s="62"/>
      <c r="BK519" s="62"/>
      <c r="BL519" s="62"/>
      <c r="BM519" s="62"/>
      <c r="BN519" s="62"/>
      <c r="BO519" s="62"/>
      <c r="BP519" s="62"/>
      <c r="BQ519" s="62"/>
      <c r="BR519" s="62"/>
      <c r="BS519" s="62"/>
      <c r="BT519" s="62"/>
      <c r="BU519" s="62"/>
      <c r="BV519" s="62"/>
      <c r="BW519" s="62"/>
      <c r="BX519" s="62"/>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62"/>
      <c r="CX519" s="62"/>
      <c r="CY519" s="62"/>
      <c r="CZ519" s="62"/>
      <c r="DA519" s="62"/>
      <c r="DB519" s="62"/>
      <c r="DC519" s="62"/>
      <c r="DD519" s="62"/>
      <c r="DE519" s="62"/>
      <c r="DF519" s="62"/>
      <c r="DG519" s="62"/>
      <c r="DH519" s="62"/>
      <c r="DI519" s="62"/>
      <c r="DJ519" s="62"/>
      <c r="DK519" s="62"/>
      <c r="DL519" s="62"/>
      <c r="DM519" s="62"/>
      <c r="DN519" s="62"/>
      <c r="DO519" s="62"/>
      <c r="DP519" s="62"/>
      <c r="DQ519" s="62"/>
      <c r="DR519" s="62"/>
      <c r="DS519" s="62"/>
      <c r="DT519" s="62"/>
      <c r="DU519" s="62"/>
      <c r="DV519" s="62"/>
      <c r="DW519" s="62"/>
      <c r="DX519" s="62"/>
      <c r="DY519" s="62"/>
      <c r="DZ519" s="62"/>
      <c r="EA519" s="62"/>
      <c r="EB519" s="62"/>
      <c r="EC519" s="62"/>
      <c r="ED519" s="62"/>
      <c r="EE519" s="62"/>
      <c r="EF519" s="62"/>
      <c r="EG519" s="62"/>
      <c r="EH519" s="62"/>
      <c r="EI519" s="62"/>
      <c r="EJ519" s="62"/>
      <c r="EK519" s="62"/>
      <c r="EL519" s="62"/>
      <c r="EM519" s="62"/>
      <c r="EN519" s="62"/>
      <c r="EO519" s="62"/>
      <c r="EP519" s="62"/>
      <c r="EQ519" s="62"/>
      <c r="ER519" s="62"/>
      <c r="ES519" s="62"/>
      <c r="ET519" s="62"/>
      <c r="EU519" s="62"/>
      <c r="EV519" s="62"/>
      <c r="EW519" s="62"/>
      <c r="EX519" s="62"/>
      <c r="EY519" s="62"/>
      <c r="EZ519" s="62"/>
      <c r="FA519" s="62"/>
      <c r="FB519" s="62"/>
      <c r="FC519" s="62"/>
      <c r="FD519" s="62"/>
      <c r="FE519" s="62"/>
      <c r="FF519" s="62"/>
      <c r="FG519" s="62"/>
      <c r="FH519" s="62"/>
      <c r="FI519" s="62"/>
      <c r="FJ519" s="62"/>
      <c r="FK519" s="62"/>
      <c r="FL519" s="62"/>
      <c r="FM519" s="62"/>
      <c r="FN519" s="62"/>
      <c r="FO519" s="62"/>
      <c r="FP519" s="62"/>
      <c r="FQ519" s="62"/>
      <c r="FR519" s="62"/>
      <c r="FS519" s="62"/>
      <c r="FT519" s="62"/>
      <c r="FU519" s="62"/>
      <c r="FV519" s="62"/>
    </row>
    <row r="520" spans="1:178" ht="13.8">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c r="AY520" s="62"/>
      <c r="AZ520" s="62"/>
      <c r="BA520" s="62"/>
      <c r="BB520" s="62"/>
      <c r="BC520" s="62"/>
      <c r="BD520" s="62"/>
      <c r="BE520" s="62"/>
      <c r="BF520" s="62"/>
      <c r="BG520" s="62"/>
      <c r="BH520" s="62"/>
      <c r="BI520" s="62"/>
      <c r="BJ520" s="62"/>
      <c r="BK520" s="62"/>
      <c r="BL520" s="62"/>
      <c r="BM520" s="62"/>
      <c r="BN520" s="62"/>
      <c r="BO520" s="62"/>
      <c r="BP520" s="62"/>
      <c r="BQ520" s="62"/>
      <c r="BR520" s="62"/>
      <c r="BS520" s="62"/>
      <c r="BT520" s="62"/>
      <c r="BU520" s="62"/>
      <c r="BV520" s="62"/>
      <c r="BW520" s="62"/>
      <c r="BX520" s="62"/>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62"/>
      <c r="CX520" s="62"/>
      <c r="CY520" s="62"/>
      <c r="CZ520" s="62"/>
      <c r="DA520" s="62"/>
      <c r="DB520" s="62"/>
      <c r="DC520" s="62"/>
      <c r="DD520" s="62"/>
      <c r="DE520" s="62"/>
      <c r="DF520" s="62"/>
      <c r="DG520" s="62"/>
      <c r="DH520" s="62"/>
      <c r="DI520" s="62"/>
      <c r="DJ520" s="62"/>
      <c r="DK520" s="62"/>
      <c r="DL520" s="62"/>
      <c r="DM520" s="62"/>
      <c r="DN520" s="62"/>
      <c r="DO520" s="62"/>
      <c r="DP520" s="62"/>
      <c r="DQ520" s="62"/>
      <c r="DR520" s="62"/>
      <c r="DS520" s="62"/>
      <c r="DT520" s="62"/>
      <c r="DU520" s="62"/>
      <c r="DV520" s="62"/>
      <c r="DW520" s="62"/>
      <c r="DX520" s="62"/>
      <c r="DY520" s="62"/>
      <c r="DZ520" s="62"/>
      <c r="EA520" s="62"/>
      <c r="EB520" s="62"/>
      <c r="EC520" s="62"/>
      <c r="ED520" s="62"/>
      <c r="EE520" s="62"/>
      <c r="EF520" s="62"/>
      <c r="EG520" s="62"/>
      <c r="EH520" s="62"/>
      <c r="EI520" s="62"/>
      <c r="EJ520" s="62"/>
      <c r="EK520" s="62"/>
      <c r="EL520" s="62"/>
      <c r="EM520" s="62"/>
      <c r="EN520" s="62"/>
      <c r="EO520" s="62"/>
      <c r="EP520" s="62"/>
      <c r="EQ520" s="62"/>
      <c r="ER520" s="62"/>
      <c r="ES520" s="62"/>
      <c r="ET520" s="62"/>
      <c r="EU520" s="62"/>
      <c r="EV520" s="62"/>
      <c r="EW520" s="62"/>
      <c r="EX520" s="62"/>
      <c r="EY520" s="62"/>
      <c r="EZ520" s="62"/>
      <c r="FA520" s="62"/>
      <c r="FB520" s="62"/>
      <c r="FC520" s="62"/>
      <c r="FD520" s="62"/>
      <c r="FE520" s="62"/>
      <c r="FF520" s="62"/>
      <c r="FG520" s="62"/>
      <c r="FH520" s="62"/>
      <c r="FI520" s="62"/>
      <c r="FJ520" s="62"/>
      <c r="FK520" s="62"/>
      <c r="FL520" s="62"/>
      <c r="FM520" s="62"/>
      <c r="FN520" s="62"/>
      <c r="FO520" s="62"/>
      <c r="FP520" s="62"/>
      <c r="FQ520" s="62"/>
      <c r="FR520" s="62"/>
      <c r="FS520" s="62"/>
      <c r="FT520" s="62"/>
      <c r="FU520" s="62"/>
      <c r="FV520" s="62"/>
    </row>
    <row r="521" spans="1:178" ht="13.8">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c r="AY521" s="62"/>
      <c r="AZ521" s="62"/>
      <c r="BA521" s="62"/>
      <c r="BB521" s="62"/>
      <c r="BC521" s="62"/>
      <c r="BD521" s="62"/>
      <c r="BE521" s="62"/>
      <c r="BF521" s="62"/>
      <c r="BG521" s="62"/>
      <c r="BH521" s="62"/>
      <c r="BI521" s="62"/>
      <c r="BJ521" s="62"/>
      <c r="BK521" s="62"/>
      <c r="BL521" s="62"/>
      <c r="BM521" s="62"/>
      <c r="BN521" s="62"/>
      <c r="BO521" s="62"/>
      <c r="BP521" s="62"/>
      <c r="BQ521" s="62"/>
      <c r="BR521" s="62"/>
      <c r="BS521" s="62"/>
      <c r="BT521" s="62"/>
      <c r="BU521" s="62"/>
      <c r="BV521" s="62"/>
      <c r="BW521" s="62"/>
      <c r="BX521" s="62"/>
      <c r="BY521" s="62"/>
      <c r="BZ521" s="62"/>
      <c r="CA521" s="62"/>
      <c r="CB521" s="62"/>
      <c r="CC521" s="62"/>
      <c r="CD521" s="62"/>
      <c r="CE521" s="62"/>
      <c r="CF521" s="62"/>
      <c r="CG521" s="62"/>
      <c r="CH521" s="62"/>
      <c r="CI521" s="62"/>
      <c r="CJ521" s="62"/>
      <c r="CK521" s="62"/>
      <c r="CL521" s="62"/>
      <c r="CM521" s="62"/>
      <c r="CN521" s="62"/>
      <c r="CO521" s="62"/>
      <c r="CP521" s="62"/>
      <c r="CQ521" s="62"/>
      <c r="CR521" s="62"/>
      <c r="CS521" s="62"/>
      <c r="CT521" s="62"/>
      <c r="CU521" s="62"/>
      <c r="CV521" s="62"/>
      <c r="CW521" s="62"/>
      <c r="CX521" s="62"/>
      <c r="CY521" s="62"/>
      <c r="CZ521" s="62"/>
      <c r="DA521" s="62"/>
      <c r="DB521" s="62"/>
      <c r="DC521" s="62"/>
      <c r="DD521" s="62"/>
      <c r="DE521" s="62"/>
      <c r="DF521" s="62"/>
      <c r="DG521" s="62"/>
      <c r="DH521" s="62"/>
      <c r="DI521" s="62"/>
      <c r="DJ521" s="62"/>
      <c r="DK521" s="62"/>
      <c r="DL521" s="62"/>
      <c r="DM521" s="62"/>
      <c r="DN521" s="62"/>
      <c r="DO521" s="62"/>
      <c r="DP521" s="62"/>
      <c r="DQ521" s="62"/>
      <c r="DR521" s="62"/>
      <c r="DS521" s="62"/>
      <c r="DT521" s="62"/>
      <c r="DU521" s="62"/>
      <c r="DV521" s="62"/>
      <c r="DW521" s="62"/>
      <c r="DX521" s="62"/>
      <c r="DY521" s="62"/>
      <c r="DZ521" s="62"/>
      <c r="EA521" s="62"/>
      <c r="EB521" s="62"/>
      <c r="EC521" s="62"/>
      <c r="ED521" s="62"/>
      <c r="EE521" s="62"/>
      <c r="EF521" s="62"/>
      <c r="EG521" s="62"/>
      <c r="EH521" s="62"/>
      <c r="EI521" s="62"/>
      <c r="EJ521" s="62"/>
      <c r="EK521" s="62"/>
      <c r="EL521" s="62"/>
      <c r="EM521" s="62"/>
      <c r="EN521" s="62"/>
      <c r="EO521" s="62"/>
      <c r="EP521" s="62"/>
      <c r="EQ521" s="62"/>
      <c r="ER521" s="62"/>
      <c r="ES521" s="62"/>
      <c r="ET521" s="62"/>
      <c r="EU521" s="62"/>
      <c r="EV521" s="62"/>
      <c r="EW521" s="62"/>
      <c r="EX521" s="62"/>
      <c r="EY521" s="62"/>
      <c r="EZ521" s="62"/>
      <c r="FA521" s="62"/>
      <c r="FB521" s="62"/>
      <c r="FC521" s="62"/>
      <c r="FD521" s="62"/>
      <c r="FE521" s="62"/>
      <c r="FF521" s="62"/>
      <c r="FG521" s="62"/>
      <c r="FH521" s="62"/>
      <c r="FI521" s="62"/>
      <c r="FJ521" s="62"/>
      <c r="FK521" s="62"/>
      <c r="FL521" s="62"/>
      <c r="FM521" s="62"/>
      <c r="FN521" s="62"/>
      <c r="FO521" s="62"/>
      <c r="FP521" s="62"/>
      <c r="FQ521" s="62"/>
      <c r="FR521" s="62"/>
      <c r="FS521" s="62"/>
      <c r="FT521" s="62"/>
      <c r="FU521" s="62"/>
      <c r="FV521" s="62"/>
    </row>
    <row r="522" spans="1:178" ht="13.8">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c r="AY522" s="62"/>
      <c r="AZ522" s="62"/>
      <c r="BA522" s="62"/>
      <c r="BB522" s="62"/>
      <c r="BC522" s="62"/>
      <c r="BD522" s="62"/>
      <c r="BE522" s="62"/>
      <c r="BF522" s="62"/>
      <c r="BG522" s="62"/>
      <c r="BH522" s="62"/>
      <c r="BI522" s="62"/>
      <c r="BJ522" s="62"/>
      <c r="BK522" s="62"/>
      <c r="BL522" s="62"/>
      <c r="BM522" s="62"/>
      <c r="BN522" s="62"/>
      <c r="BO522" s="62"/>
      <c r="BP522" s="62"/>
      <c r="BQ522" s="62"/>
      <c r="BR522" s="62"/>
      <c r="BS522" s="62"/>
      <c r="BT522" s="62"/>
      <c r="BU522" s="62"/>
      <c r="BV522" s="62"/>
      <c r="BW522" s="62"/>
      <c r="BX522" s="62"/>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62"/>
      <c r="CX522" s="62"/>
      <c r="CY522" s="62"/>
      <c r="CZ522" s="62"/>
      <c r="DA522" s="62"/>
      <c r="DB522" s="62"/>
      <c r="DC522" s="62"/>
      <c r="DD522" s="62"/>
      <c r="DE522" s="62"/>
      <c r="DF522" s="62"/>
      <c r="DG522" s="62"/>
      <c r="DH522" s="62"/>
      <c r="DI522" s="62"/>
      <c r="DJ522" s="62"/>
      <c r="DK522" s="62"/>
      <c r="DL522" s="62"/>
      <c r="DM522" s="62"/>
      <c r="DN522" s="62"/>
      <c r="DO522" s="62"/>
      <c r="DP522" s="62"/>
      <c r="DQ522" s="62"/>
      <c r="DR522" s="62"/>
      <c r="DS522" s="62"/>
      <c r="DT522" s="62"/>
      <c r="DU522" s="62"/>
      <c r="DV522" s="62"/>
      <c r="DW522" s="62"/>
      <c r="DX522" s="62"/>
      <c r="DY522" s="62"/>
      <c r="DZ522" s="62"/>
      <c r="EA522" s="62"/>
      <c r="EB522" s="62"/>
      <c r="EC522" s="62"/>
      <c r="ED522" s="62"/>
      <c r="EE522" s="62"/>
      <c r="EF522" s="62"/>
      <c r="EG522" s="62"/>
      <c r="EH522" s="62"/>
      <c r="EI522" s="62"/>
      <c r="EJ522" s="62"/>
      <c r="EK522" s="62"/>
      <c r="EL522" s="62"/>
      <c r="EM522" s="62"/>
      <c r="EN522" s="62"/>
      <c r="EO522" s="62"/>
      <c r="EP522" s="62"/>
      <c r="EQ522" s="62"/>
      <c r="ER522" s="62"/>
      <c r="ES522" s="62"/>
      <c r="ET522" s="62"/>
      <c r="EU522" s="62"/>
      <c r="EV522" s="62"/>
      <c r="EW522" s="62"/>
      <c r="EX522" s="62"/>
      <c r="EY522" s="62"/>
      <c r="EZ522" s="62"/>
      <c r="FA522" s="62"/>
      <c r="FB522" s="62"/>
      <c r="FC522" s="62"/>
      <c r="FD522" s="62"/>
      <c r="FE522" s="62"/>
      <c r="FF522" s="62"/>
      <c r="FG522" s="62"/>
      <c r="FH522" s="62"/>
      <c r="FI522" s="62"/>
      <c r="FJ522" s="62"/>
      <c r="FK522" s="62"/>
      <c r="FL522" s="62"/>
      <c r="FM522" s="62"/>
      <c r="FN522" s="62"/>
      <c r="FO522" s="62"/>
      <c r="FP522" s="62"/>
      <c r="FQ522" s="62"/>
      <c r="FR522" s="62"/>
      <c r="FS522" s="62"/>
      <c r="FT522" s="62"/>
      <c r="FU522" s="62"/>
      <c r="FV522" s="62"/>
    </row>
    <row r="523" spans="1:178" ht="13.8">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c r="AY523" s="62"/>
      <c r="AZ523" s="62"/>
      <c r="BA523" s="62"/>
      <c r="BB523" s="62"/>
      <c r="BC523" s="62"/>
      <c r="BD523" s="62"/>
      <c r="BE523" s="62"/>
      <c r="BF523" s="62"/>
      <c r="BG523" s="62"/>
      <c r="BH523" s="62"/>
      <c r="BI523" s="62"/>
      <c r="BJ523" s="62"/>
      <c r="BK523" s="62"/>
      <c r="BL523" s="62"/>
      <c r="BM523" s="62"/>
      <c r="BN523" s="62"/>
      <c r="BO523" s="62"/>
      <c r="BP523" s="62"/>
      <c r="BQ523" s="62"/>
      <c r="BR523" s="62"/>
      <c r="BS523" s="62"/>
      <c r="BT523" s="62"/>
      <c r="BU523" s="62"/>
      <c r="BV523" s="62"/>
      <c r="BW523" s="62"/>
      <c r="BX523" s="62"/>
      <c r="BY523" s="62"/>
      <c r="BZ523" s="62"/>
      <c r="CA523" s="62"/>
      <c r="CB523" s="62"/>
      <c r="CC523" s="62"/>
      <c r="CD523" s="62"/>
      <c r="CE523" s="62"/>
      <c r="CF523" s="62"/>
      <c r="CG523" s="62"/>
      <c r="CH523" s="62"/>
      <c r="CI523" s="62"/>
      <c r="CJ523" s="62"/>
      <c r="CK523" s="62"/>
      <c r="CL523" s="62"/>
      <c r="CM523" s="62"/>
      <c r="CN523" s="62"/>
      <c r="CO523" s="62"/>
      <c r="CP523" s="62"/>
      <c r="CQ523" s="62"/>
      <c r="CR523" s="62"/>
      <c r="CS523" s="62"/>
      <c r="CT523" s="62"/>
      <c r="CU523" s="62"/>
      <c r="CV523" s="62"/>
      <c r="CW523" s="62"/>
      <c r="CX523" s="62"/>
      <c r="CY523" s="62"/>
      <c r="CZ523" s="62"/>
      <c r="DA523" s="62"/>
      <c r="DB523" s="62"/>
      <c r="DC523" s="62"/>
      <c r="DD523" s="62"/>
      <c r="DE523" s="62"/>
      <c r="DF523" s="62"/>
      <c r="DG523" s="62"/>
      <c r="DH523" s="62"/>
      <c r="DI523" s="62"/>
      <c r="DJ523" s="62"/>
      <c r="DK523" s="62"/>
      <c r="DL523" s="62"/>
      <c r="DM523" s="62"/>
      <c r="DN523" s="62"/>
      <c r="DO523" s="62"/>
      <c r="DP523" s="62"/>
      <c r="DQ523" s="62"/>
      <c r="DR523" s="62"/>
      <c r="DS523" s="62"/>
      <c r="DT523" s="62"/>
      <c r="DU523" s="62"/>
      <c r="DV523" s="62"/>
      <c r="DW523" s="62"/>
      <c r="DX523" s="62"/>
      <c r="DY523" s="62"/>
      <c r="DZ523" s="62"/>
      <c r="EA523" s="62"/>
      <c r="EB523" s="62"/>
      <c r="EC523" s="62"/>
      <c r="ED523" s="62"/>
      <c r="EE523" s="62"/>
      <c r="EF523" s="62"/>
      <c r="EG523" s="62"/>
      <c r="EH523" s="62"/>
      <c r="EI523" s="62"/>
      <c r="EJ523" s="62"/>
      <c r="EK523" s="62"/>
      <c r="EL523" s="62"/>
      <c r="EM523" s="62"/>
      <c r="EN523" s="62"/>
      <c r="EO523" s="62"/>
      <c r="EP523" s="62"/>
      <c r="EQ523" s="62"/>
      <c r="ER523" s="62"/>
      <c r="ES523" s="62"/>
      <c r="ET523" s="62"/>
      <c r="EU523" s="62"/>
      <c r="EV523" s="62"/>
      <c r="EW523" s="62"/>
      <c r="EX523" s="62"/>
      <c r="EY523" s="62"/>
      <c r="EZ523" s="62"/>
      <c r="FA523" s="62"/>
      <c r="FB523" s="62"/>
      <c r="FC523" s="62"/>
      <c r="FD523" s="62"/>
      <c r="FE523" s="62"/>
      <c r="FF523" s="62"/>
      <c r="FG523" s="62"/>
      <c r="FH523" s="62"/>
      <c r="FI523" s="62"/>
      <c r="FJ523" s="62"/>
      <c r="FK523" s="62"/>
      <c r="FL523" s="62"/>
      <c r="FM523" s="62"/>
      <c r="FN523" s="62"/>
      <c r="FO523" s="62"/>
      <c r="FP523" s="62"/>
      <c r="FQ523" s="62"/>
      <c r="FR523" s="62"/>
      <c r="FS523" s="62"/>
      <c r="FT523" s="62"/>
      <c r="FU523" s="62"/>
      <c r="FV523" s="62"/>
    </row>
    <row r="524" spans="1:178" ht="13.8">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c r="AY524" s="62"/>
      <c r="AZ524" s="62"/>
      <c r="BA524" s="62"/>
      <c r="BB524" s="62"/>
      <c r="BC524" s="62"/>
      <c r="BD524" s="62"/>
      <c r="BE524" s="62"/>
      <c r="BF524" s="62"/>
      <c r="BG524" s="62"/>
      <c r="BH524" s="62"/>
      <c r="BI524" s="62"/>
      <c r="BJ524" s="62"/>
      <c r="BK524" s="62"/>
      <c r="BL524" s="62"/>
      <c r="BM524" s="62"/>
      <c r="BN524" s="62"/>
      <c r="BO524" s="62"/>
      <c r="BP524" s="62"/>
      <c r="BQ524" s="62"/>
      <c r="BR524" s="62"/>
      <c r="BS524" s="62"/>
      <c r="BT524" s="62"/>
      <c r="BU524" s="62"/>
      <c r="BV524" s="62"/>
      <c r="BW524" s="62"/>
      <c r="BX524" s="62"/>
      <c r="BY524" s="62"/>
      <c r="BZ524" s="62"/>
      <c r="CA524" s="62"/>
      <c r="CB524" s="62"/>
      <c r="CC524" s="62"/>
      <c r="CD524" s="62"/>
      <c r="CE524" s="62"/>
      <c r="CF524" s="62"/>
      <c r="CG524" s="62"/>
      <c r="CH524" s="62"/>
      <c r="CI524" s="62"/>
      <c r="CJ524" s="62"/>
      <c r="CK524" s="62"/>
      <c r="CL524" s="62"/>
      <c r="CM524" s="62"/>
      <c r="CN524" s="62"/>
      <c r="CO524" s="62"/>
      <c r="CP524" s="62"/>
      <c r="CQ524" s="62"/>
      <c r="CR524" s="62"/>
      <c r="CS524" s="62"/>
      <c r="CT524" s="62"/>
      <c r="CU524" s="62"/>
      <c r="CV524" s="62"/>
      <c r="CW524" s="62"/>
      <c r="CX524" s="62"/>
      <c r="CY524" s="62"/>
      <c r="CZ524" s="62"/>
      <c r="DA524" s="62"/>
      <c r="DB524" s="62"/>
      <c r="DC524" s="62"/>
      <c r="DD524" s="62"/>
      <c r="DE524" s="62"/>
      <c r="DF524" s="62"/>
      <c r="DG524" s="62"/>
      <c r="DH524" s="62"/>
      <c r="DI524" s="62"/>
      <c r="DJ524" s="62"/>
      <c r="DK524" s="62"/>
      <c r="DL524" s="62"/>
      <c r="DM524" s="62"/>
      <c r="DN524" s="62"/>
      <c r="DO524" s="62"/>
      <c r="DP524" s="62"/>
      <c r="DQ524" s="62"/>
      <c r="DR524" s="62"/>
      <c r="DS524" s="62"/>
      <c r="DT524" s="62"/>
      <c r="DU524" s="62"/>
      <c r="DV524" s="62"/>
      <c r="DW524" s="62"/>
      <c r="DX524" s="62"/>
      <c r="DY524" s="62"/>
      <c r="DZ524" s="62"/>
      <c r="EA524" s="62"/>
      <c r="EB524" s="62"/>
      <c r="EC524" s="62"/>
      <c r="ED524" s="62"/>
      <c r="EE524" s="62"/>
      <c r="EF524" s="62"/>
      <c r="EG524" s="62"/>
      <c r="EH524" s="62"/>
      <c r="EI524" s="62"/>
      <c r="EJ524" s="62"/>
      <c r="EK524" s="62"/>
      <c r="EL524" s="62"/>
      <c r="EM524" s="62"/>
      <c r="EN524" s="62"/>
      <c r="EO524" s="62"/>
      <c r="EP524" s="62"/>
      <c r="EQ524" s="62"/>
      <c r="ER524" s="62"/>
      <c r="ES524" s="62"/>
      <c r="ET524" s="62"/>
      <c r="EU524" s="62"/>
      <c r="EV524" s="62"/>
      <c r="EW524" s="62"/>
      <c r="EX524" s="62"/>
      <c r="EY524" s="62"/>
      <c r="EZ524" s="62"/>
      <c r="FA524" s="62"/>
      <c r="FB524" s="62"/>
      <c r="FC524" s="62"/>
      <c r="FD524" s="62"/>
      <c r="FE524" s="62"/>
      <c r="FF524" s="62"/>
      <c r="FG524" s="62"/>
      <c r="FH524" s="62"/>
      <c r="FI524" s="62"/>
      <c r="FJ524" s="62"/>
      <c r="FK524" s="62"/>
      <c r="FL524" s="62"/>
      <c r="FM524" s="62"/>
      <c r="FN524" s="62"/>
      <c r="FO524" s="62"/>
      <c r="FP524" s="62"/>
      <c r="FQ524" s="62"/>
      <c r="FR524" s="62"/>
      <c r="FS524" s="62"/>
      <c r="FT524" s="62"/>
      <c r="FU524" s="62"/>
      <c r="FV524" s="62"/>
    </row>
    <row r="525" spans="1:178" ht="13.8">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c r="AY525" s="62"/>
      <c r="AZ525" s="62"/>
      <c r="BA525" s="62"/>
      <c r="BB525" s="62"/>
      <c r="BC525" s="62"/>
      <c r="BD525" s="62"/>
      <c r="BE525" s="62"/>
      <c r="BF525" s="62"/>
      <c r="BG525" s="62"/>
      <c r="BH525" s="62"/>
      <c r="BI525" s="62"/>
      <c r="BJ525" s="62"/>
      <c r="BK525" s="62"/>
      <c r="BL525" s="62"/>
      <c r="BM525" s="62"/>
      <c r="BN525" s="62"/>
      <c r="BO525" s="62"/>
      <c r="BP525" s="62"/>
      <c r="BQ525" s="62"/>
      <c r="BR525" s="62"/>
      <c r="BS525" s="62"/>
      <c r="BT525" s="62"/>
      <c r="BU525" s="62"/>
      <c r="BV525" s="62"/>
      <c r="BW525" s="62"/>
      <c r="BX525" s="62"/>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62"/>
      <c r="CX525" s="62"/>
      <c r="CY525" s="62"/>
      <c r="CZ525" s="62"/>
      <c r="DA525" s="62"/>
      <c r="DB525" s="62"/>
      <c r="DC525" s="62"/>
      <c r="DD525" s="62"/>
      <c r="DE525" s="62"/>
      <c r="DF525" s="62"/>
      <c r="DG525" s="62"/>
      <c r="DH525" s="62"/>
      <c r="DI525" s="62"/>
      <c r="DJ525" s="62"/>
      <c r="DK525" s="62"/>
      <c r="DL525" s="62"/>
      <c r="DM525" s="62"/>
      <c r="DN525" s="62"/>
      <c r="DO525" s="62"/>
      <c r="DP525" s="62"/>
      <c r="DQ525" s="62"/>
      <c r="DR525" s="62"/>
      <c r="DS525" s="62"/>
      <c r="DT525" s="62"/>
      <c r="DU525" s="62"/>
      <c r="DV525" s="62"/>
      <c r="DW525" s="62"/>
      <c r="DX525" s="62"/>
      <c r="DY525" s="62"/>
      <c r="DZ525" s="62"/>
      <c r="EA525" s="62"/>
      <c r="EB525" s="62"/>
      <c r="EC525" s="62"/>
      <c r="ED525" s="62"/>
      <c r="EE525" s="62"/>
      <c r="EF525" s="62"/>
      <c r="EG525" s="62"/>
      <c r="EH525" s="62"/>
      <c r="EI525" s="62"/>
      <c r="EJ525" s="62"/>
      <c r="EK525" s="62"/>
      <c r="EL525" s="62"/>
      <c r="EM525" s="62"/>
      <c r="EN525" s="62"/>
      <c r="EO525" s="62"/>
      <c r="EP525" s="62"/>
      <c r="EQ525" s="62"/>
      <c r="ER525" s="62"/>
      <c r="ES525" s="62"/>
      <c r="ET525" s="62"/>
      <c r="EU525" s="62"/>
      <c r="EV525" s="62"/>
      <c r="EW525" s="62"/>
      <c r="EX525" s="62"/>
      <c r="EY525" s="62"/>
      <c r="EZ525" s="62"/>
      <c r="FA525" s="62"/>
      <c r="FB525" s="62"/>
      <c r="FC525" s="62"/>
      <c r="FD525" s="62"/>
      <c r="FE525" s="62"/>
      <c r="FF525" s="62"/>
      <c r="FG525" s="62"/>
      <c r="FH525" s="62"/>
      <c r="FI525" s="62"/>
      <c r="FJ525" s="62"/>
      <c r="FK525" s="62"/>
      <c r="FL525" s="62"/>
      <c r="FM525" s="62"/>
      <c r="FN525" s="62"/>
      <c r="FO525" s="62"/>
      <c r="FP525" s="62"/>
      <c r="FQ525" s="62"/>
      <c r="FR525" s="62"/>
      <c r="FS525" s="62"/>
      <c r="FT525" s="62"/>
      <c r="FU525" s="62"/>
      <c r="FV525" s="62"/>
    </row>
    <row r="526" spans="1:178" ht="13.8">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c r="AY526" s="62"/>
      <c r="AZ526" s="62"/>
      <c r="BA526" s="62"/>
      <c r="BB526" s="62"/>
      <c r="BC526" s="62"/>
      <c r="BD526" s="62"/>
      <c r="BE526" s="62"/>
      <c r="BF526" s="62"/>
      <c r="BG526" s="62"/>
      <c r="BH526" s="62"/>
      <c r="BI526" s="62"/>
      <c r="BJ526" s="62"/>
      <c r="BK526" s="62"/>
      <c r="BL526" s="62"/>
      <c r="BM526" s="62"/>
      <c r="BN526" s="62"/>
      <c r="BO526" s="62"/>
      <c r="BP526" s="62"/>
      <c r="BQ526" s="62"/>
      <c r="BR526" s="62"/>
      <c r="BS526" s="62"/>
      <c r="BT526" s="62"/>
      <c r="BU526" s="62"/>
      <c r="BV526" s="62"/>
      <c r="BW526" s="62"/>
      <c r="BX526" s="62"/>
      <c r="BY526" s="62"/>
      <c r="BZ526" s="62"/>
      <c r="CA526" s="62"/>
      <c r="CB526" s="62"/>
      <c r="CC526" s="62"/>
      <c r="CD526" s="62"/>
      <c r="CE526" s="62"/>
      <c r="CF526" s="62"/>
      <c r="CG526" s="62"/>
      <c r="CH526" s="62"/>
      <c r="CI526" s="62"/>
      <c r="CJ526" s="62"/>
      <c r="CK526" s="62"/>
      <c r="CL526" s="62"/>
      <c r="CM526" s="62"/>
      <c r="CN526" s="62"/>
      <c r="CO526" s="62"/>
      <c r="CP526" s="62"/>
      <c r="CQ526" s="62"/>
      <c r="CR526" s="62"/>
      <c r="CS526" s="62"/>
      <c r="CT526" s="62"/>
      <c r="CU526" s="62"/>
      <c r="CV526" s="62"/>
      <c r="CW526" s="62"/>
      <c r="CX526" s="62"/>
      <c r="CY526" s="62"/>
      <c r="CZ526" s="62"/>
      <c r="DA526" s="62"/>
      <c r="DB526" s="62"/>
      <c r="DC526" s="62"/>
      <c r="DD526" s="62"/>
      <c r="DE526" s="62"/>
      <c r="DF526" s="62"/>
      <c r="DG526" s="62"/>
      <c r="DH526" s="62"/>
      <c r="DI526" s="62"/>
      <c r="DJ526" s="62"/>
      <c r="DK526" s="62"/>
      <c r="DL526" s="62"/>
      <c r="DM526" s="62"/>
      <c r="DN526" s="62"/>
      <c r="DO526" s="62"/>
      <c r="DP526" s="62"/>
      <c r="DQ526" s="62"/>
      <c r="DR526" s="62"/>
      <c r="DS526" s="62"/>
      <c r="DT526" s="62"/>
      <c r="DU526" s="62"/>
      <c r="DV526" s="62"/>
      <c r="DW526" s="62"/>
      <c r="DX526" s="62"/>
      <c r="DY526" s="62"/>
      <c r="DZ526" s="62"/>
      <c r="EA526" s="62"/>
      <c r="EB526" s="62"/>
      <c r="EC526" s="62"/>
      <c r="ED526" s="62"/>
      <c r="EE526" s="62"/>
      <c r="EF526" s="62"/>
      <c r="EG526" s="62"/>
      <c r="EH526" s="62"/>
      <c r="EI526" s="62"/>
      <c r="EJ526" s="62"/>
      <c r="EK526" s="62"/>
      <c r="EL526" s="62"/>
      <c r="EM526" s="62"/>
      <c r="EN526" s="62"/>
      <c r="EO526" s="62"/>
      <c r="EP526" s="62"/>
      <c r="EQ526" s="62"/>
      <c r="ER526" s="62"/>
      <c r="ES526" s="62"/>
      <c r="ET526" s="62"/>
      <c r="EU526" s="62"/>
      <c r="EV526" s="62"/>
      <c r="EW526" s="62"/>
      <c r="EX526" s="62"/>
      <c r="EY526" s="62"/>
      <c r="EZ526" s="62"/>
      <c r="FA526" s="62"/>
      <c r="FB526" s="62"/>
      <c r="FC526" s="62"/>
      <c r="FD526" s="62"/>
      <c r="FE526" s="62"/>
      <c r="FF526" s="62"/>
      <c r="FG526" s="62"/>
      <c r="FH526" s="62"/>
      <c r="FI526" s="62"/>
      <c r="FJ526" s="62"/>
      <c r="FK526" s="62"/>
      <c r="FL526" s="62"/>
      <c r="FM526" s="62"/>
      <c r="FN526" s="62"/>
      <c r="FO526" s="62"/>
      <c r="FP526" s="62"/>
      <c r="FQ526" s="62"/>
      <c r="FR526" s="62"/>
      <c r="FS526" s="62"/>
      <c r="FT526" s="62"/>
      <c r="FU526" s="62"/>
      <c r="FV526" s="62"/>
    </row>
    <row r="527" spans="1:178" ht="13.8">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c r="AY527" s="62"/>
      <c r="AZ527" s="62"/>
      <c r="BA527" s="62"/>
      <c r="BB527" s="62"/>
      <c r="BC527" s="62"/>
      <c r="BD527" s="62"/>
      <c r="BE527" s="62"/>
      <c r="BF527" s="62"/>
      <c r="BG527" s="62"/>
      <c r="BH527" s="62"/>
      <c r="BI527" s="62"/>
      <c r="BJ527" s="62"/>
      <c r="BK527" s="62"/>
      <c r="BL527" s="62"/>
      <c r="BM527" s="62"/>
      <c r="BN527" s="62"/>
      <c r="BO527" s="62"/>
      <c r="BP527" s="62"/>
      <c r="BQ527" s="62"/>
      <c r="BR527" s="62"/>
      <c r="BS527" s="62"/>
      <c r="BT527" s="62"/>
      <c r="BU527" s="62"/>
      <c r="BV527" s="62"/>
      <c r="BW527" s="62"/>
      <c r="BX527" s="62"/>
      <c r="BY527" s="62"/>
      <c r="BZ527" s="62"/>
      <c r="CA527" s="62"/>
      <c r="CB527" s="62"/>
      <c r="CC527" s="62"/>
      <c r="CD527" s="62"/>
      <c r="CE527" s="62"/>
      <c r="CF527" s="62"/>
      <c r="CG527" s="62"/>
      <c r="CH527" s="62"/>
      <c r="CI527" s="62"/>
      <c r="CJ527" s="62"/>
      <c r="CK527" s="62"/>
      <c r="CL527" s="62"/>
      <c r="CM527" s="62"/>
      <c r="CN527" s="62"/>
      <c r="CO527" s="62"/>
      <c r="CP527" s="62"/>
      <c r="CQ527" s="62"/>
      <c r="CR527" s="62"/>
      <c r="CS527" s="62"/>
      <c r="CT527" s="62"/>
      <c r="CU527" s="62"/>
      <c r="CV527" s="62"/>
      <c r="CW527" s="62"/>
      <c r="CX527" s="62"/>
      <c r="CY527" s="62"/>
      <c r="CZ527" s="62"/>
      <c r="DA527" s="62"/>
      <c r="DB527" s="62"/>
      <c r="DC527" s="62"/>
      <c r="DD527" s="62"/>
      <c r="DE527" s="62"/>
      <c r="DF527" s="62"/>
      <c r="DG527" s="62"/>
      <c r="DH527" s="62"/>
      <c r="DI527" s="62"/>
      <c r="DJ527" s="62"/>
      <c r="DK527" s="62"/>
      <c r="DL527" s="62"/>
      <c r="DM527" s="62"/>
      <c r="DN527" s="62"/>
      <c r="DO527" s="62"/>
      <c r="DP527" s="62"/>
      <c r="DQ527" s="62"/>
      <c r="DR527" s="62"/>
      <c r="DS527" s="62"/>
      <c r="DT527" s="62"/>
      <c r="DU527" s="62"/>
      <c r="DV527" s="62"/>
      <c r="DW527" s="62"/>
      <c r="DX527" s="62"/>
      <c r="DY527" s="62"/>
      <c r="DZ527" s="62"/>
      <c r="EA527" s="62"/>
      <c r="EB527" s="62"/>
      <c r="EC527" s="62"/>
      <c r="ED527" s="62"/>
      <c r="EE527" s="62"/>
      <c r="EF527" s="62"/>
      <c r="EG527" s="62"/>
      <c r="EH527" s="62"/>
      <c r="EI527" s="62"/>
      <c r="EJ527" s="62"/>
      <c r="EK527" s="62"/>
      <c r="EL527" s="62"/>
      <c r="EM527" s="62"/>
      <c r="EN527" s="62"/>
      <c r="EO527" s="62"/>
      <c r="EP527" s="62"/>
      <c r="EQ527" s="62"/>
      <c r="ER527" s="62"/>
      <c r="ES527" s="62"/>
      <c r="ET527" s="62"/>
      <c r="EU527" s="62"/>
      <c r="EV527" s="62"/>
      <c r="EW527" s="62"/>
      <c r="EX527" s="62"/>
      <c r="EY527" s="62"/>
      <c r="EZ527" s="62"/>
      <c r="FA527" s="62"/>
      <c r="FB527" s="62"/>
      <c r="FC527" s="62"/>
      <c r="FD527" s="62"/>
      <c r="FE527" s="62"/>
      <c r="FF527" s="62"/>
      <c r="FG527" s="62"/>
      <c r="FH527" s="62"/>
      <c r="FI527" s="62"/>
      <c r="FJ527" s="62"/>
      <c r="FK527" s="62"/>
      <c r="FL527" s="62"/>
      <c r="FM527" s="62"/>
      <c r="FN527" s="62"/>
      <c r="FO527" s="62"/>
      <c r="FP527" s="62"/>
      <c r="FQ527" s="62"/>
      <c r="FR527" s="62"/>
      <c r="FS527" s="62"/>
      <c r="FT527" s="62"/>
      <c r="FU527" s="62"/>
      <c r="FV527" s="62"/>
    </row>
    <row r="528" spans="1:178" ht="13.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2"/>
      <c r="EX528" s="62"/>
      <c r="EY528" s="62"/>
      <c r="EZ528" s="62"/>
      <c r="FA528" s="62"/>
      <c r="FB528" s="62"/>
      <c r="FC528" s="62"/>
      <c r="FD528" s="62"/>
      <c r="FE528" s="62"/>
      <c r="FF528" s="62"/>
      <c r="FG528" s="62"/>
      <c r="FH528" s="62"/>
      <c r="FI528" s="62"/>
      <c r="FJ528" s="62"/>
      <c r="FK528" s="62"/>
      <c r="FL528" s="62"/>
      <c r="FM528" s="62"/>
      <c r="FN528" s="62"/>
      <c r="FO528" s="62"/>
      <c r="FP528" s="62"/>
      <c r="FQ528" s="62"/>
      <c r="FR528" s="62"/>
      <c r="FS528" s="62"/>
      <c r="FT528" s="62"/>
      <c r="FU528" s="62"/>
      <c r="FV528" s="62"/>
    </row>
    <row r="529" spans="1:178" ht="13.8">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c r="AY529" s="62"/>
      <c r="AZ529" s="62"/>
      <c r="BA529" s="62"/>
      <c r="BB529" s="62"/>
      <c r="BC529" s="62"/>
      <c r="BD529" s="62"/>
      <c r="BE529" s="62"/>
      <c r="BF529" s="62"/>
      <c r="BG529" s="62"/>
      <c r="BH529" s="62"/>
      <c r="BI529" s="62"/>
      <c r="BJ529" s="62"/>
      <c r="BK529" s="62"/>
      <c r="BL529" s="62"/>
      <c r="BM529" s="62"/>
      <c r="BN529" s="62"/>
      <c r="BO529" s="62"/>
      <c r="BP529" s="62"/>
      <c r="BQ529" s="62"/>
      <c r="BR529" s="62"/>
      <c r="BS529" s="62"/>
      <c r="BT529" s="62"/>
      <c r="BU529" s="62"/>
      <c r="BV529" s="62"/>
      <c r="BW529" s="62"/>
      <c r="BX529" s="62"/>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62"/>
      <c r="CX529" s="62"/>
      <c r="CY529" s="62"/>
      <c r="CZ529" s="62"/>
      <c r="DA529" s="62"/>
      <c r="DB529" s="62"/>
      <c r="DC529" s="62"/>
      <c r="DD529" s="62"/>
      <c r="DE529" s="62"/>
      <c r="DF529" s="62"/>
      <c r="DG529" s="62"/>
      <c r="DH529" s="62"/>
      <c r="DI529" s="62"/>
      <c r="DJ529" s="62"/>
      <c r="DK529" s="62"/>
      <c r="DL529" s="62"/>
      <c r="DM529" s="62"/>
      <c r="DN529" s="62"/>
      <c r="DO529" s="62"/>
      <c r="DP529" s="62"/>
      <c r="DQ529" s="62"/>
      <c r="DR529" s="62"/>
      <c r="DS529" s="62"/>
      <c r="DT529" s="62"/>
      <c r="DU529" s="62"/>
      <c r="DV529" s="62"/>
      <c r="DW529" s="62"/>
      <c r="DX529" s="62"/>
      <c r="DY529" s="62"/>
      <c r="DZ529" s="62"/>
      <c r="EA529" s="62"/>
      <c r="EB529" s="62"/>
      <c r="EC529" s="62"/>
      <c r="ED529" s="62"/>
      <c r="EE529" s="62"/>
      <c r="EF529" s="62"/>
      <c r="EG529" s="62"/>
      <c r="EH529" s="62"/>
      <c r="EI529" s="62"/>
      <c r="EJ529" s="62"/>
      <c r="EK529" s="62"/>
      <c r="EL529" s="62"/>
      <c r="EM529" s="62"/>
      <c r="EN529" s="62"/>
      <c r="EO529" s="62"/>
      <c r="EP529" s="62"/>
      <c r="EQ529" s="62"/>
      <c r="ER529" s="62"/>
      <c r="ES529" s="62"/>
      <c r="ET529" s="62"/>
      <c r="EU529" s="62"/>
      <c r="EV529" s="62"/>
      <c r="EW529" s="62"/>
      <c r="EX529" s="62"/>
      <c r="EY529" s="62"/>
      <c r="EZ529" s="62"/>
      <c r="FA529" s="62"/>
      <c r="FB529" s="62"/>
      <c r="FC529" s="62"/>
      <c r="FD529" s="62"/>
      <c r="FE529" s="62"/>
      <c r="FF529" s="62"/>
      <c r="FG529" s="62"/>
      <c r="FH529" s="62"/>
      <c r="FI529" s="62"/>
      <c r="FJ529" s="62"/>
      <c r="FK529" s="62"/>
      <c r="FL529" s="62"/>
      <c r="FM529" s="62"/>
      <c r="FN529" s="62"/>
      <c r="FO529" s="62"/>
      <c r="FP529" s="62"/>
      <c r="FQ529" s="62"/>
      <c r="FR529" s="62"/>
      <c r="FS529" s="62"/>
      <c r="FT529" s="62"/>
      <c r="FU529" s="62"/>
      <c r="FV529" s="62"/>
    </row>
    <row r="530" spans="1:178" ht="13.8">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62"/>
      <c r="CX530" s="62"/>
      <c r="CY530" s="62"/>
      <c r="CZ530" s="62"/>
      <c r="DA530" s="62"/>
      <c r="DB530" s="62"/>
      <c r="DC530" s="62"/>
      <c r="DD530" s="62"/>
      <c r="DE530" s="62"/>
      <c r="DF530" s="62"/>
      <c r="DG530" s="62"/>
      <c r="DH530" s="62"/>
      <c r="DI530" s="62"/>
      <c r="DJ530" s="62"/>
      <c r="DK530" s="62"/>
      <c r="DL530" s="62"/>
      <c r="DM530" s="62"/>
      <c r="DN530" s="62"/>
      <c r="DO530" s="62"/>
      <c r="DP530" s="62"/>
      <c r="DQ530" s="62"/>
      <c r="DR530" s="62"/>
      <c r="DS530" s="62"/>
      <c r="DT530" s="62"/>
      <c r="DU530" s="62"/>
      <c r="DV530" s="62"/>
      <c r="DW530" s="62"/>
      <c r="DX530" s="62"/>
      <c r="DY530" s="62"/>
      <c r="DZ530" s="62"/>
      <c r="EA530" s="62"/>
      <c r="EB530" s="62"/>
      <c r="EC530" s="62"/>
      <c r="ED530" s="62"/>
      <c r="EE530" s="62"/>
      <c r="EF530" s="62"/>
      <c r="EG530" s="62"/>
      <c r="EH530" s="62"/>
      <c r="EI530" s="62"/>
      <c r="EJ530" s="62"/>
      <c r="EK530" s="62"/>
      <c r="EL530" s="62"/>
      <c r="EM530" s="62"/>
      <c r="EN530" s="62"/>
      <c r="EO530" s="62"/>
      <c r="EP530" s="62"/>
      <c r="EQ530" s="62"/>
      <c r="ER530" s="62"/>
      <c r="ES530" s="62"/>
      <c r="ET530" s="62"/>
      <c r="EU530" s="62"/>
      <c r="EV530" s="62"/>
      <c r="EW530" s="62"/>
      <c r="EX530" s="62"/>
      <c r="EY530" s="62"/>
      <c r="EZ530" s="62"/>
      <c r="FA530" s="62"/>
      <c r="FB530" s="62"/>
      <c r="FC530" s="62"/>
      <c r="FD530" s="62"/>
      <c r="FE530" s="62"/>
      <c r="FF530" s="62"/>
      <c r="FG530" s="62"/>
      <c r="FH530" s="62"/>
      <c r="FI530" s="62"/>
      <c r="FJ530" s="62"/>
      <c r="FK530" s="62"/>
      <c r="FL530" s="62"/>
      <c r="FM530" s="62"/>
      <c r="FN530" s="62"/>
      <c r="FO530" s="62"/>
      <c r="FP530" s="62"/>
      <c r="FQ530" s="62"/>
      <c r="FR530" s="62"/>
      <c r="FS530" s="62"/>
      <c r="FT530" s="62"/>
      <c r="FU530" s="62"/>
      <c r="FV530" s="62"/>
    </row>
    <row r="531" spans="1:178" ht="13.8">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62"/>
      <c r="CX531" s="62"/>
      <c r="CY531" s="62"/>
      <c r="CZ531" s="62"/>
      <c r="DA531" s="62"/>
      <c r="DB531" s="62"/>
      <c r="DC531" s="62"/>
      <c r="DD531" s="62"/>
      <c r="DE531" s="62"/>
      <c r="DF531" s="62"/>
      <c r="DG531" s="62"/>
      <c r="DH531" s="62"/>
      <c r="DI531" s="62"/>
      <c r="DJ531" s="62"/>
      <c r="DK531" s="62"/>
      <c r="DL531" s="62"/>
      <c r="DM531" s="62"/>
      <c r="DN531" s="62"/>
      <c r="DO531" s="62"/>
      <c r="DP531" s="62"/>
      <c r="DQ531" s="62"/>
      <c r="DR531" s="62"/>
      <c r="DS531" s="62"/>
      <c r="DT531" s="62"/>
      <c r="DU531" s="62"/>
      <c r="DV531" s="62"/>
      <c r="DW531" s="62"/>
      <c r="DX531" s="62"/>
      <c r="DY531" s="62"/>
      <c r="DZ531" s="62"/>
      <c r="EA531" s="62"/>
      <c r="EB531" s="62"/>
      <c r="EC531" s="62"/>
      <c r="ED531" s="62"/>
      <c r="EE531" s="62"/>
      <c r="EF531" s="62"/>
      <c r="EG531" s="62"/>
      <c r="EH531" s="62"/>
      <c r="EI531" s="62"/>
      <c r="EJ531" s="62"/>
      <c r="EK531" s="62"/>
      <c r="EL531" s="62"/>
      <c r="EM531" s="62"/>
      <c r="EN531" s="62"/>
      <c r="EO531" s="62"/>
      <c r="EP531" s="62"/>
      <c r="EQ531" s="62"/>
      <c r="ER531" s="62"/>
      <c r="ES531" s="62"/>
      <c r="ET531" s="62"/>
      <c r="EU531" s="62"/>
      <c r="EV531" s="62"/>
      <c r="EW531" s="62"/>
      <c r="EX531" s="62"/>
      <c r="EY531" s="62"/>
      <c r="EZ531" s="62"/>
      <c r="FA531" s="62"/>
      <c r="FB531" s="62"/>
      <c r="FC531" s="62"/>
      <c r="FD531" s="62"/>
      <c r="FE531" s="62"/>
      <c r="FF531" s="62"/>
      <c r="FG531" s="62"/>
      <c r="FH531" s="62"/>
      <c r="FI531" s="62"/>
      <c r="FJ531" s="62"/>
      <c r="FK531" s="62"/>
      <c r="FL531" s="62"/>
      <c r="FM531" s="62"/>
      <c r="FN531" s="62"/>
      <c r="FO531" s="62"/>
      <c r="FP531" s="62"/>
      <c r="FQ531" s="62"/>
      <c r="FR531" s="62"/>
      <c r="FS531" s="62"/>
      <c r="FT531" s="62"/>
      <c r="FU531" s="62"/>
      <c r="FV531" s="62"/>
    </row>
    <row r="532" spans="1:178" ht="13.8">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62"/>
      <c r="CX532" s="62"/>
      <c r="CY532" s="62"/>
      <c r="CZ532" s="62"/>
      <c r="DA532" s="62"/>
      <c r="DB532" s="62"/>
      <c r="DC532" s="62"/>
      <c r="DD532" s="62"/>
      <c r="DE532" s="62"/>
      <c r="DF532" s="62"/>
      <c r="DG532" s="62"/>
      <c r="DH532" s="62"/>
      <c r="DI532" s="62"/>
      <c r="DJ532" s="62"/>
      <c r="DK532" s="62"/>
      <c r="DL532" s="62"/>
      <c r="DM532" s="62"/>
      <c r="DN532" s="62"/>
      <c r="DO532" s="62"/>
      <c r="DP532" s="62"/>
      <c r="DQ532" s="62"/>
      <c r="DR532" s="62"/>
      <c r="DS532" s="62"/>
      <c r="DT532" s="62"/>
      <c r="DU532" s="62"/>
      <c r="DV532" s="62"/>
      <c r="DW532" s="62"/>
      <c r="DX532" s="62"/>
      <c r="DY532" s="62"/>
      <c r="DZ532" s="62"/>
      <c r="EA532" s="62"/>
      <c r="EB532" s="62"/>
      <c r="EC532" s="62"/>
      <c r="ED532" s="62"/>
      <c r="EE532" s="62"/>
      <c r="EF532" s="62"/>
      <c r="EG532" s="62"/>
      <c r="EH532" s="62"/>
      <c r="EI532" s="62"/>
      <c r="EJ532" s="62"/>
      <c r="EK532" s="62"/>
      <c r="EL532" s="62"/>
      <c r="EM532" s="62"/>
      <c r="EN532" s="62"/>
      <c r="EO532" s="62"/>
      <c r="EP532" s="62"/>
      <c r="EQ532" s="62"/>
      <c r="ER532" s="62"/>
      <c r="ES532" s="62"/>
      <c r="ET532" s="62"/>
      <c r="EU532" s="62"/>
      <c r="EV532" s="62"/>
      <c r="EW532" s="62"/>
      <c r="EX532" s="62"/>
      <c r="EY532" s="62"/>
      <c r="EZ532" s="62"/>
      <c r="FA532" s="62"/>
      <c r="FB532" s="62"/>
      <c r="FC532" s="62"/>
      <c r="FD532" s="62"/>
      <c r="FE532" s="62"/>
      <c r="FF532" s="62"/>
      <c r="FG532" s="62"/>
      <c r="FH532" s="62"/>
      <c r="FI532" s="62"/>
      <c r="FJ532" s="62"/>
      <c r="FK532" s="62"/>
      <c r="FL532" s="62"/>
      <c r="FM532" s="62"/>
      <c r="FN532" s="62"/>
      <c r="FO532" s="62"/>
      <c r="FP532" s="62"/>
      <c r="FQ532" s="62"/>
      <c r="FR532" s="62"/>
      <c r="FS532" s="62"/>
      <c r="FT532" s="62"/>
      <c r="FU532" s="62"/>
      <c r="FV532" s="62"/>
    </row>
    <row r="533" spans="1:178" ht="13.8">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c r="CC533" s="62"/>
      <c r="CD533" s="62"/>
      <c r="CE533" s="62"/>
      <c r="CF533" s="62"/>
      <c r="CG533" s="62"/>
      <c r="CH533" s="62"/>
      <c r="CI533" s="62"/>
      <c r="CJ533" s="62"/>
      <c r="CK533" s="62"/>
      <c r="CL533" s="62"/>
      <c r="CM533" s="62"/>
      <c r="CN533" s="62"/>
      <c r="CO533" s="62"/>
      <c r="CP533" s="62"/>
      <c r="CQ533" s="62"/>
      <c r="CR533" s="62"/>
      <c r="CS533" s="62"/>
      <c r="CT533" s="62"/>
      <c r="CU533" s="62"/>
      <c r="CV533" s="62"/>
      <c r="CW533" s="62"/>
      <c r="CX533" s="62"/>
      <c r="CY533" s="62"/>
      <c r="CZ533" s="62"/>
      <c r="DA533" s="62"/>
      <c r="DB533" s="62"/>
      <c r="DC533" s="62"/>
      <c r="DD533" s="62"/>
      <c r="DE533" s="62"/>
      <c r="DF533" s="62"/>
      <c r="DG533" s="62"/>
      <c r="DH533" s="62"/>
      <c r="DI533" s="62"/>
      <c r="DJ533" s="62"/>
      <c r="DK533" s="62"/>
      <c r="DL533" s="62"/>
      <c r="DM533" s="62"/>
      <c r="DN533" s="62"/>
      <c r="DO533" s="62"/>
      <c r="DP533" s="62"/>
      <c r="DQ533" s="62"/>
      <c r="DR533" s="62"/>
      <c r="DS533" s="62"/>
      <c r="DT533" s="62"/>
      <c r="DU533" s="62"/>
      <c r="DV533" s="62"/>
      <c r="DW533" s="62"/>
      <c r="DX533" s="62"/>
      <c r="DY533" s="62"/>
      <c r="DZ533" s="62"/>
      <c r="EA533" s="62"/>
      <c r="EB533" s="62"/>
      <c r="EC533" s="62"/>
      <c r="ED533" s="62"/>
      <c r="EE533" s="62"/>
      <c r="EF533" s="62"/>
      <c r="EG533" s="62"/>
      <c r="EH533" s="62"/>
      <c r="EI533" s="62"/>
      <c r="EJ533" s="62"/>
      <c r="EK533" s="62"/>
      <c r="EL533" s="62"/>
      <c r="EM533" s="62"/>
      <c r="EN533" s="62"/>
      <c r="EO533" s="62"/>
      <c r="EP533" s="62"/>
      <c r="EQ533" s="62"/>
      <c r="ER533" s="62"/>
      <c r="ES533" s="62"/>
      <c r="ET533" s="62"/>
      <c r="EU533" s="62"/>
      <c r="EV533" s="62"/>
      <c r="EW533" s="62"/>
      <c r="EX533" s="62"/>
      <c r="EY533" s="62"/>
      <c r="EZ533" s="62"/>
      <c r="FA533" s="62"/>
      <c r="FB533" s="62"/>
      <c r="FC533" s="62"/>
      <c r="FD533" s="62"/>
      <c r="FE533" s="62"/>
      <c r="FF533" s="62"/>
      <c r="FG533" s="62"/>
      <c r="FH533" s="62"/>
      <c r="FI533" s="62"/>
      <c r="FJ533" s="62"/>
      <c r="FK533" s="62"/>
      <c r="FL533" s="62"/>
      <c r="FM533" s="62"/>
      <c r="FN533" s="62"/>
      <c r="FO533" s="62"/>
      <c r="FP533" s="62"/>
      <c r="FQ533" s="62"/>
      <c r="FR533" s="62"/>
      <c r="FS533" s="62"/>
      <c r="FT533" s="62"/>
      <c r="FU533" s="62"/>
      <c r="FV533" s="62"/>
    </row>
    <row r="534" spans="1:178" ht="13.8">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c r="CC534" s="62"/>
      <c r="CD534" s="62"/>
      <c r="CE534" s="62"/>
      <c r="CF534" s="62"/>
      <c r="CG534" s="62"/>
      <c r="CH534" s="62"/>
      <c r="CI534" s="62"/>
      <c r="CJ534" s="62"/>
      <c r="CK534" s="62"/>
      <c r="CL534" s="62"/>
      <c r="CM534" s="62"/>
      <c r="CN534" s="62"/>
      <c r="CO534" s="62"/>
      <c r="CP534" s="62"/>
      <c r="CQ534" s="62"/>
      <c r="CR534" s="62"/>
      <c r="CS534" s="62"/>
      <c r="CT534" s="62"/>
      <c r="CU534" s="62"/>
      <c r="CV534" s="62"/>
      <c r="CW534" s="62"/>
      <c r="CX534" s="62"/>
      <c r="CY534" s="62"/>
      <c r="CZ534" s="62"/>
      <c r="DA534" s="62"/>
      <c r="DB534" s="62"/>
      <c r="DC534" s="62"/>
      <c r="DD534" s="62"/>
      <c r="DE534" s="62"/>
      <c r="DF534" s="62"/>
      <c r="DG534" s="62"/>
      <c r="DH534" s="62"/>
      <c r="DI534" s="62"/>
      <c r="DJ534" s="62"/>
      <c r="DK534" s="62"/>
      <c r="DL534" s="62"/>
      <c r="DM534" s="62"/>
      <c r="DN534" s="62"/>
      <c r="DO534" s="62"/>
      <c r="DP534" s="62"/>
      <c r="DQ534" s="62"/>
      <c r="DR534" s="62"/>
      <c r="DS534" s="62"/>
      <c r="DT534" s="62"/>
      <c r="DU534" s="62"/>
      <c r="DV534" s="62"/>
      <c r="DW534" s="62"/>
      <c r="DX534" s="62"/>
      <c r="DY534" s="62"/>
      <c r="DZ534" s="62"/>
      <c r="EA534" s="62"/>
      <c r="EB534" s="62"/>
      <c r="EC534" s="62"/>
      <c r="ED534" s="62"/>
      <c r="EE534" s="62"/>
      <c r="EF534" s="62"/>
      <c r="EG534" s="62"/>
      <c r="EH534" s="62"/>
      <c r="EI534" s="62"/>
      <c r="EJ534" s="62"/>
      <c r="EK534" s="62"/>
      <c r="EL534" s="62"/>
      <c r="EM534" s="62"/>
      <c r="EN534" s="62"/>
      <c r="EO534" s="62"/>
      <c r="EP534" s="62"/>
      <c r="EQ534" s="62"/>
      <c r="ER534" s="62"/>
      <c r="ES534" s="62"/>
      <c r="ET534" s="62"/>
      <c r="EU534" s="62"/>
      <c r="EV534" s="62"/>
      <c r="EW534" s="62"/>
      <c r="EX534" s="62"/>
      <c r="EY534" s="62"/>
      <c r="EZ534" s="62"/>
      <c r="FA534" s="62"/>
      <c r="FB534" s="62"/>
      <c r="FC534" s="62"/>
      <c r="FD534" s="62"/>
      <c r="FE534" s="62"/>
      <c r="FF534" s="62"/>
      <c r="FG534" s="62"/>
      <c r="FH534" s="62"/>
      <c r="FI534" s="62"/>
      <c r="FJ534" s="62"/>
      <c r="FK534" s="62"/>
      <c r="FL534" s="62"/>
      <c r="FM534" s="62"/>
      <c r="FN534" s="62"/>
      <c r="FO534" s="62"/>
      <c r="FP534" s="62"/>
      <c r="FQ534" s="62"/>
      <c r="FR534" s="62"/>
      <c r="FS534" s="62"/>
      <c r="FT534" s="62"/>
      <c r="FU534" s="62"/>
      <c r="FV534" s="62"/>
    </row>
    <row r="535" spans="1:178" ht="13.8">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62"/>
      <c r="CX535" s="62"/>
      <c r="CY535" s="62"/>
      <c r="CZ535" s="62"/>
      <c r="DA535" s="62"/>
      <c r="DB535" s="62"/>
      <c r="DC535" s="62"/>
      <c r="DD535" s="62"/>
      <c r="DE535" s="62"/>
      <c r="DF535" s="62"/>
      <c r="DG535" s="62"/>
      <c r="DH535" s="62"/>
      <c r="DI535" s="62"/>
      <c r="DJ535" s="62"/>
      <c r="DK535" s="62"/>
      <c r="DL535" s="62"/>
      <c r="DM535" s="62"/>
      <c r="DN535" s="62"/>
      <c r="DO535" s="62"/>
      <c r="DP535" s="62"/>
      <c r="DQ535" s="62"/>
      <c r="DR535" s="62"/>
      <c r="DS535" s="62"/>
      <c r="DT535" s="62"/>
      <c r="DU535" s="62"/>
      <c r="DV535" s="62"/>
      <c r="DW535" s="62"/>
      <c r="DX535" s="62"/>
      <c r="DY535" s="62"/>
      <c r="DZ535" s="62"/>
      <c r="EA535" s="62"/>
      <c r="EB535" s="62"/>
      <c r="EC535" s="62"/>
      <c r="ED535" s="62"/>
      <c r="EE535" s="62"/>
      <c r="EF535" s="62"/>
      <c r="EG535" s="62"/>
      <c r="EH535" s="62"/>
      <c r="EI535" s="62"/>
      <c r="EJ535" s="62"/>
      <c r="EK535" s="62"/>
      <c r="EL535" s="62"/>
      <c r="EM535" s="62"/>
      <c r="EN535" s="62"/>
      <c r="EO535" s="62"/>
      <c r="EP535" s="62"/>
      <c r="EQ535" s="62"/>
      <c r="ER535" s="62"/>
      <c r="ES535" s="62"/>
      <c r="ET535" s="62"/>
      <c r="EU535" s="62"/>
      <c r="EV535" s="62"/>
      <c r="EW535" s="62"/>
      <c r="EX535" s="62"/>
      <c r="EY535" s="62"/>
      <c r="EZ535" s="62"/>
      <c r="FA535" s="62"/>
      <c r="FB535" s="62"/>
      <c r="FC535" s="62"/>
      <c r="FD535" s="62"/>
      <c r="FE535" s="62"/>
      <c r="FF535" s="62"/>
      <c r="FG535" s="62"/>
      <c r="FH535" s="62"/>
      <c r="FI535" s="62"/>
      <c r="FJ535" s="62"/>
      <c r="FK535" s="62"/>
      <c r="FL535" s="62"/>
      <c r="FM535" s="62"/>
      <c r="FN535" s="62"/>
      <c r="FO535" s="62"/>
      <c r="FP535" s="62"/>
      <c r="FQ535" s="62"/>
      <c r="FR535" s="62"/>
      <c r="FS535" s="62"/>
      <c r="FT535" s="62"/>
      <c r="FU535" s="62"/>
      <c r="FV535" s="62"/>
    </row>
    <row r="536" spans="1:178" ht="13.8">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62"/>
      <c r="CX536" s="62"/>
      <c r="CY536" s="62"/>
      <c r="CZ536" s="62"/>
      <c r="DA536" s="62"/>
      <c r="DB536" s="62"/>
      <c r="DC536" s="62"/>
      <c r="DD536" s="62"/>
      <c r="DE536" s="62"/>
      <c r="DF536" s="62"/>
      <c r="DG536" s="62"/>
      <c r="DH536" s="62"/>
      <c r="DI536" s="62"/>
      <c r="DJ536" s="62"/>
      <c r="DK536" s="62"/>
      <c r="DL536" s="62"/>
      <c r="DM536" s="62"/>
      <c r="DN536" s="62"/>
      <c r="DO536" s="62"/>
      <c r="DP536" s="62"/>
      <c r="DQ536" s="62"/>
      <c r="DR536" s="62"/>
      <c r="DS536" s="62"/>
      <c r="DT536" s="62"/>
      <c r="DU536" s="62"/>
      <c r="DV536" s="62"/>
      <c r="DW536" s="62"/>
      <c r="DX536" s="62"/>
      <c r="DY536" s="62"/>
      <c r="DZ536" s="62"/>
      <c r="EA536" s="62"/>
      <c r="EB536" s="62"/>
      <c r="EC536" s="62"/>
      <c r="ED536" s="62"/>
      <c r="EE536" s="62"/>
      <c r="EF536" s="62"/>
      <c r="EG536" s="62"/>
      <c r="EH536" s="62"/>
      <c r="EI536" s="62"/>
      <c r="EJ536" s="62"/>
      <c r="EK536" s="62"/>
      <c r="EL536" s="62"/>
      <c r="EM536" s="62"/>
      <c r="EN536" s="62"/>
      <c r="EO536" s="62"/>
      <c r="EP536" s="62"/>
      <c r="EQ536" s="62"/>
      <c r="ER536" s="62"/>
      <c r="ES536" s="62"/>
      <c r="ET536" s="62"/>
      <c r="EU536" s="62"/>
      <c r="EV536" s="62"/>
      <c r="EW536" s="62"/>
      <c r="EX536" s="62"/>
      <c r="EY536" s="62"/>
      <c r="EZ536" s="62"/>
      <c r="FA536" s="62"/>
      <c r="FB536" s="62"/>
      <c r="FC536" s="62"/>
      <c r="FD536" s="62"/>
      <c r="FE536" s="62"/>
      <c r="FF536" s="62"/>
      <c r="FG536" s="62"/>
      <c r="FH536" s="62"/>
      <c r="FI536" s="62"/>
      <c r="FJ536" s="62"/>
      <c r="FK536" s="62"/>
      <c r="FL536" s="62"/>
      <c r="FM536" s="62"/>
      <c r="FN536" s="62"/>
      <c r="FO536" s="62"/>
      <c r="FP536" s="62"/>
      <c r="FQ536" s="62"/>
      <c r="FR536" s="62"/>
      <c r="FS536" s="62"/>
      <c r="FT536" s="62"/>
      <c r="FU536" s="62"/>
      <c r="FV536" s="62"/>
    </row>
    <row r="537" spans="1:178" ht="13.8">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62"/>
      <c r="CX537" s="62"/>
      <c r="CY537" s="62"/>
      <c r="CZ537" s="62"/>
      <c r="DA537" s="62"/>
      <c r="DB537" s="62"/>
      <c r="DC537" s="62"/>
      <c r="DD537" s="62"/>
      <c r="DE537" s="62"/>
      <c r="DF537" s="62"/>
      <c r="DG537" s="62"/>
      <c r="DH537" s="62"/>
      <c r="DI537" s="62"/>
      <c r="DJ537" s="62"/>
      <c r="DK537" s="62"/>
      <c r="DL537" s="62"/>
      <c r="DM537" s="62"/>
      <c r="DN537" s="62"/>
      <c r="DO537" s="62"/>
      <c r="DP537" s="62"/>
      <c r="DQ537" s="62"/>
      <c r="DR537" s="62"/>
      <c r="DS537" s="62"/>
      <c r="DT537" s="62"/>
      <c r="DU537" s="62"/>
      <c r="DV537" s="62"/>
      <c r="DW537" s="62"/>
      <c r="DX537" s="62"/>
      <c r="DY537" s="62"/>
      <c r="DZ537" s="62"/>
      <c r="EA537" s="62"/>
      <c r="EB537" s="62"/>
      <c r="EC537" s="62"/>
      <c r="ED537" s="62"/>
      <c r="EE537" s="62"/>
      <c r="EF537" s="62"/>
      <c r="EG537" s="62"/>
      <c r="EH537" s="62"/>
      <c r="EI537" s="62"/>
      <c r="EJ537" s="62"/>
      <c r="EK537" s="62"/>
      <c r="EL537" s="62"/>
      <c r="EM537" s="62"/>
      <c r="EN537" s="62"/>
      <c r="EO537" s="62"/>
      <c r="EP537" s="62"/>
      <c r="EQ537" s="62"/>
      <c r="ER537" s="62"/>
      <c r="ES537" s="62"/>
      <c r="ET537" s="62"/>
      <c r="EU537" s="62"/>
      <c r="EV537" s="62"/>
      <c r="EW537" s="62"/>
      <c r="EX537" s="62"/>
      <c r="EY537" s="62"/>
      <c r="EZ537" s="62"/>
      <c r="FA537" s="62"/>
      <c r="FB537" s="62"/>
      <c r="FC537" s="62"/>
      <c r="FD537" s="62"/>
      <c r="FE537" s="62"/>
      <c r="FF537" s="62"/>
      <c r="FG537" s="62"/>
      <c r="FH537" s="62"/>
      <c r="FI537" s="62"/>
      <c r="FJ537" s="62"/>
      <c r="FK537" s="62"/>
      <c r="FL537" s="62"/>
      <c r="FM537" s="62"/>
      <c r="FN537" s="62"/>
      <c r="FO537" s="62"/>
      <c r="FP537" s="62"/>
      <c r="FQ537" s="62"/>
      <c r="FR537" s="62"/>
      <c r="FS537" s="62"/>
      <c r="FT537" s="62"/>
      <c r="FU537" s="62"/>
      <c r="FV537" s="62"/>
    </row>
    <row r="538" spans="1:178" ht="1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62"/>
      <c r="CX538" s="62"/>
      <c r="CY538" s="62"/>
      <c r="CZ538" s="62"/>
      <c r="DA538" s="62"/>
      <c r="DB538" s="62"/>
      <c r="DC538" s="62"/>
      <c r="DD538" s="62"/>
      <c r="DE538" s="62"/>
      <c r="DF538" s="62"/>
      <c r="DG538" s="62"/>
      <c r="DH538" s="62"/>
      <c r="DI538" s="62"/>
      <c r="DJ538" s="62"/>
      <c r="DK538" s="62"/>
      <c r="DL538" s="62"/>
      <c r="DM538" s="62"/>
      <c r="DN538" s="62"/>
      <c r="DO538" s="62"/>
      <c r="DP538" s="62"/>
      <c r="DQ538" s="62"/>
      <c r="DR538" s="62"/>
      <c r="DS538" s="62"/>
      <c r="DT538" s="62"/>
      <c r="DU538" s="62"/>
      <c r="DV538" s="62"/>
      <c r="DW538" s="62"/>
      <c r="DX538" s="62"/>
      <c r="DY538" s="62"/>
      <c r="DZ538" s="62"/>
      <c r="EA538" s="62"/>
      <c r="EB538" s="62"/>
      <c r="EC538" s="62"/>
      <c r="ED538" s="62"/>
      <c r="EE538" s="62"/>
      <c r="EF538" s="62"/>
      <c r="EG538" s="62"/>
      <c r="EH538" s="62"/>
      <c r="EI538" s="62"/>
      <c r="EJ538" s="62"/>
      <c r="EK538" s="62"/>
      <c r="EL538" s="62"/>
      <c r="EM538" s="62"/>
      <c r="EN538" s="62"/>
      <c r="EO538" s="62"/>
      <c r="EP538" s="62"/>
      <c r="EQ538" s="62"/>
      <c r="ER538" s="62"/>
      <c r="ES538" s="62"/>
      <c r="ET538" s="62"/>
      <c r="EU538" s="62"/>
      <c r="EV538" s="62"/>
      <c r="EW538" s="62"/>
      <c r="EX538" s="62"/>
      <c r="EY538" s="62"/>
      <c r="EZ538" s="62"/>
      <c r="FA538" s="62"/>
      <c r="FB538" s="62"/>
      <c r="FC538" s="62"/>
      <c r="FD538" s="62"/>
      <c r="FE538" s="62"/>
      <c r="FF538" s="62"/>
      <c r="FG538" s="62"/>
      <c r="FH538" s="62"/>
      <c r="FI538" s="62"/>
      <c r="FJ538" s="62"/>
      <c r="FK538" s="62"/>
      <c r="FL538" s="62"/>
      <c r="FM538" s="62"/>
      <c r="FN538" s="62"/>
      <c r="FO538" s="62"/>
      <c r="FP538" s="62"/>
      <c r="FQ538" s="62"/>
      <c r="FR538" s="62"/>
      <c r="FS538" s="62"/>
      <c r="FT538" s="62"/>
      <c r="FU538" s="62"/>
      <c r="FV538" s="62"/>
    </row>
    <row r="539" spans="1:178" ht="13.8">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62"/>
      <c r="CX539" s="62"/>
      <c r="CY539" s="62"/>
      <c r="CZ539" s="62"/>
      <c r="DA539" s="62"/>
      <c r="DB539" s="62"/>
      <c r="DC539" s="62"/>
      <c r="DD539" s="62"/>
      <c r="DE539" s="62"/>
      <c r="DF539" s="62"/>
      <c r="DG539" s="62"/>
      <c r="DH539" s="62"/>
      <c r="DI539" s="62"/>
      <c r="DJ539" s="62"/>
      <c r="DK539" s="62"/>
      <c r="DL539" s="62"/>
      <c r="DM539" s="62"/>
      <c r="DN539" s="62"/>
      <c r="DO539" s="62"/>
      <c r="DP539" s="62"/>
      <c r="DQ539" s="62"/>
      <c r="DR539" s="62"/>
      <c r="DS539" s="62"/>
      <c r="DT539" s="62"/>
      <c r="DU539" s="62"/>
      <c r="DV539" s="62"/>
      <c r="DW539" s="62"/>
      <c r="DX539" s="62"/>
      <c r="DY539" s="62"/>
      <c r="DZ539" s="62"/>
      <c r="EA539" s="62"/>
      <c r="EB539" s="62"/>
      <c r="EC539" s="62"/>
      <c r="ED539" s="62"/>
      <c r="EE539" s="62"/>
      <c r="EF539" s="62"/>
      <c r="EG539" s="62"/>
      <c r="EH539" s="62"/>
      <c r="EI539" s="62"/>
      <c r="EJ539" s="62"/>
      <c r="EK539" s="62"/>
      <c r="EL539" s="62"/>
      <c r="EM539" s="62"/>
      <c r="EN539" s="62"/>
      <c r="EO539" s="62"/>
      <c r="EP539" s="62"/>
      <c r="EQ539" s="62"/>
      <c r="ER539" s="62"/>
      <c r="ES539" s="62"/>
      <c r="ET539" s="62"/>
      <c r="EU539" s="62"/>
      <c r="EV539" s="62"/>
      <c r="EW539" s="62"/>
      <c r="EX539" s="62"/>
      <c r="EY539" s="62"/>
      <c r="EZ539" s="62"/>
      <c r="FA539" s="62"/>
      <c r="FB539" s="62"/>
      <c r="FC539" s="62"/>
      <c r="FD539" s="62"/>
      <c r="FE539" s="62"/>
      <c r="FF539" s="62"/>
      <c r="FG539" s="62"/>
      <c r="FH539" s="62"/>
      <c r="FI539" s="62"/>
      <c r="FJ539" s="62"/>
      <c r="FK539" s="62"/>
      <c r="FL539" s="62"/>
      <c r="FM539" s="62"/>
      <c r="FN539" s="62"/>
      <c r="FO539" s="62"/>
      <c r="FP539" s="62"/>
      <c r="FQ539" s="62"/>
      <c r="FR539" s="62"/>
      <c r="FS539" s="62"/>
      <c r="FT539" s="62"/>
      <c r="FU539" s="62"/>
      <c r="FV539" s="62"/>
    </row>
    <row r="540" spans="1:178" ht="13.8">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62"/>
      <c r="CX540" s="62"/>
      <c r="CY540" s="62"/>
      <c r="CZ540" s="62"/>
      <c r="DA540" s="62"/>
      <c r="DB540" s="62"/>
      <c r="DC540" s="62"/>
      <c r="DD540" s="62"/>
      <c r="DE540" s="62"/>
      <c r="DF540" s="62"/>
      <c r="DG540" s="62"/>
      <c r="DH540" s="62"/>
      <c r="DI540" s="62"/>
      <c r="DJ540" s="62"/>
      <c r="DK540" s="62"/>
      <c r="DL540" s="62"/>
      <c r="DM540" s="62"/>
      <c r="DN540" s="62"/>
      <c r="DO540" s="62"/>
      <c r="DP540" s="62"/>
      <c r="DQ540" s="62"/>
      <c r="DR540" s="62"/>
      <c r="DS540" s="62"/>
      <c r="DT540" s="62"/>
      <c r="DU540" s="62"/>
      <c r="DV540" s="62"/>
      <c r="DW540" s="62"/>
      <c r="DX540" s="62"/>
      <c r="DY540" s="62"/>
      <c r="DZ540" s="62"/>
      <c r="EA540" s="62"/>
      <c r="EB540" s="62"/>
      <c r="EC540" s="62"/>
      <c r="ED540" s="62"/>
      <c r="EE540" s="62"/>
      <c r="EF540" s="62"/>
      <c r="EG540" s="62"/>
      <c r="EH540" s="62"/>
      <c r="EI540" s="62"/>
      <c r="EJ540" s="62"/>
      <c r="EK540" s="62"/>
      <c r="EL540" s="62"/>
      <c r="EM540" s="62"/>
      <c r="EN540" s="62"/>
      <c r="EO540" s="62"/>
      <c r="EP540" s="62"/>
      <c r="EQ540" s="62"/>
      <c r="ER540" s="62"/>
      <c r="ES540" s="62"/>
      <c r="ET540" s="62"/>
      <c r="EU540" s="62"/>
      <c r="EV540" s="62"/>
      <c r="EW540" s="62"/>
      <c r="EX540" s="62"/>
      <c r="EY540" s="62"/>
      <c r="EZ540" s="62"/>
      <c r="FA540" s="62"/>
      <c r="FB540" s="62"/>
      <c r="FC540" s="62"/>
      <c r="FD540" s="62"/>
      <c r="FE540" s="62"/>
      <c r="FF540" s="62"/>
      <c r="FG540" s="62"/>
      <c r="FH540" s="62"/>
      <c r="FI540" s="62"/>
      <c r="FJ540" s="62"/>
      <c r="FK540" s="62"/>
      <c r="FL540" s="62"/>
      <c r="FM540" s="62"/>
      <c r="FN540" s="62"/>
      <c r="FO540" s="62"/>
      <c r="FP540" s="62"/>
      <c r="FQ540" s="62"/>
      <c r="FR540" s="62"/>
      <c r="FS540" s="62"/>
      <c r="FT540" s="62"/>
      <c r="FU540" s="62"/>
      <c r="FV540" s="62"/>
    </row>
    <row r="541" spans="1:178" ht="13.8">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62"/>
      <c r="CX541" s="62"/>
      <c r="CY541" s="62"/>
      <c r="CZ541" s="62"/>
      <c r="DA541" s="62"/>
      <c r="DB541" s="62"/>
      <c r="DC541" s="62"/>
      <c r="DD541" s="62"/>
      <c r="DE541" s="62"/>
      <c r="DF541" s="62"/>
      <c r="DG541" s="62"/>
      <c r="DH541" s="62"/>
      <c r="DI541" s="62"/>
      <c r="DJ541" s="62"/>
      <c r="DK541" s="62"/>
      <c r="DL541" s="62"/>
      <c r="DM541" s="62"/>
      <c r="DN541" s="62"/>
      <c r="DO541" s="62"/>
      <c r="DP541" s="62"/>
      <c r="DQ541" s="62"/>
      <c r="DR541" s="62"/>
      <c r="DS541" s="62"/>
      <c r="DT541" s="62"/>
      <c r="DU541" s="62"/>
      <c r="DV541" s="62"/>
      <c r="DW541" s="62"/>
      <c r="DX541" s="62"/>
      <c r="DY541" s="62"/>
      <c r="DZ541" s="62"/>
      <c r="EA541" s="62"/>
      <c r="EB541" s="62"/>
      <c r="EC541" s="62"/>
      <c r="ED541" s="62"/>
      <c r="EE541" s="62"/>
      <c r="EF541" s="62"/>
      <c r="EG541" s="62"/>
      <c r="EH541" s="62"/>
      <c r="EI541" s="62"/>
      <c r="EJ541" s="62"/>
      <c r="EK541" s="62"/>
      <c r="EL541" s="62"/>
      <c r="EM541" s="62"/>
      <c r="EN541" s="62"/>
      <c r="EO541" s="62"/>
      <c r="EP541" s="62"/>
      <c r="EQ541" s="62"/>
      <c r="ER541" s="62"/>
      <c r="ES541" s="62"/>
      <c r="ET541" s="62"/>
      <c r="EU541" s="62"/>
      <c r="EV541" s="62"/>
      <c r="EW541" s="62"/>
      <c r="EX541" s="62"/>
      <c r="EY541" s="62"/>
      <c r="EZ541" s="62"/>
      <c r="FA541" s="62"/>
      <c r="FB541" s="62"/>
      <c r="FC541" s="62"/>
      <c r="FD541" s="62"/>
      <c r="FE541" s="62"/>
      <c r="FF541" s="62"/>
      <c r="FG541" s="62"/>
      <c r="FH541" s="62"/>
      <c r="FI541" s="62"/>
      <c r="FJ541" s="62"/>
      <c r="FK541" s="62"/>
      <c r="FL541" s="62"/>
      <c r="FM541" s="62"/>
      <c r="FN541" s="62"/>
      <c r="FO541" s="62"/>
      <c r="FP541" s="62"/>
      <c r="FQ541" s="62"/>
      <c r="FR541" s="62"/>
      <c r="FS541" s="62"/>
      <c r="FT541" s="62"/>
      <c r="FU541" s="62"/>
      <c r="FV541" s="62"/>
    </row>
    <row r="542" spans="1:178" ht="13.8">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62"/>
      <c r="CX542" s="62"/>
      <c r="CY542" s="62"/>
      <c r="CZ542" s="62"/>
      <c r="DA542" s="62"/>
      <c r="DB542" s="62"/>
      <c r="DC542" s="62"/>
      <c r="DD542" s="62"/>
      <c r="DE542" s="62"/>
      <c r="DF542" s="62"/>
      <c r="DG542" s="62"/>
      <c r="DH542" s="62"/>
      <c r="DI542" s="62"/>
      <c r="DJ542" s="62"/>
      <c r="DK542" s="62"/>
      <c r="DL542" s="62"/>
      <c r="DM542" s="62"/>
      <c r="DN542" s="62"/>
      <c r="DO542" s="62"/>
      <c r="DP542" s="62"/>
      <c r="DQ542" s="62"/>
      <c r="DR542" s="62"/>
      <c r="DS542" s="62"/>
      <c r="DT542" s="62"/>
      <c r="DU542" s="62"/>
      <c r="DV542" s="62"/>
      <c r="DW542" s="62"/>
      <c r="DX542" s="62"/>
      <c r="DY542" s="62"/>
      <c r="DZ542" s="62"/>
      <c r="EA542" s="62"/>
      <c r="EB542" s="62"/>
      <c r="EC542" s="62"/>
      <c r="ED542" s="62"/>
      <c r="EE542" s="62"/>
      <c r="EF542" s="62"/>
      <c r="EG542" s="62"/>
      <c r="EH542" s="62"/>
      <c r="EI542" s="62"/>
      <c r="EJ542" s="62"/>
      <c r="EK542" s="62"/>
      <c r="EL542" s="62"/>
      <c r="EM542" s="62"/>
      <c r="EN542" s="62"/>
      <c r="EO542" s="62"/>
      <c r="EP542" s="62"/>
      <c r="EQ542" s="62"/>
      <c r="ER542" s="62"/>
      <c r="ES542" s="62"/>
      <c r="ET542" s="62"/>
      <c r="EU542" s="62"/>
      <c r="EV542" s="62"/>
      <c r="EW542" s="62"/>
      <c r="EX542" s="62"/>
      <c r="EY542" s="62"/>
      <c r="EZ542" s="62"/>
      <c r="FA542" s="62"/>
      <c r="FB542" s="62"/>
      <c r="FC542" s="62"/>
      <c r="FD542" s="62"/>
      <c r="FE542" s="62"/>
      <c r="FF542" s="62"/>
      <c r="FG542" s="62"/>
      <c r="FH542" s="62"/>
      <c r="FI542" s="62"/>
      <c r="FJ542" s="62"/>
      <c r="FK542" s="62"/>
      <c r="FL542" s="62"/>
      <c r="FM542" s="62"/>
      <c r="FN542" s="62"/>
      <c r="FO542" s="62"/>
      <c r="FP542" s="62"/>
      <c r="FQ542" s="62"/>
      <c r="FR542" s="62"/>
      <c r="FS542" s="62"/>
      <c r="FT542" s="62"/>
      <c r="FU542" s="62"/>
      <c r="FV542" s="62"/>
    </row>
    <row r="543" spans="1:178" ht="13.8">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c r="CC543" s="62"/>
      <c r="CD543" s="62"/>
      <c r="CE543" s="62"/>
      <c r="CF543" s="62"/>
      <c r="CG543" s="62"/>
      <c r="CH543" s="62"/>
      <c r="CI543" s="62"/>
      <c r="CJ543" s="62"/>
      <c r="CK543" s="62"/>
      <c r="CL543" s="62"/>
      <c r="CM543" s="62"/>
      <c r="CN543" s="62"/>
      <c r="CO543" s="62"/>
      <c r="CP543" s="62"/>
      <c r="CQ543" s="62"/>
      <c r="CR543" s="62"/>
      <c r="CS543" s="62"/>
      <c r="CT543" s="62"/>
      <c r="CU543" s="62"/>
      <c r="CV543" s="62"/>
      <c r="CW543" s="62"/>
      <c r="CX543" s="62"/>
      <c r="CY543" s="62"/>
      <c r="CZ543" s="62"/>
      <c r="DA543" s="62"/>
      <c r="DB543" s="62"/>
      <c r="DC543" s="62"/>
      <c r="DD543" s="62"/>
      <c r="DE543" s="62"/>
      <c r="DF543" s="62"/>
      <c r="DG543" s="62"/>
      <c r="DH543" s="62"/>
      <c r="DI543" s="62"/>
      <c r="DJ543" s="62"/>
      <c r="DK543" s="62"/>
      <c r="DL543" s="62"/>
      <c r="DM543" s="62"/>
      <c r="DN543" s="62"/>
      <c r="DO543" s="62"/>
      <c r="DP543" s="62"/>
      <c r="DQ543" s="62"/>
      <c r="DR543" s="62"/>
      <c r="DS543" s="62"/>
      <c r="DT543" s="62"/>
      <c r="DU543" s="62"/>
      <c r="DV543" s="62"/>
      <c r="DW543" s="62"/>
      <c r="DX543" s="62"/>
      <c r="DY543" s="62"/>
      <c r="DZ543" s="62"/>
      <c r="EA543" s="62"/>
      <c r="EB543" s="62"/>
      <c r="EC543" s="62"/>
      <c r="ED543" s="62"/>
      <c r="EE543" s="62"/>
      <c r="EF543" s="62"/>
      <c r="EG543" s="62"/>
      <c r="EH543" s="62"/>
      <c r="EI543" s="62"/>
      <c r="EJ543" s="62"/>
      <c r="EK543" s="62"/>
      <c r="EL543" s="62"/>
      <c r="EM543" s="62"/>
      <c r="EN543" s="62"/>
      <c r="EO543" s="62"/>
      <c r="EP543" s="62"/>
      <c r="EQ543" s="62"/>
      <c r="ER543" s="62"/>
      <c r="ES543" s="62"/>
      <c r="ET543" s="62"/>
      <c r="EU543" s="62"/>
      <c r="EV543" s="62"/>
      <c r="EW543" s="62"/>
      <c r="EX543" s="62"/>
      <c r="EY543" s="62"/>
      <c r="EZ543" s="62"/>
      <c r="FA543" s="62"/>
      <c r="FB543" s="62"/>
      <c r="FC543" s="62"/>
      <c r="FD543" s="62"/>
      <c r="FE543" s="62"/>
      <c r="FF543" s="62"/>
      <c r="FG543" s="62"/>
      <c r="FH543" s="62"/>
      <c r="FI543" s="62"/>
      <c r="FJ543" s="62"/>
      <c r="FK543" s="62"/>
      <c r="FL543" s="62"/>
      <c r="FM543" s="62"/>
      <c r="FN543" s="62"/>
      <c r="FO543" s="62"/>
      <c r="FP543" s="62"/>
      <c r="FQ543" s="62"/>
      <c r="FR543" s="62"/>
      <c r="FS543" s="62"/>
      <c r="FT543" s="62"/>
      <c r="FU543" s="62"/>
      <c r="FV543" s="62"/>
    </row>
    <row r="544" spans="1:178" ht="13.8">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2"/>
      <c r="EX544" s="62"/>
      <c r="EY544" s="62"/>
      <c r="EZ544" s="62"/>
      <c r="FA544" s="62"/>
      <c r="FB544" s="62"/>
      <c r="FC544" s="62"/>
      <c r="FD544" s="62"/>
      <c r="FE544" s="62"/>
      <c r="FF544" s="62"/>
      <c r="FG544" s="62"/>
      <c r="FH544" s="62"/>
      <c r="FI544" s="62"/>
      <c r="FJ544" s="62"/>
      <c r="FK544" s="62"/>
      <c r="FL544" s="62"/>
      <c r="FM544" s="62"/>
      <c r="FN544" s="62"/>
      <c r="FO544" s="62"/>
      <c r="FP544" s="62"/>
      <c r="FQ544" s="62"/>
      <c r="FR544" s="62"/>
      <c r="FS544" s="62"/>
      <c r="FT544" s="62"/>
      <c r="FU544" s="62"/>
      <c r="FV544" s="62"/>
    </row>
    <row r="545" spans="1:178" ht="13.8">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c r="AY545" s="62"/>
      <c r="AZ545" s="62"/>
      <c r="BA545" s="62"/>
      <c r="BB545" s="62"/>
      <c r="BC545" s="62"/>
      <c r="BD545" s="62"/>
      <c r="BE545" s="62"/>
      <c r="BF545" s="62"/>
      <c r="BG545" s="62"/>
      <c r="BH545" s="62"/>
      <c r="BI545" s="62"/>
      <c r="BJ545" s="62"/>
      <c r="BK545" s="62"/>
      <c r="BL545" s="62"/>
      <c r="BM545" s="62"/>
      <c r="BN545" s="62"/>
      <c r="BO545" s="62"/>
      <c r="BP545" s="62"/>
      <c r="BQ545" s="62"/>
      <c r="BR545" s="62"/>
      <c r="BS545" s="62"/>
      <c r="BT545" s="62"/>
      <c r="BU545" s="62"/>
      <c r="BV545" s="62"/>
      <c r="BW545" s="62"/>
      <c r="BX545" s="62"/>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DD545" s="62"/>
      <c r="DE545" s="62"/>
      <c r="DF545" s="62"/>
      <c r="DG545" s="62"/>
      <c r="DH545" s="62"/>
      <c r="DI545" s="62"/>
      <c r="DJ545" s="62"/>
      <c r="DK545" s="62"/>
      <c r="DL545" s="62"/>
      <c r="DM545" s="62"/>
      <c r="DN545" s="62"/>
      <c r="DO545" s="62"/>
      <c r="DP545" s="62"/>
      <c r="DQ545" s="62"/>
      <c r="DR545" s="62"/>
      <c r="DS545" s="62"/>
      <c r="DT545" s="62"/>
      <c r="DU545" s="62"/>
      <c r="DV545" s="62"/>
      <c r="DW545" s="62"/>
      <c r="DX545" s="62"/>
      <c r="DY545" s="62"/>
      <c r="DZ545" s="62"/>
      <c r="EA545" s="62"/>
      <c r="EB545" s="62"/>
      <c r="EC545" s="62"/>
      <c r="ED545" s="62"/>
      <c r="EE545" s="62"/>
      <c r="EF545" s="62"/>
      <c r="EG545" s="62"/>
      <c r="EH545" s="62"/>
      <c r="EI545" s="62"/>
      <c r="EJ545" s="62"/>
      <c r="EK545" s="62"/>
      <c r="EL545" s="62"/>
      <c r="EM545" s="62"/>
      <c r="EN545" s="62"/>
      <c r="EO545" s="62"/>
      <c r="EP545" s="62"/>
      <c r="EQ545" s="62"/>
      <c r="ER545" s="62"/>
      <c r="ES545" s="62"/>
      <c r="ET545" s="62"/>
      <c r="EU545" s="62"/>
      <c r="EV545" s="62"/>
      <c r="EW545" s="62"/>
      <c r="EX545" s="62"/>
      <c r="EY545" s="62"/>
      <c r="EZ545" s="62"/>
      <c r="FA545" s="62"/>
      <c r="FB545" s="62"/>
      <c r="FC545" s="62"/>
      <c r="FD545" s="62"/>
      <c r="FE545" s="62"/>
      <c r="FF545" s="62"/>
      <c r="FG545" s="62"/>
      <c r="FH545" s="62"/>
      <c r="FI545" s="62"/>
      <c r="FJ545" s="62"/>
      <c r="FK545" s="62"/>
      <c r="FL545" s="62"/>
      <c r="FM545" s="62"/>
      <c r="FN545" s="62"/>
      <c r="FO545" s="62"/>
      <c r="FP545" s="62"/>
      <c r="FQ545" s="62"/>
      <c r="FR545" s="62"/>
      <c r="FS545" s="62"/>
      <c r="FT545" s="62"/>
      <c r="FU545" s="62"/>
      <c r="FV545" s="62"/>
    </row>
    <row r="546" spans="1:178" ht="13.8">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c r="AY546" s="62"/>
      <c r="AZ546" s="62"/>
      <c r="BA546" s="62"/>
      <c r="BB546" s="62"/>
      <c r="BC546" s="62"/>
      <c r="BD546" s="62"/>
      <c r="BE546" s="62"/>
      <c r="BF546" s="62"/>
      <c r="BG546" s="62"/>
      <c r="BH546" s="62"/>
      <c r="BI546" s="62"/>
      <c r="BJ546" s="62"/>
      <c r="BK546" s="62"/>
      <c r="BL546" s="62"/>
      <c r="BM546" s="62"/>
      <c r="BN546" s="62"/>
      <c r="BO546" s="62"/>
      <c r="BP546" s="62"/>
      <c r="BQ546" s="62"/>
      <c r="BR546" s="62"/>
      <c r="BS546" s="62"/>
      <c r="BT546" s="62"/>
      <c r="BU546" s="62"/>
      <c r="BV546" s="62"/>
      <c r="BW546" s="62"/>
      <c r="BX546" s="62"/>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62"/>
      <c r="CX546" s="62"/>
      <c r="CY546" s="62"/>
      <c r="CZ546" s="62"/>
      <c r="DA546" s="62"/>
      <c r="DB546" s="62"/>
      <c r="DC546" s="62"/>
      <c r="DD546" s="62"/>
      <c r="DE546" s="62"/>
      <c r="DF546" s="62"/>
      <c r="DG546" s="62"/>
      <c r="DH546" s="62"/>
      <c r="DI546" s="62"/>
      <c r="DJ546" s="62"/>
      <c r="DK546" s="62"/>
      <c r="DL546" s="62"/>
      <c r="DM546" s="62"/>
      <c r="DN546" s="62"/>
      <c r="DO546" s="62"/>
      <c r="DP546" s="62"/>
      <c r="DQ546" s="62"/>
      <c r="DR546" s="62"/>
      <c r="DS546" s="62"/>
      <c r="DT546" s="62"/>
      <c r="DU546" s="62"/>
      <c r="DV546" s="62"/>
      <c r="DW546" s="62"/>
      <c r="DX546" s="62"/>
      <c r="DY546" s="62"/>
      <c r="DZ546" s="62"/>
      <c r="EA546" s="62"/>
      <c r="EB546" s="62"/>
      <c r="EC546" s="62"/>
      <c r="ED546" s="62"/>
      <c r="EE546" s="62"/>
      <c r="EF546" s="62"/>
      <c r="EG546" s="62"/>
      <c r="EH546" s="62"/>
      <c r="EI546" s="62"/>
      <c r="EJ546" s="62"/>
      <c r="EK546" s="62"/>
      <c r="EL546" s="62"/>
      <c r="EM546" s="62"/>
      <c r="EN546" s="62"/>
      <c r="EO546" s="62"/>
      <c r="EP546" s="62"/>
      <c r="EQ546" s="62"/>
      <c r="ER546" s="62"/>
      <c r="ES546" s="62"/>
      <c r="ET546" s="62"/>
      <c r="EU546" s="62"/>
      <c r="EV546" s="62"/>
      <c r="EW546" s="62"/>
      <c r="EX546" s="62"/>
      <c r="EY546" s="62"/>
      <c r="EZ546" s="62"/>
      <c r="FA546" s="62"/>
      <c r="FB546" s="62"/>
      <c r="FC546" s="62"/>
      <c r="FD546" s="62"/>
      <c r="FE546" s="62"/>
      <c r="FF546" s="62"/>
      <c r="FG546" s="62"/>
      <c r="FH546" s="62"/>
      <c r="FI546" s="62"/>
      <c r="FJ546" s="62"/>
      <c r="FK546" s="62"/>
      <c r="FL546" s="62"/>
      <c r="FM546" s="62"/>
      <c r="FN546" s="62"/>
      <c r="FO546" s="62"/>
      <c r="FP546" s="62"/>
      <c r="FQ546" s="62"/>
      <c r="FR546" s="62"/>
      <c r="FS546" s="62"/>
      <c r="FT546" s="62"/>
      <c r="FU546" s="62"/>
      <c r="FV546" s="62"/>
    </row>
    <row r="547" spans="1:178" ht="13.8">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c r="BM547" s="62"/>
      <c r="BN547" s="62"/>
      <c r="BO547" s="62"/>
      <c r="BP547" s="62"/>
      <c r="BQ547" s="62"/>
      <c r="BR547" s="62"/>
      <c r="BS547" s="62"/>
      <c r="BT547" s="62"/>
      <c r="BU547" s="62"/>
      <c r="BV547" s="62"/>
      <c r="BW547" s="62"/>
      <c r="BX547" s="62"/>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62"/>
      <c r="CX547" s="62"/>
      <c r="CY547" s="62"/>
      <c r="CZ547" s="62"/>
      <c r="DA547" s="62"/>
      <c r="DB547" s="62"/>
      <c r="DC547" s="62"/>
      <c r="DD547" s="62"/>
      <c r="DE547" s="62"/>
      <c r="DF547" s="62"/>
      <c r="DG547" s="62"/>
      <c r="DH547" s="62"/>
      <c r="DI547" s="62"/>
      <c r="DJ547" s="62"/>
      <c r="DK547" s="62"/>
      <c r="DL547" s="62"/>
      <c r="DM547" s="62"/>
      <c r="DN547" s="62"/>
      <c r="DO547" s="62"/>
      <c r="DP547" s="62"/>
      <c r="DQ547" s="62"/>
      <c r="DR547" s="62"/>
      <c r="DS547" s="62"/>
      <c r="DT547" s="62"/>
      <c r="DU547" s="62"/>
      <c r="DV547" s="62"/>
      <c r="DW547" s="62"/>
      <c r="DX547" s="62"/>
      <c r="DY547" s="62"/>
      <c r="DZ547" s="62"/>
      <c r="EA547" s="62"/>
      <c r="EB547" s="62"/>
      <c r="EC547" s="62"/>
      <c r="ED547" s="62"/>
      <c r="EE547" s="62"/>
      <c r="EF547" s="62"/>
      <c r="EG547" s="62"/>
      <c r="EH547" s="62"/>
      <c r="EI547" s="62"/>
      <c r="EJ547" s="62"/>
      <c r="EK547" s="62"/>
      <c r="EL547" s="62"/>
      <c r="EM547" s="62"/>
      <c r="EN547" s="62"/>
      <c r="EO547" s="62"/>
      <c r="EP547" s="62"/>
      <c r="EQ547" s="62"/>
      <c r="ER547" s="62"/>
      <c r="ES547" s="62"/>
      <c r="ET547" s="62"/>
      <c r="EU547" s="62"/>
      <c r="EV547" s="62"/>
      <c r="EW547" s="62"/>
      <c r="EX547" s="62"/>
      <c r="EY547" s="62"/>
      <c r="EZ547" s="62"/>
      <c r="FA547" s="62"/>
      <c r="FB547" s="62"/>
      <c r="FC547" s="62"/>
      <c r="FD547" s="62"/>
      <c r="FE547" s="62"/>
      <c r="FF547" s="62"/>
      <c r="FG547" s="62"/>
      <c r="FH547" s="62"/>
      <c r="FI547" s="62"/>
      <c r="FJ547" s="62"/>
      <c r="FK547" s="62"/>
      <c r="FL547" s="62"/>
      <c r="FM547" s="62"/>
      <c r="FN547" s="62"/>
      <c r="FO547" s="62"/>
      <c r="FP547" s="62"/>
      <c r="FQ547" s="62"/>
      <c r="FR547" s="62"/>
      <c r="FS547" s="62"/>
      <c r="FT547" s="62"/>
      <c r="FU547" s="62"/>
      <c r="FV547" s="62"/>
    </row>
    <row r="548" spans="1:178" ht="13.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c r="BM548" s="62"/>
      <c r="BN548" s="62"/>
      <c r="BO548" s="62"/>
      <c r="BP548" s="62"/>
      <c r="BQ548" s="62"/>
      <c r="BR548" s="62"/>
      <c r="BS548" s="62"/>
      <c r="BT548" s="62"/>
      <c r="BU548" s="62"/>
      <c r="BV548" s="62"/>
      <c r="BW548" s="62"/>
      <c r="BX548" s="62"/>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62"/>
      <c r="CX548" s="62"/>
      <c r="CY548" s="62"/>
      <c r="CZ548" s="62"/>
      <c r="DA548" s="62"/>
      <c r="DB548" s="62"/>
      <c r="DC548" s="62"/>
      <c r="DD548" s="62"/>
      <c r="DE548" s="62"/>
      <c r="DF548" s="62"/>
      <c r="DG548" s="62"/>
      <c r="DH548" s="62"/>
      <c r="DI548" s="62"/>
      <c r="DJ548" s="62"/>
      <c r="DK548" s="62"/>
      <c r="DL548" s="62"/>
      <c r="DM548" s="62"/>
      <c r="DN548" s="62"/>
      <c r="DO548" s="62"/>
      <c r="DP548" s="62"/>
      <c r="DQ548" s="62"/>
      <c r="DR548" s="62"/>
      <c r="DS548" s="62"/>
      <c r="DT548" s="62"/>
      <c r="DU548" s="62"/>
      <c r="DV548" s="62"/>
      <c r="DW548" s="62"/>
      <c r="DX548" s="62"/>
      <c r="DY548" s="62"/>
      <c r="DZ548" s="62"/>
      <c r="EA548" s="62"/>
      <c r="EB548" s="62"/>
      <c r="EC548" s="62"/>
      <c r="ED548" s="62"/>
      <c r="EE548" s="62"/>
      <c r="EF548" s="62"/>
      <c r="EG548" s="62"/>
      <c r="EH548" s="62"/>
      <c r="EI548" s="62"/>
      <c r="EJ548" s="62"/>
      <c r="EK548" s="62"/>
      <c r="EL548" s="62"/>
      <c r="EM548" s="62"/>
      <c r="EN548" s="62"/>
      <c r="EO548" s="62"/>
      <c r="EP548" s="62"/>
      <c r="EQ548" s="62"/>
      <c r="ER548" s="62"/>
      <c r="ES548" s="62"/>
      <c r="ET548" s="62"/>
      <c r="EU548" s="62"/>
      <c r="EV548" s="62"/>
      <c r="EW548" s="62"/>
      <c r="EX548" s="62"/>
      <c r="EY548" s="62"/>
      <c r="EZ548" s="62"/>
      <c r="FA548" s="62"/>
      <c r="FB548" s="62"/>
      <c r="FC548" s="62"/>
      <c r="FD548" s="62"/>
      <c r="FE548" s="62"/>
      <c r="FF548" s="62"/>
      <c r="FG548" s="62"/>
      <c r="FH548" s="62"/>
      <c r="FI548" s="62"/>
      <c r="FJ548" s="62"/>
      <c r="FK548" s="62"/>
      <c r="FL548" s="62"/>
      <c r="FM548" s="62"/>
      <c r="FN548" s="62"/>
      <c r="FO548" s="62"/>
      <c r="FP548" s="62"/>
      <c r="FQ548" s="62"/>
      <c r="FR548" s="62"/>
      <c r="FS548" s="62"/>
      <c r="FT548" s="62"/>
      <c r="FU548" s="62"/>
      <c r="FV548" s="62"/>
    </row>
    <row r="549" spans="1:178" ht="13.8">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c r="AY549" s="62"/>
      <c r="AZ549" s="62"/>
      <c r="BA549" s="62"/>
      <c r="BB549" s="62"/>
      <c r="BC549" s="62"/>
      <c r="BD549" s="62"/>
      <c r="BE549" s="62"/>
      <c r="BF549" s="62"/>
      <c r="BG549" s="62"/>
      <c r="BH549" s="62"/>
      <c r="BI549" s="62"/>
      <c r="BJ549" s="62"/>
      <c r="BK549" s="62"/>
      <c r="BL549" s="62"/>
      <c r="BM549" s="62"/>
      <c r="BN549" s="62"/>
      <c r="BO549" s="62"/>
      <c r="BP549" s="62"/>
      <c r="BQ549" s="62"/>
      <c r="BR549" s="62"/>
      <c r="BS549" s="62"/>
      <c r="BT549" s="62"/>
      <c r="BU549" s="62"/>
      <c r="BV549" s="62"/>
      <c r="BW549" s="62"/>
      <c r="BX549" s="62"/>
      <c r="BY549" s="62"/>
      <c r="BZ549" s="62"/>
      <c r="CA549" s="62"/>
      <c r="CB549" s="62"/>
      <c r="CC549" s="62"/>
      <c r="CD549" s="62"/>
      <c r="CE549" s="62"/>
      <c r="CF549" s="62"/>
      <c r="CG549" s="62"/>
      <c r="CH549" s="62"/>
      <c r="CI549" s="62"/>
      <c r="CJ549" s="62"/>
      <c r="CK549" s="62"/>
      <c r="CL549" s="62"/>
      <c r="CM549" s="62"/>
      <c r="CN549" s="62"/>
      <c r="CO549" s="62"/>
      <c r="CP549" s="62"/>
      <c r="CQ549" s="62"/>
      <c r="CR549" s="62"/>
      <c r="CS549" s="62"/>
      <c r="CT549" s="62"/>
      <c r="CU549" s="62"/>
      <c r="CV549" s="62"/>
      <c r="CW549" s="62"/>
      <c r="CX549" s="62"/>
      <c r="CY549" s="62"/>
      <c r="CZ549" s="62"/>
      <c r="DA549" s="62"/>
      <c r="DB549" s="62"/>
      <c r="DC549" s="62"/>
      <c r="DD549" s="62"/>
      <c r="DE549" s="62"/>
      <c r="DF549" s="62"/>
      <c r="DG549" s="62"/>
      <c r="DH549" s="62"/>
      <c r="DI549" s="62"/>
      <c r="DJ549" s="62"/>
      <c r="DK549" s="62"/>
      <c r="DL549" s="62"/>
      <c r="DM549" s="62"/>
      <c r="DN549" s="62"/>
      <c r="DO549" s="62"/>
      <c r="DP549" s="62"/>
      <c r="DQ549" s="62"/>
      <c r="DR549" s="62"/>
      <c r="DS549" s="62"/>
      <c r="DT549" s="62"/>
      <c r="DU549" s="62"/>
      <c r="DV549" s="62"/>
      <c r="DW549" s="62"/>
      <c r="DX549" s="62"/>
      <c r="DY549" s="62"/>
      <c r="DZ549" s="62"/>
      <c r="EA549" s="62"/>
      <c r="EB549" s="62"/>
      <c r="EC549" s="62"/>
      <c r="ED549" s="62"/>
      <c r="EE549" s="62"/>
      <c r="EF549" s="62"/>
      <c r="EG549" s="62"/>
      <c r="EH549" s="62"/>
      <c r="EI549" s="62"/>
      <c r="EJ549" s="62"/>
      <c r="EK549" s="62"/>
      <c r="EL549" s="62"/>
      <c r="EM549" s="62"/>
      <c r="EN549" s="62"/>
      <c r="EO549" s="62"/>
      <c r="EP549" s="62"/>
      <c r="EQ549" s="62"/>
      <c r="ER549" s="62"/>
      <c r="ES549" s="62"/>
      <c r="ET549" s="62"/>
      <c r="EU549" s="62"/>
      <c r="EV549" s="62"/>
      <c r="EW549" s="62"/>
      <c r="EX549" s="62"/>
      <c r="EY549" s="62"/>
      <c r="EZ549" s="62"/>
      <c r="FA549" s="62"/>
      <c r="FB549" s="62"/>
      <c r="FC549" s="62"/>
      <c r="FD549" s="62"/>
      <c r="FE549" s="62"/>
      <c r="FF549" s="62"/>
      <c r="FG549" s="62"/>
      <c r="FH549" s="62"/>
      <c r="FI549" s="62"/>
      <c r="FJ549" s="62"/>
      <c r="FK549" s="62"/>
      <c r="FL549" s="62"/>
      <c r="FM549" s="62"/>
      <c r="FN549" s="62"/>
      <c r="FO549" s="62"/>
      <c r="FP549" s="62"/>
      <c r="FQ549" s="62"/>
      <c r="FR549" s="62"/>
      <c r="FS549" s="62"/>
      <c r="FT549" s="62"/>
      <c r="FU549" s="62"/>
      <c r="FV549" s="62"/>
    </row>
    <row r="550" spans="1:178" ht="13.8">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c r="AY550" s="62"/>
      <c r="AZ550" s="62"/>
      <c r="BA550" s="62"/>
      <c r="BB550" s="62"/>
      <c r="BC550" s="62"/>
      <c r="BD550" s="62"/>
      <c r="BE550" s="62"/>
      <c r="BF550" s="62"/>
      <c r="BG550" s="62"/>
      <c r="BH550" s="62"/>
      <c r="BI550" s="62"/>
      <c r="BJ550" s="62"/>
      <c r="BK550" s="62"/>
      <c r="BL550" s="62"/>
      <c r="BM550" s="62"/>
      <c r="BN550" s="62"/>
      <c r="BO550" s="62"/>
      <c r="BP550" s="62"/>
      <c r="BQ550" s="62"/>
      <c r="BR550" s="62"/>
      <c r="BS550" s="62"/>
      <c r="BT550" s="62"/>
      <c r="BU550" s="62"/>
      <c r="BV550" s="62"/>
      <c r="BW550" s="62"/>
      <c r="BX550" s="62"/>
      <c r="BY550" s="62"/>
      <c r="BZ550" s="62"/>
      <c r="CA550" s="62"/>
      <c r="CB550" s="62"/>
      <c r="CC550" s="62"/>
      <c r="CD550" s="62"/>
      <c r="CE550" s="62"/>
      <c r="CF550" s="62"/>
      <c r="CG550" s="62"/>
      <c r="CH550" s="62"/>
      <c r="CI550" s="62"/>
      <c r="CJ550" s="62"/>
      <c r="CK550" s="62"/>
      <c r="CL550" s="62"/>
      <c r="CM550" s="62"/>
      <c r="CN550" s="62"/>
      <c r="CO550" s="62"/>
      <c r="CP550" s="62"/>
      <c r="CQ550" s="62"/>
      <c r="CR550" s="62"/>
      <c r="CS550" s="62"/>
      <c r="CT550" s="62"/>
      <c r="CU550" s="62"/>
      <c r="CV550" s="62"/>
      <c r="CW550" s="62"/>
      <c r="CX550" s="62"/>
      <c r="CY550" s="62"/>
      <c r="CZ550" s="62"/>
      <c r="DA550" s="62"/>
      <c r="DB550" s="62"/>
      <c r="DC550" s="62"/>
      <c r="DD550" s="62"/>
      <c r="DE550" s="62"/>
      <c r="DF550" s="62"/>
      <c r="DG550" s="62"/>
      <c r="DH550" s="62"/>
      <c r="DI550" s="62"/>
      <c r="DJ550" s="62"/>
      <c r="DK550" s="62"/>
      <c r="DL550" s="62"/>
      <c r="DM550" s="62"/>
      <c r="DN550" s="62"/>
      <c r="DO550" s="62"/>
      <c r="DP550" s="62"/>
      <c r="DQ550" s="62"/>
      <c r="DR550" s="62"/>
      <c r="DS550" s="62"/>
      <c r="DT550" s="62"/>
      <c r="DU550" s="62"/>
      <c r="DV550" s="62"/>
      <c r="DW550" s="62"/>
      <c r="DX550" s="62"/>
      <c r="DY550" s="62"/>
      <c r="DZ550" s="62"/>
      <c r="EA550" s="62"/>
      <c r="EB550" s="62"/>
      <c r="EC550" s="62"/>
      <c r="ED550" s="62"/>
      <c r="EE550" s="62"/>
      <c r="EF550" s="62"/>
      <c r="EG550" s="62"/>
      <c r="EH550" s="62"/>
      <c r="EI550" s="62"/>
      <c r="EJ550" s="62"/>
      <c r="EK550" s="62"/>
      <c r="EL550" s="62"/>
      <c r="EM550" s="62"/>
      <c r="EN550" s="62"/>
      <c r="EO550" s="62"/>
      <c r="EP550" s="62"/>
      <c r="EQ550" s="62"/>
      <c r="ER550" s="62"/>
      <c r="ES550" s="62"/>
      <c r="ET550" s="62"/>
      <c r="EU550" s="62"/>
      <c r="EV550" s="62"/>
      <c r="EW550" s="62"/>
      <c r="EX550" s="62"/>
      <c r="EY550" s="62"/>
      <c r="EZ550" s="62"/>
      <c r="FA550" s="62"/>
      <c r="FB550" s="62"/>
      <c r="FC550" s="62"/>
      <c r="FD550" s="62"/>
      <c r="FE550" s="62"/>
      <c r="FF550" s="62"/>
      <c r="FG550" s="62"/>
      <c r="FH550" s="62"/>
      <c r="FI550" s="62"/>
      <c r="FJ550" s="62"/>
      <c r="FK550" s="62"/>
      <c r="FL550" s="62"/>
      <c r="FM550" s="62"/>
      <c r="FN550" s="62"/>
      <c r="FO550" s="62"/>
      <c r="FP550" s="62"/>
      <c r="FQ550" s="62"/>
      <c r="FR550" s="62"/>
      <c r="FS550" s="62"/>
      <c r="FT550" s="62"/>
      <c r="FU550" s="62"/>
      <c r="FV550" s="62"/>
    </row>
    <row r="551" spans="1:178" ht="13.8">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62"/>
      <c r="CX551" s="62"/>
      <c r="CY551" s="62"/>
      <c r="CZ551" s="62"/>
      <c r="DA551" s="62"/>
      <c r="DB551" s="62"/>
      <c r="DC551" s="62"/>
      <c r="DD551" s="62"/>
      <c r="DE551" s="62"/>
      <c r="DF551" s="62"/>
      <c r="DG551" s="62"/>
      <c r="DH551" s="62"/>
      <c r="DI551" s="62"/>
      <c r="DJ551" s="62"/>
      <c r="DK551" s="62"/>
      <c r="DL551" s="62"/>
      <c r="DM551" s="62"/>
      <c r="DN551" s="62"/>
      <c r="DO551" s="62"/>
      <c r="DP551" s="62"/>
      <c r="DQ551" s="62"/>
      <c r="DR551" s="62"/>
      <c r="DS551" s="62"/>
      <c r="DT551" s="62"/>
      <c r="DU551" s="62"/>
      <c r="DV551" s="62"/>
      <c r="DW551" s="62"/>
      <c r="DX551" s="62"/>
      <c r="DY551" s="62"/>
      <c r="DZ551" s="62"/>
      <c r="EA551" s="62"/>
      <c r="EB551" s="62"/>
      <c r="EC551" s="62"/>
      <c r="ED551" s="62"/>
      <c r="EE551" s="62"/>
      <c r="EF551" s="62"/>
      <c r="EG551" s="62"/>
      <c r="EH551" s="62"/>
      <c r="EI551" s="62"/>
      <c r="EJ551" s="62"/>
      <c r="EK551" s="62"/>
      <c r="EL551" s="62"/>
      <c r="EM551" s="62"/>
      <c r="EN551" s="62"/>
      <c r="EO551" s="62"/>
      <c r="EP551" s="62"/>
      <c r="EQ551" s="62"/>
      <c r="ER551" s="62"/>
      <c r="ES551" s="62"/>
      <c r="ET551" s="62"/>
      <c r="EU551" s="62"/>
      <c r="EV551" s="62"/>
      <c r="EW551" s="62"/>
      <c r="EX551" s="62"/>
      <c r="EY551" s="62"/>
      <c r="EZ551" s="62"/>
      <c r="FA551" s="62"/>
      <c r="FB551" s="62"/>
      <c r="FC551" s="62"/>
      <c r="FD551" s="62"/>
      <c r="FE551" s="62"/>
      <c r="FF551" s="62"/>
      <c r="FG551" s="62"/>
      <c r="FH551" s="62"/>
      <c r="FI551" s="62"/>
      <c r="FJ551" s="62"/>
      <c r="FK551" s="62"/>
      <c r="FL551" s="62"/>
      <c r="FM551" s="62"/>
      <c r="FN551" s="62"/>
      <c r="FO551" s="62"/>
      <c r="FP551" s="62"/>
      <c r="FQ551" s="62"/>
      <c r="FR551" s="62"/>
      <c r="FS551" s="62"/>
      <c r="FT551" s="62"/>
      <c r="FU551" s="62"/>
      <c r="FV551" s="62"/>
    </row>
    <row r="552" spans="1:178" ht="13.8">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c r="AY552" s="62"/>
      <c r="AZ552" s="62"/>
      <c r="BA552" s="62"/>
      <c r="BB552" s="62"/>
      <c r="BC552" s="62"/>
      <c r="BD552" s="62"/>
      <c r="BE552" s="62"/>
      <c r="BF552" s="62"/>
      <c r="BG552" s="62"/>
      <c r="BH552" s="62"/>
      <c r="BI552" s="62"/>
      <c r="BJ552" s="62"/>
      <c r="BK552" s="62"/>
      <c r="BL552" s="62"/>
      <c r="BM552" s="62"/>
      <c r="BN552" s="62"/>
      <c r="BO552" s="62"/>
      <c r="BP552" s="62"/>
      <c r="BQ552" s="62"/>
      <c r="BR552" s="62"/>
      <c r="BS552" s="62"/>
      <c r="BT552" s="62"/>
      <c r="BU552" s="62"/>
      <c r="BV552" s="62"/>
      <c r="BW552" s="62"/>
      <c r="BX552" s="62"/>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62"/>
      <c r="CX552" s="62"/>
      <c r="CY552" s="62"/>
      <c r="CZ552" s="62"/>
      <c r="DA552" s="62"/>
      <c r="DB552" s="62"/>
      <c r="DC552" s="62"/>
      <c r="DD552" s="62"/>
      <c r="DE552" s="62"/>
      <c r="DF552" s="62"/>
      <c r="DG552" s="62"/>
      <c r="DH552" s="62"/>
      <c r="DI552" s="62"/>
      <c r="DJ552" s="62"/>
      <c r="DK552" s="62"/>
      <c r="DL552" s="62"/>
      <c r="DM552" s="62"/>
      <c r="DN552" s="62"/>
      <c r="DO552" s="62"/>
      <c r="DP552" s="62"/>
      <c r="DQ552" s="62"/>
      <c r="DR552" s="62"/>
      <c r="DS552" s="62"/>
      <c r="DT552" s="62"/>
      <c r="DU552" s="62"/>
      <c r="DV552" s="62"/>
      <c r="DW552" s="62"/>
      <c r="DX552" s="62"/>
      <c r="DY552" s="62"/>
      <c r="DZ552" s="62"/>
      <c r="EA552" s="62"/>
      <c r="EB552" s="62"/>
      <c r="EC552" s="62"/>
      <c r="ED552" s="62"/>
      <c r="EE552" s="62"/>
      <c r="EF552" s="62"/>
      <c r="EG552" s="62"/>
      <c r="EH552" s="62"/>
      <c r="EI552" s="62"/>
      <c r="EJ552" s="62"/>
      <c r="EK552" s="62"/>
      <c r="EL552" s="62"/>
      <c r="EM552" s="62"/>
      <c r="EN552" s="62"/>
      <c r="EO552" s="62"/>
      <c r="EP552" s="62"/>
      <c r="EQ552" s="62"/>
      <c r="ER552" s="62"/>
      <c r="ES552" s="62"/>
      <c r="ET552" s="62"/>
      <c r="EU552" s="62"/>
      <c r="EV552" s="62"/>
      <c r="EW552" s="62"/>
      <c r="EX552" s="62"/>
      <c r="EY552" s="62"/>
      <c r="EZ552" s="62"/>
      <c r="FA552" s="62"/>
      <c r="FB552" s="62"/>
      <c r="FC552" s="62"/>
      <c r="FD552" s="62"/>
      <c r="FE552" s="62"/>
      <c r="FF552" s="62"/>
      <c r="FG552" s="62"/>
      <c r="FH552" s="62"/>
      <c r="FI552" s="62"/>
      <c r="FJ552" s="62"/>
      <c r="FK552" s="62"/>
      <c r="FL552" s="62"/>
      <c r="FM552" s="62"/>
      <c r="FN552" s="62"/>
      <c r="FO552" s="62"/>
      <c r="FP552" s="62"/>
      <c r="FQ552" s="62"/>
      <c r="FR552" s="62"/>
      <c r="FS552" s="62"/>
      <c r="FT552" s="62"/>
      <c r="FU552" s="62"/>
      <c r="FV552" s="62"/>
    </row>
    <row r="553" spans="1:178" ht="13.8">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c r="AY553" s="62"/>
      <c r="AZ553" s="62"/>
      <c r="BA553" s="62"/>
      <c r="BB553" s="62"/>
      <c r="BC553" s="62"/>
      <c r="BD553" s="62"/>
      <c r="BE553" s="62"/>
      <c r="BF553" s="62"/>
      <c r="BG553" s="62"/>
      <c r="BH553" s="62"/>
      <c r="BI553" s="62"/>
      <c r="BJ553" s="62"/>
      <c r="BK553" s="62"/>
      <c r="BL553" s="62"/>
      <c r="BM553" s="62"/>
      <c r="BN553" s="62"/>
      <c r="BO553" s="62"/>
      <c r="BP553" s="62"/>
      <c r="BQ553" s="62"/>
      <c r="BR553" s="62"/>
      <c r="BS553" s="62"/>
      <c r="BT553" s="62"/>
      <c r="BU553" s="62"/>
      <c r="BV553" s="62"/>
      <c r="BW553" s="62"/>
      <c r="BX553" s="62"/>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62"/>
      <c r="CX553" s="62"/>
      <c r="CY553" s="62"/>
      <c r="CZ553" s="62"/>
      <c r="DA553" s="62"/>
      <c r="DB553" s="62"/>
      <c r="DC553" s="62"/>
      <c r="DD553" s="62"/>
      <c r="DE553" s="62"/>
      <c r="DF553" s="62"/>
      <c r="DG553" s="62"/>
      <c r="DH553" s="62"/>
      <c r="DI553" s="62"/>
      <c r="DJ553" s="62"/>
      <c r="DK553" s="62"/>
      <c r="DL553" s="62"/>
      <c r="DM553" s="62"/>
      <c r="DN553" s="62"/>
      <c r="DO553" s="62"/>
      <c r="DP553" s="62"/>
      <c r="DQ553" s="62"/>
      <c r="DR553" s="62"/>
      <c r="DS553" s="62"/>
      <c r="DT553" s="62"/>
      <c r="DU553" s="62"/>
      <c r="DV553" s="62"/>
      <c r="DW553" s="62"/>
      <c r="DX553" s="62"/>
      <c r="DY553" s="62"/>
      <c r="DZ553" s="62"/>
      <c r="EA553" s="62"/>
      <c r="EB553" s="62"/>
      <c r="EC553" s="62"/>
      <c r="ED553" s="62"/>
      <c r="EE553" s="62"/>
      <c r="EF553" s="62"/>
      <c r="EG553" s="62"/>
      <c r="EH553" s="62"/>
      <c r="EI553" s="62"/>
      <c r="EJ553" s="62"/>
      <c r="EK553" s="62"/>
      <c r="EL553" s="62"/>
      <c r="EM553" s="62"/>
      <c r="EN553" s="62"/>
      <c r="EO553" s="62"/>
      <c r="EP553" s="62"/>
      <c r="EQ553" s="62"/>
      <c r="ER553" s="62"/>
      <c r="ES553" s="62"/>
      <c r="ET553" s="62"/>
      <c r="EU553" s="62"/>
      <c r="EV553" s="62"/>
      <c r="EW553" s="62"/>
      <c r="EX553" s="62"/>
      <c r="EY553" s="62"/>
      <c r="EZ553" s="62"/>
      <c r="FA553" s="62"/>
      <c r="FB553" s="62"/>
      <c r="FC553" s="62"/>
      <c r="FD553" s="62"/>
      <c r="FE553" s="62"/>
      <c r="FF553" s="62"/>
      <c r="FG553" s="62"/>
      <c r="FH553" s="62"/>
      <c r="FI553" s="62"/>
      <c r="FJ553" s="62"/>
      <c r="FK553" s="62"/>
      <c r="FL553" s="62"/>
      <c r="FM553" s="62"/>
      <c r="FN553" s="62"/>
      <c r="FO553" s="62"/>
      <c r="FP553" s="62"/>
      <c r="FQ553" s="62"/>
      <c r="FR553" s="62"/>
      <c r="FS553" s="62"/>
      <c r="FT553" s="62"/>
      <c r="FU553" s="62"/>
      <c r="FV553" s="62"/>
    </row>
    <row r="554" spans="1:178" ht="13.8">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c r="AY554" s="62"/>
      <c r="AZ554" s="62"/>
      <c r="BA554" s="62"/>
      <c r="BB554" s="62"/>
      <c r="BC554" s="62"/>
      <c r="BD554" s="62"/>
      <c r="BE554" s="62"/>
      <c r="BF554" s="62"/>
      <c r="BG554" s="62"/>
      <c r="BH554" s="62"/>
      <c r="BI554" s="62"/>
      <c r="BJ554" s="62"/>
      <c r="BK554" s="62"/>
      <c r="BL554" s="62"/>
      <c r="BM554" s="62"/>
      <c r="BN554" s="62"/>
      <c r="BO554" s="62"/>
      <c r="BP554" s="62"/>
      <c r="BQ554" s="62"/>
      <c r="BR554" s="62"/>
      <c r="BS554" s="62"/>
      <c r="BT554" s="62"/>
      <c r="BU554" s="62"/>
      <c r="BV554" s="62"/>
      <c r="BW554" s="62"/>
      <c r="BX554" s="62"/>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62"/>
      <c r="CX554" s="62"/>
      <c r="CY554" s="62"/>
      <c r="CZ554" s="62"/>
      <c r="DA554" s="62"/>
      <c r="DB554" s="62"/>
      <c r="DC554" s="62"/>
      <c r="DD554" s="62"/>
      <c r="DE554" s="62"/>
      <c r="DF554" s="62"/>
      <c r="DG554" s="62"/>
      <c r="DH554" s="62"/>
      <c r="DI554" s="62"/>
      <c r="DJ554" s="62"/>
      <c r="DK554" s="62"/>
      <c r="DL554" s="62"/>
      <c r="DM554" s="62"/>
      <c r="DN554" s="62"/>
      <c r="DO554" s="62"/>
      <c r="DP554" s="62"/>
      <c r="DQ554" s="62"/>
      <c r="DR554" s="62"/>
      <c r="DS554" s="62"/>
      <c r="DT554" s="62"/>
      <c r="DU554" s="62"/>
      <c r="DV554" s="62"/>
      <c r="DW554" s="62"/>
      <c r="DX554" s="62"/>
      <c r="DY554" s="62"/>
      <c r="DZ554" s="62"/>
      <c r="EA554" s="62"/>
      <c r="EB554" s="62"/>
      <c r="EC554" s="62"/>
      <c r="ED554" s="62"/>
      <c r="EE554" s="62"/>
      <c r="EF554" s="62"/>
      <c r="EG554" s="62"/>
      <c r="EH554" s="62"/>
      <c r="EI554" s="62"/>
      <c r="EJ554" s="62"/>
      <c r="EK554" s="62"/>
      <c r="EL554" s="62"/>
      <c r="EM554" s="62"/>
      <c r="EN554" s="62"/>
      <c r="EO554" s="62"/>
      <c r="EP554" s="62"/>
      <c r="EQ554" s="62"/>
      <c r="ER554" s="62"/>
      <c r="ES554" s="62"/>
      <c r="ET554" s="62"/>
      <c r="EU554" s="62"/>
      <c r="EV554" s="62"/>
      <c r="EW554" s="62"/>
      <c r="EX554" s="62"/>
      <c r="EY554" s="62"/>
      <c r="EZ554" s="62"/>
      <c r="FA554" s="62"/>
      <c r="FB554" s="62"/>
      <c r="FC554" s="62"/>
      <c r="FD554" s="62"/>
      <c r="FE554" s="62"/>
      <c r="FF554" s="62"/>
      <c r="FG554" s="62"/>
      <c r="FH554" s="62"/>
      <c r="FI554" s="62"/>
      <c r="FJ554" s="62"/>
      <c r="FK554" s="62"/>
      <c r="FL554" s="62"/>
      <c r="FM554" s="62"/>
      <c r="FN554" s="62"/>
      <c r="FO554" s="62"/>
      <c r="FP554" s="62"/>
      <c r="FQ554" s="62"/>
      <c r="FR554" s="62"/>
      <c r="FS554" s="62"/>
      <c r="FT554" s="62"/>
      <c r="FU554" s="62"/>
      <c r="FV554" s="62"/>
    </row>
    <row r="555" spans="1:178" ht="13.8">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c r="AY555" s="62"/>
      <c r="AZ555" s="62"/>
      <c r="BA555" s="62"/>
      <c r="BB555" s="62"/>
      <c r="BC555" s="62"/>
      <c r="BD555" s="62"/>
      <c r="BE555" s="62"/>
      <c r="BF555" s="62"/>
      <c r="BG555" s="62"/>
      <c r="BH555" s="62"/>
      <c r="BI555" s="62"/>
      <c r="BJ555" s="62"/>
      <c r="BK555" s="62"/>
      <c r="BL555" s="62"/>
      <c r="BM555" s="62"/>
      <c r="BN555" s="62"/>
      <c r="BO555" s="62"/>
      <c r="BP555" s="62"/>
      <c r="BQ555" s="62"/>
      <c r="BR555" s="62"/>
      <c r="BS555" s="62"/>
      <c r="BT555" s="62"/>
      <c r="BU555" s="62"/>
      <c r="BV555" s="62"/>
      <c r="BW555" s="62"/>
      <c r="BX555" s="62"/>
      <c r="BY555" s="62"/>
      <c r="BZ555" s="62"/>
      <c r="CA555" s="62"/>
      <c r="CB555" s="62"/>
      <c r="CC555" s="62"/>
      <c r="CD555" s="62"/>
      <c r="CE555" s="62"/>
      <c r="CF555" s="62"/>
      <c r="CG555" s="62"/>
      <c r="CH555" s="62"/>
      <c r="CI555" s="62"/>
      <c r="CJ555" s="62"/>
      <c r="CK555" s="62"/>
      <c r="CL555" s="62"/>
      <c r="CM555" s="62"/>
      <c r="CN555" s="62"/>
      <c r="CO555" s="62"/>
      <c r="CP555" s="62"/>
      <c r="CQ555" s="62"/>
      <c r="CR555" s="62"/>
      <c r="CS555" s="62"/>
      <c r="CT555" s="62"/>
      <c r="CU555" s="62"/>
      <c r="CV555" s="62"/>
      <c r="CW555" s="62"/>
      <c r="CX555" s="62"/>
      <c r="CY555" s="62"/>
      <c r="CZ555" s="62"/>
      <c r="DA555" s="62"/>
      <c r="DB555" s="62"/>
      <c r="DC555" s="62"/>
      <c r="DD555" s="62"/>
      <c r="DE555" s="62"/>
      <c r="DF555" s="62"/>
      <c r="DG555" s="62"/>
      <c r="DH555" s="62"/>
      <c r="DI555" s="62"/>
      <c r="DJ555" s="62"/>
      <c r="DK555" s="62"/>
      <c r="DL555" s="62"/>
      <c r="DM555" s="62"/>
      <c r="DN555" s="62"/>
      <c r="DO555" s="62"/>
      <c r="DP555" s="62"/>
      <c r="DQ555" s="62"/>
      <c r="DR555" s="62"/>
      <c r="DS555" s="62"/>
      <c r="DT555" s="62"/>
      <c r="DU555" s="62"/>
      <c r="DV555" s="62"/>
      <c r="DW555" s="62"/>
      <c r="DX555" s="62"/>
      <c r="DY555" s="62"/>
      <c r="DZ555" s="62"/>
      <c r="EA555" s="62"/>
      <c r="EB555" s="62"/>
      <c r="EC555" s="62"/>
      <c r="ED555" s="62"/>
      <c r="EE555" s="62"/>
      <c r="EF555" s="62"/>
      <c r="EG555" s="62"/>
      <c r="EH555" s="62"/>
      <c r="EI555" s="62"/>
      <c r="EJ555" s="62"/>
      <c r="EK555" s="62"/>
      <c r="EL555" s="62"/>
      <c r="EM555" s="62"/>
      <c r="EN555" s="62"/>
      <c r="EO555" s="62"/>
      <c r="EP555" s="62"/>
      <c r="EQ555" s="62"/>
      <c r="ER555" s="62"/>
      <c r="ES555" s="62"/>
      <c r="ET555" s="62"/>
      <c r="EU555" s="62"/>
      <c r="EV555" s="62"/>
      <c r="EW555" s="62"/>
      <c r="EX555" s="62"/>
      <c r="EY555" s="62"/>
      <c r="EZ555" s="62"/>
      <c r="FA555" s="62"/>
      <c r="FB555" s="62"/>
      <c r="FC555" s="62"/>
      <c r="FD555" s="62"/>
      <c r="FE555" s="62"/>
      <c r="FF555" s="62"/>
      <c r="FG555" s="62"/>
      <c r="FH555" s="62"/>
      <c r="FI555" s="62"/>
      <c r="FJ555" s="62"/>
      <c r="FK555" s="62"/>
      <c r="FL555" s="62"/>
      <c r="FM555" s="62"/>
      <c r="FN555" s="62"/>
      <c r="FO555" s="62"/>
      <c r="FP555" s="62"/>
      <c r="FQ555" s="62"/>
      <c r="FR555" s="62"/>
      <c r="FS555" s="62"/>
      <c r="FT555" s="62"/>
      <c r="FU555" s="62"/>
      <c r="FV555" s="62"/>
    </row>
    <row r="556" spans="1:178" ht="13.8">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c r="BM556" s="62"/>
      <c r="BN556" s="62"/>
      <c r="BO556" s="62"/>
      <c r="BP556" s="62"/>
      <c r="BQ556" s="62"/>
      <c r="BR556" s="62"/>
      <c r="BS556" s="62"/>
      <c r="BT556" s="62"/>
      <c r="BU556" s="62"/>
      <c r="BV556" s="62"/>
      <c r="BW556" s="62"/>
      <c r="BX556" s="62"/>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62"/>
      <c r="CX556" s="62"/>
      <c r="CY556" s="62"/>
      <c r="CZ556" s="62"/>
      <c r="DA556" s="62"/>
      <c r="DB556" s="62"/>
      <c r="DC556" s="62"/>
      <c r="DD556" s="62"/>
      <c r="DE556" s="62"/>
      <c r="DF556" s="62"/>
      <c r="DG556" s="62"/>
      <c r="DH556" s="62"/>
      <c r="DI556" s="62"/>
      <c r="DJ556" s="62"/>
      <c r="DK556" s="62"/>
      <c r="DL556" s="62"/>
      <c r="DM556" s="62"/>
      <c r="DN556" s="62"/>
      <c r="DO556" s="62"/>
      <c r="DP556" s="62"/>
      <c r="DQ556" s="62"/>
      <c r="DR556" s="62"/>
      <c r="DS556" s="62"/>
      <c r="DT556" s="62"/>
      <c r="DU556" s="62"/>
      <c r="DV556" s="62"/>
      <c r="DW556" s="62"/>
      <c r="DX556" s="62"/>
      <c r="DY556" s="62"/>
      <c r="DZ556" s="62"/>
      <c r="EA556" s="62"/>
      <c r="EB556" s="62"/>
      <c r="EC556" s="62"/>
      <c r="ED556" s="62"/>
      <c r="EE556" s="62"/>
      <c r="EF556" s="62"/>
      <c r="EG556" s="62"/>
      <c r="EH556" s="62"/>
      <c r="EI556" s="62"/>
      <c r="EJ556" s="62"/>
      <c r="EK556" s="62"/>
      <c r="EL556" s="62"/>
      <c r="EM556" s="62"/>
      <c r="EN556" s="62"/>
      <c r="EO556" s="62"/>
      <c r="EP556" s="62"/>
      <c r="EQ556" s="62"/>
      <c r="ER556" s="62"/>
      <c r="ES556" s="62"/>
      <c r="ET556" s="62"/>
      <c r="EU556" s="62"/>
      <c r="EV556" s="62"/>
      <c r="EW556" s="62"/>
      <c r="EX556" s="62"/>
      <c r="EY556" s="62"/>
      <c r="EZ556" s="62"/>
      <c r="FA556" s="62"/>
      <c r="FB556" s="62"/>
      <c r="FC556" s="62"/>
      <c r="FD556" s="62"/>
      <c r="FE556" s="62"/>
      <c r="FF556" s="62"/>
      <c r="FG556" s="62"/>
      <c r="FH556" s="62"/>
      <c r="FI556" s="62"/>
      <c r="FJ556" s="62"/>
      <c r="FK556" s="62"/>
      <c r="FL556" s="62"/>
      <c r="FM556" s="62"/>
      <c r="FN556" s="62"/>
      <c r="FO556" s="62"/>
      <c r="FP556" s="62"/>
      <c r="FQ556" s="62"/>
      <c r="FR556" s="62"/>
      <c r="FS556" s="62"/>
      <c r="FT556" s="62"/>
      <c r="FU556" s="62"/>
      <c r="FV556" s="62"/>
    </row>
    <row r="557" spans="1:178" ht="13.8">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c r="BM557" s="62"/>
      <c r="BN557" s="62"/>
      <c r="BO557" s="62"/>
      <c r="BP557" s="62"/>
      <c r="BQ557" s="62"/>
      <c r="BR557" s="62"/>
      <c r="BS557" s="62"/>
      <c r="BT557" s="62"/>
      <c r="BU557" s="62"/>
      <c r="BV557" s="62"/>
      <c r="BW557" s="62"/>
      <c r="BX557" s="62"/>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62"/>
      <c r="CX557" s="62"/>
      <c r="CY557" s="62"/>
      <c r="CZ557" s="62"/>
      <c r="DA557" s="62"/>
      <c r="DB557" s="62"/>
      <c r="DC557" s="62"/>
      <c r="DD557" s="62"/>
      <c r="DE557" s="62"/>
      <c r="DF557" s="62"/>
      <c r="DG557" s="62"/>
      <c r="DH557" s="62"/>
      <c r="DI557" s="62"/>
      <c r="DJ557" s="62"/>
      <c r="DK557" s="62"/>
      <c r="DL557" s="62"/>
      <c r="DM557" s="62"/>
      <c r="DN557" s="62"/>
      <c r="DO557" s="62"/>
      <c r="DP557" s="62"/>
      <c r="DQ557" s="62"/>
      <c r="DR557" s="62"/>
      <c r="DS557" s="62"/>
      <c r="DT557" s="62"/>
      <c r="DU557" s="62"/>
      <c r="DV557" s="62"/>
      <c r="DW557" s="62"/>
      <c r="DX557" s="62"/>
      <c r="DY557" s="62"/>
      <c r="DZ557" s="62"/>
      <c r="EA557" s="62"/>
      <c r="EB557" s="62"/>
      <c r="EC557" s="62"/>
      <c r="ED557" s="62"/>
      <c r="EE557" s="62"/>
      <c r="EF557" s="62"/>
      <c r="EG557" s="62"/>
      <c r="EH557" s="62"/>
      <c r="EI557" s="62"/>
      <c r="EJ557" s="62"/>
      <c r="EK557" s="62"/>
      <c r="EL557" s="62"/>
      <c r="EM557" s="62"/>
      <c r="EN557" s="62"/>
      <c r="EO557" s="62"/>
      <c r="EP557" s="62"/>
      <c r="EQ557" s="62"/>
      <c r="ER557" s="62"/>
      <c r="ES557" s="62"/>
      <c r="ET557" s="62"/>
      <c r="EU557" s="62"/>
      <c r="EV557" s="62"/>
      <c r="EW557" s="62"/>
      <c r="EX557" s="62"/>
      <c r="EY557" s="62"/>
      <c r="EZ557" s="62"/>
      <c r="FA557" s="62"/>
      <c r="FB557" s="62"/>
      <c r="FC557" s="62"/>
      <c r="FD557" s="62"/>
      <c r="FE557" s="62"/>
      <c r="FF557" s="62"/>
      <c r="FG557" s="62"/>
      <c r="FH557" s="62"/>
      <c r="FI557" s="62"/>
      <c r="FJ557" s="62"/>
      <c r="FK557" s="62"/>
      <c r="FL557" s="62"/>
      <c r="FM557" s="62"/>
      <c r="FN557" s="62"/>
      <c r="FO557" s="62"/>
      <c r="FP557" s="62"/>
      <c r="FQ557" s="62"/>
      <c r="FR557" s="62"/>
      <c r="FS557" s="62"/>
      <c r="FT557" s="62"/>
      <c r="FU557" s="62"/>
      <c r="FV557" s="62"/>
    </row>
    <row r="558" spans="1:178" ht="13.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c r="AY558" s="62"/>
      <c r="AZ558" s="62"/>
      <c r="BA558" s="62"/>
      <c r="BB558" s="62"/>
      <c r="BC558" s="62"/>
      <c r="BD558" s="62"/>
      <c r="BE558" s="62"/>
      <c r="BF558" s="62"/>
      <c r="BG558" s="62"/>
      <c r="BH558" s="62"/>
      <c r="BI558" s="62"/>
      <c r="BJ558" s="62"/>
      <c r="BK558" s="62"/>
      <c r="BL558" s="62"/>
      <c r="BM558" s="62"/>
      <c r="BN558" s="62"/>
      <c r="BO558" s="62"/>
      <c r="BP558" s="62"/>
      <c r="BQ558" s="62"/>
      <c r="BR558" s="62"/>
      <c r="BS558" s="62"/>
      <c r="BT558" s="62"/>
      <c r="BU558" s="62"/>
      <c r="BV558" s="62"/>
      <c r="BW558" s="62"/>
      <c r="BX558" s="62"/>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62"/>
      <c r="CX558" s="62"/>
      <c r="CY558" s="62"/>
      <c r="CZ558" s="62"/>
      <c r="DA558" s="62"/>
      <c r="DB558" s="62"/>
      <c r="DC558" s="62"/>
      <c r="DD558" s="62"/>
      <c r="DE558" s="62"/>
      <c r="DF558" s="62"/>
      <c r="DG558" s="62"/>
      <c r="DH558" s="62"/>
      <c r="DI558" s="62"/>
      <c r="DJ558" s="62"/>
      <c r="DK558" s="62"/>
      <c r="DL558" s="62"/>
      <c r="DM558" s="62"/>
      <c r="DN558" s="62"/>
      <c r="DO558" s="62"/>
      <c r="DP558" s="62"/>
      <c r="DQ558" s="62"/>
      <c r="DR558" s="62"/>
      <c r="DS558" s="62"/>
      <c r="DT558" s="62"/>
      <c r="DU558" s="62"/>
      <c r="DV558" s="62"/>
      <c r="DW558" s="62"/>
      <c r="DX558" s="62"/>
      <c r="DY558" s="62"/>
      <c r="DZ558" s="62"/>
      <c r="EA558" s="62"/>
      <c r="EB558" s="62"/>
      <c r="EC558" s="62"/>
      <c r="ED558" s="62"/>
      <c r="EE558" s="62"/>
      <c r="EF558" s="62"/>
      <c r="EG558" s="62"/>
      <c r="EH558" s="62"/>
      <c r="EI558" s="62"/>
      <c r="EJ558" s="62"/>
      <c r="EK558" s="62"/>
      <c r="EL558" s="62"/>
      <c r="EM558" s="62"/>
      <c r="EN558" s="62"/>
      <c r="EO558" s="62"/>
      <c r="EP558" s="62"/>
      <c r="EQ558" s="62"/>
      <c r="ER558" s="62"/>
      <c r="ES558" s="62"/>
      <c r="ET558" s="62"/>
      <c r="EU558" s="62"/>
      <c r="EV558" s="62"/>
      <c r="EW558" s="62"/>
      <c r="EX558" s="62"/>
      <c r="EY558" s="62"/>
      <c r="EZ558" s="62"/>
      <c r="FA558" s="62"/>
      <c r="FB558" s="62"/>
      <c r="FC558" s="62"/>
      <c r="FD558" s="62"/>
      <c r="FE558" s="62"/>
      <c r="FF558" s="62"/>
      <c r="FG558" s="62"/>
      <c r="FH558" s="62"/>
      <c r="FI558" s="62"/>
      <c r="FJ558" s="62"/>
      <c r="FK558" s="62"/>
      <c r="FL558" s="62"/>
      <c r="FM558" s="62"/>
      <c r="FN558" s="62"/>
      <c r="FO558" s="62"/>
      <c r="FP558" s="62"/>
      <c r="FQ558" s="62"/>
      <c r="FR558" s="62"/>
      <c r="FS558" s="62"/>
      <c r="FT558" s="62"/>
      <c r="FU558" s="62"/>
      <c r="FV558" s="62"/>
    </row>
    <row r="559" spans="1:178" ht="13.8">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c r="AY559" s="62"/>
      <c r="AZ559" s="62"/>
      <c r="BA559" s="62"/>
      <c r="BB559" s="62"/>
      <c r="BC559" s="62"/>
      <c r="BD559" s="62"/>
      <c r="BE559" s="62"/>
      <c r="BF559" s="62"/>
      <c r="BG559" s="62"/>
      <c r="BH559" s="62"/>
      <c r="BI559" s="62"/>
      <c r="BJ559" s="62"/>
      <c r="BK559" s="62"/>
      <c r="BL559" s="62"/>
      <c r="BM559" s="62"/>
      <c r="BN559" s="62"/>
      <c r="BO559" s="62"/>
      <c r="BP559" s="62"/>
      <c r="BQ559" s="62"/>
      <c r="BR559" s="62"/>
      <c r="BS559" s="62"/>
      <c r="BT559" s="62"/>
      <c r="BU559" s="62"/>
      <c r="BV559" s="62"/>
      <c r="BW559" s="62"/>
      <c r="BX559" s="62"/>
      <c r="BY559" s="62"/>
      <c r="BZ559" s="62"/>
      <c r="CA559" s="62"/>
      <c r="CB559" s="62"/>
      <c r="CC559" s="62"/>
      <c r="CD559" s="62"/>
      <c r="CE559" s="62"/>
      <c r="CF559" s="62"/>
      <c r="CG559" s="62"/>
      <c r="CH559" s="62"/>
      <c r="CI559" s="62"/>
      <c r="CJ559" s="62"/>
      <c r="CK559" s="62"/>
      <c r="CL559" s="62"/>
      <c r="CM559" s="62"/>
      <c r="CN559" s="62"/>
      <c r="CO559" s="62"/>
      <c r="CP559" s="62"/>
      <c r="CQ559" s="62"/>
      <c r="CR559" s="62"/>
      <c r="CS559" s="62"/>
      <c r="CT559" s="62"/>
      <c r="CU559" s="62"/>
      <c r="CV559" s="62"/>
      <c r="CW559" s="62"/>
      <c r="CX559" s="62"/>
      <c r="CY559" s="62"/>
      <c r="CZ559" s="62"/>
      <c r="DA559" s="62"/>
      <c r="DB559" s="62"/>
      <c r="DC559" s="62"/>
      <c r="DD559" s="62"/>
      <c r="DE559" s="62"/>
      <c r="DF559" s="62"/>
      <c r="DG559" s="62"/>
      <c r="DH559" s="62"/>
      <c r="DI559" s="62"/>
      <c r="DJ559" s="62"/>
      <c r="DK559" s="62"/>
      <c r="DL559" s="62"/>
      <c r="DM559" s="62"/>
      <c r="DN559" s="62"/>
      <c r="DO559" s="62"/>
      <c r="DP559" s="62"/>
      <c r="DQ559" s="62"/>
      <c r="DR559" s="62"/>
      <c r="DS559" s="62"/>
      <c r="DT559" s="62"/>
      <c r="DU559" s="62"/>
      <c r="DV559" s="62"/>
      <c r="DW559" s="62"/>
      <c r="DX559" s="62"/>
      <c r="DY559" s="62"/>
      <c r="DZ559" s="62"/>
      <c r="EA559" s="62"/>
      <c r="EB559" s="62"/>
      <c r="EC559" s="62"/>
      <c r="ED559" s="62"/>
      <c r="EE559" s="62"/>
      <c r="EF559" s="62"/>
      <c r="EG559" s="62"/>
      <c r="EH559" s="62"/>
      <c r="EI559" s="62"/>
      <c r="EJ559" s="62"/>
      <c r="EK559" s="62"/>
      <c r="EL559" s="62"/>
      <c r="EM559" s="62"/>
      <c r="EN559" s="62"/>
      <c r="EO559" s="62"/>
      <c r="EP559" s="62"/>
      <c r="EQ559" s="62"/>
      <c r="ER559" s="62"/>
      <c r="ES559" s="62"/>
      <c r="ET559" s="62"/>
      <c r="EU559" s="62"/>
      <c r="EV559" s="62"/>
      <c r="EW559" s="62"/>
      <c r="EX559" s="62"/>
      <c r="EY559" s="62"/>
      <c r="EZ559" s="62"/>
      <c r="FA559" s="62"/>
      <c r="FB559" s="62"/>
      <c r="FC559" s="62"/>
      <c r="FD559" s="62"/>
      <c r="FE559" s="62"/>
      <c r="FF559" s="62"/>
      <c r="FG559" s="62"/>
      <c r="FH559" s="62"/>
      <c r="FI559" s="62"/>
      <c r="FJ559" s="62"/>
      <c r="FK559" s="62"/>
      <c r="FL559" s="62"/>
      <c r="FM559" s="62"/>
      <c r="FN559" s="62"/>
      <c r="FO559" s="62"/>
      <c r="FP559" s="62"/>
      <c r="FQ559" s="62"/>
      <c r="FR559" s="62"/>
      <c r="FS559" s="62"/>
      <c r="FT559" s="62"/>
      <c r="FU559" s="62"/>
      <c r="FV559" s="62"/>
    </row>
    <row r="560" spans="1:178" ht="13.8">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2"/>
      <c r="EX560" s="62"/>
      <c r="EY560" s="62"/>
      <c r="EZ560" s="62"/>
      <c r="FA560" s="62"/>
      <c r="FB560" s="62"/>
      <c r="FC560" s="62"/>
      <c r="FD560" s="62"/>
      <c r="FE560" s="62"/>
      <c r="FF560" s="62"/>
      <c r="FG560" s="62"/>
      <c r="FH560" s="62"/>
      <c r="FI560" s="62"/>
      <c r="FJ560" s="62"/>
      <c r="FK560" s="62"/>
      <c r="FL560" s="62"/>
      <c r="FM560" s="62"/>
      <c r="FN560" s="62"/>
      <c r="FO560" s="62"/>
      <c r="FP560" s="62"/>
      <c r="FQ560" s="62"/>
      <c r="FR560" s="62"/>
      <c r="FS560" s="62"/>
      <c r="FT560" s="62"/>
      <c r="FU560" s="62"/>
      <c r="FV560" s="62"/>
    </row>
    <row r="561" spans="1:178" ht="13.8">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c r="AY561" s="62"/>
      <c r="AZ561" s="62"/>
      <c r="BA561" s="62"/>
      <c r="BB561" s="62"/>
      <c r="BC561" s="62"/>
      <c r="BD561" s="62"/>
      <c r="BE561" s="62"/>
      <c r="BF561" s="62"/>
      <c r="BG561" s="62"/>
      <c r="BH561" s="62"/>
      <c r="BI561" s="62"/>
      <c r="BJ561" s="62"/>
      <c r="BK561" s="62"/>
      <c r="BL561" s="62"/>
      <c r="BM561" s="62"/>
      <c r="BN561" s="62"/>
      <c r="BO561" s="62"/>
      <c r="BP561" s="62"/>
      <c r="BQ561" s="62"/>
      <c r="BR561" s="62"/>
      <c r="BS561" s="62"/>
      <c r="BT561" s="62"/>
      <c r="BU561" s="62"/>
      <c r="BV561" s="62"/>
      <c r="BW561" s="62"/>
      <c r="BX561" s="62"/>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62"/>
      <c r="CX561" s="62"/>
      <c r="CY561" s="62"/>
      <c r="CZ561" s="62"/>
      <c r="DA561" s="62"/>
      <c r="DB561" s="62"/>
      <c r="DC561" s="62"/>
      <c r="DD561" s="62"/>
      <c r="DE561" s="62"/>
      <c r="DF561" s="62"/>
      <c r="DG561" s="62"/>
      <c r="DH561" s="62"/>
      <c r="DI561" s="62"/>
      <c r="DJ561" s="62"/>
      <c r="DK561" s="62"/>
      <c r="DL561" s="62"/>
      <c r="DM561" s="62"/>
      <c r="DN561" s="62"/>
      <c r="DO561" s="62"/>
      <c r="DP561" s="62"/>
      <c r="DQ561" s="62"/>
      <c r="DR561" s="62"/>
      <c r="DS561" s="62"/>
      <c r="DT561" s="62"/>
      <c r="DU561" s="62"/>
      <c r="DV561" s="62"/>
      <c r="DW561" s="62"/>
      <c r="DX561" s="62"/>
      <c r="DY561" s="62"/>
      <c r="DZ561" s="62"/>
      <c r="EA561" s="62"/>
      <c r="EB561" s="62"/>
      <c r="EC561" s="62"/>
      <c r="ED561" s="62"/>
      <c r="EE561" s="62"/>
      <c r="EF561" s="62"/>
      <c r="EG561" s="62"/>
      <c r="EH561" s="62"/>
      <c r="EI561" s="62"/>
      <c r="EJ561" s="62"/>
      <c r="EK561" s="62"/>
      <c r="EL561" s="62"/>
      <c r="EM561" s="62"/>
      <c r="EN561" s="62"/>
      <c r="EO561" s="62"/>
      <c r="EP561" s="62"/>
      <c r="EQ561" s="62"/>
      <c r="ER561" s="62"/>
      <c r="ES561" s="62"/>
      <c r="ET561" s="62"/>
      <c r="EU561" s="62"/>
      <c r="EV561" s="62"/>
      <c r="EW561" s="62"/>
      <c r="EX561" s="62"/>
      <c r="EY561" s="62"/>
      <c r="EZ561" s="62"/>
      <c r="FA561" s="62"/>
      <c r="FB561" s="62"/>
      <c r="FC561" s="62"/>
      <c r="FD561" s="62"/>
      <c r="FE561" s="62"/>
      <c r="FF561" s="62"/>
      <c r="FG561" s="62"/>
      <c r="FH561" s="62"/>
      <c r="FI561" s="62"/>
      <c r="FJ561" s="62"/>
      <c r="FK561" s="62"/>
      <c r="FL561" s="62"/>
      <c r="FM561" s="62"/>
      <c r="FN561" s="62"/>
      <c r="FO561" s="62"/>
      <c r="FP561" s="62"/>
      <c r="FQ561" s="62"/>
      <c r="FR561" s="62"/>
      <c r="FS561" s="62"/>
      <c r="FT561" s="62"/>
      <c r="FU561" s="62"/>
      <c r="FV561" s="62"/>
    </row>
    <row r="562" spans="1:178" ht="13.8">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c r="AY562" s="62"/>
      <c r="AZ562" s="62"/>
      <c r="BA562" s="62"/>
      <c r="BB562" s="62"/>
      <c r="BC562" s="62"/>
      <c r="BD562" s="62"/>
      <c r="BE562" s="62"/>
      <c r="BF562" s="62"/>
      <c r="BG562" s="62"/>
      <c r="BH562" s="62"/>
      <c r="BI562" s="62"/>
      <c r="BJ562" s="62"/>
      <c r="BK562" s="62"/>
      <c r="BL562" s="62"/>
      <c r="BM562" s="62"/>
      <c r="BN562" s="62"/>
      <c r="BO562" s="62"/>
      <c r="BP562" s="62"/>
      <c r="BQ562" s="62"/>
      <c r="BR562" s="62"/>
      <c r="BS562" s="62"/>
      <c r="BT562" s="62"/>
      <c r="BU562" s="62"/>
      <c r="BV562" s="62"/>
      <c r="BW562" s="62"/>
      <c r="BX562" s="62"/>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62"/>
      <c r="CX562" s="62"/>
      <c r="CY562" s="62"/>
      <c r="CZ562" s="62"/>
      <c r="DA562" s="62"/>
      <c r="DB562" s="62"/>
      <c r="DC562" s="62"/>
      <c r="DD562" s="62"/>
      <c r="DE562" s="62"/>
      <c r="DF562" s="62"/>
      <c r="DG562" s="62"/>
      <c r="DH562" s="62"/>
      <c r="DI562" s="62"/>
      <c r="DJ562" s="62"/>
      <c r="DK562" s="62"/>
      <c r="DL562" s="62"/>
      <c r="DM562" s="62"/>
      <c r="DN562" s="62"/>
      <c r="DO562" s="62"/>
      <c r="DP562" s="62"/>
      <c r="DQ562" s="62"/>
      <c r="DR562" s="62"/>
      <c r="DS562" s="62"/>
      <c r="DT562" s="62"/>
      <c r="DU562" s="62"/>
      <c r="DV562" s="62"/>
      <c r="DW562" s="62"/>
      <c r="DX562" s="62"/>
      <c r="DY562" s="62"/>
      <c r="DZ562" s="62"/>
      <c r="EA562" s="62"/>
      <c r="EB562" s="62"/>
      <c r="EC562" s="62"/>
      <c r="ED562" s="62"/>
      <c r="EE562" s="62"/>
      <c r="EF562" s="62"/>
      <c r="EG562" s="62"/>
      <c r="EH562" s="62"/>
      <c r="EI562" s="62"/>
      <c r="EJ562" s="62"/>
      <c r="EK562" s="62"/>
      <c r="EL562" s="62"/>
      <c r="EM562" s="62"/>
      <c r="EN562" s="62"/>
      <c r="EO562" s="62"/>
      <c r="EP562" s="62"/>
      <c r="EQ562" s="62"/>
      <c r="ER562" s="62"/>
      <c r="ES562" s="62"/>
      <c r="ET562" s="62"/>
      <c r="EU562" s="62"/>
      <c r="EV562" s="62"/>
      <c r="EW562" s="62"/>
      <c r="EX562" s="62"/>
      <c r="EY562" s="62"/>
      <c r="EZ562" s="62"/>
      <c r="FA562" s="62"/>
      <c r="FB562" s="62"/>
      <c r="FC562" s="62"/>
      <c r="FD562" s="62"/>
      <c r="FE562" s="62"/>
      <c r="FF562" s="62"/>
      <c r="FG562" s="62"/>
      <c r="FH562" s="62"/>
      <c r="FI562" s="62"/>
      <c r="FJ562" s="62"/>
      <c r="FK562" s="62"/>
      <c r="FL562" s="62"/>
      <c r="FM562" s="62"/>
      <c r="FN562" s="62"/>
      <c r="FO562" s="62"/>
      <c r="FP562" s="62"/>
      <c r="FQ562" s="62"/>
      <c r="FR562" s="62"/>
      <c r="FS562" s="62"/>
      <c r="FT562" s="62"/>
      <c r="FU562" s="62"/>
      <c r="FV562" s="62"/>
    </row>
    <row r="563" spans="1:178" ht="13.8">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c r="AY563" s="62"/>
      <c r="AZ563" s="62"/>
      <c r="BA563" s="62"/>
      <c r="BB563" s="62"/>
      <c r="BC563" s="62"/>
      <c r="BD563" s="62"/>
      <c r="BE563" s="62"/>
      <c r="BF563" s="62"/>
      <c r="BG563" s="62"/>
      <c r="BH563" s="62"/>
      <c r="BI563" s="62"/>
      <c r="BJ563" s="62"/>
      <c r="BK563" s="62"/>
      <c r="BL563" s="62"/>
      <c r="BM563" s="62"/>
      <c r="BN563" s="62"/>
      <c r="BO563" s="62"/>
      <c r="BP563" s="62"/>
      <c r="BQ563" s="62"/>
      <c r="BR563" s="62"/>
      <c r="BS563" s="62"/>
      <c r="BT563" s="62"/>
      <c r="BU563" s="62"/>
      <c r="BV563" s="62"/>
      <c r="BW563" s="62"/>
      <c r="BX563" s="62"/>
      <c r="BY563" s="62"/>
      <c r="BZ563" s="62"/>
      <c r="CA563" s="62"/>
      <c r="CB563" s="62"/>
      <c r="CC563" s="62"/>
      <c r="CD563" s="62"/>
      <c r="CE563" s="62"/>
      <c r="CF563" s="62"/>
      <c r="CG563" s="62"/>
      <c r="CH563" s="62"/>
      <c r="CI563" s="62"/>
      <c r="CJ563" s="62"/>
      <c r="CK563" s="62"/>
      <c r="CL563" s="62"/>
      <c r="CM563" s="62"/>
      <c r="CN563" s="62"/>
      <c r="CO563" s="62"/>
      <c r="CP563" s="62"/>
      <c r="CQ563" s="62"/>
      <c r="CR563" s="62"/>
      <c r="CS563" s="62"/>
      <c r="CT563" s="62"/>
      <c r="CU563" s="62"/>
      <c r="CV563" s="62"/>
      <c r="CW563" s="62"/>
      <c r="CX563" s="62"/>
      <c r="CY563" s="62"/>
      <c r="CZ563" s="62"/>
      <c r="DA563" s="62"/>
      <c r="DB563" s="62"/>
      <c r="DC563" s="62"/>
      <c r="DD563" s="62"/>
      <c r="DE563" s="62"/>
      <c r="DF563" s="62"/>
      <c r="DG563" s="62"/>
      <c r="DH563" s="62"/>
      <c r="DI563" s="62"/>
      <c r="DJ563" s="62"/>
      <c r="DK563" s="62"/>
      <c r="DL563" s="62"/>
      <c r="DM563" s="62"/>
      <c r="DN563" s="62"/>
      <c r="DO563" s="62"/>
      <c r="DP563" s="62"/>
      <c r="DQ563" s="62"/>
      <c r="DR563" s="62"/>
      <c r="DS563" s="62"/>
      <c r="DT563" s="62"/>
      <c r="DU563" s="62"/>
      <c r="DV563" s="62"/>
      <c r="DW563" s="62"/>
      <c r="DX563" s="62"/>
      <c r="DY563" s="62"/>
      <c r="DZ563" s="62"/>
      <c r="EA563" s="62"/>
      <c r="EB563" s="62"/>
      <c r="EC563" s="62"/>
      <c r="ED563" s="62"/>
      <c r="EE563" s="62"/>
      <c r="EF563" s="62"/>
      <c r="EG563" s="62"/>
      <c r="EH563" s="62"/>
      <c r="EI563" s="62"/>
      <c r="EJ563" s="62"/>
      <c r="EK563" s="62"/>
      <c r="EL563" s="62"/>
      <c r="EM563" s="62"/>
      <c r="EN563" s="62"/>
      <c r="EO563" s="62"/>
      <c r="EP563" s="62"/>
      <c r="EQ563" s="62"/>
      <c r="ER563" s="62"/>
      <c r="ES563" s="62"/>
      <c r="ET563" s="62"/>
      <c r="EU563" s="62"/>
      <c r="EV563" s="62"/>
      <c r="EW563" s="62"/>
      <c r="EX563" s="62"/>
      <c r="EY563" s="62"/>
      <c r="EZ563" s="62"/>
      <c r="FA563" s="62"/>
      <c r="FB563" s="62"/>
      <c r="FC563" s="62"/>
      <c r="FD563" s="62"/>
      <c r="FE563" s="62"/>
      <c r="FF563" s="62"/>
      <c r="FG563" s="62"/>
      <c r="FH563" s="62"/>
      <c r="FI563" s="62"/>
      <c r="FJ563" s="62"/>
      <c r="FK563" s="62"/>
      <c r="FL563" s="62"/>
      <c r="FM563" s="62"/>
      <c r="FN563" s="62"/>
      <c r="FO563" s="62"/>
      <c r="FP563" s="62"/>
      <c r="FQ563" s="62"/>
      <c r="FR563" s="62"/>
      <c r="FS563" s="62"/>
      <c r="FT563" s="62"/>
      <c r="FU563" s="62"/>
      <c r="FV563" s="62"/>
    </row>
    <row r="564" spans="1:178" ht="13.8">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c r="AY564" s="62"/>
      <c r="AZ564" s="62"/>
      <c r="BA564" s="62"/>
      <c r="BB564" s="62"/>
      <c r="BC564" s="62"/>
      <c r="BD564" s="62"/>
      <c r="BE564" s="62"/>
      <c r="BF564" s="62"/>
      <c r="BG564" s="62"/>
      <c r="BH564" s="62"/>
      <c r="BI564" s="62"/>
      <c r="BJ564" s="62"/>
      <c r="BK564" s="62"/>
      <c r="BL564" s="62"/>
      <c r="BM564" s="62"/>
      <c r="BN564" s="62"/>
      <c r="BO564" s="62"/>
      <c r="BP564" s="62"/>
      <c r="BQ564" s="62"/>
      <c r="BR564" s="62"/>
      <c r="BS564" s="62"/>
      <c r="BT564" s="62"/>
      <c r="BU564" s="62"/>
      <c r="BV564" s="62"/>
      <c r="BW564" s="62"/>
      <c r="BX564" s="62"/>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62"/>
      <c r="CX564" s="62"/>
      <c r="CY564" s="62"/>
      <c r="CZ564" s="62"/>
      <c r="DA564" s="62"/>
      <c r="DB564" s="62"/>
      <c r="DC564" s="62"/>
      <c r="DD564" s="62"/>
      <c r="DE564" s="62"/>
      <c r="DF564" s="62"/>
      <c r="DG564" s="62"/>
      <c r="DH564" s="62"/>
      <c r="DI564" s="62"/>
      <c r="DJ564" s="62"/>
      <c r="DK564" s="62"/>
      <c r="DL564" s="62"/>
      <c r="DM564" s="62"/>
      <c r="DN564" s="62"/>
      <c r="DO564" s="62"/>
      <c r="DP564" s="62"/>
      <c r="DQ564" s="62"/>
      <c r="DR564" s="62"/>
      <c r="DS564" s="62"/>
      <c r="DT564" s="62"/>
      <c r="DU564" s="62"/>
      <c r="DV564" s="62"/>
      <c r="DW564" s="62"/>
      <c r="DX564" s="62"/>
      <c r="DY564" s="62"/>
      <c r="DZ564" s="62"/>
      <c r="EA564" s="62"/>
      <c r="EB564" s="62"/>
      <c r="EC564" s="62"/>
      <c r="ED564" s="62"/>
      <c r="EE564" s="62"/>
      <c r="EF564" s="62"/>
      <c r="EG564" s="62"/>
      <c r="EH564" s="62"/>
      <c r="EI564" s="62"/>
      <c r="EJ564" s="62"/>
      <c r="EK564" s="62"/>
      <c r="EL564" s="62"/>
      <c r="EM564" s="62"/>
      <c r="EN564" s="62"/>
      <c r="EO564" s="62"/>
      <c r="EP564" s="62"/>
      <c r="EQ564" s="62"/>
      <c r="ER564" s="62"/>
      <c r="ES564" s="62"/>
      <c r="ET564" s="62"/>
      <c r="EU564" s="62"/>
      <c r="EV564" s="62"/>
      <c r="EW564" s="62"/>
      <c r="EX564" s="62"/>
      <c r="EY564" s="62"/>
      <c r="EZ564" s="62"/>
      <c r="FA564" s="62"/>
      <c r="FB564" s="62"/>
      <c r="FC564" s="62"/>
      <c r="FD564" s="62"/>
      <c r="FE564" s="62"/>
      <c r="FF564" s="62"/>
      <c r="FG564" s="62"/>
      <c r="FH564" s="62"/>
      <c r="FI564" s="62"/>
      <c r="FJ564" s="62"/>
      <c r="FK564" s="62"/>
      <c r="FL564" s="62"/>
      <c r="FM564" s="62"/>
      <c r="FN564" s="62"/>
      <c r="FO564" s="62"/>
      <c r="FP564" s="62"/>
      <c r="FQ564" s="62"/>
      <c r="FR564" s="62"/>
      <c r="FS564" s="62"/>
      <c r="FT564" s="62"/>
      <c r="FU564" s="62"/>
      <c r="FV564" s="62"/>
    </row>
    <row r="565" spans="1:178" ht="13.8">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c r="AY565" s="62"/>
      <c r="AZ565" s="62"/>
      <c r="BA565" s="62"/>
      <c r="BB565" s="62"/>
      <c r="BC565" s="62"/>
      <c r="BD565" s="62"/>
      <c r="BE565" s="62"/>
      <c r="BF565" s="62"/>
      <c r="BG565" s="62"/>
      <c r="BH565" s="62"/>
      <c r="BI565" s="62"/>
      <c r="BJ565" s="62"/>
      <c r="BK565" s="62"/>
      <c r="BL565" s="62"/>
      <c r="BM565" s="62"/>
      <c r="BN565" s="62"/>
      <c r="BO565" s="62"/>
      <c r="BP565" s="62"/>
      <c r="BQ565" s="62"/>
      <c r="BR565" s="62"/>
      <c r="BS565" s="62"/>
      <c r="BT565" s="62"/>
      <c r="BU565" s="62"/>
      <c r="BV565" s="62"/>
      <c r="BW565" s="62"/>
      <c r="BX565" s="62"/>
      <c r="BY565" s="62"/>
      <c r="BZ565" s="62"/>
      <c r="CA565" s="62"/>
      <c r="CB565" s="62"/>
      <c r="CC565" s="62"/>
      <c r="CD565" s="62"/>
      <c r="CE565" s="62"/>
      <c r="CF565" s="62"/>
      <c r="CG565" s="62"/>
      <c r="CH565" s="62"/>
      <c r="CI565" s="62"/>
      <c r="CJ565" s="62"/>
      <c r="CK565" s="62"/>
      <c r="CL565" s="62"/>
      <c r="CM565" s="62"/>
      <c r="CN565" s="62"/>
      <c r="CO565" s="62"/>
      <c r="CP565" s="62"/>
      <c r="CQ565" s="62"/>
      <c r="CR565" s="62"/>
      <c r="CS565" s="62"/>
      <c r="CT565" s="62"/>
      <c r="CU565" s="62"/>
      <c r="CV565" s="62"/>
      <c r="CW565" s="62"/>
      <c r="CX565" s="62"/>
      <c r="CY565" s="62"/>
      <c r="CZ565" s="62"/>
      <c r="DA565" s="62"/>
      <c r="DB565" s="62"/>
      <c r="DC565" s="62"/>
      <c r="DD565" s="62"/>
      <c r="DE565" s="62"/>
      <c r="DF565" s="62"/>
      <c r="DG565" s="62"/>
      <c r="DH565" s="62"/>
      <c r="DI565" s="62"/>
      <c r="DJ565" s="62"/>
      <c r="DK565" s="62"/>
      <c r="DL565" s="62"/>
      <c r="DM565" s="62"/>
      <c r="DN565" s="62"/>
      <c r="DO565" s="62"/>
      <c r="DP565" s="62"/>
      <c r="DQ565" s="62"/>
      <c r="DR565" s="62"/>
      <c r="DS565" s="62"/>
      <c r="DT565" s="62"/>
      <c r="DU565" s="62"/>
      <c r="DV565" s="62"/>
      <c r="DW565" s="62"/>
      <c r="DX565" s="62"/>
      <c r="DY565" s="62"/>
      <c r="DZ565" s="62"/>
      <c r="EA565" s="62"/>
      <c r="EB565" s="62"/>
      <c r="EC565" s="62"/>
      <c r="ED565" s="62"/>
      <c r="EE565" s="62"/>
      <c r="EF565" s="62"/>
      <c r="EG565" s="62"/>
      <c r="EH565" s="62"/>
      <c r="EI565" s="62"/>
      <c r="EJ565" s="62"/>
      <c r="EK565" s="62"/>
      <c r="EL565" s="62"/>
      <c r="EM565" s="62"/>
      <c r="EN565" s="62"/>
      <c r="EO565" s="62"/>
      <c r="EP565" s="62"/>
      <c r="EQ565" s="62"/>
      <c r="ER565" s="62"/>
      <c r="ES565" s="62"/>
      <c r="ET565" s="62"/>
      <c r="EU565" s="62"/>
      <c r="EV565" s="62"/>
      <c r="EW565" s="62"/>
      <c r="EX565" s="62"/>
      <c r="EY565" s="62"/>
      <c r="EZ565" s="62"/>
      <c r="FA565" s="62"/>
      <c r="FB565" s="62"/>
      <c r="FC565" s="62"/>
      <c r="FD565" s="62"/>
      <c r="FE565" s="62"/>
      <c r="FF565" s="62"/>
      <c r="FG565" s="62"/>
      <c r="FH565" s="62"/>
      <c r="FI565" s="62"/>
      <c r="FJ565" s="62"/>
      <c r="FK565" s="62"/>
      <c r="FL565" s="62"/>
      <c r="FM565" s="62"/>
      <c r="FN565" s="62"/>
      <c r="FO565" s="62"/>
      <c r="FP565" s="62"/>
      <c r="FQ565" s="62"/>
      <c r="FR565" s="62"/>
      <c r="FS565" s="62"/>
      <c r="FT565" s="62"/>
      <c r="FU565" s="62"/>
      <c r="FV565" s="62"/>
    </row>
    <row r="566" spans="1:178" ht="13.8">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c r="AY566" s="62"/>
      <c r="AZ566" s="62"/>
      <c r="BA566" s="62"/>
      <c r="BB566" s="62"/>
      <c r="BC566" s="62"/>
      <c r="BD566" s="62"/>
      <c r="BE566" s="62"/>
      <c r="BF566" s="62"/>
      <c r="BG566" s="62"/>
      <c r="BH566" s="62"/>
      <c r="BI566" s="62"/>
      <c r="BJ566" s="62"/>
      <c r="BK566" s="62"/>
      <c r="BL566" s="62"/>
      <c r="BM566" s="62"/>
      <c r="BN566" s="62"/>
      <c r="BO566" s="62"/>
      <c r="BP566" s="62"/>
      <c r="BQ566" s="62"/>
      <c r="BR566" s="62"/>
      <c r="BS566" s="62"/>
      <c r="BT566" s="62"/>
      <c r="BU566" s="62"/>
      <c r="BV566" s="62"/>
      <c r="BW566" s="62"/>
      <c r="BX566" s="62"/>
      <c r="BY566" s="62"/>
      <c r="BZ566" s="62"/>
      <c r="CA566" s="62"/>
      <c r="CB566" s="62"/>
      <c r="CC566" s="62"/>
      <c r="CD566" s="62"/>
      <c r="CE566" s="62"/>
      <c r="CF566" s="62"/>
      <c r="CG566" s="62"/>
      <c r="CH566" s="62"/>
      <c r="CI566" s="62"/>
      <c r="CJ566" s="62"/>
      <c r="CK566" s="62"/>
      <c r="CL566" s="62"/>
      <c r="CM566" s="62"/>
      <c r="CN566" s="62"/>
      <c r="CO566" s="62"/>
      <c r="CP566" s="62"/>
      <c r="CQ566" s="62"/>
      <c r="CR566" s="62"/>
      <c r="CS566" s="62"/>
      <c r="CT566" s="62"/>
      <c r="CU566" s="62"/>
      <c r="CV566" s="62"/>
      <c r="CW566" s="62"/>
      <c r="CX566" s="62"/>
      <c r="CY566" s="62"/>
      <c r="CZ566" s="62"/>
      <c r="DA566" s="62"/>
      <c r="DB566" s="62"/>
      <c r="DC566" s="62"/>
      <c r="DD566" s="62"/>
      <c r="DE566" s="62"/>
      <c r="DF566" s="62"/>
      <c r="DG566" s="62"/>
      <c r="DH566" s="62"/>
      <c r="DI566" s="62"/>
      <c r="DJ566" s="62"/>
      <c r="DK566" s="62"/>
      <c r="DL566" s="62"/>
      <c r="DM566" s="62"/>
      <c r="DN566" s="62"/>
      <c r="DO566" s="62"/>
      <c r="DP566" s="62"/>
      <c r="DQ566" s="62"/>
      <c r="DR566" s="62"/>
      <c r="DS566" s="62"/>
      <c r="DT566" s="62"/>
      <c r="DU566" s="62"/>
      <c r="DV566" s="62"/>
      <c r="DW566" s="62"/>
      <c r="DX566" s="62"/>
      <c r="DY566" s="62"/>
      <c r="DZ566" s="62"/>
      <c r="EA566" s="62"/>
      <c r="EB566" s="62"/>
      <c r="EC566" s="62"/>
      <c r="ED566" s="62"/>
      <c r="EE566" s="62"/>
      <c r="EF566" s="62"/>
      <c r="EG566" s="62"/>
      <c r="EH566" s="62"/>
      <c r="EI566" s="62"/>
      <c r="EJ566" s="62"/>
      <c r="EK566" s="62"/>
      <c r="EL566" s="62"/>
      <c r="EM566" s="62"/>
      <c r="EN566" s="62"/>
      <c r="EO566" s="62"/>
      <c r="EP566" s="62"/>
      <c r="EQ566" s="62"/>
      <c r="ER566" s="62"/>
      <c r="ES566" s="62"/>
      <c r="ET566" s="62"/>
      <c r="EU566" s="62"/>
      <c r="EV566" s="62"/>
      <c r="EW566" s="62"/>
      <c r="EX566" s="62"/>
      <c r="EY566" s="62"/>
      <c r="EZ566" s="62"/>
      <c r="FA566" s="62"/>
      <c r="FB566" s="62"/>
      <c r="FC566" s="62"/>
      <c r="FD566" s="62"/>
      <c r="FE566" s="62"/>
      <c r="FF566" s="62"/>
      <c r="FG566" s="62"/>
      <c r="FH566" s="62"/>
      <c r="FI566" s="62"/>
      <c r="FJ566" s="62"/>
      <c r="FK566" s="62"/>
      <c r="FL566" s="62"/>
      <c r="FM566" s="62"/>
      <c r="FN566" s="62"/>
      <c r="FO566" s="62"/>
      <c r="FP566" s="62"/>
      <c r="FQ566" s="62"/>
      <c r="FR566" s="62"/>
      <c r="FS566" s="62"/>
      <c r="FT566" s="62"/>
      <c r="FU566" s="62"/>
      <c r="FV566" s="62"/>
    </row>
    <row r="567" spans="1:178" ht="13.8">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c r="AY567" s="62"/>
      <c r="AZ567" s="62"/>
      <c r="BA567" s="62"/>
      <c r="BB567" s="62"/>
      <c r="BC567" s="62"/>
      <c r="BD567" s="62"/>
      <c r="BE567" s="62"/>
      <c r="BF567" s="62"/>
      <c r="BG567" s="62"/>
      <c r="BH567" s="62"/>
      <c r="BI567" s="62"/>
      <c r="BJ567" s="62"/>
      <c r="BK567" s="62"/>
      <c r="BL567" s="62"/>
      <c r="BM567" s="62"/>
      <c r="BN567" s="62"/>
      <c r="BO567" s="62"/>
      <c r="BP567" s="62"/>
      <c r="BQ567" s="62"/>
      <c r="BR567" s="62"/>
      <c r="BS567" s="62"/>
      <c r="BT567" s="62"/>
      <c r="BU567" s="62"/>
      <c r="BV567" s="62"/>
      <c r="BW567" s="62"/>
      <c r="BX567" s="62"/>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62"/>
      <c r="CX567" s="62"/>
      <c r="CY567" s="62"/>
      <c r="CZ567" s="62"/>
      <c r="DA567" s="62"/>
      <c r="DB567" s="62"/>
      <c r="DC567" s="62"/>
      <c r="DD567" s="62"/>
      <c r="DE567" s="62"/>
      <c r="DF567" s="62"/>
      <c r="DG567" s="62"/>
      <c r="DH567" s="62"/>
      <c r="DI567" s="62"/>
      <c r="DJ567" s="62"/>
      <c r="DK567" s="62"/>
      <c r="DL567" s="62"/>
      <c r="DM567" s="62"/>
      <c r="DN567" s="62"/>
      <c r="DO567" s="62"/>
      <c r="DP567" s="62"/>
      <c r="DQ567" s="62"/>
      <c r="DR567" s="62"/>
      <c r="DS567" s="62"/>
      <c r="DT567" s="62"/>
      <c r="DU567" s="62"/>
      <c r="DV567" s="62"/>
      <c r="DW567" s="62"/>
      <c r="DX567" s="62"/>
      <c r="DY567" s="62"/>
      <c r="DZ567" s="62"/>
      <c r="EA567" s="62"/>
      <c r="EB567" s="62"/>
      <c r="EC567" s="62"/>
      <c r="ED567" s="62"/>
      <c r="EE567" s="62"/>
      <c r="EF567" s="62"/>
      <c r="EG567" s="62"/>
      <c r="EH567" s="62"/>
      <c r="EI567" s="62"/>
      <c r="EJ567" s="62"/>
      <c r="EK567" s="62"/>
      <c r="EL567" s="62"/>
      <c r="EM567" s="62"/>
      <c r="EN567" s="62"/>
      <c r="EO567" s="62"/>
      <c r="EP567" s="62"/>
      <c r="EQ567" s="62"/>
      <c r="ER567" s="62"/>
      <c r="ES567" s="62"/>
      <c r="ET567" s="62"/>
      <c r="EU567" s="62"/>
      <c r="EV567" s="62"/>
      <c r="EW567" s="62"/>
      <c r="EX567" s="62"/>
      <c r="EY567" s="62"/>
      <c r="EZ567" s="62"/>
      <c r="FA567" s="62"/>
      <c r="FB567" s="62"/>
      <c r="FC567" s="62"/>
      <c r="FD567" s="62"/>
      <c r="FE567" s="62"/>
      <c r="FF567" s="62"/>
      <c r="FG567" s="62"/>
      <c r="FH567" s="62"/>
      <c r="FI567" s="62"/>
      <c r="FJ567" s="62"/>
      <c r="FK567" s="62"/>
      <c r="FL567" s="62"/>
      <c r="FM567" s="62"/>
      <c r="FN567" s="62"/>
      <c r="FO567" s="62"/>
      <c r="FP567" s="62"/>
      <c r="FQ567" s="62"/>
      <c r="FR567" s="62"/>
      <c r="FS567" s="62"/>
      <c r="FT567" s="62"/>
      <c r="FU567" s="62"/>
      <c r="FV567" s="62"/>
    </row>
    <row r="568" spans="1:178" ht="13.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c r="AY568" s="62"/>
      <c r="AZ568" s="62"/>
      <c r="BA568" s="62"/>
      <c r="BB568" s="62"/>
      <c r="BC568" s="62"/>
      <c r="BD568" s="62"/>
      <c r="BE568" s="62"/>
      <c r="BF568" s="62"/>
      <c r="BG568" s="62"/>
      <c r="BH568" s="62"/>
      <c r="BI568" s="62"/>
      <c r="BJ568" s="62"/>
      <c r="BK568" s="62"/>
      <c r="BL568" s="62"/>
      <c r="BM568" s="62"/>
      <c r="BN568" s="62"/>
      <c r="BO568" s="62"/>
      <c r="BP568" s="62"/>
      <c r="BQ568" s="62"/>
      <c r="BR568" s="62"/>
      <c r="BS568" s="62"/>
      <c r="BT568" s="62"/>
      <c r="BU568" s="62"/>
      <c r="BV568" s="62"/>
      <c r="BW568" s="62"/>
      <c r="BX568" s="62"/>
      <c r="BY568" s="62"/>
      <c r="BZ568" s="62"/>
      <c r="CA568" s="62"/>
      <c r="CB568" s="62"/>
      <c r="CC568" s="62"/>
      <c r="CD568" s="62"/>
      <c r="CE568" s="62"/>
      <c r="CF568" s="62"/>
      <c r="CG568" s="62"/>
      <c r="CH568" s="62"/>
      <c r="CI568" s="62"/>
      <c r="CJ568" s="62"/>
      <c r="CK568" s="62"/>
      <c r="CL568" s="62"/>
      <c r="CM568" s="62"/>
      <c r="CN568" s="62"/>
      <c r="CO568" s="62"/>
      <c r="CP568" s="62"/>
      <c r="CQ568" s="62"/>
      <c r="CR568" s="62"/>
      <c r="CS568" s="62"/>
      <c r="CT568" s="62"/>
      <c r="CU568" s="62"/>
      <c r="CV568" s="62"/>
      <c r="CW568" s="62"/>
      <c r="CX568" s="62"/>
      <c r="CY568" s="62"/>
      <c r="CZ568" s="62"/>
      <c r="DA568" s="62"/>
      <c r="DB568" s="62"/>
      <c r="DC568" s="62"/>
      <c r="DD568" s="62"/>
      <c r="DE568" s="62"/>
      <c r="DF568" s="62"/>
      <c r="DG568" s="62"/>
      <c r="DH568" s="62"/>
      <c r="DI568" s="62"/>
      <c r="DJ568" s="62"/>
      <c r="DK568" s="62"/>
      <c r="DL568" s="62"/>
      <c r="DM568" s="62"/>
      <c r="DN568" s="62"/>
      <c r="DO568" s="62"/>
      <c r="DP568" s="62"/>
      <c r="DQ568" s="62"/>
      <c r="DR568" s="62"/>
      <c r="DS568" s="62"/>
      <c r="DT568" s="62"/>
      <c r="DU568" s="62"/>
      <c r="DV568" s="62"/>
      <c r="DW568" s="62"/>
      <c r="DX568" s="62"/>
      <c r="DY568" s="62"/>
      <c r="DZ568" s="62"/>
      <c r="EA568" s="62"/>
      <c r="EB568" s="62"/>
      <c r="EC568" s="62"/>
      <c r="ED568" s="62"/>
      <c r="EE568" s="62"/>
      <c r="EF568" s="62"/>
      <c r="EG568" s="62"/>
      <c r="EH568" s="62"/>
      <c r="EI568" s="62"/>
      <c r="EJ568" s="62"/>
      <c r="EK568" s="62"/>
      <c r="EL568" s="62"/>
      <c r="EM568" s="62"/>
      <c r="EN568" s="62"/>
      <c r="EO568" s="62"/>
      <c r="EP568" s="62"/>
      <c r="EQ568" s="62"/>
      <c r="ER568" s="62"/>
      <c r="ES568" s="62"/>
      <c r="ET568" s="62"/>
      <c r="EU568" s="62"/>
      <c r="EV568" s="62"/>
      <c r="EW568" s="62"/>
      <c r="EX568" s="62"/>
      <c r="EY568" s="62"/>
      <c r="EZ568" s="62"/>
      <c r="FA568" s="62"/>
      <c r="FB568" s="62"/>
      <c r="FC568" s="62"/>
      <c r="FD568" s="62"/>
      <c r="FE568" s="62"/>
      <c r="FF568" s="62"/>
      <c r="FG568" s="62"/>
      <c r="FH568" s="62"/>
      <c r="FI568" s="62"/>
      <c r="FJ568" s="62"/>
      <c r="FK568" s="62"/>
      <c r="FL568" s="62"/>
      <c r="FM568" s="62"/>
      <c r="FN568" s="62"/>
      <c r="FO568" s="62"/>
      <c r="FP568" s="62"/>
      <c r="FQ568" s="62"/>
      <c r="FR568" s="62"/>
      <c r="FS568" s="62"/>
      <c r="FT568" s="62"/>
      <c r="FU568" s="62"/>
      <c r="FV568" s="62"/>
    </row>
    <row r="569" spans="1:178" ht="13.8">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62"/>
      <c r="CX569" s="62"/>
      <c r="CY569" s="62"/>
      <c r="CZ569" s="62"/>
      <c r="DA569" s="62"/>
      <c r="DB569" s="62"/>
      <c r="DC569" s="62"/>
      <c r="DD569" s="62"/>
      <c r="DE569" s="62"/>
      <c r="DF569" s="62"/>
      <c r="DG569" s="62"/>
      <c r="DH569" s="62"/>
      <c r="DI569" s="62"/>
      <c r="DJ569" s="62"/>
      <c r="DK569" s="62"/>
      <c r="DL569" s="62"/>
      <c r="DM569" s="62"/>
      <c r="DN569" s="62"/>
      <c r="DO569" s="62"/>
      <c r="DP569" s="62"/>
      <c r="DQ569" s="62"/>
      <c r="DR569" s="62"/>
      <c r="DS569" s="62"/>
      <c r="DT569" s="62"/>
      <c r="DU569" s="62"/>
      <c r="DV569" s="62"/>
      <c r="DW569" s="62"/>
      <c r="DX569" s="62"/>
      <c r="DY569" s="62"/>
      <c r="DZ569" s="62"/>
      <c r="EA569" s="62"/>
      <c r="EB569" s="62"/>
      <c r="EC569" s="62"/>
      <c r="ED569" s="62"/>
      <c r="EE569" s="62"/>
      <c r="EF569" s="62"/>
      <c r="EG569" s="62"/>
      <c r="EH569" s="62"/>
      <c r="EI569" s="62"/>
      <c r="EJ569" s="62"/>
      <c r="EK569" s="62"/>
      <c r="EL569" s="62"/>
      <c r="EM569" s="62"/>
      <c r="EN569" s="62"/>
      <c r="EO569" s="62"/>
      <c r="EP569" s="62"/>
      <c r="EQ569" s="62"/>
      <c r="ER569" s="62"/>
      <c r="ES569" s="62"/>
      <c r="ET569" s="62"/>
      <c r="EU569" s="62"/>
      <c r="EV569" s="62"/>
      <c r="EW569" s="62"/>
      <c r="EX569" s="62"/>
      <c r="EY569" s="62"/>
      <c r="EZ569" s="62"/>
      <c r="FA569" s="62"/>
      <c r="FB569" s="62"/>
      <c r="FC569" s="62"/>
      <c r="FD569" s="62"/>
      <c r="FE569" s="62"/>
      <c r="FF569" s="62"/>
      <c r="FG569" s="62"/>
      <c r="FH569" s="62"/>
      <c r="FI569" s="62"/>
      <c r="FJ569" s="62"/>
      <c r="FK569" s="62"/>
      <c r="FL569" s="62"/>
      <c r="FM569" s="62"/>
      <c r="FN569" s="62"/>
      <c r="FO569" s="62"/>
      <c r="FP569" s="62"/>
      <c r="FQ569" s="62"/>
      <c r="FR569" s="62"/>
      <c r="FS569" s="62"/>
      <c r="FT569" s="62"/>
      <c r="FU569" s="62"/>
      <c r="FV569" s="62"/>
    </row>
    <row r="570" spans="1:178" ht="13.8">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62"/>
      <c r="CX570" s="62"/>
      <c r="CY570" s="62"/>
      <c r="CZ570" s="62"/>
      <c r="DA570" s="62"/>
      <c r="DB570" s="62"/>
      <c r="DC570" s="62"/>
      <c r="DD570" s="62"/>
      <c r="DE570" s="62"/>
      <c r="DF570" s="62"/>
      <c r="DG570" s="62"/>
      <c r="DH570" s="62"/>
      <c r="DI570" s="62"/>
      <c r="DJ570" s="62"/>
      <c r="DK570" s="62"/>
      <c r="DL570" s="62"/>
      <c r="DM570" s="62"/>
      <c r="DN570" s="62"/>
      <c r="DO570" s="62"/>
      <c r="DP570" s="62"/>
      <c r="DQ570" s="62"/>
      <c r="DR570" s="62"/>
      <c r="DS570" s="62"/>
      <c r="DT570" s="62"/>
      <c r="DU570" s="62"/>
      <c r="DV570" s="62"/>
      <c r="DW570" s="62"/>
      <c r="DX570" s="62"/>
      <c r="DY570" s="62"/>
      <c r="DZ570" s="62"/>
      <c r="EA570" s="62"/>
      <c r="EB570" s="62"/>
      <c r="EC570" s="62"/>
      <c r="ED570" s="62"/>
      <c r="EE570" s="62"/>
      <c r="EF570" s="62"/>
      <c r="EG570" s="62"/>
      <c r="EH570" s="62"/>
      <c r="EI570" s="62"/>
      <c r="EJ570" s="62"/>
      <c r="EK570" s="62"/>
      <c r="EL570" s="62"/>
      <c r="EM570" s="62"/>
      <c r="EN570" s="62"/>
      <c r="EO570" s="62"/>
      <c r="EP570" s="62"/>
      <c r="EQ570" s="62"/>
      <c r="ER570" s="62"/>
      <c r="ES570" s="62"/>
      <c r="ET570" s="62"/>
      <c r="EU570" s="62"/>
      <c r="EV570" s="62"/>
      <c r="EW570" s="62"/>
      <c r="EX570" s="62"/>
      <c r="EY570" s="62"/>
      <c r="EZ570" s="62"/>
      <c r="FA570" s="62"/>
      <c r="FB570" s="62"/>
      <c r="FC570" s="62"/>
      <c r="FD570" s="62"/>
      <c r="FE570" s="62"/>
      <c r="FF570" s="62"/>
      <c r="FG570" s="62"/>
      <c r="FH570" s="62"/>
      <c r="FI570" s="62"/>
      <c r="FJ570" s="62"/>
      <c r="FK570" s="62"/>
      <c r="FL570" s="62"/>
      <c r="FM570" s="62"/>
      <c r="FN570" s="62"/>
      <c r="FO570" s="62"/>
      <c r="FP570" s="62"/>
      <c r="FQ570" s="62"/>
      <c r="FR570" s="62"/>
      <c r="FS570" s="62"/>
      <c r="FT570" s="62"/>
      <c r="FU570" s="62"/>
      <c r="FV570" s="62"/>
    </row>
    <row r="571" spans="1:178" ht="13.8">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62"/>
      <c r="CF571" s="62"/>
      <c r="CG571" s="62"/>
      <c r="CH571" s="62"/>
      <c r="CI571" s="62"/>
      <c r="CJ571" s="62"/>
      <c r="CK571" s="62"/>
      <c r="CL571" s="62"/>
      <c r="CM571" s="62"/>
      <c r="CN571" s="62"/>
      <c r="CO571" s="62"/>
      <c r="CP571" s="62"/>
      <c r="CQ571" s="62"/>
      <c r="CR571" s="62"/>
      <c r="CS571" s="62"/>
      <c r="CT571" s="62"/>
      <c r="CU571" s="62"/>
      <c r="CV571" s="62"/>
      <c r="CW571" s="62"/>
      <c r="CX571" s="62"/>
      <c r="CY571" s="62"/>
      <c r="CZ571" s="62"/>
      <c r="DA571" s="62"/>
      <c r="DB571" s="62"/>
      <c r="DC571" s="62"/>
      <c r="DD571" s="62"/>
      <c r="DE571" s="62"/>
      <c r="DF571" s="62"/>
      <c r="DG571" s="62"/>
      <c r="DH571" s="62"/>
      <c r="DI571" s="62"/>
      <c r="DJ571" s="62"/>
      <c r="DK571" s="62"/>
      <c r="DL571" s="62"/>
      <c r="DM571" s="62"/>
      <c r="DN571" s="62"/>
      <c r="DO571" s="62"/>
      <c r="DP571" s="62"/>
      <c r="DQ571" s="62"/>
      <c r="DR571" s="62"/>
      <c r="DS571" s="62"/>
      <c r="DT571" s="62"/>
      <c r="DU571" s="62"/>
      <c r="DV571" s="62"/>
      <c r="DW571" s="62"/>
      <c r="DX571" s="62"/>
      <c r="DY571" s="62"/>
      <c r="DZ571" s="62"/>
      <c r="EA571" s="62"/>
      <c r="EB571" s="62"/>
      <c r="EC571" s="62"/>
      <c r="ED571" s="62"/>
      <c r="EE571" s="62"/>
      <c r="EF571" s="62"/>
      <c r="EG571" s="62"/>
      <c r="EH571" s="62"/>
      <c r="EI571" s="62"/>
      <c r="EJ571" s="62"/>
      <c r="EK571" s="62"/>
      <c r="EL571" s="62"/>
      <c r="EM571" s="62"/>
      <c r="EN571" s="62"/>
      <c r="EO571" s="62"/>
      <c r="EP571" s="62"/>
      <c r="EQ571" s="62"/>
      <c r="ER571" s="62"/>
      <c r="ES571" s="62"/>
      <c r="ET571" s="62"/>
      <c r="EU571" s="62"/>
      <c r="EV571" s="62"/>
      <c r="EW571" s="62"/>
      <c r="EX571" s="62"/>
      <c r="EY571" s="62"/>
      <c r="EZ571" s="62"/>
      <c r="FA571" s="62"/>
      <c r="FB571" s="62"/>
      <c r="FC571" s="62"/>
      <c r="FD571" s="62"/>
      <c r="FE571" s="62"/>
      <c r="FF571" s="62"/>
      <c r="FG571" s="62"/>
      <c r="FH571" s="62"/>
      <c r="FI571" s="62"/>
      <c r="FJ571" s="62"/>
      <c r="FK571" s="62"/>
      <c r="FL571" s="62"/>
      <c r="FM571" s="62"/>
      <c r="FN571" s="62"/>
      <c r="FO571" s="62"/>
      <c r="FP571" s="62"/>
      <c r="FQ571" s="62"/>
      <c r="FR571" s="62"/>
      <c r="FS571" s="62"/>
      <c r="FT571" s="62"/>
      <c r="FU571" s="62"/>
      <c r="FV571" s="62"/>
    </row>
    <row r="572" spans="1:178" ht="13.8">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62"/>
      <c r="CX572" s="62"/>
      <c r="CY572" s="62"/>
      <c r="CZ572" s="62"/>
      <c r="DA572" s="62"/>
      <c r="DB572" s="62"/>
      <c r="DC572" s="62"/>
      <c r="DD572" s="62"/>
      <c r="DE572" s="62"/>
      <c r="DF572" s="62"/>
      <c r="DG572" s="62"/>
      <c r="DH572" s="62"/>
      <c r="DI572" s="62"/>
      <c r="DJ572" s="62"/>
      <c r="DK572" s="62"/>
      <c r="DL572" s="62"/>
      <c r="DM572" s="62"/>
      <c r="DN572" s="62"/>
      <c r="DO572" s="62"/>
      <c r="DP572" s="62"/>
      <c r="DQ572" s="62"/>
      <c r="DR572" s="62"/>
      <c r="DS572" s="62"/>
      <c r="DT572" s="62"/>
      <c r="DU572" s="62"/>
      <c r="DV572" s="62"/>
      <c r="DW572" s="62"/>
      <c r="DX572" s="62"/>
      <c r="DY572" s="62"/>
      <c r="DZ572" s="62"/>
      <c r="EA572" s="62"/>
      <c r="EB572" s="62"/>
      <c r="EC572" s="62"/>
      <c r="ED572" s="62"/>
      <c r="EE572" s="62"/>
      <c r="EF572" s="62"/>
      <c r="EG572" s="62"/>
      <c r="EH572" s="62"/>
      <c r="EI572" s="62"/>
      <c r="EJ572" s="62"/>
      <c r="EK572" s="62"/>
      <c r="EL572" s="62"/>
      <c r="EM572" s="62"/>
      <c r="EN572" s="62"/>
      <c r="EO572" s="62"/>
      <c r="EP572" s="62"/>
      <c r="EQ572" s="62"/>
      <c r="ER572" s="62"/>
      <c r="ES572" s="62"/>
      <c r="ET572" s="62"/>
      <c r="EU572" s="62"/>
      <c r="EV572" s="62"/>
      <c r="EW572" s="62"/>
      <c r="EX572" s="62"/>
      <c r="EY572" s="62"/>
      <c r="EZ572" s="62"/>
      <c r="FA572" s="62"/>
      <c r="FB572" s="62"/>
      <c r="FC572" s="62"/>
      <c r="FD572" s="62"/>
      <c r="FE572" s="62"/>
      <c r="FF572" s="62"/>
      <c r="FG572" s="62"/>
      <c r="FH572" s="62"/>
      <c r="FI572" s="62"/>
      <c r="FJ572" s="62"/>
      <c r="FK572" s="62"/>
      <c r="FL572" s="62"/>
      <c r="FM572" s="62"/>
      <c r="FN572" s="62"/>
      <c r="FO572" s="62"/>
      <c r="FP572" s="62"/>
      <c r="FQ572" s="62"/>
      <c r="FR572" s="62"/>
      <c r="FS572" s="62"/>
      <c r="FT572" s="62"/>
      <c r="FU572" s="62"/>
      <c r="FV572" s="62"/>
    </row>
    <row r="573" spans="1:178" ht="13.8">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62"/>
      <c r="CX573" s="62"/>
      <c r="CY573" s="62"/>
      <c r="CZ573" s="62"/>
      <c r="DA573" s="62"/>
      <c r="DB573" s="62"/>
      <c r="DC573" s="62"/>
      <c r="DD573" s="62"/>
      <c r="DE573" s="62"/>
      <c r="DF573" s="62"/>
      <c r="DG573" s="62"/>
      <c r="DH573" s="62"/>
      <c r="DI573" s="62"/>
      <c r="DJ573" s="62"/>
      <c r="DK573" s="62"/>
      <c r="DL573" s="62"/>
      <c r="DM573" s="62"/>
      <c r="DN573" s="62"/>
      <c r="DO573" s="62"/>
      <c r="DP573" s="62"/>
      <c r="DQ573" s="62"/>
      <c r="DR573" s="62"/>
      <c r="DS573" s="62"/>
      <c r="DT573" s="62"/>
      <c r="DU573" s="62"/>
      <c r="DV573" s="62"/>
      <c r="DW573" s="62"/>
      <c r="DX573" s="62"/>
      <c r="DY573" s="62"/>
      <c r="DZ573" s="62"/>
      <c r="EA573" s="62"/>
      <c r="EB573" s="62"/>
      <c r="EC573" s="62"/>
      <c r="ED573" s="62"/>
      <c r="EE573" s="62"/>
      <c r="EF573" s="62"/>
      <c r="EG573" s="62"/>
      <c r="EH573" s="62"/>
      <c r="EI573" s="62"/>
      <c r="EJ573" s="62"/>
      <c r="EK573" s="62"/>
      <c r="EL573" s="62"/>
      <c r="EM573" s="62"/>
      <c r="EN573" s="62"/>
      <c r="EO573" s="62"/>
      <c r="EP573" s="62"/>
      <c r="EQ573" s="62"/>
      <c r="ER573" s="62"/>
      <c r="ES573" s="62"/>
      <c r="ET573" s="62"/>
      <c r="EU573" s="62"/>
      <c r="EV573" s="62"/>
      <c r="EW573" s="62"/>
      <c r="EX573" s="62"/>
      <c r="EY573" s="62"/>
      <c r="EZ573" s="62"/>
      <c r="FA573" s="62"/>
      <c r="FB573" s="62"/>
      <c r="FC573" s="62"/>
      <c r="FD573" s="62"/>
      <c r="FE573" s="62"/>
      <c r="FF573" s="62"/>
      <c r="FG573" s="62"/>
      <c r="FH573" s="62"/>
      <c r="FI573" s="62"/>
      <c r="FJ573" s="62"/>
      <c r="FK573" s="62"/>
      <c r="FL573" s="62"/>
      <c r="FM573" s="62"/>
      <c r="FN573" s="62"/>
      <c r="FO573" s="62"/>
      <c r="FP573" s="62"/>
      <c r="FQ573" s="62"/>
      <c r="FR573" s="62"/>
      <c r="FS573" s="62"/>
      <c r="FT573" s="62"/>
      <c r="FU573" s="62"/>
      <c r="FV573" s="62"/>
    </row>
    <row r="574" spans="1:178" ht="13.8">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62"/>
      <c r="CX574" s="62"/>
      <c r="CY574" s="62"/>
      <c r="CZ574" s="62"/>
      <c r="DA574" s="62"/>
      <c r="DB574" s="62"/>
      <c r="DC574" s="62"/>
      <c r="DD574" s="62"/>
      <c r="DE574" s="62"/>
      <c r="DF574" s="62"/>
      <c r="DG574" s="62"/>
      <c r="DH574" s="62"/>
      <c r="DI574" s="62"/>
      <c r="DJ574" s="62"/>
      <c r="DK574" s="62"/>
      <c r="DL574" s="62"/>
      <c r="DM574" s="62"/>
      <c r="DN574" s="62"/>
      <c r="DO574" s="62"/>
      <c r="DP574" s="62"/>
      <c r="DQ574" s="62"/>
      <c r="DR574" s="62"/>
      <c r="DS574" s="62"/>
      <c r="DT574" s="62"/>
      <c r="DU574" s="62"/>
      <c r="DV574" s="62"/>
      <c r="DW574" s="62"/>
      <c r="DX574" s="62"/>
      <c r="DY574" s="62"/>
      <c r="DZ574" s="62"/>
      <c r="EA574" s="62"/>
      <c r="EB574" s="62"/>
      <c r="EC574" s="62"/>
      <c r="ED574" s="62"/>
      <c r="EE574" s="62"/>
      <c r="EF574" s="62"/>
      <c r="EG574" s="62"/>
      <c r="EH574" s="62"/>
      <c r="EI574" s="62"/>
      <c r="EJ574" s="62"/>
      <c r="EK574" s="62"/>
      <c r="EL574" s="62"/>
      <c r="EM574" s="62"/>
      <c r="EN574" s="62"/>
      <c r="EO574" s="62"/>
      <c r="EP574" s="62"/>
      <c r="EQ574" s="62"/>
      <c r="ER574" s="62"/>
      <c r="ES574" s="62"/>
      <c r="ET574" s="62"/>
      <c r="EU574" s="62"/>
      <c r="EV574" s="62"/>
      <c r="EW574" s="62"/>
      <c r="EX574" s="62"/>
      <c r="EY574" s="62"/>
      <c r="EZ574" s="62"/>
      <c r="FA574" s="62"/>
      <c r="FB574" s="62"/>
      <c r="FC574" s="62"/>
      <c r="FD574" s="62"/>
      <c r="FE574" s="62"/>
      <c r="FF574" s="62"/>
      <c r="FG574" s="62"/>
      <c r="FH574" s="62"/>
      <c r="FI574" s="62"/>
      <c r="FJ574" s="62"/>
      <c r="FK574" s="62"/>
      <c r="FL574" s="62"/>
      <c r="FM574" s="62"/>
      <c r="FN574" s="62"/>
      <c r="FO574" s="62"/>
      <c r="FP574" s="62"/>
      <c r="FQ574" s="62"/>
      <c r="FR574" s="62"/>
      <c r="FS574" s="62"/>
      <c r="FT574" s="62"/>
      <c r="FU574" s="62"/>
      <c r="FV574" s="62"/>
    </row>
    <row r="575" spans="1:178" ht="13.8">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62"/>
      <c r="CF575" s="62"/>
      <c r="CG575" s="62"/>
      <c r="CH575" s="62"/>
      <c r="CI575" s="62"/>
      <c r="CJ575" s="62"/>
      <c r="CK575" s="62"/>
      <c r="CL575" s="62"/>
      <c r="CM575" s="62"/>
      <c r="CN575" s="62"/>
      <c r="CO575" s="62"/>
      <c r="CP575" s="62"/>
      <c r="CQ575" s="62"/>
      <c r="CR575" s="62"/>
      <c r="CS575" s="62"/>
      <c r="CT575" s="62"/>
      <c r="CU575" s="62"/>
      <c r="CV575" s="62"/>
      <c r="CW575" s="62"/>
      <c r="CX575" s="62"/>
      <c r="CY575" s="62"/>
      <c r="CZ575" s="62"/>
      <c r="DA575" s="62"/>
      <c r="DB575" s="62"/>
      <c r="DC575" s="62"/>
      <c r="DD575" s="62"/>
      <c r="DE575" s="62"/>
      <c r="DF575" s="62"/>
      <c r="DG575" s="62"/>
      <c r="DH575" s="62"/>
      <c r="DI575" s="62"/>
      <c r="DJ575" s="62"/>
      <c r="DK575" s="62"/>
      <c r="DL575" s="62"/>
      <c r="DM575" s="62"/>
      <c r="DN575" s="62"/>
      <c r="DO575" s="62"/>
      <c r="DP575" s="62"/>
      <c r="DQ575" s="62"/>
      <c r="DR575" s="62"/>
      <c r="DS575" s="62"/>
      <c r="DT575" s="62"/>
      <c r="DU575" s="62"/>
      <c r="DV575" s="62"/>
      <c r="DW575" s="62"/>
      <c r="DX575" s="62"/>
      <c r="DY575" s="62"/>
      <c r="DZ575" s="62"/>
      <c r="EA575" s="62"/>
      <c r="EB575" s="62"/>
      <c r="EC575" s="62"/>
      <c r="ED575" s="62"/>
      <c r="EE575" s="62"/>
      <c r="EF575" s="62"/>
      <c r="EG575" s="62"/>
      <c r="EH575" s="62"/>
      <c r="EI575" s="62"/>
      <c r="EJ575" s="62"/>
      <c r="EK575" s="62"/>
      <c r="EL575" s="62"/>
      <c r="EM575" s="62"/>
      <c r="EN575" s="62"/>
      <c r="EO575" s="62"/>
      <c r="EP575" s="62"/>
      <c r="EQ575" s="62"/>
      <c r="ER575" s="62"/>
      <c r="ES575" s="62"/>
      <c r="ET575" s="62"/>
      <c r="EU575" s="62"/>
      <c r="EV575" s="62"/>
      <c r="EW575" s="62"/>
      <c r="EX575" s="62"/>
      <c r="EY575" s="62"/>
      <c r="EZ575" s="62"/>
      <c r="FA575" s="62"/>
      <c r="FB575" s="62"/>
      <c r="FC575" s="62"/>
      <c r="FD575" s="62"/>
      <c r="FE575" s="62"/>
      <c r="FF575" s="62"/>
      <c r="FG575" s="62"/>
      <c r="FH575" s="62"/>
      <c r="FI575" s="62"/>
      <c r="FJ575" s="62"/>
      <c r="FK575" s="62"/>
      <c r="FL575" s="62"/>
      <c r="FM575" s="62"/>
      <c r="FN575" s="62"/>
      <c r="FO575" s="62"/>
      <c r="FP575" s="62"/>
      <c r="FQ575" s="62"/>
      <c r="FR575" s="62"/>
      <c r="FS575" s="62"/>
      <c r="FT575" s="62"/>
      <c r="FU575" s="62"/>
      <c r="FV575" s="62"/>
    </row>
    <row r="576" spans="1:178" ht="13.8">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62"/>
      <c r="CF576" s="62"/>
      <c r="CG576" s="62"/>
      <c r="CH576" s="62"/>
      <c r="CI576" s="62"/>
      <c r="CJ576" s="62"/>
      <c r="CK576" s="62"/>
      <c r="CL576" s="62"/>
      <c r="CM576" s="62"/>
      <c r="CN576" s="62"/>
      <c r="CO576" s="62"/>
      <c r="CP576" s="62"/>
      <c r="CQ576" s="62"/>
      <c r="CR576" s="62"/>
      <c r="CS576" s="62"/>
      <c r="CT576" s="62"/>
      <c r="CU576" s="62"/>
      <c r="CV576" s="62"/>
      <c r="CW576" s="62"/>
      <c r="CX576" s="62"/>
      <c r="CY576" s="62"/>
      <c r="CZ576" s="62"/>
      <c r="DA576" s="62"/>
      <c r="DB576" s="62"/>
      <c r="DC576" s="62"/>
      <c r="DD576" s="62"/>
      <c r="DE576" s="62"/>
      <c r="DF576" s="62"/>
      <c r="DG576" s="62"/>
      <c r="DH576" s="62"/>
      <c r="DI576" s="62"/>
      <c r="DJ576" s="62"/>
      <c r="DK576" s="62"/>
      <c r="DL576" s="62"/>
      <c r="DM576" s="62"/>
      <c r="DN576" s="62"/>
      <c r="DO576" s="62"/>
      <c r="DP576" s="62"/>
      <c r="DQ576" s="62"/>
      <c r="DR576" s="62"/>
      <c r="DS576" s="62"/>
      <c r="DT576" s="62"/>
      <c r="DU576" s="62"/>
      <c r="DV576" s="62"/>
      <c r="DW576" s="62"/>
      <c r="DX576" s="62"/>
      <c r="DY576" s="62"/>
      <c r="DZ576" s="62"/>
      <c r="EA576" s="62"/>
      <c r="EB576" s="62"/>
      <c r="EC576" s="62"/>
      <c r="ED576" s="62"/>
      <c r="EE576" s="62"/>
      <c r="EF576" s="62"/>
      <c r="EG576" s="62"/>
      <c r="EH576" s="62"/>
      <c r="EI576" s="62"/>
      <c r="EJ576" s="62"/>
      <c r="EK576" s="62"/>
      <c r="EL576" s="62"/>
      <c r="EM576" s="62"/>
      <c r="EN576" s="62"/>
      <c r="EO576" s="62"/>
      <c r="EP576" s="62"/>
      <c r="EQ576" s="62"/>
      <c r="ER576" s="62"/>
      <c r="ES576" s="62"/>
      <c r="ET576" s="62"/>
      <c r="EU576" s="62"/>
      <c r="EV576" s="62"/>
      <c r="EW576" s="62"/>
      <c r="EX576" s="62"/>
      <c r="EY576" s="62"/>
      <c r="EZ576" s="62"/>
      <c r="FA576" s="62"/>
      <c r="FB576" s="62"/>
      <c r="FC576" s="62"/>
      <c r="FD576" s="62"/>
      <c r="FE576" s="62"/>
      <c r="FF576" s="62"/>
      <c r="FG576" s="62"/>
      <c r="FH576" s="62"/>
      <c r="FI576" s="62"/>
      <c r="FJ576" s="62"/>
      <c r="FK576" s="62"/>
      <c r="FL576" s="62"/>
      <c r="FM576" s="62"/>
      <c r="FN576" s="62"/>
      <c r="FO576" s="62"/>
      <c r="FP576" s="62"/>
      <c r="FQ576" s="62"/>
      <c r="FR576" s="62"/>
      <c r="FS576" s="62"/>
      <c r="FT576" s="62"/>
      <c r="FU576" s="62"/>
      <c r="FV576" s="62"/>
    </row>
    <row r="577" spans="1:178" ht="13.8">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62"/>
      <c r="CF577" s="62"/>
      <c r="CG577" s="62"/>
      <c r="CH577" s="62"/>
      <c r="CI577" s="62"/>
      <c r="CJ577" s="62"/>
      <c r="CK577" s="62"/>
      <c r="CL577" s="62"/>
      <c r="CM577" s="62"/>
      <c r="CN577" s="62"/>
      <c r="CO577" s="62"/>
      <c r="CP577" s="62"/>
      <c r="CQ577" s="62"/>
      <c r="CR577" s="62"/>
      <c r="CS577" s="62"/>
      <c r="CT577" s="62"/>
      <c r="CU577" s="62"/>
      <c r="CV577" s="62"/>
      <c r="CW577" s="62"/>
      <c r="CX577" s="62"/>
      <c r="CY577" s="62"/>
      <c r="CZ577" s="62"/>
      <c r="DA577" s="62"/>
      <c r="DB577" s="62"/>
      <c r="DC577" s="62"/>
      <c r="DD577" s="62"/>
      <c r="DE577" s="62"/>
      <c r="DF577" s="62"/>
      <c r="DG577" s="62"/>
      <c r="DH577" s="62"/>
      <c r="DI577" s="62"/>
      <c r="DJ577" s="62"/>
      <c r="DK577" s="62"/>
      <c r="DL577" s="62"/>
      <c r="DM577" s="62"/>
      <c r="DN577" s="62"/>
      <c r="DO577" s="62"/>
      <c r="DP577" s="62"/>
      <c r="DQ577" s="62"/>
      <c r="DR577" s="62"/>
      <c r="DS577" s="62"/>
      <c r="DT577" s="62"/>
      <c r="DU577" s="62"/>
      <c r="DV577" s="62"/>
      <c r="DW577" s="62"/>
      <c r="DX577" s="62"/>
      <c r="DY577" s="62"/>
      <c r="DZ577" s="62"/>
      <c r="EA577" s="62"/>
      <c r="EB577" s="62"/>
      <c r="EC577" s="62"/>
      <c r="ED577" s="62"/>
      <c r="EE577" s="62"/>
      <c r="EF577" s="62"/>
      <c r="EG577" s="62"/>
      <c r="EH577" s="62"/>
      <c r="EI577" s="62"/>
      <c r="EJ577" s="62"/>
      <c r="EK577" s="62"/>
      <c r="EL577" s="62"/>
      <c r="EM577" s="62"/>
      <c r="EN577" s="62"/>
      <c r="EO577" s="62"/>
      <c r="EP577" s="62"/>
      <c r="EQ577" s="62"/>
      <c r="ER577" s="62"/>
      <c r="ES577" s="62"/>
      <c r="ET577" s="62"/>
      <c r="EU577" s="62"/>
      <c r="EV577" s="62"/>
      <c r="EW577" s="62"/>
      <c r="EX577" s="62"/>
      <c r="EY577" s="62"/>
      <c r="EZ577" s="62"/>
      <c r="FA577" s="62"/>
      <c r="FB577" s="62"/>
      <c r="FC577" s="62"/>
      <c r="FD577" s="62"/>
      <c r="FE577" s="62"/>
      <c r="FF577" s="62"/>
      <c r="FG577" s="62"/>
      <c r="FH577" s="62"/>
      <c r="FI577" s="62"/>
      <c r="FJ577" s="62"/>
      <c r="FK577" s="62"/>
      <c r="FL577" s="62"/>
      <c r="FM577" s="62"/>
      <c r="FN577" s="62"/>
      <c r="FO577" s="62"/>
      <c r="FP577" s="62"/>
      <c r="FQ577" s="62"/>
      <c r="FR577" s="62"/>
      <c r="FS577" s="62"/>
      <c r="FT577" s="62"/>
      <c r="FU577" s="62"/>
      <c r="FV577" s="62"/>
    </row>
    <row r="578" spans="1:178" ht="13.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c r="DQ578" s="62"/>
      <c r="DR578" s="62"/>
      <c r="DS578" s="62"/>
      <c r="DT578" s="62"/>
      <c r="DU578" s="62"/>
      <c r="DV578" s="62"/>
      <c r="DW578" s="62"/>
      <c r="DX578" s="62"/>
      <c r="DY578" s="62"/>
      <c r="DZ578" s="62"/>
      <c r="EA578" s="62"/>
      <c r="EB578" s="62"/>
      <c r="EC578" s="62"/>
      <c r="ED578" s="62"/>
      <c r="EE578" s="62"/>
      <c r="EF578" s="62"/>
      <c r="EG578" s="62"/>
      <c r="EH578" s="62"/>
      <c r="EI578" s="62"/>
      <c r="EJ578" s="62"/>
      <c r="EK578" s="62"/>
      <c r="EL578" s="62"/>
      <c r="EM578" s="62"/>
      <c r="EN578" s="62"/>
      <c r="EO578" s="62"/>
      <c r="EP578" s="62"/>
      <c r="EQ578" s="62"/>
      <c r="ER578" s="62"/>
      <c r="ES578" s="62"/>
      <c r="ET578" s="62"/>
      <c r="EU578" s="62"/>
      <c r="EV578" s="62"/>
      <c r="EW578" s="62"/>
      <c r="EX578" s="62"/>
      <c r="EY578" s="62"/>
      <c r="EZ578" s="62"/>
      <c r="FA578" s="62"/>
      <c r="FB578" s="62"/>
      <c r="FC578" s="62"/>
      <c r="FD578" s="62"/>
      <c r="FE578" s="62"/>
      <c r="FF578" s="62"/>
      <c r="FG578" s="62"/>
      <c r="FH578" s="62"/>
      <c r="FI578" s="62"/>
      <c r="FJ578" s="62"/>
      <c r="FK578" s="62"/>
      <c r="FL578" s="62"/>
      <c r="FM578" s="62"/>
      <c r="FN578" s="62"/>
      <c r="FO578" s="62"/>
      <c r="FP578" s="62"/>
      <c r="FQ578" s="62"/>
      <c r="FR578" s="62"/>
      <c r="FS578" s="62"/>
      <c r="FT578" s="62"/>
      <c r="FU578" s="62"/>
      <c r="FV578" s="62"/>
    </row>
    <row r="579" spans="1:178" ht="13.8">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62"/>
      <c r="CX579" s="62"/>
      <c r="CY579" s="62"/>
      <c r="CZ579" s="62"/>
      <c r="DA579" s="62"/>
      <c r="DB579" s="62"/>
      <c r="DC579" s="62"/>
      <c r="DD579" s="62"/>
      <c r="DE579" s="62"/>
      <c r="DF579" s="62"/>
      <c r="DG579" s="62"/>
      <c r="DH579" s="62"/>
      <c r="DI579" s="62"/>
      <c r="DJ579" s="62"/>
      <c r="DK579" s="62"/>
      <c r="DL579" s="62"/>
      <c r="DM579" s="62"/>
      <c r="DN579" s="62"/>
      <c r="DO579" s="62"/>
      <c r="DP579" s="62"/>
      <c r="DQ579" s="62"/>
      <c r="DR579" s="62"/>
      <c r="DS579" s="62"/>
      <c r="DT579" s="62"/>
      <c r="DU579" s="62"/>
      <c r="DV579" s="62"/>
      <c r="DW579" s="62"/>
      <c r="DX579" s="62"/>
      <c r="DY579" s="62"/>
      <c r="DZ579" s="62"/>
      <c r="EA579" s="62"/>
      <c r="EB579" s="62"/>
      <c r="EC579" s="62"/>
      <c r="ED579" s="62"/>
      <c r="EE579" s="62"/>
      <c r="EF579" s="62"/>
      <c r="EG579" s="62"/>
      <c r="EH579" s="62"/>
      <c r="EI579" s="62"/>
      <c r="EJ579" s="62"/>
      <c r="EK579" s="62"/>
      <c r="EL579" s="62"/>
      <c r="EM579" s="62"/>
      <c r="EN579" s="62"/>
      <c r="EO579" s="62"/>
      <c r="EP579" s="62"/>
      <c r="EQ579" s="62"/>
      <c r="ER579" s="62"/>
      <c r="ES579" s="62"/>
      <c r="ET579" s="62"/>
      <c r="EU579" s="62"/>
      <c r="EV579" s="62"/>
      <c r="EW579" s="62"/>
      <c r="EX579" s="62"/>
      <c r="EY579" s="62"/>
      <c r="EZ579" s="62"/>
      <c r="FA579" s="62"/>
      <c r="FB579" s="62"/>
      <c r="FC579" s="62"/>
      <c r="FD579" s="62"/>
      <c r="FE579" s="62"/>
      <c r="FF579" s="62"/>
      <c r="FG579" s="62"/>
      <c r="FH579" s="62"/>
      <c r="FI579" s="62"/>
      <c r="FJ579" s="62"/>
      <c r="FK579" s="62"/>
      <c r="FL579" s="62"/>
      <c r="FM579" s="62"/>
      <c r="FN579" s="62"/>
      <c r="FO579" s="62"/>
      <c r="FP579" s="62"/>
      <c r="FQ579" s="62"/>
      <c r="FR579" s="62"/>
      <c r="FS579" s="62"/>
      <c r="FT579" s="62"/>
      <c r="FU579" s="62"/>
      <c r="FV579" s="62"/>
    </row>
    <row r="580" spans="1:178" ht="13.8">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62"/>
      <c r="CX580" s="62"/>
      <c r="CY580" s="62"/>
      <c r="CZ580" s="62"/>
      <c r="DA580" s="62"/>
      <c r="DB580" s="62"/>
      <c r="DC580" s="62"/>
      <c r="DD580" s="62"/>
      <c r="DE580" s="62"/>
      <c r="DF580" s="62"/>
      <c r="DG580" s="62"/>
      <c r="DH580" s="62"/>
      <c r="DI580" s="62"/>
      <c r="DJ580" s="62"/>
      <c r="DK580" s="62"/>
      <c r="DL580" s="62"/>
      <c r="DM580" s="62"/>
      <c r="DN580" s="62"/>
      <c r="DO580" s="62"/>
      <c r="DP580" s="62"/>
      <c r="DQ580" s="62"/>
      <c r="DR580" s="62"/>
      <c r="DS580" s="62"/>
      <c r="DT580" s="62"/>
      <c r="DU580" s="62"/>
      <c r="DV580" s="62"/>
      <c r="DW580" s="62"/>
      <c r="DX580" s="62"/>
      <c r="DY580" s="62"/>
      <c r="DZ580" s="62"/>
      <c r="EA580" s="62"/>
      <c r="EB580" s="62"/>
      <c r="EC580" s="62"/>
      <c r="ED580" s="62"/>
      <c r="EE580" s="62"/>
      <c r="EF580" s="62"/>
      <c r="EG580" s="62"/>
      <c r="EH580" s="62"/>
      <c r="EI580" s="62"/>
      <c r="EJ580" s="62"/>
      <c r="EK580" s="62"/>
      <c r="EL580" s="62"/>
      <c r="EM580" s="62"/>
      <c r="EN580" s="62"/>
      <c r="EO580" s="62"/>
      <c r="EP580" s="62"/>
      <c r="EQ580" s="62"/>
      <c r="ER580" s="62"/>
      <c r="ES580" s="62"/>
      <c r="ET580" s="62"/>
      <c r="EU580" s="62"/>
      <c r="EV580" s="62"/>
      <c r="EW580" s="62"/>
      <c r="EX580" s="62"/>
      <c r="EY580" s="62"/>
      <c r="EZ580" s="62"/>
      <c r="FA580" s="62"/>
      <c r="FB580" s="62"/>
      <c r="FC580" s="62"/>
      <c r="FD580" s="62"/>
      <c r="FE580" s="62"/>
      <c r="FF580" s="62"/>
      <c r="FG580" s="62"/>
      <c r="FH580" s="62"/>
      <c r="FI580" s="62"/>
      <c r="FJ580" s="62"/>
      <c r="FK580" s="62"/>
      <c r="FL580" s="62"/>
      <c r="FM580" s="62"/>
      <c r="FN580" s="62"/>
      <c r="FO580" s="62"/>
      <c r="FP580" s="62"/>
      <c r="FQ580" s="62"/>
      <c r="FR580" s="62"/>
      <c r="FS580" s="62"/>
      <c r="FT580" s="62"/>
      <c r="FU580" s="62"/>
      <c r="FV580" s="62"/>
    </row>
    <row r="581" spans="1:178" ht="13.8">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62"/>
      <c r="CX581" s="62"/>
      <c r="CY581" s="62"/>
      <c r="CZ581" s="62"/>
      <c r="DA581" s="62"/>
      <c r="DB581" s="62"/>
      <c r="DC581" s="62"/>
      <c r="DD581" s="62"/>
      <c r="DE581" s="62"/>
      <c r="DF581" s="62"/>
      <c r="DG581" s="62"/>
      <c r="DH581" s="62"/>
      <c r="DI581" s="62"/>
      <c r="DJ581" s="62"/>
      <c r="DK581" s="62"/>
      <c r="DL581" s="62"/>
      <c r="DM581" s="62"/>
      <c r="DN581" s="62"/>
      <c r="DO581" s="62"/>
      <c r="DP581" s="62"/>
      <c r="DQ581" s="62"/>
      <c r="DR581" s="62"/>
      <c r="DS581" s="62"/>
      <c r="DT581" s="62"/>
      <c r="DU581" s="62"/>
      <c r="DV581" s="62"/>
      <c r="DW581" s="62"/>
      <c r="DX581" s="62"/>
      <c r="DY581" s="62"/>
      <c r="DZ581" s="62"/>
      <c r="EA581" s="62"/>
      <c r="EB581" s="62"/>
      <c r="EC581" s="62"/>
      <c r="ED581" s="62"/>
      <c r="EE581" s="62"/>
      <c r="EF581" s="62"/>
      <c r="EG581" s="62"/>
      <c r="EH581" s="62"/>
      <c r="EI581" s="62"/>
      <c r="EJ581" s="62"/>
      <c r="EK581" s="62"/>
      <c r="EL581" s="62"/>
      <c r="EM581" s="62"/>
      <c r="EN581" s="62"/>
      <c r="EO581" s="62"/>
      <c r="EP581" s="62"/>
      <c r="EQ581" s="62"/>
      <c r="ER581" s="62"/>
      <c r="ES581" s="62"/>
      <c r="ET581" s="62"/>
      <c r="EU581" s="62"/>
      <c r="EV581" s="62"/>
      <c r="EW581" s="62"/>
      <c r="EX581" s="62"/>
      <c r="EY581" s="62"/>
      <c r="EZ581" s="62"/>
      <c r="FA581" s="62"/>
      <c r="FB581" s="62"/>
      <c r="FC581" s="62"/>
      <c r="FD581" s="62"/>
      <c r="FE581" s="62"/>
      <c r="FF581" s="62"/>
      <c r="FG581" s="62"/>
      <c r="FH581" s="62"/>
      <c r="FI581" s="62"/>
      <c r="FJ581" s="62"/>
      <c r="FK581" s="62"/>
      <c r="FL581" s="62"/>
      <c r="FM581" s="62"/>
      <c r="FN581" s="62"/>
      <c r="FO581" s="62"/>
      <c r="FP581" s="62"/>
      <c r="FQ581" s="62"/>
      <c r="FR581" s="62"/>
      <c r="FS581" s="62"/>
      <c r="FT581" s="62"/>
      <c r="FU581" s="62"/>
      <c r="FV581" s="62"/>
    </row>
    <row r="582" spans="1:178" ht="13.8">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62"/>
      <c r="CX582" s="62"/>
      <c r="CY582" s="62"/>
      <c r="CZ582" s="62"/>
      <c r="DA582" s="62"/>
      <c r="DB582" s="62"/>
      <c r="DC582" s="62"/>
      <c r="DD582" s="62"/>
      <c r="DE582" s="62"/>
      <c r="DF582" s="62"/>
      <c r="DG582" s="62"/>
      <c r="DH582" s="62"/>
      <c r="DI582" s="62"/>
      <c r="DJ582" s="62"/>
      <c r="DK582" s="62"/>
      <c r="DL582" s="62"/>
      <c r="DM582" s="62"/>
      <c r="DN582" s="62"/>
      <c r="DO582" s="62"/>
      <c r="DP582" s="62"/>
      <c r="DQ582" s="62"/>
      <c r="DR582" s="62"/>
      <c r="DS582" s="62"/>
      <c r="DT582" s="62"/>
      <c r="DU582" s="62"/>
      <c r="DV582" s="62"/>
      <c r="DW582" s="62"/>
      <c r="DX582" s="62"/>
      <c r="DY582" s="62"/>
      <c r="DZ582" s="62"/>
      <c r="EA582" s="62"/>
      <c r="EB582" s="62"/>
      <c r="EC582" s="62"/>
      <c r="ED582" s="62"/>
      <c r="EE582" s="62"/>
      <c r="EF582" s="62"/>
      <c r="EG582" s="62"/>
      <c r="EH582" s="62"/>
      <c r="EI582" s="62"/>
      <c r="EJ582" s="62"/>
      <c r="EK582" s="62"/>
      <c r="EL582" s="62"/>
      <c r="EM582" s="62"/>
      <c r="EN582" s="62"/>
      <c r="EO582" s="62"/>
      <c r="EP582" s="62"/>
      <c r="EQ582" s="62"/>
      <c r="ER582" s="62"/>
      <c r="ES582" s="62"/>
      <c r="ET582" s="62"/>
      <c r="EU582" s="62"/>
      <c r="EV582" s="62"/>
      <c r="EW582" s="62"/>
      <c r="EX582" s="62"/>
      <c r="EY582" s="62"/>
      <c r="EZ582" s="62"/>
      <c r="FA582" s="62"/>
      <c r="FB582" s="62"/>
      <c r="FC582" s="62"/>
      <c r="FD582" s="62"/>
      <c r="FE582" s="62"/>
      <c r="FF582" s="62"/>
      <c r="FG582" s="62"/>
      <c r="FH582" s="62"/>
      <c r="FI582" s="62"/>
      <c r="FJ582" s="62"/>
      <c r="FK582" s="62"/>
      <c r="FL582" s="62"/>
      <c r="FM582" s="62"/>
      <c r="FN582" s="62"/>
      <c r="FO582" s="62"/>
      <c r="FP582" s="62"/>
      <c r="FQ582" s="62"/>
      <c r="FR582" s="62"/>
      <c r="FS582" s="62"/>
      <c r="FT582" s="62"/>
      <c r="FU582" s="62"/>
      <c r="FV582" s="62"/>
    </row>
    <row r="583" spans="1:178" ht="13.8">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62"/>
      <c r="CX583" s="62"/>
      <c r="CY583" s="62"/>
      <c r="CZ583" s="62"/>
      <c r="DA583" s="62"/>
      <c r="DB583" s="62"/>
      <c r="DC583" s="62"/>
      <c r="DD583" s="62"/>
      <c r="DE583" s="62"/>
      <c r="DF583" s="62"/>
      <c r="DG583" s="62"/>
      <c r="DH583" s="62"/>
      <c r="DI583" s="62"/>
      <c r="DJ583" s="62"/>
      <c r="DK583" s="62"/>
      <c r="DL583" s="62"/>
      <c r="DM583" s="62"/>
      <c r="DN583" s="62"/>
      <c r="DO583" s="62"/>
      <c r="DP583" s="62"/>
      <c r="DQ583" s="62"/>
      <c r="DR583" s="62"/>
      <c r="DS583" s="62"/>
      <c r="DT583" s="62"/>
      <c r="DU583" s="62"/>
      <c r="DV583" s="62"/>
      <c r="DW583" s="62"/>
      <c r="DX583" s="62"/>
      <c r="DY583" s="62"/>
      <c r="DZ583" s="62"/>
      <c r="EA583" s="62"/>
      <c r="EB583" s="62"/>
      <c r="EC583" s="62"/>
      <c r="ED583" s="62"/>
      <c r="EE583" s="62"/>
      <c r="EF583" s="62"/>
      <c r="EG583" s="62"/>
      <c r="EH583" s="62"/>
      <c r="EI583" s="62"/>
      <c r="EJ583" s="62"/>
      <c r="EK583" s="62"/>
      <c r="EL583" s="62"/>
      <c r="EM583" s="62"/>
      <c r="EN583" s="62"/>
      <c r="EO583" s="62"/>
      <c r="EP583" s="62"/>
      <c r="EQ583" s="62"/>
      <c r="ER583" s="62"/>
      <c r="ES583" s="62"/>
      <c r="ET583" s="62"/>
      <c r="EU583" s="62"/>
      <c r="EV583" s="62"/>
      <c r="EW583" s="62"/>
      <c r="EX583" s="62"/>
      <c r="EY583" s="62"/>
      <c r="EZ583" s="62"/>
      <c r="FA583" s="62"/>
      <c r="FB583" s="62"/>
      <c r="FC583" s="62"/>
      <c r="FD583" s="62"/>
      <c r="FE583" s="62"/>
      <c r="FF583" s="62"/>
      <c r="FG583" s="62"/>
      <c r="FH583" s="62"/>
      <c r="FI583" s="62"/>
      <c r="FJ583" s="62"/>
      <c r="FK583" s="62"/>
      <c r="FL583" s="62"/>
      <c r="FM583" s="62"/>
      <c r="FN583" s="62"/>
      <c r="FO583" s="62"/>
      <c r="FP583" s="62"/>
      <c r="FQ583" s="62"/>
      <c r="FR583" s="62"/>
      <c r="FS583" s="62"/>
      <c r="FT583" s="62"/>
      <c r="FU583" s="62"/>
      <c r="FV583" s="62"/>
    </row>
    <row r="584" spans="1:178" ht="13.8">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c r="AY584" s="62"/>
      <c r="AZ584" s="62"/>
      <c r="BA584" s="62"/>
      <c r="BB584" s="62"/>
      <c r="BC584" s="62"/>
      <c r="BD584" s="62"/>
      <c r="BE584" s="62"/>
      <c r="BF584" s="62"/>
      <c r="BG584" s="62"/>
      <c r="BH584" s="62"/>
      <c r="BI584" s="62"/>
      <c r="BJ584" s="62"/>
      <c r="BK584" s="62"/>
      <c r="BL584" s="62"/>
      <c r="BM584" s="62"/>
      <c r="BN584" s="62"/>
      <c r="BO584" s="62"/>
      <c r="BP584" s="62"/>
      <c r="BQ584" s="62"/>
      <c r="BR584" s="62"/>
      <c r="BS584" s="62"/>
      <c r="BT584" s="62"/>
      <c r="BU584" s="62"/>
      <c r="BV584" s="62"/>
      <c r="BW584" s="62"/>
      <c r="BX584" s="62"/>
      <c r="BY584" s="62"/>
      <c r="BZ584" s="62"/>
      <c r="CA584" s="62"/>
      <c r="CB584" s="62"/>
      <c r="CC584" s="62"/>
      <c r="CD584" s="62"/>
      <c r="CE584" s="62"/>
      <c r="CF584" s="62"/>
      <c r="CG584" s="62"/>
      <c r="CH584" s="62"/>
      <c r="CI584" s="62"/>
      <c r="CJ584" s="62"/>
      <c r="CK584" s="62"/>
      <c r="CL584" s="62"/>
      <c r="CM584" s="62"/>
      <c r="CN584" s="62"/>
      <c r="CO584" s="62"/>
      <c r="CP584" s="62"/>
      <c r="CQ584" s="62"/>
      <c r="CR584" s="62"/>
      <c r="CS584" s="62"/>
      <c r="CT584" s="62"/>
      <c r="CU584" s="62"/>
      <c r="CV584" s="62"/>
      <c r="CW584" s="62"/>
      <c r="CX584" s="62"/>
      <c r="CY584" s="62"/>
      <c r="CZ584" s="62"/>
      <c r="DA584" s="62"/>
      <c r="DB584" s="62"/>
      <c r="DC584" s="62"/>
      <c r="DD584" s="62"/>
      <c r="DE584" s="62"/>
      <c r="DF584" s="62"/>
      <c r="DG584" s="62"/>
      <c r="DH584" s="62"/>
      <c r="DI584" s="62"/>
      <c r="DJ584" s="62"/>
      <c r="DK584" s="62"/>
      <c r="DL584" s="62"/>
      <c r="DM584" s="62"/>
      <c r="DN584" s="62"/>
      <c r="DO584" s="62"/>
      <c r="DP584" s="62"/>
      <c r="DQ584" s="62"/>
      <c r="DR584" s="62"/>
      <c r="DS584" s="62"/>
      <c r="DT584" s="62"/>
      <c r="DU584" s="62"/>
      <c r="DV584" s="62"/>
      <c r="DW584" s="62"/>
      <c r="DX584" s="62"/>
      <c r="DY584" s="62"/>
      <c r="DZ584" s="62"/>
      <c r="EA584" s="62"/>
      <c r="EB584" s="62"/>
      <c r="EC584" s="62"/>
      <c r="ED584" s="62"/>
      <c r="EE584" s="62"/>
      <c r="EF584" s="62"/>
      <c r="EG584" s="62"/>
      <c r="EH584" s="62"/>
      <c r="EI584" s="62"/>
      <c r="EJ584" s="62"/>
      <c r="EK584" s="62"/>
      <c r="EL584" s="62"/>
      <c r="EM584" s="62"/>
      <c r="EN584" s="62"/>
      <c r="EO584" s="62"/>
      <c r="EP584" s="62"/>
      <c r="EQ584" s="62"/>
      <c r="ER584" s="62"/>
      <c r="ES584" s="62"/>
      <c r="ET584" s="62"/>
      <c r="EU584" s="62"/>
      <c r="EV584" s="62"/>
      <c r="EW584" s="62"/>
      <c r="EX584" s="62"/>
      <c r="EY584" s="62"/>
      <c r="EZ584" s="62"/>
      <c r="FA584" s="62"/>
      <c r="FB584" s="62"/>
      <c r="FC584" s="62"/>
      <c r="FD584" s="62"/>
      <c r="FE584" s="62"/>
      <c r="FF584" s="62"/>
      <c r="FG584" s="62"/>
      <c r="FH584" s="62"/>
      <c r="FI584" s="62"/>
      <c r="FJ584" s="62"/>
      <c r="FK584" s="62"/>
      <c r="FL584" s="62"/>
      <c r="FM584" s="62"/>
      <c r="FN584" s="62"/>
      <c r="FO584" s="62"/>
      <c r="FP584" s="62"/>
      <c r="FQ584" s="62"/>
      <c r="FR584" s="62"/>
      <c r="FS584" s="62"/>
      <c r="FT584" s="62"/>
      <c r="FU584" s="62"/>
      <c r="FV584" s="62"/>
    </row>
    <row r="585" spans="1:178" ht="13.8">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c r="AY585" s="62"/>
      <c r="AZ585" s="62"/>
      <c r="BA585" s="62"/>
      <c r="BB585" s="62"/>
      <c r="BC585" s="62"/>
      <c r="BD585" s="62"/>
      <c r="BE585" s="62"/>
      <c r="BF585" s="62"/>
      <c r="BG585" s="62"/>
      <c r="BH585" s="62"/>
      <c r="BI585" s="62"/>
      <c r="BJ585" s="62"/>
      <c r="BK585" s="62"/>
      <c r="BL585" s="62"/>
      <c r="BM585" s="62"/>
      <c r="BN585" s="62"/>
      <c r="BO585" s="62"/>
      <c r="BP585" s="62"/>
      <c r="BQ585" s="62"/>
      <c r="BR585" s="62"/>
      <c r="BS585" s="62"/>
      <c r="BT585" s="62"/>
      <c r="BU585" s="62"/>
      <c r="BV585" s="62"/>
      <c r="BW585" s="62"/>
      <c r="BX585" s="62"/>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62"/>
      <c r="CX585" s="62"/>
      <c r="CY585" s="62"/>
      <c r="CZ585" s="62"/>
      <c r="DA585" s="62"/>
      <c r="DB585" s="62"/>
      <c r="DC585" s="62"/>
      <c r="DD585" s="62"/>
      <c r="DE585" s="62"/>
      <c r="DF585" s="62"/>
      <c r="DG585" s="62"/>
      <c r="DH585" s="62"/>
      <c r="DI585" s="62"/>
      <c r="DJ585" s="62"/>
      <c r="DK585" s="62"/>
      <c r="DL585" s="62"/>
      <c r="DM585" s="62"/>
      <c r="DN585" s="62"/>
      <c r="DO585" s="62"/>
      <c r="DP585" s="62"/>
      <c r="DQ585" s="62"/>
      <c r="DR585" s="62"/>
      <c r="DS585" s="62"/>
      <c r="DT585" s="62"/>
      <c r="DU585" s="62"/>
      <c r="DV585" s="62"/>
      <c r="DW585" s="62"/>
      <c r="DX585" s="62"/>
      <c r="DY585" s="62"/>
      <c r="DZ585" s="62"/>
      <c r="EA585" s="62"/>
      <c r="EB585" s="62"/>
      <c r="EC585" s="62"/>
      <c r="ED585" s="62"/>
      <c r="EE585" s="62"/>
      <c r="EF585" s="62"/>
      <c r="EG585" s="62"/>
      <c r="EH585" s="62"/>
      <c r="EI585" s="62"/>
      <c r="EJ585" s="62"/>
      <c r="EK585" s="62"/>
      <c r="EL585" s="62"/>
      <c r="EM585" s="62"/>
      <c r="EN585" s="62"/>
      <c r="EO585" s="62"/>
      <c r="EP585" s="62"/>
      <c r="EQ585" s="62"/>
      <c r="ER585" s="62"/>
      <c r="ES585" s="62"/>
      <c r="ET585" s="62"/>
      <c r="EU585" s="62"/>
      <c r="EV585" s="62"/>
      <c r="EW585" s="62"/>
      <c r="EX585" s="62"/>
      <c r="EY585" s="62"/>
      <c r="EZ585" s="62"/>
      <c r="FA585" s="62"/>
      <c r="FB585" s="62"/>
      <c r="FC585" s="62"/>
      <c r="FD585" s="62"/>
      <c r="FE585" s="62"/>
      <c r="FF585" s="62"/>
      <c r="FG585" s="62"/>
      <c r="FH585" s="62"/>
      <c r="FI585" s="62"/>
      <c r="FJ585" s="62"/>
      <c r="FK585" s="62"/>
      <c r="FL585" s="62"/>
      <c r="FM585" s="62"/>
      <c r="FN585" s="62"/>
      <c r="FO585" s="62"/>
      <c r="FP585" s="62"/>
      <c r="FQ585" s="62"/>
      <c r="FR585" s="62"/>
      <c r="FS585" s="62"/>
      <c r="FT585" s="62"/>
      <c r="FU585" s="62"/>
      <c r="FV585" s="62"/>
    </row>
    <row r="586" spans="1:178" ht="13.8">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c r="AY586" s="62"/>
      <c r="AZ586" s="62"/>
      <c r="BA586" s="62"/>
      <c r="BB586" s="62"/>
      <c r="BC586" s="62"/>
      <c r="BD586" s="62"/>
      <c r="BE586" s="62"/>
      <c r="BF586" s="62"/>
      <c r="BG586" s="62"/>
      <c r="BH586" s="62"/>
      <c r="BI586" s="62"/>
      <c r="BJ586" s="62"/>
      <c r="BK586" s="62"/>
      <c r="BL586" s="62"/>
      <c r="BM586" s="62"/>
      <c r="BN586" s="62"/>
      <c r="BO586" s="62"/>
      <c r="BP586" s="62"/>
      <c r="BQ586" s="62"/>
      <c r="BR586" s="62"/>
      <c r="BS586" s="62"/>
      <c r="BT586" s="62"/>
      <c r="BU586" s="62"/>
      <c r="BV586" s="62"/>
      <c r="BW586" s="62"/>
      <c r="BX586" s="62"/>
      <c r="BY586" s="62"/>
      <c r="BZ586" s="62"/>
      <c r="CA586" s="62"/>
      <c r="CB586" s="62"/>
      <c r="CC586" s="62"/>
      <c r="CD586" s="62"/>
      <c r="CE586" s="62"/>
      <c r="CF586" s="62"/>
      <c r="CG586" s="62"/>
      <c r="CH586" s="62"/>
      <c r="CI586" s="62"/>
      <c r="CJ586" s="62"/>
      <c r="CK586" s="62"/>
      <c r="CL586" s="62"/>
      <c r="CM586" s="62"/>
      <c r="CN586" s="62"/>
      <c r="CO586" s="62"/>
      <c r="CP586" s="62"/>
      <c r="CQ586" s="62"/>
      <c r="CR586" s="62"/>
      <c r="CS586" s="62"/>
      <c r="CT586" s="62"/>
      <c r="CU586" s="62"/>
      <c r="CV586" s="62"/>
      <c r="CW586" s="62"/>
      <c r="CX586" s="62"/>
      <c r="CY586" s="62"/>
      <c r="CZ586" s="62"/>
      <c r="DA586" s="62"/>
      <c r="DB586" s="62"/>
      <c r="DC586" s="62"/>
      <c r="DD586" s="62"/>
      <c r="DE586" s="62"/>
      <c r="DF586" s="62"/>
      <c r="DG586" s="62"/>
      <c r="DH586" s="62"/>
      <c r="DI586" s="62"/>
      <c r="DJ586" s="62"/>
      <c r="DK586" s="62"/>
      <c r="DL586" s="62"/>
      <c r="DM586" s="62"/>
      <c r="DN586" s="62"/>
      <c r="DO586" s="62"/>
      <c r="DP586" s="62"/>
      <c r="DQ586" s="62"/>
      <c r="DR586" s="62"/>
      <c r="DS586" s="62"/>
      <c r="DT586" s="62"/>
      <c r="DU586" s="62"/>
      <c r="DV586" s="62"/>
      <c r="DW586" s="62"/>
      <c r="DX586" s="62"/>
      <c r="DY586" s="62"/>
      <c r="DZ586" s="62"/>
      <c r="EA586" s="62"/>
      <c r="EB586" s="62"/>
      <c r="EC586" s="62"/>
      <c r="ED586" s="62"/>
      <c r="EE586" s="62"/>
      <c r="EF586" s="62"/>
      <c r="EG586" s="62"/>
      <c r="EH586" s="62"/>
      <c r="EI586" s="62"/>
      <c r="EJ586" s="62"/>
      <c r="EK586" s="62"/>
      <c r="EL586" s="62"/>
      <c r="EM586" s="62"/>
      <c r="EN586" s="62"/>
      <c r="EO586" s="62"/>
      <c r="EP586" s="62"/>
      <c r="EQ586" s="62"/>
      <c r="ER586" s="62"/>
      <c r="ES586" s="62"/>
      <c r="ET586" s="62"/>
      <c r="EU586" s="62"/>
      <c r="EV586" s="62"/>
      <c r="EW586" s="62"/>
      <c r="EX586" s="62"/>
      <c r="EY586" s="62"/>
      <c r="EZ586" s="62"/>
      <c r="FA586" s="62"/>
      <c r="FB586" s="62"/>
      <c r="FC586" s="62"/>
      <c r="FD586" s="62"/>
      <c r="FE586" s="62"/>
      <c r="FF586" s="62"/>
      <c r="FG586" s="62"/>
      <c r="FH586" s="62"/>
      <c r="FI586" s="62"/>
      <c r="FJ586" s="62"/>
      <c r="FK586" s="62"/>
      <c r="FL586" s="62"/>
      <c r="FM586" s="62"/>
      <c r="FN586" s="62"/>
      <c r="FO586" s="62"/>
      <c r="FP586" s="62"/>
      <c r="FQ586" s="62"/>
      <c r="FR586" s="62"/>
      <c r="FS586" s="62"/>
      <c r="FT586" s="62"/>
      <c r="FU586" s="62"/>
      <c r="FV586" s="62"/>
    </row>
    <row r="587" spans="1:178" ht="13.8">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c r="AY587" s="62"/>
      <c r="AZ587" s="62"/>
      <c r="BA587" s="62"/>
      <c r="BB587" s="62"/>
      <c r="BC587" s="62"/>
      <c r="BD587" s="62"/>
      <c r="BE587" s="62"/>
      <c r="BF587" s="62"/>
      <c r="BG587" s="62"/>
      <c r="BH587" s="62"/>
      <c r="BI587" s="62"/>
      <c r="BJ587" s="62"/>
      <c r="BK587" s="62"/>
      <c r="BL587" s="62"/>
      <c r="BM587" s="62"/>
      <c r="BN587" s="62"/>
      <c r="BO587" s="62"/>
      <c r="BP587" s="62"/>
      <c r="BQ587" s="62"/>
      <c r="BR587" s="62"/>
      <c r="BS587" s="62"/>
      <c r="BT587" s="62"/>
      <c r="BU587" s="62"/>
      <c r="BV587" s="62"/>
      <c r="BW587" s="62"/>
      <c r="BX587" s="62"/>
      <c r="BY587" s="62"/>
      <c r="BZ587" s="62"/>
      <c r="CA587" s="62"/>
      <c r="CB587" s="62"/>
      <c r="CC587" s="62"/>
      <c r="CD587" s="62"/>
      <c r="CE587" s="62"/>
      <c r="CF587" s="62"/>
      <c r="CG587" s="62"/>
      <c r="CH587" s="62"/>
      <c r="CI587" s="62"/>
      <c r="CJ587" s="62"/>
      <c r="CK587" s="62"/>
      <c r="CL587" s="62"/>
      <c r="CM587" s="62"/>
      <c r="CN587" s="62"/>
      <c r="CO587" s="62"/>
      <c r="CP587" s="62"/>
      <c r="CQ587" s="62"/>
      <c r="CR587" s="62"/>
      <c r="CS587" s="62"/>
      <c r="CT587" s="62"/>
      <c r="CU587" s="62"/>
      <c r="CV587" s="62"/>
      <c r="CW587" s="62"/>
      <c r="CX587" s="62"/>
      <c r="CY587" s="62"/>
      <c r="CZ587" s="62"/>
      <c r="DA587" s="62"/>
      <c r="DB587" s="62"/>
      <c r="DC587" s="62"/>
      <c r="DD587" s="62"/>
      <c r="DE587" s="62"/>
      <c r="DF587" s="62"/>
      <c r="DG587" s="62"/>
      <c r="DH587" s="62"/>
      <c r="DI587" s="62"/>
      <c r="DJ587" s="62"/>
      <c r="DK587" s="62"/>
      <c r="DL587" s="62"/>
      <c r="DM587" s="62"/>
      <c r="DN587" s="62"/>
      <c r="DO587" s="62"/>
      <c r="DP587" s="62"/>
      <c r="DQ587" s="62"/>
      <c r="DR587" s="62"/>
      <c r="DS587" s="62"/>
      <c r="DT587" s="62"/>
      <c r="DU587" s="62"/>
      <c r="DV587" s="62"/>
      <c r="DW587" s="62"/>
      <c r="DX587" s="62"/>
      <c r="DY587" s="62"/>
      <c r="DZ587" s="62"/>
      <c r="EA587" s="62"/>
      <c r="EB587" s="62"/>
      <c r="EC587" s="62"/>
      <c r="ED587" s="62"/>
      <c r="EE587" s="62"/>
      <c r="EF587" s="62"/>
      <c r="EG587" s="62"/>
      <c r="EH587" s="62"/>
      <c r="EI587" s="62"/>
      <c r="EJ587" s="62"/>
      <c r="EK587" s="62"/>
      <c r="EL587" s="62"/>
      <c r="EM587" s="62"/>
      <c r="EN587" s="62"/>
      <c r="EO587" s="62"/>
      <c r="EP587" s="62"/>
      <c r="EQ587" s="62"/>
      <c r="ER587" s="62"/>
      <c r="ES587" s="62"/>
      <c r="ET587" s="62"/>
      <c r="EU587" s="62"/>
      <c r="EV587" s="62"/>
      <c r="EW587" s="62"/>
      <c r="EX587" s="62"/>
      <c r="EY587" s="62"/>
      <c r="EZ587" s="62"/>
      <c r="FA587" s="62"/>
      <c r="FB587" s="62"/>
      <c r="FC587" s="62"/>
      <c r="FD587" s="62"/>
      <c r="FE587" s="62"/>
      <c r="FF587" s="62"/>
      <c r="FG587" s="62"/>
      <c r="FH587" s="62"/>
      <c r="FI587" s="62"/>
      <c r="FJ587" s="62"/>
      <c r="FK587" s="62"/>
      <c r="FL587" s="62"/>
      <c r="FM587" s="62"/>
      <c r="FN587" s="62"/>
      <c r="FO587" s="62"/>
      <c r="FP587" s="62"/>
      <c r="FQ587" s="62"/>
      <c r="FR587" s="62"/>
      <c r="FS587" s="62"/>
      <c r="FT587" s="62"/>
      <c r="FU587" s="62"/>
      <c r="FV587" s="62"/>
    </row>
    <row r="588" spans="1:178" ht="13.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c r="AY588" s="62"/>
      <c r="AZ588" s="62"/>
      <c r="BA588" s="62"/>
      <c r="BB588" s="62"/>
      <c r="BC588" s="62"/>
      <c r="BD588" s="62"/>
      <c r="BE588" s="62"/>
      <c r="BF588" s="62"/>
      <c r="BG588" s="62"/>
      <c r="BH588" s="62"/>
      <c r="BI588" s="62"/>
      <c r="BJ588" s="62"/>
      <c r="BK588" s="62"/>
      <c r="BL588" s="62"/>
      <c r="BM588" s="62"/>
      <c r="BN588" s="62"/>
      <c r="BO588" s="62"/>
      <c r="BP588" s="62"/>
      <c r="BQ588" s="62"/>
      <c r="BR588" s="62"/>
      <c r="BS588" s="62"/>
      <c r="BT588" s="62"/>
      <c r="BU588" s="62"/>
      <c r="BV588" s="62"/>
      <c r="BW588" s="62"/>
      <c r="BX588" s="62"/>
      <c r="BY588" s="62"/>
      <c r="BZ588" s="62"/>
      <c r="CA588" s="62"/>
      <c r="CB588" s="62"/>
      <c r="CC588" s="62"/>
      <c r="CD588" s="62"/>
      <c r="CE588" s="62"/>
      <c r="CF588" s="62"/>
      <c r="CG588" s="62"/>
      <c r="CH588" s="62"/>
      <c r="CI588" s="62"/>
      <c r="CJ588" s="62"/>
      <c r="CK588" s="62"/>
      <c r="CL588" s="62"/>
      <c r="CM588" s="62"/>
      <c r="CN588" s="62"/>
      <c r="CO588" s="62"/>
      <c r="CP588" s="62"/>
      <c r="CQ588" s="62"/>
      <c r="CR588" s="62"/>
      <c r="CS588" s="62"/>
      <c r="CT588" s="62"/>
      <c r="CU588" s="62"/>
      <c r="CV588" s="62"/>
      <c r="CW588" s="62"/>
      <c r="CX588" s="62"/>
      <c r="CY588" s="62"/>
      <c r="CZ588" s="62"/>
      <c r="DA588" s="62"/>
      <c r="DB588" s="62"/>
      <c r="DC588" s="62"/>
      <c r="DD588" s="62"/>
      <c r="DE588" s="62"/>
      <c r="DF588" s="62"/>
      <c r="DG588" s="62"/>
      <c r="DH588" s="62"/>
      <c r="DI588" s="62"/>
      <c r="DJ588" s="62"/>
      <c r="DK588" s="62"/>
      <c r="DL588" s="62"/>
      <c r="DM588" s="62"/>
      <c r="DN588" s="62"/>
      <c r="DO588" s="62"/>
      <c r="DP588" s="62"/>
      <c r="DQ588" s="62"/>
      <c r="DR588" s="62"/>
      <c r="DS588" s="62"/>
      <c r="DT588" s="62"/>
      <c r="DU588" s="62"/>
      <c r="DV588" s="62"/>
      <c r="DW588" s="62"/>
      <c r="DX588" s="62"/>
      <c r="DY588" s="62"/>
      <c r="DZ588" s="62"/>
      <c r="EA588" s="62"/>
      <c r="EB588" s="62"/>
      <c r="EC588" s="62"/>
      <c r="ED588" s="62"/>
      <c r="EE588" s="62"/>
      <c r="EF588" s="62"/>
      <c r="EG588" s="62"/>
      <c r="EH588" s="62"/>
      <c r="EI588" s="62"/>
      <c r="EJ588" s="62"/>
      <c r="EK588" s="62"/>
      <c r="EL588" s="62"/>
      <c r="EM588" s="62"/>
      <c r="EN588" s="62"/>
      <c r="EO588" s="62"/>
      <c r="EP588" s="62"/>
      <c r="EQ588" s="62"/>
      <c r="ER588" s="62"/>
      <c r="ES588" s="62"/>
      <c r="ET588" s="62"/>
      <c r="EU588" s="62"/>
      <c r="EV588" s="62"/>
      <c r="EW588" s="62"/>
      <c r="EX588" s="62"/>
      <c r="EY588" s="62"/>
      <c r="EZ588" s="62"/>
      <c r="FA588" s="62"/>
      <c r="FB588" s="62"/>
      <c r="FC588" s="62"/>
      <c r="FD588" s="62"/>
      <c r="FE588" s="62"/>
      <c r="FF588" s="62"/>
      <c r="FG588" s="62"/>
      <c r="FH588" s="62"/>
      <c r="FI588" s="62"/>
      <c r="FJ588" s="62"/>
      <c r="FK588" s="62"/>
      <c r="FL588" s="62"/>
      <c r="FM588" s="62"/>
      <c r="FN588" s="62"/>
      <c r="FO588" s="62"/>
      <c r="FP588" s="62"/>
      <c r="FQ588" s="62"/>
      <c r="FR588" s="62"/>
      <c r="FS588" s="62"/>
      <c r="FT588" s="62"/>
      <c r="FU588" s="62"/>
      <c r="FV588" s="62"/>
    </row>
    <row r="589" spans="1:178" ht="13.8">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c r="AY589" s="62"/>
      <c r="AZ589" s="62"/>
      <c r="BA589" s="62"/>
      <c r="BB589" s="62"/>
      <c r="BC589" s="62"/>
      <c r="BD589" s="62"/>
      <c r="BE589" s="62"/>
      <c r="BF589" s="62"/>
      <c r="BG589" s="62"/>
      <c r="BH589" s="62"/>
      <c r="BI589" s="62"/>
      <c r="BJ589" s="62"/>
      <c r="BK589" s="62"/>
      <c r="BL589" s="62"/>
      <c r="BM589" s="62"/>
      <c r="BN589" s="62"/>
      <c r="BO589" s="62"/>
      <c r="BP589" s="62"/>
      <c r="BQ589" s="62"/>
      <c r="BR589" s="62"/>
      <c r="BS589" s="62"/>
      <c r="BT589" s="62"/>
      <c r="BU589" s="62"/>
      <c r="BV589" s="62"/>
      <c r="BW589" s="62"/>
      <c r="BX589" s="62"/>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62"/>
      <c r="CX589" s="62"/>
      <c r="CY589" s="62"/>
      <c r="CZ589" s="62"/>
      <c r="DA589" s="62"/>
      <c r="DB589" s="62"/>
      <c r="DC589" s="62"/>
      <c r="DD589" s="62"/>
      <c r="DE589" s="62"/>
      <c r="DF589" s="62"/>
      <c r="DG589" s="62"/>
      <c r="DH589" s="62"/>
      <c r="DI589" s="62"/>
      <c r="DJ589" s="62"/>
      <c r="DK589" s="62"/>
      <c r="DL589" s="62"/>
      <c r="DM589" s="62"/>
      <c r="DN589" s="62"/>
      <c r="DO589" s="62"/>
      <c r="DP589" s="62"/>
      <c r="DQ589" s="62"/>
      <c r="DR589" s="62"/>
      <c r="DS589" s="62"/>
      <c r="DT589" s="62"/>
      <c r="DU589" s="62"/>
      <c r="DV589" s="62"/>
      <c r="DW589" s="62"/>
      <c r="DX589" s="62"/>
      <c r="DY589" s="62"/>
      <c r="DZ589" s="62"/>
      <c r="EA589" s="62"/>
      <c r="EB589" s="62"/>
      <c r="EC589" s="62"/>
      <c r="ED589" s="62"/>
      <c r="EE589" s="62"/>
      <c r="EF589" s="62"/>
      <c r="EG589" s="62"/>
      <c r="EH589" s="62"/>
      <c r="EI589" s="62"/>
      <c r="EJ589" s="62"/>
      <c r="EK589" s="62"/>
      <c r="EL589" s="62"/>
      <c r="EM589" s="62"/>
      <c r="EN589" s="62"/>
      <c r="EO589" s="62"/>
      <c r="EP589" s="62"/>
      <c r="EQ589" s="62"/>
      <c r="ER589" s="62"/>
      <c r="ES589" s="62"/>
      <c r="ET589" s="62"/>
      <c r="EU589" s="62"/>
      <c r="EV589" s="62"/>
      <c r="EW589" s="62"/>
      <c r="EX589" s="62"/>
      <c r="EY589" s="62"/>
      <c r="EZ589" s="62"/>
      <c r="FA589" s="62"/>
      <c r="FB589" s="62"/>
      <c r="FC589" s="62"/>
      <c r="FD589" s="62"/>
      <c r="FE589" s="62"/>
      <c r="FF589" s="62"/>
      <c r="FG589" s="62"/>
      <c r="FH589" s="62"/>
      <c r="FI589" s="62"/>
      <c r="FJ589" s="62"/>
      <c r="FK589" s="62"/>
      <c r="FL589" s="62"/>
      <c r="FM589" s="62"/>
      <c r="FN589" s="62"/>
      <c r="FO589" s="62"/>
      <c r="FP589" s="62"/>
      <c r="FQ589" s="62"/>
      <c r="FR589" s="62"/>
      <c r="FS589" s="62"/>
      <c r="FT589" s="62"/>
      <c r="FU589" s="62"/>
      <c r="FV589" s="62"/>
    </row>
    <row r="590" spans="1:178" ht="13.8">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c r="AY590" s="62"/>
      <c r="AZ590" s="62"/>
      <c r="BA590" s="62"/>
      <c r="BB590" s="62"/>
      <c r="BC590" s="62"/>
      <c r="BD590" s="62"/>
      <c r="BE590" s="62"/>
      <c r="BF590" s="62"/>
      <c r="BG590" s="62"/>
      <c r="BH590" s="62"/>
      <c r="BI590" s="62"/>
      <c r="BJ590" s="62"/>
      <c r="BK590" s="62"/>
      <c r="BL590" s="62"/>
      <c r="BM590" s="62"/>
      <c r="BN590" s="62"/>
      <c r="BO590" s="62"/>
      <c r="BP590" s="62"/>
      <c r="BQ590" s="62"/>
      <c r="BR590" s="62"/>
      <c r="BS590" s="62"/>
      <c r="BT590" s="62"/>
      <c r="BU590" s="62"/>
      <c r="BV590" s="62"/>
      <c r="BW590" s="62"/>
      <c r="BX590" s="62"/>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62"/>
      <c r="CX590" s="62"/>
      <c r="CY590" s="62"/>
      <c r="CZ590" s="62"/>
      <c r="DA590" s="62"/>
      <c r="DB590" s="62"/>
      <c r="DC590" s="62"/>
      <c r="DD590" s="62"/>
      <c r="DE590" s="62"/>
      <c r="DF590" s="62"/>
      <c r="DG590" s="62"/>
      <c r="DH590" s="62"/>
      <c r="DI590" s="62"/>
      <c r="DJ590" s="62"/>
      <c r="DK590" s="62"/>
      <c r="DL590" s="62"/>
      <c r="DM590" s="62"/>
      <c r="DN590" s="62"/>
      <c r="DO590" s="62"/>
      <c r="DP590" s="62"/>
      <c r="DQ590" s="62"/>
      <c r="DR590" s="62"/>
      <c r="DS590" s="62"/>
      <c r="DT590" s="62"/>
      <c r="DU590" s="62"/>
      <c r="DV590" s="62"/>
      <c r="DW590" s="62"/>
      <c r="DX590" s="62"/>
      <c r="DY590" s="62"/>
      <c r="DZ590" s="62"/>
      <c r="EA590" s="62"/>
      <c r="EB590" s="62"/>
      <c r="EC590" s="62"/>
      <c r="ED590" s="62"/>
      <c r="EE590" s="62"/>
      <c r="EF590" s="62"/>
      <c r="EG590" s="62"/>
      <c r="EH590" s="62"/>
      <c r="EI590" s="62"/>
      <c r="EJ590" s="62"/>
      <c r="EK590" s="62"/>
      <c r="EL590" s="62"/>
      <c r="EM590" s="62"/>
      <c r="EN590" s="62"/>
      <c r="EO590" s="62"/>
      <c r="EP590" s="62"/>
      <c r="EQ590" s="62"/>
      <c r="ER590" s="62"/>
      <c r="ES590" s="62"/>
      <c r="ET590" s="62"/>
      <c r="EU590" s="62"/>
      <c r="EV590" s="62"/>
      <c r="EW590" s="62"/>
      <c r="EX590" s="62"/>
      <c r="EY590" s="62"/>
      <c r="EZ590" s="62"/>
      <c r="FA590" s="62"/>
      <c r="FB590" s="62"/>
      <c r="FC590" s="62"/>
      <c r="FD590" s="62"/>
      <c r="FE590" s="62"/>
      <c r="FF590" s="62"/>
      <c r="FG590" s="62"/>
      <c r="FH590" s="62"/>
      <c r="FI590" s="62"/>
      <c r="FJ590" s="62"/>
      <c r="FK590" s="62"/>
      <c r="FL590" s="62"/>
      <c r="FM590" s="62"/>
      <c r="FN590" s="62"/>
      <c r="FO590" s="62"/>
      <c r="FP590" s="62"/>
      <c r="FQ590" s="62"/>
      <c r="FR590" s="62"/>
      <c r="FS590" s="62"/>
      <c r="FT590" s="62"/>
      <c r="FU590" s="62"/>
      <c r="FV590" s="62"/>
    </row>
    <row r="591" spans="1:178" ht="13.8">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c r="AY591" s="62"/>
      <c r="AZ591" s="62"/>
      <c r="BA591" s="62"/>
      <c r="BB591" s="62"/>
      <c r="BC591" s="62"/>
      <c r="BD591" s="62"/>
      <c r="BE591" s="62"/>
      <c r="BF591" s="62"/>
      <c r="BG591" s="62"/>
      <c r="BH591" s="62"/>
      <c r="BI591" s="62"/>
      <c r="BJ591" s="62"/>
      <c r="BK591" s="62"/>
      <c r="BL591" s="62"/>
      <c r="BM591" s="62"/>
      <c r="BN591" s="62"/>
      <c r="BO591" s="62"/>
      <c r="BP591" s="62"/>
      <c r="BQ591" s="62"/>
      <c r="BR591" s="62"/>
      <c r="BS591" s="62"/>
      <c r="BT591" s="62"/>
      <c r="BU591" s="62"/>
      <c r="BV591" s="62"/>
      <c r="BW591" s="62"/>
      <c r="BX591" s="62"/>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62"/>
      <c r="CX591" s="62"/>
      <c r="CY591" s="62"/>
      <c r="CZ591" s="62"/>
      <c r="DA591" s="62"/>
      <c r="DB591" s="62"/>
      <c r="DC591" s="62"/>
      <c r="DD591" s="62"/>
      <c r="DE591" s="62"/>
      <c r="DF591" s="62"/>
      <c r="DG591" s="62"/>
      <c r="DH591" s="62"/>
      <c r="DI591" s="62"/>
      <c r="DJ591" s="62"/>
      <c r="DK591" s="62"/>
      <c r="DL591" s="62"/>
      <c r="DM591" s="62"/>
      <c r="DN591" s="62"/>
      <c r="DO591" s="62"/>
      <c r="DP591" s="62"/>
      <c r="DQ591" s="62"/>
      <c r="DR591" s="62"/>
      <c r="DS591" s="62"/>
      <c r="DT591" s="62"/>
      <c r="DU591" s="62"/>
      <c r="DV591" s="62"/>
      <c r="DW591" s="62"/>
      <c r="DX591" s="62"/>
      <c r="DY591" s="62"/>
      <c r="DZ591" s="62"/>
      <c r="EA591" s="62"/>
      <c r="EB591" s="62"/>
      <c r="EC591" s="62"/>
      <c r="ED591" s="62"/>
      <c r="EE591" s="62"/>
      <c r="EF591" s="62"/>
      <c r="EG591" s="62"/>
      <c r="EH591" s="62"/>
      <c r="EI591" s="62"/>
      <c r="EJ591" s="62"/>
      <c r="EK591" s="62"/>
      <c r="EL591" s="62"/>
      <c r="EM591" s="62"/>
      <c r="EN591" s="62"/>
      <c r="EO591" s="62"/>
      <c r="EP591" s="62"/>
      <c r="EQ591" s="62"/>
      <c r="ER591" s="62"/>
      <c r="ES591" s="62"/>
      <c r="ET591" s="62"/>
      <c r="EU591" s="62"/>
      <c r="EV591" s="62"/>
      <c r="EW591" s="62"/>
      <c r="EX591" s="62"/>
      <c r="EY591" s="62"/>
      <c r="EZ591" s="62"/>
      <c r="FA591" s="62"/>
      <c r="FB591" s="62"/>
      <c r="FC591" s="62"/>
      <c r="FD591" s="62"/>
      <c r="FE591" s="62"/>
      <c r="FF591" s="62"/>
      <c r="FG591" s="62"/>
      <c r="FH591" s="62"/>
      <c r="FI591" s="62"/>
      <c r="FJ591" s="62"/>
      <c r="FK591" s="62"/>
      <c r="FL591" s="62"/>
      <c r="FM591" s="62"/>
      <c r="FN591" s="62"/>
      <c r="FO591" s="62"/>
      <c r="FP591" s="62"/>
      <c r="FQ591" s="62"/>
      <c r="FR591" s="62"/>
      <c r="FS591" s="62"/>
      <c r="FT591" s="62"/>
      <c r="FU591" s="62"/>
      <c r="FV591" s="62"/>
    </row>
    <row r="592" spans="1:178" ht="13.8">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c r="AY592" s="62"/>
      <c r="AZ592" s="62"/>
      <c r="BA592" s="62"/>
      <c r="BB592" s="62"/>
      <c r="BC592" s="62"/>
      <c r="BD592" s="62"/>
      <c r="BE592" s="62"/>
      <c r="BF592" s="62"/>
      <c r="BG592" s="62"/>
      <c r="BH592" s="62"/>
      <c r="BI592" s="62"/>
      <c r="BJ592" s="62"/>
      <c r="BK592" s="62"/>
      <c r="BL592" s="62"/>
      <c r="BM592" s="62"/>
      <c r="BN592" s="62"/>
      <c r="BO592" s="62"/>
      <c r="BP592" s="62"/>
      <c r="BQ592" s="62"/>
      <c r="BR592" s="62"/>
      <c r="BS592" s="62"/>
      <c r="BT592" s="62"/>
      <c r="BU592" s="62"/>
      <c r="BV592" s="62"/>
      <c r="BW592" s="62"/>
      <c r="BX592" s="62"/>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62"/>
      <c r="CX592" s="62"/>
      <c r="CY592" s="62"/>
      <c r="CZ592" s="62"/>
      <c r="DA592" s="62"/>
      <c r="DB592" s="62"/>
      <c r="DC592" s="62"/>
      <c r="DD592" s="62"/>
      <c r="DE592" s="62"/>
      <c r="DF592" s="62"/>
      <c r="DG592" s="62"/>
      <c r="DH592" s="62"/>
      <c r="DI592" s="62"/>
      <c r="DJ592" s="62"/>
      <c r="DK592" s="62"/>
      <c r="DL592" s="62"/>
      <c r="DM592" s="62"/>
      <c r="DN592" s="62"/>
      <c r="DO592" s="62"/>
      <c r="DP592" s="62"/>
      <c r="DQ592" s="62"/>
      <c r="DR592" s="62"/>
      <c r="DS592" s="62"/>
      <c r="DT592" s="62"/>
      <c r="DU592" s="62"/>
      <c r="DV592" s="62"/>
      <c r="DW592" s="62"/>
      <c r="DX592" s="62"/>
      <c r="DY592" s="62"/>
      <c r="DZ592" s="62"/>
      <c r="EA592" s="62"/>
      <c r="EB592" s="62"/>
      <c r="EC592" s="62"/>
      <c r="ED592" s="62"/>
      <c r="EE592" s="62"/>
      <c r="EF592" s="62"/>
      <c r="EG592" s="62"/>
      <c r="EH592" s="62"/>
      <c r="EI592" s="62"/>
      <c r="EJ592" s="62"/>
      <c r="EK592" s="62"/>
      <c r="EL592" s="62"/>
      <c r="EM592" s="62"/>
      <c r="EN592" s="62"/>
      <c r="EO592" s="62"/>
      <c r="EP592" s="62"/>
      <c r="EQ592" s="62"/>
      <c r="ER592" s="62"/>
      <c r="ES592" s="62"/>
      <c r="ET592" s="62"/>
      <c r="EU592" s="62"/>
      <c r="EV592" s="62"/>
      <c r="EW592" s="62"/>
      <c r="EX592" s="62"/>
      <c r="EY592" s="62"/>
      <c r="EZ592" s="62"/>
      <c r="FA592" s="62"/>
      <c r="FB592" s="62"/>
      <c r="FC592" s="62"/>
      <c r="FD592" s="62"/>
      <c r="FE592" s="62"/>
      <c r="FF592" s="62"/>
      <c r="FG592" s="62"/>
      <c r="FH592" s="62"/>
      <c r="FI592" s="62"/>
      <c r="FJ592" s="62"/>
      <c r="FK592" s="62"/>
      <c r="FL592" s="62"/>
      <c r="FM592" s="62"/>
      <c r="FN592" s="62"/>
      <c r="FO592" s="62"/>
      <c r="FP592" s="62"/>
      <c r="FQ592" s="62"/>
      <c r="FR592" s="62"/>
      <c r="FS592" s="62"/>
      <c r="FT592" s="62"/>
      <c r="FU592" s="62"/>
      <c r="FV592" s="62"/>
    </row>
    <row r="593" spans="1:178" ht="13.8">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c r="AY593" s="62"/>
      <c r="AZ593" s="62"/>
      <c r="BA593" s="62"/>
      <c r="BB593" s="62"/>
      <c r="BC593" s="62"/>
      <c r="BD593" s="62"/>
      <c r="BE593" s="62"/>
      <c r="BF593" s="62"/>
      <c r="BG593" s="62"/>
      <c r="BH593" s="62"/>
      <c r="BI593" s="62"/>
      <c r="BJ593" s="62"/>
      <c r="BK593" s="62"/>
      <c r="BL593" s="62"/>
      <c r="BM593" s="62"/>
      <c r="BN593" s="62"/>
      <c r="BO593" s="62"/>
      <c r="BP593" s="62"/>
      <c r="BQ593" s="62"/>
      <c r="BR593" s="62"/>
      <c r="BS593" s="62"/>
      <c r="BT593" s="62"/>
      <c r="BU593" s="62"/>
      <c r="BV593" s="62"/>
      <c r="BW593" s="62"/>
      <c r="BX593" s="62"/>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62"/>
      <c r="CX593" s="62"/>
      <c r="CY593" s="62"/>
      <c r="CZ593" s="62"/>
      <c r="DA593" s="62"/>
      <c r="DB593" s="62"/>
      <c r="DC593" s="62"/>
      <c r="DD593" s="62"/>
      <c r="DE593" s="62"/>
      <c r="DF593" s="62"/>
      <c r="DG593" s="62"/>
      <c r="DH593" s="62"/>
      <c r="DI593" s="62"/>
      <c r="DJ593" s="62"/>
      <c r="DK593" s="62"/>
      <c r="DL593" s="62"/>
      <c r="DM593" s="62"/>
      <c r="DN593" s="62"/>
      <c r="DO593" s="62"/>
      <c r="DP593" s="62"/>
      <c r="DQ593" s="62"/>
      <c r="DR593" s="62"/>
      <c r="DS593" s="62"/>
      <c r="DT593" s="62"/>
      <c r="DU593" s="62"/>
      <c r="DV593" s="62"/>
      <c r="DW593" s="62"/>
      <c r="DX593" s="62"/>
      <c r="DY593" s="62"/>
      <c r="DZ593" s="62"/>
      <c r="EA593" s="62"/>
      <c r="EB593" s="62"/>
      <c r="EC593" s="62"/>
      <c r="ED593" s="62"/>
      <c r="EE593" s="62"/>
      <c r="EF593" s="62"/>
      <c r="EG593" s="62"/>
      <c r="EH593" s="62"/>
      <c r="EI593" s="62"/>
      <c r="EJ593" s="62"/>
      <c r="EK593" s="62"/>
      <c r="EL593" s="62"/>
      <c r="EM593" s="62"/>
      <c r="EN593" s="62"/>
      <c r="EO593" s="62"/>
      <c r="EP593" s="62"/>
      <c r="EQ593" s="62"/>
      <c r="ER593" s="62"/>
      <c r="ES593" s="62"/>
      <c r="ET593" s="62"/>
      <c r="EU593" s="62"/>
      <c r="EV593" s="62"/>
      <c r="EW593" s="62"/>
      <c r="EX593" s="62"/>
      <c r="EY593" s="62"/>
      <c r="EZ593" s="62"/>
      <c r="FA593" s="62"/>
      <c r="FB593" s="62"/>
      <c r="FC593" s="62"/>
      <c r="FD593" s="62"/>
      <c r="FE593" s="62"/>
      <c r="FF593" s="62"/>
      <c r="FG593" s="62"/>
      <c r="FH593" s="62"/>
      <c r="FI593" s="62"/>
      <c r="FJ593" s="62"/>
      <c r="FK593" s="62"/>
      <c r="FL593" s="62"/>
      <c r="FM593" s="62"/>
      <c r="FN593" s="62"/>
      <c r="FO593" s="62"/>
      <c r="FP593" s="62"/>
      <c r="FQ593" s="62"/>
      <c r="FR593" s="62"/>
      <c r="FS593" s="62"/>
      <c r="FT593" s="62"/>
      <c r="FU593" s="62"/>
      <c r="FV593" s="62"/>
    </row>
    <row r="594" spans="1:178" ht="13.8">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c r="BM594" s="62"/>
      <c r="BN594" s="62"/>
      <c r="BO594" s="62"/>
      <c r="BP594" s="62"/>
      <c r="BQ594" s="62"/>
      <c r="BR594" s="62"/>
      <c r="BS594" s="62"/>
      <c r="BT594" s="62"/>
      <c r="BU594" s="62"/>
      <c r="BV594" s="62"/>
      <c r="BW594" s="62"/>
      <c r="BX594" s="62"/>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62"/>
      <c r="CX594" s="62"/>
      <c r="CY594" s="62"/>
      <c r="CZ594" s="62"/>
      <c r="DA594" s="62"/>
      <c r="DB594" s="62"/>
      <c r="DC594" s="62"/>
      <c r="DD594" s="62"/>
      <c r="DE594" s="62"/>
      <c r="DF594" s="62"/>
      <c r="DG594" s="62"/>
      <c r="DH594" s="62"/>
      <c r="DI594" s="62"/>
      <c r="DJ594" s="62"/>
      <c r="DK594" s="62"/>
      <c r="DL594" s="62"/>
      <c r="DM594" s="62"/>
      <c r="DN594" s="62"/>
      <c r="DO594" s="62"/>
      <c r="DP594" s="62"/>
      <c r="DQ594" s="62"/>
      <c r="DR594" s="62"/>
      <c r="DS594" s="62"/>
      <c r="DT594" s="62"/>
      <c r="DU594" s="62"/>
      <c r="DV594" s="62"/>
      <c r="DW594" s="62"/>
      <c r="DX594" s="62"/>
      <c r="DY594" s="62"/>
      <c r="DZ594" s="62"/>
      <c r="EA594" s="62"/>
      <c r="EB594" s="62"/>
      <c r="EC594" s="62"/>
      <c r="ED594" s="62"/>
      <c r="EE594" s="62"/>
      <c r="EF594" s="62"/>
      <c r="EG594" s="62"/>
      <c r="EH594" s="62"/>
      <c r="EI594" s="62"/>
      <c r="EJ594" s="62"/>
      <c r="EK594" s="62"/>
      <c r="EL594" s="62"/>
      <c r="EM594" s="62"/>
      <c r="EN594" s="62"/>
      <c r="EO594" s="62"/>
      <c r="EP594" s="62"/>
      <c r="EQ594" s="62"/>
      <c r="ER594" s="62"/>
      <c r="ES594" s="62"/>
      <c r="ET594" s="62"/>
      <c r="EU594" s="62"/>
      <c r="EV594" s="62"/>
      <c r="EW594" s="62"/>
      <c r="EX594" s="62"/>
      <c r="EY594" s="62"/>
      <c r="EZ594" s="62"/>
      <c r="FA594" s="62"/>
      <c r="FB594" s="62"/>
      <c r="FC594" s="62"/>
      <c r="FD594" s="62"/>
      <c r="FE594" s="62"/>
      <c r="FF594" s="62"/>
      <c r="FG594" s="62"/>
      <c r="FH594" s="62"/>
      <c r="FI594" s="62"/>
      <c r="FJ594" s="62"/>
      <c r="FK594" s="62"/>
      <c r="FL594" s="62"/>
      <c r="FM594" s="62"/>
      <c r="FN594" s="62"/>
      <c r="FO594" s="62"/>
      <c r="FP594" s="62"/>
      <c r="FQ594" s="62"/>
      <c r="FR594" s="62"/>
      <c r="FS594" s="62"/>
      <c r="FT594" s="62"/>
      <c r="FU594" s="62"/>
      <c r="FV594" s="62"/>
    </row>
    <row r="595" spans="1:178" ht="13.8">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62"/>
      <c r="CX595" s="62"/>
      <c r="CY595" s="62"/>
      <c r="CZ595" s="62"/>
      <c r="DA595" s="62"/>
      <c r="DB595" s="62"/>
      <c r="DC595" s="62"/>
      <c r="DD595" s="62"/>
      <c r="DE595" s="62"/>
      <c r="DF595" s="62"/>
      <c r="DG595" s="62"/>
      <c r="DH595" s="62"/>
      <c r="DI595" s="62"/>
      <c r="DJ595" s="62"/>
      <c r="DK595" s="62"/>
      <c r="DL595" s="62"/>
      <c r="DM595" s="62"/>
      <c r="DN595" s="62"/>
      <c r="DO595" s="62"/>
      <c r="DP595" s="62"/>
      <c r="DQ595" s="62"/>
      <c r="DR595" s="62"/>
      <c r="DS595" s="62"/>
      <c r="DT595" s="62"/>
      <c r="DU595" s="62"/>
      <c r="DV595" s="62"/>
      <c r="DW595" s="62"/>
      <c r="DX595" s="62"/>
      <c r="DY595" s="62"/>
      <c r="DZ595" s="62"/>
      <c r="EA595" s="62"/>
      <c r="EB595" s="62"/>
      <c r="EC595" s="62"/>
      <c r="ED595" s="62"/>
      <c r="EE595" s="62"/>
      <c r="EF595" s="62"/>
      <c r="EG595" s="62"/>
      <c r="EH595" s="62"/>
      <c r="EI595" s="62"/>
      <c r="EJ595" s="62"/>
      <c r="EK595" s="62"/>
      <c r="EL595" s="62"/>
      <c r="EM595" s="62"/>
      <c r="EN595" s="62"/>
      <c r="EO595" s="62"/>
      <c r="EP595" s="62"/>
      <c r="EQ595" s="62"/>
      <c r="ER595" s="62"/>
      <c r="ES595" s="62"/>
      <c r="ET595" s="62"/>
      <c r="EU595" s="62"/>
      <c r="EV595" s="62"/>
      <c r="EW595" s="62"/>
      <c r="EX595" s="62"/>
      <c r="EY595" s="62"/>
      <c r="EZ595" s="62"/>
      <c r="FA595" s="62"/>
      <c r="FB595" s="62"/>
      <c r="FC595" s="62"/>
      <c r="FD595" s="62"/>
      <c r="FE595" s="62"/>
      <c r="FF595" s="62"/>
      <c r="FG595" s="62"/>
      <c r="FH595" s="62"/>
      <c r="FI595" s="62"/>
      <c r="FJ595" s="62"/>
      <c r="FK595" s="62"/>
      <c r="FL595" s="62"/>
      <c r="FM595" s="62"/>
      <c r="FN595" s="62"/>
      <c r="FO595" s="62"/>
      <c r="FP595" s="62"/>
      <c r="FQ595" s="62"/>
      <c r="FR595" s="62"/>
      <c r="FS595" s="62"/>
      <c r="FT595" s="62"/>
      <c r="FU595" s="62"/>
      <c r="FV595" s="62"/>
    </row>
    <row r="596" spans="1:178" ht="13.8">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c r="AY596" s="62"/>
      <c r="AZ596" s="62"/>
      <c r="BA596" s="62"/>
      <c r="BB596" s="62"/>
      <c r="BC596" s="62"/>
      <c r="BD596" s="62"/>
      <c r="BE596" s="62"/>
      <c r="BF596" s="62"/>
      <c r="BG596" s="62"/>
      <c r="BH596" s="62"/>
      <c r="BI596" s="62"/>
      <c r="BJ596" s="62"/>
      <c r="BK596" s="62"/>
      <c r="BL596" s="62"/>
      <c r="BM596" s="62"/>
      <c r="BN596" s="62"/>
      <c r="BO596" s="62"/>
      <c r="BP596" s="62"/>
      <c r="BQ596" s="62"/>
      <c r="BR596" s="62"/>
      <c r="BS596" s="62"/>
      <c r="BT596" s="62"/>
      <c r="BU596" s="62"/>
      <c r="BV596" s="62"/>
      <c r="BW596" s="62"/>
      <c r="BX596" s="62"/>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62"/>
      <c r="CX596" s="62"/>
      <c r="CY596" s="62"/>
      <c r="CZ596" s="62"/>
      <c r="DA596" s="62"/>
      <c r="DB596" s="62"/>
      <c r="DC596" s="62"/>
      <c r="DD596" s="62"/>
      <c r="DE596" s="62"/>
      <c r="DF596" s="62"/>
      <c r="DG596" s="62"/>
      <c r="DH596" s="62"/>
      <c r="DI596" s="62"/>
      <c r="DJ596" s="62"/>
      <c r="DK596" s="62"/>
      <c r="DL596" s="62"/>
      <c r="DM596" s="62"/>
      <c r="DN596" s="62"/>
      <c r="DO596" s="62"/>
      <c r="DP596" s="62"/>
      <c r="DQ596" s="62"/>
      <c r="DR596" s="62"/>
      <c r="DS596" s="62"/>
      <c r="DT596" s="62"/>
      <c r="DU596" s="62"/>
      <c r="DV596" s="62"/>
      <c r="DW596" s="62"/>
      <c r="DX596" s="62"/>
      <c r="DY596" s="62"/>
      <c r="DZ596" s="62"/>
      <c r="EA596" s="62"/>
      <c r="EB596" s="62"/>
      <c r="EC596" s="62"/>
      <c r="ED596" s="62"/>
      <c r="EE596" s="62"/>
      <c r="EF596" s="62"/>
      <c r="EG596" s="62"/>
      <c r="EH596" s="62"/>
      <c r="EI596" s="62"/>
      <c r="EJ596" s="62"/>
      <c r="EK596" s="62"/>
      <c r="EL596" s="62"/>
      <c r="EM596" s="62"/>
      <c r="EN596" s="62"/>
      <c r="EO596" s="62"/>
      <c r="EP596" s="62"/>
      <c r="EQ596" s="62"/>
      <c r="ER596" s="62"/>
      <c r="ES596" s="62"/>
      <c r="ET596" s="62"/>
      <c r="EU596" s="62"/>
      <c r="EV596" s="62"/>
      <c r="EW596" s="62"/>
      <c r="EX596" s="62"/>
      <c r="EY596" s="62"/>
      <c r="EZ596" s="62"/>
      <c r="FA596" s="62"/>
      <c r="FB596" s="62"/>
      <c r="FC596" s="62"/>
      <c r="FD596" s="62"/>
      <c r="FE596" s="62"/>
      <c r="FF596" s="62"/>
      <c r="FG596" s="62"/>
      <c r="FH596" s="62"/>
      <c r="FI596" s="62"/>
      <c r="FJ596" s="62"/>
      <c r="FK596" s="62"/>
      <c r="FL596" s="62"/>
      <c r="FM596" s="62"/>
      <c r="FN596" s="62"/>
      <c r="FO596" s="62"/>
      <c r="FP596" s="62"/>
      <c r="FQ596" s="62"/>
      <c r="FR596" s="62"/>
      <c r="FS596" s="62"/>
      <c r="FT596" s="62"/>
      <c r="FU596" s="62"/>
      <c r="FV596" s="62"/>
    </row>
    <row r="597" spans="1:178" ht="13.8">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c r="AY597" s="62"/>
      <c r="AZ597" s="62"/>
      <c r="BA597" s="62"/>
      <c r="BB597" s="62"/>
      <c r="BC597" s="62"/>
      <c r="BD597" s="62"/>
      <c r="BE597" s="62"/>
      <c r="BF597" s="62"/>
      <c r="BG597" s="62"/>
      <c r="BH597" s="62"/>
      <c r="BI597" s="62"/>
      <c r="BJ597" s="62"/>
      <c r="BK597" s="62"/>
      <c r="BL597" s="62"/>
      <c r="BM597" s="62"/>
      <c r="BN597" s="62"/>
      <c r="BO597" s="62"/>
      <c r="BP597" s="62"/>
      <c r="BQ597" s="62"/>
      <c r="BR597" s="62"/>
      <c r="BS597" s="62"/>
      <c r="BT597" s="62"/>
      <c r="BU597" s="62"/>
      <c r="BV597" s="62"/>
      <c r="BW597" s="62"/>
      <c r="BX597" s="62"/>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62"/>
      <c r="CX597" s="62"/>
      <c r="CY597" s="62"/>
      <c r="CZ597" s="62"/>
      <c r="DA597" s="62"/>
      <c r="DB597" s="62"/>
      <c r="DC597" s="62"/>
      <c r="DD597" s="62"/>
      <c r="DE597" s="62"/>
      <c r="DF597" s="62"/>
      <c r="DG597" s="62"/>
      <c r="DH597" s="62"/>
      <c r="DI597" s="62"/>
      <c r="DJ597" s="62"/>
      <c r="DK597" s="62"/>
      <c r="DL597" s="62"/>
      <c r="DM597" s="62"/>
      <c r="DN597" s="62"/>
      <c r="DO597" s="62"/>
      <c r="DP597" s="62"/>
      <c r="DQ597" s="62"/>
      <c r="DR597" s="62"/>
      <c r="DS597" s="62"/>
      <c r="DT597" s="62"/>
      <c r="DU597" s="62"/>
      <c r="DV597" s="62"/>
      <c r="DW597" s="62"/>
      <c r="DX597" s="62"/>
      <c r="DY597" s="62"/>
      <c r="DZ597" s="62"/>
      <c r="EA597" s="62"/>
      <c r="EB597" s="62"/>
      <c r="EC597" s="62"/>
      <c r="ED597" s="62"/>
      <c r="EE597" s="62"/>
      <c r="EF597" s="62"/>
      <c r="EG597" s="62"/>
      <c r="EH597" s="62"/>
      <c r="EI597" s="62"/>
      <c r="EJ597" s="62"/>
      <c r="EK597" s="62"/>
      <c r="EL597" s="62"/>
      <c r="EM597" s="62"/>
      <c r="EN597" s="62"/>
      <c r="EO597" s="62"/>
      <c r="EP597" s="62"/>
      <c r="EQ597" s="62"/>
      <c r="ER597" s="62"/>
      <c r="ES597" s="62"/>
      <c r="ET597" s="62"/>
      <c r="EU597" s="62"/>
      <c r="EV597" s="62"/>
      <c r="EW597" s="62"/>
      <c r="EX597" s="62"/>
      <c r="EY597" s="62"/>
      <c r="EZ597" s="62"/>
      <c r="FA597" s="62"/>
      <c r="FB597" s="62"/>
      <c r="FC597" s="62"/>
      <c r="FD597" s="62"/>
      <c r="FE597" s="62"/>
      <c r="FF597" s="62"/>
      <c r="FG597" s="62"/>
      <c r="FH597" s="62"/>
      <c r="FI597" s="62"/>
      <c r="FJ597" s="62"/>
      <c r="FK597" s="62"/>
      <c r="FL597" s="62"/>
      <c r="FM597" s="62"/>
      <c r="FN597" s="62"/>
      <c r="FO597" s="62"/>
      <c r="FP597" s="62"/>
      <c r="FQ597" s="62"/>
      <c r="FR597" s="62"/>
      <c r="FS597" s="62"/>
      <c r="FT597" s="62"/>
      <c r="FU597" s="62"/>
      <c r="FV597" s="62"/>
    </row>
    <row r="598" spans="1:178" ht="13.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c r="AY598" s="62"/>
      <c r="AZ598" s="62"/>
      <c r="BA598" s="62"/>
      <c r="BB598" s="62"/>
      <c r="BC598" s="62"/>
      <c r="BD598" s="62"/>
      <c r="BE598" s="62"/>
      <c r="BF598" s="62"/>
      <c r="BG598" s="62"/>
      <c r="BH598" s="62"/>
      <c r="BI598" s="62"/>
      <c r="BJ598" s="62"/>
      <c r="BK598" s="62"/>
      <c r="BL598" s="62"/>
      <c r="BM598" s="62"/>
      <c r="BN598" s="62"/>
      <c r="BO598" s="62"/>
      <c r="BP598" s="62"/>
      <c r="BQ598" s="62"/>
      <c r="BR598" s="62"/>
      <c r="BS598" s="62"/>
      <c r="BT598" s="62"/>
      <c r="BU598" s="62"/>
      <c r="BV598" s="62"/>
      <c r="BW598" s="62"/>
      <c r="BX598" s="62"/>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62"/>
      <c r="CX598" s="62"/>
      <c r="CY598" s="62"/>
      <c r="CZ598" s="62"/>
      <c r="DA598" s="62"/>
      <c r="DB598" s="62"/>
      <c r="DC598" s="62"/>
      <c r="DD598" s="62"/>
      <c r="DE598" s="62"/>
      <c r="DF598" s="62"/>
      <c r="DG598" s="62"/>
      <c r="DH598" s="62"/>
      <c r="DI598" s="62"/>
      <c r="DJ598" s="62"/>
      <c r="DK598" s="62"/>
      <c r="DL598" s="62"/>
      <c r="DM598" s="62"/>
      <c r="DN598" s="62"/>
      <c r="DO598" s="62"/>
      <c r="DP598" s="62"/>
      <c r="DQ598" s="62"/>
      <c r="DR598" s="62"/>
      <c r="DS598" s="62"/>
      <c r="DT598" s="62"/>
      <c r="DU598" s="62"/>
      <c r="DV598" s="62"/>
      <c r="DW598" s="62"/>
      <c r="DX598" s="62"/>
      <c r="DY598" s="62"/>
      <c r="DZ598" s="62"/>
      <c r="EA598" s="62"/>
      <c r="EB598" s="62"/>
      <c r="EC598" s="62"/>
      <c r="ED598" s="62"/>
      <c r="EE598" s="62"/>
      <c r="EF598" s="62"/>
      <c r="EG598" s="62"/>
      <c r="EH598" s="62"/>
      <c r="EI598" s="62"/>
      <c r="EJ598" s="62"/>
      <c r="EK598" s="62"/>
      <c r="EL598" s="62"/>
      <c r="EM598" s="62"/>
      <c r="EN598" s="62"/>
      <c r="EO598" s="62"/>
      <c r="EP598" s="62"/>
      <c r="EQ598" s="62"/>
      <c r="ER598" s="62"/>
      <c r="ES598" s="62"/>
      <c r="ET598" s="62"/>
      <c r="EU598" s="62"/>
      <c r="EV598" s="62"/>
      <c r="EW598" s="62"/>
      <c r="EX598" s="62"/>
      <c r="EY598" s="62"/>
      <c r="EZ598" s="62"/>
      <c r="FA598" s="62"/>
      <c r="FB598" s="62"/>
      <c r="FC598" s="62"/>
      <c r="FD598" s="62"/>
      <c r="FE598" s="62"/>
      <c r="FF598" s="62"/>
      <c r="FG598" s="62"/>
      <c r="FH598" s="62"/>
      <c r="FI598" s="62"/>
      <c r="FJ598" s="62"/>
      <c r="FK598" s="62"/>
      <c r="FL598" s="62"/>
      <c r="FM598" s="62"/>
      <c r="FN598" s="62"/>
      <c r="FO598" s="62"/>
      <c r="FP598" s="62"/>
      <c r="FQ598" s="62"/>
      <c r="FR598" s="62"/>
      <c r="FS598" s="62"/>
      <c r="FT598" s="62"/>
      <c r="FU598" s="62"/>
      <c r="FV598" s="62"/>
    </row>
    <row r="599" spans="1:178" ht="13.8">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c r="AY599" s="62"/>
      <c r="AZ599" s="62"/>
      <c r="BA599" s="62"/>
      <c r="BB599" s="62"/>
      <c r="BC599" s="62"/>
      <c r="BD599" s="62"/>
      <c r="BE599" s="62"/>
      <c r="BF599" s="62"/>
      <c r="BG599" s="62"/>
      <c r="BH599" s="62"/>
      <c r="BI599" s="62"/>
      <c r="BJ599" s="62"/>
      <c r="BK599" s="62"/>
      <c r="BL599" s="62"/>
      <c r="BM599" s="62"/>
      <c r="BN599" s="62"/>
      <c r="BO599" s="62"/>
      <c r="BP599" s="62"/>
      <c r="BQ599" s="62"/>
      <c r="BR599" s="62"/>
      <c r="BS599" s="62"/>
      <c r="BT599" s="62"/>
      <c r="BU599" s="62"/>
      <c r="BV599" s="62"/>
      <c r="BW599" s="62"/>
      <c r="BX599" s="62"/>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62"/>
      <c r="CX599" s="62"/>
      <c r="CY599" s="62"/>
      <c r="CZ599" s="62"/>
      <c r="DA599" s="62"/>
      <c r="DB599" s="62"/>
      <c r="DC599" s="62"/>
      <c r="DD599" s="62"/>
      <c r="DE599" s="62"/>
      <c r="DF599" s="62"/>
      <c r="DG599" s="62"/>
      <c r="DH599" s="62"/>
      <c r="DI599" s="62"/>
      <c r="DJ599" s="62"/>
      <c r="DK599" s="62"/>
      <c r="DL599" s="62"/>
      <c r="DM599" s="62"/>
      <c r="DN599" s="62"/>
      <c r="DO599" s="62"/>
      <c r="DP599" s="62"/>
      <c r="DQ599" s="62"/>
      <c r="DR599" s="62"/>
      <c r="DS599" s="62"/>
      <c r="DT599" s="62"/>
      <c r="DU599" s="62"/>
      <c r="DV599" s="62"/>
      <c r="DW599" s="62"/>
      <c r="DX599" s="62"/>
      <c r="DY599" s="62"/>
      <c r="DZ599" s="62"/>
      <c r="EA599" s="62"/>
      <c r="EB599" s="62"/>
      <c r="EC599" s="62"/>
      <c r="ED599" s="62"/>
      <c r="EE599" s="62"/>
      <c r="EF599" s="62"/>
      <c r="EG599" s="62"/>
      <c r="EH599" s="62"/>
      <c r="EI599" s="62"/>
      <c r="EJ599" s="62"/>
      <c r="EK599" s="62"/>
      <c r="EL599" s="62"/>
      <c r="EM599" s="62"/>
      <c r="EN599" s="62"/>
      <c r="EO599" s="62"/>
      <c r="EP599" s="62"/>
      <c r="EQ599" s="62"/>
      <c r="ER599" s="62"/>
      <c r="ES599" s="62"/>
      <c r="ET599" s="62"/>
      <c r="EU599" s="62"/>
      <c r="EV599" s="62"/>
      <c r="EW599" s="62"/>
      <c r="EX599" s="62"/>
      <c r="EY599" s="62"/>
      <c r="EZ599" s="62"/>
      <c r="FA599" s="62"/>
      <c r="FB599" s="62"/>
      <c r="FC599" s="62"/>
      <c r="FD599" s="62"/>
      <c r="FE599" s="62"/>
      <c r="FF599" s="62"/>
      <c r="FG599" s="62"/>
      <c r="FH599" s="62"/>
      <c r="FI599" s="62"/>
      <c r="FJ599" s="62"/>
      <c r="FK599" s="62"/>
      <c r="FL599" s="62"/>
      <c r="FM599" s="62"/>
      <c r="FN599" s="62"/>
      <c r="FO599" s="62"/>
      <c r="FP599" s="62"/>
      <c r="FQ599" s="62"/>
      <c r="FR599" s="62"/>
      <c r="FS599" s="62"/>
      <c r="FT599" s="62"/>
      <c r="FU599" s="62"/>
      <c r="FV599" s="62"/>
    </row>
    <row r="600" spans="1:178" ht="13.8">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c r="AY600" s="62"/>
      <c r="AZ600" s="62"/>
      <c r="BA600" s="62"/>
      <c r="BB600" s="62"/>
      <c r="BC600" s="62"/>
      <c r="BD600" s="62"/>
      <c r="BE600" s="62"/>
      <c r="BF600" s="62"/>
      <c r="BG600" s="62"/>
      <c r="BH600" s="62"/>
      <c r="BI600" s="62"/>
      <c r="BJ600" s="62"/>
      <c r="BK600" s="62"/>
      <c r="BL600" s="62"/>
      <c r="BM600" s="62"/>
      <c r="BN600" s="62"/>
      <c r="BO600" s="62"/>
      <c r="BP600" s="62"/>
      <c r="BQ600" s="62"/>
      <c r="BR600" s="62"/>
      <c r="BS600" s="62"/>
      <c r="BT600" s="62"/>
      <c r="BU600" s="62"/>
      <c r="BV600" s="62"/>
      <c r="BW600" s="62"/>
      <c r="BX600" s="62"/>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62"/>
      <c r="CX600" s="62"/>
      <c r="CY600" s="62"/>
      <c r="CZ600" s="62"/>
      <c r="DA600" s="62"/>
      <c r="DB600" s="62"/>
      <c r="DC600" s="62"/>
      <c r="DD600" s="62"/>
      <c r="DE600" s="62"/>
      <c r="DF600" s="62"/>
      <c r="DG600" s="62"/>
      <c r="DH600" s="62"/>
      <c r="DI600" s="62"/>
      <c r="DJ600" s="62"/>
      <c r="DK600" s="62"/>
      <c r="DL600" s="62"/>
      <c r="DM600" s="62"/>
      <c r="DN600" s="62"/>
      <c r="DO600" s="62"/>
      <c r="DP600" s="62"/>
      <c r="DQ600" s="62"/>
      <c r="DR600" s="62"/>
      <c r="DS600" s="62"/>
      <c r="DT600" s="62"/>
      <c r="DU600" s="62"/>
      <c r="DV600" s="62"/>
      <c r="DW600" s="62"/>
      <c r="DX600" s="62"/>
      <c r="DY600" s="62"/>
      <c r="DZ600" s="62"/>
      <c r="EA600" s="62"/>
      <c r="EB600" s="62"/>
      <c r="EC600" s="62"/>
      <c r="ED600" s="62"/>
      <c r="EE600" s="62"/>
      <c r="EF600" s="62"/>
      <c r="EG600" s="62"/>
      <c r="EH600" s="62"/>
      <c r="EI600" s="62"/>
      <c r="EJ600" s="62"/>
      <c r="EK600" s="62"/>
      <c r="EL600" s="62"/>
      <c r="EM600" s="62"/>
      <c r="EN600" s="62"/>
      <c r="EO600" s="62"/>
      <c r="EP600" s="62"/>
      <c r="EQ600" s="62"/>
      <c r="ER600" s="62"/>
      <c r="ES600" s="62"/>
      <c r="ET600" s="62"/>
      <c r="EU600" s="62"/>
      <c r="EV600" s="62"/>
      <c r="EW600" s="62"/>
      <c r="EX600" s="62"/>
      <c r="EY600" s="62"/>
      <c r="EZ600" s="62"/>
      <c r="FA600" s="62"/>
      <c r="FB600" s="62"/>
      <c r="FC600" s="62"/>
      <c r="FD600" s="62"/>
      <c r="FE600" s="62"/>
      <c r="FF600" s="62"/>
      <c r="FG600" s="62"/>
      <c r="FH600" s="62"/>
      <c r="FI600" s="62"/>
      <c r="FJ600" s="62"/>
      <c r="FK600" s="62"/>
      <c r="FL600" s="62"/>
      <c r="FM600" s="62"/>
      <c r="FN600" s="62"/>
      <c r="FO600" s="62"/>
      <c r="FP600" s="62"/>
      <c r="FQ600" s="62"/>
      <c r="FR600" s="62"/>
      <c r="FS600" s="62"/>
      <c r="FT600" s="62"/>
      <c r="FU600" s="62"/>
      <c r="FV600" s="62"/>
    </row>
    <row r="601" spans="1:178" ht="13.8">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c r="AY601" s="62"/>
      <c r="AZ601" s="62"/>
      <c r="BA601" s="62"/>
      <c r="BB601" s="62"/>
      <c r="BC601" s="62"/>
      <c r="BD601" s="62"/>
      <c r="BE601" s="62"/>
      <c r="BF601" s="62"/>
      <c r="BG601" s="62"/>
      <c r="BH601" s="62"/>
      <c r="BI601" s="62"/>
      <c r="BJ601" s="62"/>
      <c r="BK601" s="62"/>
      <c r="BL601" s="62"/>
      <c r="BM601" s="62"/>
      <c r="BN601" s="62"/>
      <c r="BO601" s="62"/>
      <c r="BP601" s="62"/>
      <c r="BQ601" s="62"/>
      <c r="BR601" s="62"/>
      <c r="BS601" s="62"/>
      <c r="BT601" s="62"/>
      <c r="BU601" s="62"/>
      <c r="BV601" s="62"/>
      <c r="BW601" s="62"/>
      <c r="BX601" s="62"/>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62"/>
      <c r="CX601" s="62"/>
      <c r="CY601" s="62"/>
      <c r="CZ601" s="62"/>
      <c r="DA601" s="62"/>
      <c r="DB601" s="62"/>
      <c r="DC601" s="62"/>
      <c r="DD601" s="62"/>
      <c r="DE601" s="62"/>
      <c r="DF601" s="62"/>
      <c r="DG601" s="62"/>
      <c r="DH601" s="62"/>
      <c r="DI601" s="62"/>
      <c r="DJ601" s="62"/>
      <c r="DK601" s="62"/>
      <c r="DL601" s="62"/>
      <c r="DM601" s="62"/>
      <c r="DN601" s="62"/>
      <c r="DO601" s="62"/>
      <c r="DP601" s="62"/>
      <c r="DQ601" s="62"/>
      <c r="DR601" s="62"/>
      <c r="DS601" s="62"/>
      <c r="DT601" s="62"/>
      <c r="DU601" s="62"/>
      <c r="DV601" s="62"/>
      <c r="DW601" s="62"/>
      <c r="DX601" s="62"/>
      <c r="DY601" s="62"/>
      <c r="DZ601" s="62"/>
      <c r="EA601" s="62"/>
      <c r="EB601" s="62"/>
      <c r="EC601" s="62"/>
      <c r="ED601" s="62"/>
      <c r="EE601" s="62"/>
      <c r="EF601" s="62"/>
      <c r="EG601" s="62"/>
      <c r="EH601" s="62"/>
      <c r="EI601" s="62"/>
      <c r="EJ601" s="62"/>
      <c r="EK601" s="62"/>
      <c r="EL601" s="62"/>
      <c r="EM601" s="62"/>
      <c r="EN601" s="62"/>
      <c r="EO601" s="62"/>
      <c r="EP601" s="62"/>
      <c r="EQ601" s="62"/>
      <c r="ER601" s="62"/>
      <c r="ES601" s="62"/>
      <c r="ET601" s="62"/>
      <c r="EU601" s="62"/>
      <c r="EV601" s="62"/>
      <c r="EW601" s="62"/>
      <c r="EX601" s="62"/>
      <c r="EY601" s="62"/>
      <c r="EZ601" s="62"/>
      <c r="FA601" s="62"/>
      <c r="FB601" s="62"/>
      <c r="FC601" s="62"/>
      <c r="FD601" s="62"/>
      <c r="FE601" s="62"/>
      <c r="FF601" s="62"/>
      <c r="FG601" s="62"/>
      <c r="FH601" s="62"/>
      <c r="FI601" s="62"/>
      <c r="FJ601" s="62"/>
      <c r="FK601" s="62"/>
      <c r="FL601" s="62"/>
      <c r="FM601" s="62"/>
      <c r="FN601" s="62"/>
      <c r="FO601" s="62"/>
      <c r="FP601" s="62"/>
      <c r="FQ601" s="62"/>
      <c r="FR601" s="62"/>
      <c r="FS601" s="62"/>
      <c r="FT601" s="62"/>
      <c r="FU601" s="62"/>
      <c r="FV601" s="62"/>
    </row>
    <row r="602" spans="1:178" ht="13.8">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c r="AY602" s="62"/>
      <c r="AZ602" s="62"/>
      <c r="BA602" s="62"/>
      <c r="BB602" s="62"/>
      <c r="BC602" s="62"/>
      <c r="BD602" s="62"/>
      <c r="BE602" s="62"/>
      <c r="BF602" s="62"/>
      <c r="BG602" s="62"/>
      <c r="BH602" s="62"/>
      <c r="BI602" s="62"/>
      <c r="BJ602" s="62"/>
      <c r="BK602" s="62"/>
      <c r="BL602" s="62"/>
      <c r="BM602" s="62"/>
      <c r="BN602" s="62"/>
      <c r="BO602" s="62"/>
      <c r="BP602" s="62"/>
      <c r="BQ602" s="62"/>
      <c r="BR602" s="62"/>
      <c r="BS602" s="62"/>
      <c r="BT602" s="62"/>
      <c r="BU602" s="62"/>
      <c r="BV602" s="62"/>
      <c r="BW602" s="62"/>
      <c r="BX602" s="62"/>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62"/>
      <c r="CX602" s="62"/>
      <c r="CY602" s="62"/>
      <c r="CZ602" s="62"/>
      <c r="DA602" s="62"/>
      <c r="DB602" s="62"/>
      <c r="DC602" s="62"/>
      <c r="DD602" s="62"/>
      <c r="DE602" s="62"/>
      <c r="DF602" s="62"/>
      <c r="DG602" s="62"/>
      <c r="DH602" s="62"/>
      <c r="DI602" s="62"/>
      <c r="DJ602" s="62"/>
      <c r="DK602" s="62"/>
      <c r="DL602" s="62"/>
      <c r="DM602" s="62"/>
      <c r="DN602" s="62"/>
      <c r="DO602" s="62"/>
      <c r="DP602" s="62"/>
      <c r="DQ602" s="62"/>
      <c r="DR602" s="62"/>
      <c r="DS602" s="62"/>
      <c r="DT602" s="62"/>
      <c r="DU602" s="62"/>
      <c r="DV602" s="62"/>
      <c r="DW602" s="62"/>
      <c r="DX602" s="62"/>
      <c r="DY602" s="62"/>
      <c r="DZ602" s="62"/>
      <c r="EA602" s="62"/>
      <c r="EB602" s="62"/>
      <c r="EC602" s="62"/>
      <c r="ED602" s="62"/>
      <c r="EE602" s="62"/>
      <c r="EF602" s="62"/>
      <c r="EG602" s="62"/>
      <c r="EH602" s="62"/>
      <c r="EI602" s="62"/>
      <c r="EJ602" s="62"/>
      <c r="EK602" s="62"/>
      <c r="EL602" s="62"/>
      <c r="EM602" s="62"/>
      <c r="EN602" s="62"/>
      <c r="EO602" s="62"/>
      <c r="EP602" s="62"/>
      <c r="EQ602" s="62"/>
      <c r="ER602" s="62"/>
      <c r="ES602" s="62"/>
      <c r="ET602" s="62"/>
      <c r="EU602" s="62"/>
      <c r="EV602" s="62"/>
      <c r="EW602" s="62"/>
      <c r="EX602" s="62"/>
      <c r="EY602" s="62"/>
      <c r="EZ602" s="62"/>
      <c r="FA602" s="62"/>
      <c r="FB602" s="62"/>
      <c r="FC602" s="62"/>
      <c r="FD602" s="62"/>
      <c r="FE602" s="62"/>
      <c r="FF602" s="62"/>
      <c r="FG602" s="62"/>
      <c r="FH602" s="62"/>
      <c r="FI602" s="62"/>
      <c r="FJ602" s="62"/>
      <c r="FK602" s="62"/>
      <c r="FL602" s="62"/>
      <c r="FM602" s="62"/>
      <c r="FN602" s="62"/>
      <c r="FO602" s="62"/>
      <c r="FP602" s="62"/>
      <c r="FQ602" s="62"/>
      <c r="FR602" s="62"/>
      <c r="FS602" s="62"/>
      <c r="FT602" s="62"/>
      <c r="FU602" s="62"/>
      <c r="FV602" s="62"/>
    </row>
    <row r="603" spans="1:178" ht="13.8">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c r="AY603" s="62"/>
      <c r="AZ603" s="62"/>
      <c r="BA603" s="62"/>
      <c r="BB603" s="62"/>
      <c r="BC603" s="62"/>
      <c r="BD603" s="62"/>
      <c r="BE603" s="62"/>
      <c r="BF603" s="62"/>
      <c r="BG603" s="62"/>
      <c r="BH603" s="62"/>
      <c r="BI603" s="62"/>
      <c r="BJ603" s="62"/>
      <c r="BK603" s="62"/>
      <c r="BL603" s="62"/>
      <c r="BM603" s="62"/>
      <c r="BN603" s="62"/>
      <c r="BO603" s="62"/>
      <c r="BP603" s="62"/>
      <c r="BQ603" s="62"/>
      <c r="BR603" s="62"/>
      <c r="BS603" s="62"/>
      <c r="BT603" s="62"/>
      <c r="BU603" s="62"/>
      <c r="BV603" s="62"/>
      <c r="BW603" s="62"/>
      <c r="BX603" s="62"/>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62"/>
      <c r="CX603" s="62"/>
      <c r="CY603" s="62"/>
      <c r="CZ603" s="62"/>
      <c r="DA603" s="62"/>
      <c r="DB603" s="62"/>
      <c r="DC603" s="62"/>
      <c r="DD603" s="62"/>
      <c r="DE603" s="62"/>
      <c r="DF603" s="62"/>
      <c r="DG603" s="62"/>
      <c r="DH603" s="62"/>
      <c r="DI603" s="62"/>
      <c r="DJ603" s="62"/>
      <c r="DK603" s="62"/>
      <c r="DL603" s="62"/>
      <c r="DM603" s="62"/>
      <c r="DN603" s="62"/>
      <c r="DO603" s="62"/>
      <c r="DP603" s="62"/>
      <c r="DQ603" s="62"/>
      <c r="DR603" s="62"/>
      <c r="DS603" s="62"/>
      <c r="DT603" s="62"/>
      <c r="DU603" s="62"/>
      <c r="DV603" s="62"/>
      <c r="DW603" s="62"/>
      <c r="DX603" s="62"/>
      <c r="DY603" s="62"/>
      <c r="DZ603" s="62"/>
      <c r="EA603" s="62"/>
      <c r="EB603" s="62"/>
      <c r="EC603" s="62"/>
      <c r="ED603" s="62"/>
      <c r="EE603" s="62"/>
      <c r="EF603" s="62"/>
      <c r="EG603" s="62"/>
      <c r="EH603" s="62"/>
      <c r="EI603" s="62"/>
      <c r="EJ603" s="62"/>
      <c r="EK603" s="62"/>
      <c r="EL603" s="62"/>
      <c r="EM603" s="62"/>
      <c r="EN603" s="62"/>
      <c r="EO603" s="62"/>
      <c r="EP603" s="62"/>
      <c r="EQ603" s="62"/>
      <c r="ER603" s="62"/>
      <c r="ES603" s="62"/>
      <c r="ET603" s="62"/>
      <c r="EU603" s="62"/>
      <c r="EV603" s="62"/>
      <c r="EW603" s="62"/>
      <c r="EX603" s="62"/>
      <c r="EY603" s="62"/>
      <c r="EZ603" s="62"/>
      <c r="FA603" s="62"/>
      <c r="FB603" s="62"/>
      <c r="FC603" s="62"/>
      <c r="FD603" s="62"/>
      <c r="FE603" s="62"/>
      <c r="FF603" s="62"/>
      <c r="FG603" s="62"/>
      <c r="FH603" s="62"/>
      <c r="FI603" s="62"/>
      <c r="FJ603" s="62"/>
      <c r="FK603" s="62"/>
      <c r="FL603" s="62"/>
      <c r="FM603" s="62"/>
      <c r="FN603" s="62"/>
      <c r="FO603" s="62"/>
      <c r="FP603" s="62"/>
      <c r="FQ603" s="62"/>
      <c r="FR603" s="62"/>
      <c r="FS603" s="62"/>
      <c r="FT603" s="62"/>
      <c r="FU603" s="62"/>
      <c r="FV603" s="62"/>
    </row>
    <row r="604" spans="1:178" ht="13.8">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c r="AY604" s="62"/>
      <c r="AZ604" s="62"/>
      <c r="BA604" s="62"/>
      <c r="BB604" s="62"/>
      <c r="BC604" s="62"/>
      <c r="BD604" s="62"/>
      <c r="BE604" s="62"/>
      <c r="BF604" s="62"/>
      <c r="BG604" s="62"/>
      <c r="BH604" s="62"/>
      <c r="BI604" s="62"/>
      <c r="BJ604" s="62"/>
      <c r="BK604" s="62"/>
      <c r="BL604" s="62"/>
      <c r="BM604" s="62"/>
      <c r="BN604" s="62"/>
      <c r="BO604" s="62"/>
      <c r="BP604" s="62"/>
      <c r="BQ604" s="62"/>
      <c r="BR604" s="62"/>
      <c r="BS604" s="62"/>
      <c r="BT604" s="62"/>
      <c r="BU604" s="62"/>
      <c r="BV604" s="62"/>
      <c r="BW604" s="62"/>
      <c r="BX604" s="62"/>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62"/>
      <c r="CX604" s="62"/>
      <c r="CY604" s="62"/>
      <c r="CZ604" s="62"/>
      <c r="DA604" s="62"/>
      <c r="DB604" s="62"/>
      <c r="DC604" s="62"/>
      <c r="DD604" s="62"/>
      <c r="DE604" s="62"/>
      <c r="DF604" s="62"/>
      <c r="DG604" s="62"/>
      <c r="DH604" s="62"/>
      <c r="DI604" s="62"/>
      <c r="DJ604" s="62"/>
      <c r="DK604" s="62"/>
      <c r="DL604" s="62"/>
      <c r="DM604" s="62"/>
      <c r="DN604" s="62"/>
      <c r="DO604" s="62"/>
      <c r="DP604" s="62"/>
      <c r="DQ604" s="62"/>
      <c r="DR604" s="62"/>
      <c r="DS604" s="62"/>
      <c r="DT604" s="62"/>
      <c r="DU604" s="62"/>
      <c r="DV604" s="62"/>
      <c r="DW604" s="62"/>
      <c r="DX604" s="62"/>
      <c r="DY604" s="62"/>
      <c r="DZ604" s="62"/>
      <c r="EA604" s="62"/>
      <c r="EB604" s="62"/>
      <c r="EC604" s="62"/>
      <c r="ED604" s="62"/>
      <c r="EE604" s="62"/>
      <c r="EF604" s="62"/>
      <c r="EG604" s="62"/>
      <c r="EH604" s="62"/>
      <c r="EI604" s="62"/>
      <c r="EJ604" s="62"/>
      <c r="EK604" s="62"/>
      <c r="EL604" s="62"/>
      <c r="EM604" s="62"/>
      <c r="EN604" s="62"/>
      <c r="EO604" s="62"/>
      <c r="EP604" s="62"/>
      <c r="EQ604" s="62"/>
      <c r="ER604" s="62"/>
      <c r="ES604" s="62"/>
      <c r="ET604" s="62"/>
      <c r="EU604" s="62"/>
      <c r="EV604" s="62"/>
      <c r="EW604" s="62"/>
      <c r="EX604" s="62"/>
      <c r="EY604" s="62"/>
      <c r="EZ604" s="62"/>
      <c r="FA604" s="62"/>
      <c r="FB604" s="62"/>
      <c r="FC604" s="62"/>
      <c r="FD604" s="62"/>
      <c r="FE604" s="62"/>
      <c r="FF604" s="62"/>
      <c r="FG604" s="62"/>
      <c r="FH604" s="62"/>
      <c r="FI604" s="62"/>
      <c r="FJ604" s="62"/>
      <c r="FK604" s="62"/>
      <c r="FL604" s="62"/>
      <c r="FM604" s="62"/>
      <c r="FN604" s="62"/>
      <c r="FO604" s="62"/>
      <c r="FP604" s="62"/>
      <c r="FQ604" s="62"/>
      <c r="FR604" s="62"/>
      <c r="FS604" s="62"/>
      <c r="FT604" s="62"/>
      <c r="FU604" s="62"/>
      <c r="FV604" s="62"/>
    </row>
    <row r="605" spans="1:178" ht="13.8">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c r="AY605" s="62"/>
      <c r="AZ605" s="62"/>
      <c r="BA605" s="62"/>
      <c r="BB605" s="62"/>
      <c r="BC605" s="62"/>
      <c r="BD605" s="62"/>
      <c r="BE605" s="62"/>
      <c r="BF605" s="62"/>
      <c r="BG605" s="62"/>
      <c r="BH605" s="62"/>
      <c r="BI605" s="62"/>
      <c r="BJ605" s="62"/>
      <c r="BK605" s="62"/>
      <c r="BL605" s="62"/>
      <c r="BM605" s="62"/>
      <c r="BN605" s="62"/>
      <c r="BO605" s="62"/>
      <c r="BP605" s="62"/>
      <c r="BQ605" s="62"/>
      <c r="BR605" s="62"/>
      <c r="BS605" s="62"/>
      <c r="BT605" s="62"/>
      <c r="BU605" s="62"/>
      <c r="BV605" s="62"/>
      <c r="BW605" s="62"/>
      <c r="BX605" s="62"/>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62"/>
      <c r="CX605" s="62"/>
      <c r="CY605" s="62"/>
      <c r="CZ605" s="62"/>
      <c r="DA605" s="62"/>
      <c r="DB605" s="62"/>
      <c r="DC605" s="62"/>
      <c r="DD605" s="62"/>
      <c r="DE605" s="62"/>
      <c r="DF605" s="62"/>
      <c r="DG605" s="62"/>
      <c r="DH605" s="62"/>
      <c r="DI605" s="62"/>
      <c r="DJ605" s="62"/>
      <c r="DK605" s="62"/>
      <c r="DL605" s="62"/>
      <c r="DM605" s="62"/>
      <c r="DN605" s="62"/>
      <c r="DO605" s="62"/>
      <c r="DP605" s="62"/>
      <c r="DQ605" s="62"/>
      <c r="DR605" s="62"/>
      <c r="DS605" s="62"/>
      <c r="DT605" s="62"/>
      <c r="DU605" s="62"/>
      <c r="DV605" s="62"/>
      <c r="DW605" s="62"/>
      <c r="DX605" s="62"/>
      <c r="DY605" s="62"/>
      <c r="DZ605" s="62"/>
      <c r="EA605" s="62"/>
      <c r="EB605" s="62"/>
      <c r="EC605" s="62"/>
      <c r="ED605" s="62"/>
      <c r="EE605" s="62"/>
      <c r="EF605" s="62"/>
      <c r="EG605" s="62"/>
      <c r="EH605" s="62"/>
      <c r="EI605" s="62"/>
      <c r="EJ605" s="62"/>
      <c r="EK605" s="62"/>
      <c r="EL605" s="62"/>
      <c r="EM605" s="62"/>
      <c r="EN605" s="62"/>
      <c r="EO605" s="62"/>
      <c r="EP605" s="62"/>
      <c r="EQ605" s="62"/>
      <c r="ER605" s="62"/>
      <c r="ES605" s="62"/>
      <c r="ET605" s="62"/>
      <c r="EU605" s="62"/>
      <c r="EV605" s="62"/>
      <c r="EW605" s="62"/>
      <c r="EX605" s="62"/>
      <c r="EY605" s="62"/>
      <c r="EZ605" s="62"/>
      <c r="FA605" s="62"/>
      <c r="FB605" s="62"/>
      <c r="FC605" s="62"/>
      <c r="FD605" s="62"/>
      <c r="FE605" s="62"/>
      <c r="FF605" s="62"/>
      <c r="FG605" s="62"/>
      <c r="FH605" s="62"/>
      <c r="FI605" s="62"/>
      <c r="FJ605" s="62"/>
      <c r="FK605" s="62"/>
      <c r="FL605" s="62"/>
      <c r="FM605" s="62"/>
      <c r="FN605" s="62"/>
      <c r="FO605" s="62"/>
      <c r="FP605" s="62"/>
      <c r="FQ605" s="62"/>
      <c r="FR605" s="62"/>
      <c r="FS605" s="62"/>
      <c r="FT605" s="62"/>
      <c r="FU605" s="62"/>
      <c r="FV605" s="62"/>
    </row>
    <row r="606" spans="1:178" ht="13.8">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c r="AY606" s="62"/>
      <c r="AZ606" s="62"/>
      <c r="BA606" s="62"/>
      <c r="BB606" s="62"/>
      <c r="BC606" s="62"/>
      <c r="BD606" s="62"/>
      <c r="BE606" s="62"/>
      <c r="BF606" s="62"/>
      <c r="BG606" s="62"/>
      <c r="BH606" s="62"/>
      <c r="BI606" s="62"/>
      <c r="BJ606" s="62"/>
      <c r="BK606" s="62"/>
      <c r="BL606" s="62"/>
      <c r="BM606" s="62"/>
      <c r="BN606" s="62"/>
      <c r="BO606" s="62"/>
      <c r="BP606" s="62"/>
      <c r="BQ606" s="62"/>
      <c r="BR606" s="62"/>
      <c r="BS606" s="62"/>
      <c r="BT606" s="62"/>
      <c r="BU606" s="62"/>
      <c r="BV606" s="62"/>
      <c r="BW606" s="62"/>
      <c r="BX606" s="62"/>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62"/>
      <c r="CX606" s="62"/>
      <c r="CY606" s="62"/>
      <c r="CZ606" s="62"/>
      <c r="DA606" s="62"/>
      <c r="DB606" s="62"/>
      <c r="DC606" s="62"/>
      <c r="DD606" s="62"/>
      <c r="DE606" s="62"/>
      <c r="DF606" s="62"/>
      <c r="DG606" s="62"/>
      <c r="DH606" s="62"/>
      <c r="DI606" s="62"/>
      <c r="DJ606" s="62"/>
      <c r="DK606" s="62"/>
      <c r="DL606" s="62"/>
      <c r="DM606" s="62"/>
      <c r="DN606" s="62"/>
      <c r="DO606" s="62"/>
      <c r="DP606" s="62"/>
      <c r="DQ606" s="62"/>
      <c r="DR606" s="62"/>
      <c r="DS606" s="62"/>
      <c r="DT606" s="62"/>
      <c r="DU606" s="62"/>
      <c r="DV606" s="62"/>
      <c r="DW606" s="62"/>
      <c r="DX606" s="62"/>
      <c r="DY606" s="62"/>
      <c r="DZ606" s="62"/>
      <c r="EA606" s="62"/>
      <c r="EB606" s="62"/>
      <c r="EC606" s="62"/>
      <c r="ED606" s="62"/>
      <c r="EE606" s="62"/>
      <c r="EF606" s="62"/>
      <c r="EG606" s="62"/>
      <c r="EH606" s="62"/>
      <c r="EI606" s="62"/>
      <c r="EJ606" s="62"/>
      <c r="EK606" s="62"/>
      <c r="EL606" s="62"/>
      <c r="EM606" s="62"/>
      <c r="EN606" s="62"/>
      <c r="EO606" s="62"/>
      <c r="EP606" s="62"/>
      <c r="EQ606" s="62"/>
      <c r="ER606" s="62"/>
      <c r="ES606" s="62"/>
      <c r="ET606" s="62"/>
      <c r="EU606" s="62"/>
      <c r="EV606" s="62"/>
      <c r="EW606" s="62"/>
      <c r="EX606" s="62"/>
      <c r="EY606" s="62"/>
      <c r="EZ606" s="62"/>
      <c r="FA606" s="62"/>
      <c r="FB606" s="62"/>
      <c r="FC606" s="62"/>
      <c r="FD606" s="62"/>
      <c r="FE606" s="62"/>
      <c r="FF606" s="62"/>
      <c r="FG606" s="62"/>
      <c r="FH606" s="62"/>
      <c r="FI606" s="62"/>
      <c r="FJ606" s="62"/>
      <c r="FK606" s="62"/>
      <c r="FL606" s="62"/>
      <c r="FM606" s="62"/>
      <c r="FN606" s="62"/>
      <c r="FO606" s="62"/>
      <c r="FP606" s="62"/>
      <c r="FQ606" s="62"/>
      <c r="FR606" s="62"/>
      <c r="FS606" s="62"/>
      <c r="FT606" s="62"/>
      <c r="FU606" s="62"/>
      <c r="FV606" s="62"/>
    </row>
    <row r="607" spans="1:178" ht="13.8">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c r="AY607" s="62"/>
      <c r="AZ607" s="62"/>
      <c r="BA607" s="62"/>
      <c r="BB607" s="62"/>
      <c r="BC607" s="62"/>
      <c r="BD607" s="62"/>
      <c r="BE607" s="62"/>
      <c r="BF607" s="62"/>
      <c r="BG607" s="62"/>
      <c r="BH607" s="62"/>
      <c r="BI607" s="62"/>
      <c r="BJ607" s="62"/>
      <c r="BK607" s="62"/>
      <c r="BL607" s="62"/>
      <c r="BM607" s="62"/>
      <c r="BN607" s="62"/>
      <c r="BO607" s="62"/>
      <c r="BP607" s="62"/>
      <c r="BQ607" s="62"/>
      <c r="BR607" s="62"/>
      <c r="BS607" s="62"/>
      <c r="BT607" s="62"/>
      <c r="BU607" s="62"/>
      <c r="BV607" s="62"/>
      <c r="BW607" s="62"/>
      <c r="BX607" s="62"/>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62"/>
      <c r="CX607" s="62"/>
      <c r="CY607" s="62"/>
      <c r="CZ607" s="62"/>
      <c r="DA607" s="62"/>
      <c r="DB607" s="62"/>
      <c r="DC607" s="62"/>
      <c r="DD607" s="62"/>
      <c r="DE607" s="62"/>
      <c r="DF607" s="62"/>
      <c r="DG607" s="62"/>
      <c r="DH607" s="62"/>
      <c r="DI607" s="62"/>
      <c r="DJ607" s="62"/>
      <c r="DK607" s="62"/>
      <c r="DL607" s="62"/>
      <c r="DM607" s="62"/>
      <c r="DN607" s="62"/>
      <c r="DO607" s="62"/>
      <c r="DP607" s="62"/>
      <c r="DQ607" s="62"/>
      <c r="DR607" s="62"/>
      <c r="DS607" s="62"/>
      <c r="DT607" s="62"/>
      <c r="DU607" s="62"/>
      <c r="DV607" s="62"/>
      <c r="DW607" s="62"/>
      <c r="DX607" s="62"/>
      <c r="DY607" s="62"/>
      <c r="DZ607" s="62"/>
      <c r="EA607" s="62"/>
      <c r="EB607" s="62"/>
      <c r="EC607" s="62"/>
      <c r="ED607" s="62"/>
      <c r="EE607" s="62"/>
      <c r="EF607" s="62"/>
      <c r="EG607" s="62"/>
      <c r="EH607" s="62"/>
      <c r="EI607" s="62"/>
      <c r="EJ607" s="62"/>
      <c r="EK607" s="62"/>
      <c r="EL607" s="62"/>
      <c r="EM607" s="62"/>
      <c r="EN607" s="62"/>
      <c r="EO607" s="62"/>
      <c r="EP607" s="62"/>
      <c r="EQ607" s="62"/>
      <c r="ER607" s="62"/>
      <c r="ES607" s="62"/>
      <c r="ET607" s="62"/>
      <c r="EU607" s="62"/>
      <c r="EV607" s="62"/>
      <c r="EW607" s="62"/>
      <c r="EX607" s="62"/>
      <c r="EY607" s="62"/>
      <c r="EZ607" s="62"/>
      <c r="FA607" s="62"/>
      <c r="FB607" s="62"/>
      <c r="FC607" s="62"/>
      <c r="FD607" s="62"/>
      <c r="FE607" s="62"/>
      <c r="FF607" s="62"/>
      <c r="FG607" s="62"/>
      <c r="FH607" s="62"/>
      <c r="FI607" s="62"/>
      <c r="FJ607" s="62"/>
      <c r="FK607" s="62"/>
      <c r="FL607" s="62"/>
      <c r="FM607" s="62"/>
      <c r="FN607" s="62"/>
      <c r="FO607" s="62"/>
      <c r="FP607" s="62"/>
      <c r="FQ607" s="62"/>
      <c r="FR607" s="62"/>
      <c r="FS607" s="62"/>
      <c r="FT607" s="62"/>
      <c r="FU607" s="62"/>
      <c r="FV607" s="62"/>
    </row>
    <row r="608" spans="1:178" ht="13.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c r="AY608" s="62"/>
      <c r="AZ608" s="62"/>
      <c r="BA608" s="62"/>
      <c r="BB608" s="62"/>
      <c r="BC608" s="62"/>
      <c r="BD608" s="62"/>
      <c r="BE608" s="62"/>
      <c r="BF608" s="62"/>
      <c r="BG608" s="62"/>
      <c r="BH608" s="62"/>
      <c r="BI608" s="62"/>
      <c r="BJ608" s="62"/>
      <c r="BK608" s="62"/>
      <c r="BL608" s="62"/>
      <c r="BM608" s="62"/>
      <c r="BN608" s="62"/>
      <c r="BO608" s="62"/>
      <c r="BP608" s="62"/>
      <c r="BQ608" s="62"/>
      <c r="BR608" s="62"/>
      <c r="BS608" s="62"/>
      <c r="BT608" s="62"/>
      <c r="BU608" s="62"/>
      <c r="BV608" s="62"/>
      <c r="BW608" s="62"/>
      <c r="BX608" s="62"/>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62"/>
      <c r="CX608" s="62"/>
      <c r="CY608" s="62"/>
      <c r="CZ608" s="62"/>
      <c r="DA608" s="62"/>
      <c r="DB608" s="62"/>
      <c r="DC608" s="62"/>
      <c r="DD608" s="62"/>
      <c r="DE608" s="62"/>
      <c r="DF608" s="62"/>
      <c r="DG608" s="62"/>
      <c r="DH608" s="62"/>
      <c r="DI608" s="62"/>
      <c r="DJ608" s="62"/>
      <c r="DK608" s="62"/>
      <c r="DL608" s="62"/>
      <c r="DM608" s="62"/>
      <c r="DN608" s="62"/>
      <c r="DO608" s="62"/>
      <c r="DP608" s="62"/>
      <c r="DQ608" s="62"/>
      <c r="DR608" s="62"/>
      <c r="DS608" s="62"/>
      <c r="DT608" s="62"/>
      <c r="DU608" s="62"/>
      <c r="DV608" s="62"/>
      <c r="DW608" s="62"/>
      <c r="DX608" s="62"/>
      <c r="DY608" s="62"/>
      <c r="DZ608" s="62"/>
      <c r="EA608" s="62"/>
      <c r="EB608" s="62"/>
      <c r="EC608" s="62"/>
      <c r="ED608" s="62"/>
      <c r="EE608" s="62"/>
      <c r="EF608" s="62"/>
      <c r="EG608" s="62"/>
      <c r="EH608" s="62"/>
      <c r="EI608" s="62"/>
      <c r="EJ608" s="62"/>
      <c r="EK608" s="62"/>
      <c r="EL608" s="62"/>
      <c r="EM608" s="62"/>
      <c r="EN608" s="62"/>
      <c r="EO608" s="62"/>
      <c r="EP608" s="62"/>
      <c r="EQ608" s="62"/>
      <c r="ER608" s="62"/>
      <c r="ES608" s="62"/>
      <c r="ET608" s="62"/>
      <c r="EU608" s="62"/>
      <c r="EV608" s="62"/>
      <c r="EW608" s="62"/>
      <c r="EX608" s="62"/>
      <c r="EY608" s="62"/>
      <c r="EZ608" s="62"/>
      <c r="FA608" s="62"/>
      <c r="FB608" s="62"/>
      <c r="FC608" s="62"/>
      <c r="FD608" s="62"/>
      <c r="FE608" s="62"/>
      <c r="FF608" s="62"/>
      <c r="FG608" s="62"/>
      <c r="FH608" s="62"/>
      <c r="FI608" s="62"/>
      <c r="FJ608" s="62"/>
      <c r="FK608" s="62"/>
      <c r="FL608" s="62"/>
      <c r="FM608" s="62"/>
      <c r="FN608" s="62"/>
      <c r="FO608" s="62"/>
      <c r="FP608" s="62"/>
      <c r="FQ608" s="62"/>
      <c r="FR608" s="62"/>
      <c r="FS608" s="62"/>
      <c r="FT608" s="62"/>
      <c r="FU608" s="62"/>
      <c r="FV608" s="62"/>
    </row>
    <row r="609" spans="1:178" ht="13.8">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c r="AY609" s="62"/>
      <c r="AZ609" s="62"/>
      <c r="BA609" s="62"/>
      <c r="BB609" s="62"/>
      <c r="BC609" s="62"/>
      <c r="BD609" s="62"/>
      <c r="BE609" s="62"/>
      <c r="BF609" s="62"/>
      <c r="BG609" s="62"/>
      <c r="BH609" s="62"/>
      <c r="BI609" s="62"/>
      <c r="BJ609" s="62"/>
      <c r="BK609" s="62"/>
      <c r="BL609" s="62"/>
      <c r="BM609" s="62"/>
      <c r="BN609" s="62"/>
      <c r="BO609" s="62"/>
      <c r="BP609" s="62"/>
      <c r="BQ609" s="62"/>
      <c r="BR609" s="62"/>
      <c r="BS609" s="62"/>
      <c r="BT609" s="62"/>
      <c r="BU609" s="62"/>
      <c r="BV609" s="62"/>
      <c r="BW609" s="62"/>
      <c r="BX609" s="62"/>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62"/>
      <c r="CX609" s="62"/>
      <c r="CY609" s="62"/>
      <c r="CZ609" s="62"/>
      <c r="DA609" s="62"/>
      <c r="DB609" s="62"/>
      <c r="DC609" s="62"/>
      <c r="DD609" s="62"/>
      <c r="DE609" s="62"/>
      <c r="DF609" s="62"/>
      <c r="DG609" s="62"/>
      <c r="DH609" s="62"/>
      <c r="DI609" s="62"/>
      <c r="DJ609" s="62"/>
      <c r="DK609" s="62"/>
      <c r="DL609" s="62"/>
      <c r="DM609" s="62"/>
      <c r="DN609" s="62"/>
      <c r="DO609" s="62"/>
      <c r="DP609" s="62"/>
      <c r="DQ609" s="62"/>
      <c r="DR609" s="62"/>
      <c r="DS609" s="62"/>
      <c r="DT609" s="62"/>
      <c r="DU609" s="62"/>
      <c r="DV609" s="62"/>
      <c r="DW609" s="62"/>
      <c r="DX609" s="62"/>
      <c r="DY609" s="62"/>
      <c r="DZ609" s="62"/>
      <c r="EA609" s="62"/>
      <c r="EB609" s="62"/>
      <c r="EC609" s="62"/>
      <c r="ED609" s="62"/>
      <c r="EE609" s="62"/>
      <c r="EF609" s="62"/>
      <c r="EG609" s="62"/>
      <c r="EH609" s="62"/>
      <c r="EI609" s="62"/>
      <c r="EJ609" s="62"/>
      <c r="EK609" s="62"/>
      <c r="EL609" s="62"/>
      <c r="EM609" s="62"/>
      <c r="EN609" s="62"/>
      <c r="EO609" s="62"/>
      <c r="EP609" s="62"/>
      <c r="EQ609" s="62"/>
      <c r="ER609" s="62"/>
      <c r="ES609" s="62"/>
      <c r="ET609" s="62"/>
      <c r="EU609" s="62"/>
      <c r="EV609" s="62"/>
      <c r="EW609" s="62"/>
      <c r="EX609" s="62"/>
      <c r="EY609" s="62"/>
      <c r="EZ609" s="62"/>
      <c r="FA609" s="62"/>
      <c r="FB609" s="62"/>
      <c r="FC609" s="62"/>
      <c r="FD609" s="62"/>
      <c r="FE609" s="62"/>
      <c r="FF609" s="62"/>
      <c r="FG609" s="62"/>
      <c r="FH609" s="62"/>
      <c r="FI609" s="62"/>
      <c r="FJ609" s="62"/>
      <c r="FK609" s="62"/>
      <c r="FL609" s="62"/>
      <c r="FM609" s="62"/>
      <c r="FN609" s="62"/>
      <c r="FO609" s="62"/>
      <c r="FP609" s="62"/>
      <c r="FQ609" s="62"/>
      <c r="FR609" s="62"/>
      <c r="FS609" s="62"/>
      <c r="FT609" s="62"/>
      <c r="FU609" s="62"/>
      <c r="FV609" s="62"/>
    </row>
    <row r="610" spans="1:178" ht="13.8">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c r="AY610" s="62"/>
      <c r="AZ610" s="62"/>
      <c r="BA610" s="62"/>
      <c r="BB610" s="62"/>
      <c r="BC610" s="62"/>
      <c r="BD610" s="62"/>
      <c r="BE610" s="62"/>
      <c r="BF610" s="62"/>
      <c r="BG610" s="62"/>
      <c r="BH610" s="62"/>
      <c r="BI610" s="62"/>
      <c r="BJ610" s="62"/>
      <c r="BK610" s="62"/>
      <c r="BL610" s="62"/>
      <c r="BM610" s="62"/>
      <c r="BN610" s="62"/>
      <c r="BO610" s="62"/>
      <c r="BP610" s="62"/>
      <c r="BQ610" s="62"/>
      <c r="BR610" s="62"/>
      <c r="BS610" s="62"/>
      <c r="BT610" s="62"/>
      <c r="BU610" s="62"/>
      <c r="BV610" s="62"/>
      <c r="BW610" s="62"/>
      <c r="BX610" s="62"/>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62"/>
      <c r="CX610" s="62"/>
      <c r="CY610" s="62"/>
      <c r="CZ610" s="62"/>
      <c r="DA610" s="62"/>
      <c r="DB610" s="62"/>
      <c r="DC610" s="62"/>
      <c r="DD610" s="62"/>
      <c r="DE610" s="62"/>
      <c r="DF610" s="62"/>
      <c r="DG610" s="62"/>
      <c r="DH610" s="62"/>
      <c r="DI610" s="62"/>
      <c r="DJ610" s="62"/>
      <c r="DK610" s="62"/>
      <c r="DL610" s="62"/>
      <c r="DM610" s="62"/>
      <c r="DN610" s="62"/>
      <c r="DO610" s="62"/>
      <c r="DP610" s="62"/>
      <c r="DQ610" s="62"/>
      <c r="DR610" s="62"/>
      <c r="DS610" s="62"/>
      <c r="DT610" s="62"/>
      <c r="DU610" s="62"/>
      <c r="DV610" s="62"/>
      <c r="DW610" s="62"/>
      <c r="DX610" s="62"/>
      <c r="DY610" s="62"/>
      <c r="DZ610" s="62"/>
      <c r="EA610" s="62"/>
      <c r="EB610" s="62"/>
      <c r="EC610" s="62"/>
      <c r="ED610" s="62"/>
      <c r="EE610" s="62"/>
      <c r="EF610" s="62"/>
      <c r="EG610" s="62"/>
      <c r="EH610" s="62"/>
      <c r="EI610" s="62"/>
      <c r="EJ610" s="62"/>
      <c r="EK610" s="62"/>
      <c r="EL610" s="62"/>
      <c r="EM610" s="62"/>
      <c r="EN610" s="62"/>
      <c r="EO610" s="62"/>
      <c r="EP610" s="62"/>
      <c r="EQ610" s="62"/>
      <c r="ER610" s="62"/>
      <c r="ES610" s="62"/>
      <c r="ET610" s="62"/>
      <c r="EU610" s="62"/>
      <c r="EV610" s="62"/>
      <c r="EW610" s="62"/>
      <c r="EX610" s="62"/>
      <c r="EY610" s="62"/>
      <c r="EZ610" s="62"/>
      <c r="FA610" s="62"/>
      <c r="FB610" s="62"/>
      <c r="FC610" s="62"/>
      <c r="FD610" s="62"/>
      <c r="FE610" s="62"/>
      <c r="FF610" s="62"/>
      <c r="FG610" s="62"/>
      <c r="FH610" s="62"/>
      <c r="FI610" s="62"/>
      <c r="FJ610" s="62"/>
      <c r="FK610" s="62"/>
      <c r="FL610" s="62"/>
      <c r="FM610" s="62"/>
      <c r="FN610" s="62"/>
      <c r="FO610" s="62"/>
      <c r="FP610" s="62"/>
      <c r="FQ610" s="62"/>
      <c r="FR610" s="62"/>
      <c r="FS610" s="62"/>
      <c r="FT610" s="62"/>
      <c r="FU610" s="62"/>
      <c r="FV610" s="62"/>
    </row>
    <row r="611" spans="1:178" ht="13.8">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c r="AY611" s="62"/>
      <c r="AZ611" s="62"/>
      <c r="BA611" s="62"/>
      <c r="BB611" s="62"/>
      <c r="BC611" s="62"/>
      <c r="BD611" s="62"/>
      <c r="BE611" s="62"/>
      <c r="BF611" s="62"/>
      <c r="BG611" s="62"/>
      <c r="BH611" s="62"/>
      <c r="BI611" s="62"/>
      <c r="BJ611" s="62"/>
      <c r="BK611" s="62"/>
      <c r="BL611" s="62"/>
      <c r="BM611" s="62"/>
      <c r="BN611" s="62"/>
      <c r="BO611" s="62"/>
      <c r="BP611" s="62"/>
      <c r="BQ611" s="62"/>
      <c r="BR611" s="62"/>
      <c r="BS611" s="62"/>
      <c r="BT611" s="62"/>
      <c r="BU611" s="62"/>
      <c r="BV611" s="62"/>
      <c r="BW611" s="62"/>
      <c r="BX611" s="62"/>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62"/>
      <c r="CX611" s="62"/>
      <c r="CY611" s="62"/>
      <c r="CZ611" s="62"/>
      <c r="DA611" s="62"/>
      <c r="DB611" s="62"/>
      <c r="DC611" s="62"/>
      <c r="DD611" s="62"/>
      <c r="DE611" s="62"/>
      <c r="DF611" s="62"/>
      <c r="DG611" s="62"/>
      <c r="DH611" s="62"/>
      <c r="DI611" s="62"/>
      <c r="DJ611" s="62"/>
      <c r="DK611" s="62"/>
      <c r="DL611" s="62"/>
      <c r="DM611" s="62"/>
      <c r="DN611" s="62"/>
      <c r="DO611" s="62"/>
      <c r="DP611" s="62"/>
      <c r="DQ611" s="62"/>
      <c r="DR611" s="62"/>
      <c r="DS611" s="62"/>
      <c r="DT611" s="62"/>
      <c r="DU611" s="62"/>
      <c r="DV611" s="62"/>
      <c r="DW611" s="62"/>
      <c r="DX611" s="62"/>
      <c r="DY611" s="62"/>
      <c r="DZ611" s="62"/>
      <c r="EA611" s="62"/>
      <c r="EB611" s="62"/>
      <c r="EC611" s="62"/>
      <c r="ED611" s="62"/>
      <c r="EE611" s="62"/>
      <c r="EF611" s="62"/>
      <c r="EG611" s="62"/>
      <c r="EH611" s="62"/>
      <c r="EI611" s="62"/>
      <c r="EJ611" s="62"/>
      <c r="EK611" s="62"/>
      <c r="EL611" s="62"/>
      <c r="EM611" s="62"/>
      <c r="EN611" s="62"/>
      <c r="EO611" s="62"/>
      <c r="EP611" s="62"/>
      <c r="EQ611" s="62"/>
      <c r="ER611" s="62"/>
      <c r="ES611" s="62"/>
      <c r="ET611" s="62"/>
      <c r="EU611" s="62"/>
      <c r="EV611" s="62"/>
      <c r="EW611" s="62"/>
      <c r="EX611" s="62"/>
      <c r="EY611" s="62"/>
      <c r="EZ611" s="62"/>
      <c r="FA611" s="62"/>
      <c r="FB611" s="62"/>
      <c r="FC611" s="62"/>
      <c r="FD611" s="62"/>
      <c r="FE611" s="62"/>
      <c r="FF611" s="62"/>
      <c r="FG611" s="62"/>
      <c r="FH611" s="62"/>
      <c r="FI611" s="62"/>
      <c r="FJ611" s="62"/>
      <c r="FK611" s="62"/>
      <c r="FL611" s="62"/>
      <c r="FM611" s="62"/>
      <c r="FN611" s="62"/>
      <c r="FO611" s="62"/>
      <c r="FP611" s="62"/>
      <c r="FQ611" s="62"/>
      <c r="FR611" s="62"/>
      <c r="FS611" s="62"/>
      <c r="FT611" s="62"/>
      <c r="FU611" s="62"/>
      <c r="FV611" s="62"/>
    </row>
    <row r="612" spans="1:178" ht="13.8">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c r="AY612" s="62"/>
      <c r="AZ612" s="62"/>
      <c r="BA612" s="62"/>
      <c r="BB612" s="62"/>
      <c r="BC612" s="62"/>
      <c r="BD612" s="62"/>
      <c r="BE612" s="62"/>
      <c r="BF612" s="62"/>
      <c r="BG612" s="62"/>
      <c r="BH612" s="62"/>
      <c r="BI612" s="62"/>
      <c r="BJ612" s="62"/>
      <c r="BK612" s="62"/>
      <c r="BL612" s="62"/>
      <c r="BM612" s="62"/>
      <c r="BN612" s="62"/>
      <c r="BO612" s="62"/>
      <c r="BP612" s="62"/>
      <c r="BQ612" s="62"/>
      <c r="BR612" s="62"/>
      <c r="BS612" s="62"/>
      <c r="BT612" s="62"/>
      <c r="BU612" s="62"/>
      <c r="BV612" s="62"/>
      <c r="BW612" s="62"/>
      <c r="BX612" s="62"/>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62"/>
      <c r="CX612" s="62"/>
      <c r="CY612" s="62"/>
      <c r="CZ612" s="62"/>
      <c r="DA612" s="62"/>
      <c r="DB612" s="62"/>
      <c r="DC612" s="62"/>
      <c r="DD612" s="62"/>
      <c r="DE612" s="62"/>
      <c r="DF612" s="62"/>
      <c r="DG612" s="62"/>
      <c r="DH612" s="62"/>
      <c r="DI612" s="62"/>
      <c r="DJ612" s="62"/>
      <c r="DK612" s="62"/>
      <c r="DL612" s="62"/>
      <c r="DM612" s="62"/>
      <c r="DN612" s="62"/>
      <c r="DO612" s="62"/>
      <c r="DP612" s="62"/>
      <c r="DQ612" s="62"/>
      <c r="DR612" s="62"/>
      <c r="DS612" s="62"/>
      <c r="DT612" s="62"/>
      <c r="DU612" s="62"/>
      <c r="DV612" s="62"/>
      <c r="DW612" s="62"/>
      <c r="DX612" s="62"/>
      <c r="DY612" s="62"/>
      <c r="DZ612" s="62"/>
      <c r="EA612" s="62"/>
      <c r="EB612" s="62"/>
      <c r="EC612" s="62"/>
      <c r="ED612" s="62"/>
      <c r="EE612" s="62"/>
      <c r="EF612" s="62"/>
      <c r="EG612" s="62"/>
      <c r="EH612" s="62"/>
      <c r="EI612" s="62"/>
      <c r="EJ612" s="62"/>
      <c r="EK612" s="62"/>
      <c r="EL612" s="62"/>
      <c r="EM612" s="62"/>
      <c r="EN612" s="62"/>
      <c r="EO612" s="62"/>
      <c r="EP612" s="62"/>
      <c r="EQ612" s="62"/>
      <c r="ER612" s="62"/>
      <c r="ES612" s="62"/>
      <c r="ET612" s="62"/>
      <c r="EU612" s="62"/>
      <c r="EV612" s="62"/>
      <c r="EW612" s="62"/>
      <c r="EX612" s="62"/>
      <c r="EY612" s="62"/>
      <c r="EZ612" s="62"/>
      <c r="FA612" s="62"/>
      <c r="FB612" s="62"/>
      <c r="FC612" s="62"/>
      <c r="FD612" s="62"/>
      <c r="FE612" s="62"/>
      <c r="FF612" s="62"/>
      <c r="FG612" s="62"/>
      <c r="FH612" s="62"/>
      <c r="FI612" s="62"/>
      <c r="FJ612" s="62"/>
      <c r="FK612" s="62"/>
      <c r="FL612" s="62"/>
      <c r="FM612" s="62"/>
      <c r="FN612" s="62"/>
      <c r="FO612" s="62"/>
      <c r="FP612" s="62"/>
      <c r="FQ612" s="62"/>
      <c r="FR612" s="62"/>
      <c r="FS612" s="62"/>
      <c r="FT612" s="62"/>
      <c r="FU612" s="62"/>
      <c r="FV612" s="62"/>
    </row>
    <row r="613" spans="1:178" ht="13.8">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c r="AY613" s="62"/>
      <c r="AZ613" s="62"/>
      <c r="BA613" s="62"/>
      <c r="BB613" s="62"/>
      <c r="BC613" s="62"/>
      <c r="BD613" s="62"/>
      <c r="BE613" s="62"/>
      <c r="BF613" s="62"/>
      <c r="BG613" s="62"/>
      <c r="BH613" s="62"/>
      <c r="BI613" s="62"/>
      <c r="BJ613" s="62"/>
      <c r="BK613" s="62"/>
      <c r="BL613" s="62"/>
      <c r="BM613" s="62"/>
      <c r="BN613" s="62"/>
      <c r="BO613" s="62"/>
      <c r="BP613" s="62"/>
      <c r="BQ613" s="62"/>
      <c r="BR613" s="62"/>
      <c r="BS613" s="62"/>
      <c r="BT613" s="62"/>
      <c r="BU613" s="62"/>
      <c r="BV613" s="62"/>
      <c r="BW613" s="62"/>
      <c r="BX613" s="62"/>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62"/>
      <c r="CX613" s="62"/>
      <c r="CY613" s="62"/>
      <c r="CZ613" s="62"/>
      <c r="DA613" s="62"/>
      <c r="DB613" s="62"/>
      <c r="DC613" s="62"/>
      <c r="DD613" s="62"/>
      <c r="DE613" s="62"/>
      <c r="DF613" s="62"/>
      <c r="DG613" s="62"/>
      <c r="DH613" s="62"/>
      <c r="DI613" s="62"/>
      <c r="DJ613" s="62"/>
      <c r="DK613" s="62"/>
      <c r="DL613" s="62"/>
      <c r="DM613" s="62"/>
      <c r="DN613" s="62"/>
      <c r="DO613" s="62"/>
      <c r="DP613" s="62"/>
      <c r="DQ613" s="62"/>
      <c r="DR613" s="62"/>
      <c r="DS613" s="62"/>
      <c r="DT613" s="62"/>
      <c r="DU613" s="62"/>
      <c r="DV613" s="62"/>
      <c r="DW613" s="62"/>
      <c r="DX613" s="62"/>
      <c r="DY613" s="62"/>
      <c r="DZ613" s="62"/>
      <c r="EA613" s="62"/>
      <c r="EB613" s="62"/>
      <c r="EC613" s="62"/>
      <c r="ED613" s="62"/>
      <c r="EE613" s="62"/>
      <c r="EF613" s="62"/>
      <c r="EG613" s="62"/>
      <c r="EH613" s="62"/>
      <c r="EI613" s="62"/>
      <c r="EJ613" s="62"/>
      <c r="EK613" s="62"/>
      <c r="EL613" s="62"/>
      <c r="EM613" s="62"/>
      <c r="EN613" s="62"/>
      <c r="EO613" s="62"/>
      <c r="EP613" s="62"/>
      <c r="EQ613" s="62"/>
      <c r="ER613" s="62"/>
      <c r="ES613" s="62"/>
      <c r="ET613" s="62"/>
      <c r="EU613" s="62"/>
      <c r="EV613" s="62"/>
      <c r="EW613" s="62"/>
      <c r="EX613" s="62"/>
      <c r="EY613" s="62"/>
      <c r="EZ613" s="62"/>
      <c r="FA613" s="62"/>
      <c r="FB613" s="62"/>
      <c r="FC613" s="62"/>
      <c r="FD613" s="62"/>
      <c r="FE613" s="62"/>
      <c r="FF613" s="62"/>
      <c r="FG613" s="62"/>
      <c r="FH613" s="62"/>
      <c r="FI613" s="62"/>
      <c r="FJ613" s="62"/>
      <c r="FK613" s="62"/>
      <c r="FL613" s="62"/>
      <c r="FM613" s="62"/>
      <c r="FN613" s="62"/>
      <c r="FO613" s="62"/>
      <c r="FP613" s="62"/>
      <c r="FQ613" s="62"/>
      <c r="FR613" s="62"/>
      <c r="FS613" s="62"/>
      <c r="FT613" s="62"/>
      <c r="FU613" s="62"/>
      <c r="FV613" s="62"/>
    </row>
    <row r="614" spans="1:178" ht="13.8">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c r="AY614" s="62"/>
      <c r="AZ614" s="62"/>
      <c r="BA614" s="62"/>
      <c r="BB614" s="62"/>
      <c r="BC614" s="62"/>
      <c r="BD614" s="62"/>
      <c r="BE614" s="62"/>
      <c r="BF614" s="62"/>
      <c r="BG614" s="62"/>
      <c r="BH614" s="62"/>
      <c r="BI614" s="62"/>
      <c r="BJ614" s="62"/>
      <c r="BK614" s="62"/>
      <c r="BL614" s="62"/>
      <c r="BM614" s="62"/>
      <c r="BN614" s="62"/>
      <c r="BO614" s="62"/>
      <c r="BP614" s="62"/>
      <c r="BQ614" s="62"/>
      <c r="BR614" s="62"/>
      <c r="BS614" s="62"/>
      <c r="BT614" s="62"/>
      <c r="BU614" s="62"/>
      <c r="BV614" s="62"/>
      <c r="BW614" s="62"/>
      <c r="BX614" s="62"/>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62"/>
      <c r="CX614" s="62"/>
      <c r="CY614" s="62"/>
      <c r="CZ614" s="62"/>
      <c r="DA614" s="62"/>
      <c r="DB614" s="62"/>
      <c r="DC614" s="62"/>
      <c r="DD614" s="62"/>
      <c r="DE614" s="62"/>
      <c r="DF614" s="62"/>
      <c r="DG614" s="62"/>
      <c r="DH614" s="62"/>
      <c r="DI614" s="62"/>
      <c r="DJ614" s="62"/>
      <c r="DK614" s="62"/>
      <c r="DL614" s="62"/>
      <c r="DM614" s="62"/>
      <c r="DN614" s="62"/>
      <c r="DO614" s="62"/>
      <c r="DP614" s="62"/>
      <c r="DQ614" s="62"/>
      <c r="DR614" s="62"/>
      <c r="DS614" s="62"/>
      <c r="DT614" s="62"/>
      <c r="DU614" s="62"/>
      <c r="DV614" s="62"/>
      <c r="DW614" s="62"/>
      <c r="DX614" s="62"/>
      <c r="DY614" s="62"/>
      <c r="DZ614" s="62"/>
      <c r="EA614" s="62"/>
      <c r="EB614" s="62"/>
      <c r="EC614" s="62"/>
      <c r="ED614" s="62"/>
      <c r="EE614" s="62"/>
      <c r="EF614" s="62"/>
      <c r="EG614" s="62"/>
      <c r="EH614" s="62"/>
      <c r="EI614" s="62"/>
      <c r="EJ614" s="62"/>
      <c r="EK614" s="62"/>
      <c r="EL614" s="62"/>
      <c r="EM614" s="62"/>
      <c r="EN614" s="62"/>
      <c r="EO614" s="62"/>
      <c r="EP614" s="62"/>
      <c r="EQ614" s="62"/>
      <c r="ER614" s="62"/>
      <c r="ES614" s="62"/>
      <c r="ET614" s="62"/>
      <c r="EU614" s="62"/>
      <c r="EV614" s="62"/>
      <c r="EW614" s="62"/>
      <c r="EX614" s="62"/>
      <c r="EY614" s="62"/>
      <c r="EZ614" s="62"/>
      <c r="FA614" s="62"/>
      <c r="FB614" s="62"/>
      <c r="FC614" s="62"/>
      <c r="FD614" s="62"/>
      <c r="FE614" s="62"/>
      <c r="FF614" s="62"/>
      <c r="FG614" s="62"/>
      <c r="FH614" s="62"/>
      <c r="FI614" s="62"/>
      <c r="FJ614" s="62"/>
      <c r="FK614" s="62"/>
      <c r="FL614" s="62"/>
      <c r="FM614" s="62"/>
      <c r="FN614" s="62"/>
      <c r="FO614" s="62"/>
      <c r="FP614" s="62"/>
      <c r="FQ614" s="62"/>
      <c r="FR614" s="62"/>
      <c r="FS614" s="62"/>
      <c r="FT614" s="62"/>
      <c r="FU614" s="62"/>
      <c r="FV614" s="62"/>
    </row>
    <row r="615" spans="1:178" ht="13.8">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c r="AY615" s="62"/>
      <c r="AZ615" s="62"/>
      <c r="BA615" s="62"/>
      <c r="BB615" s="62"/>
      <c r="BC615" s="62"/>
      <c r="BD615" s="62"/>
      <c r="BE615" s="62"/>
      <c r="BF615" s="62"/>
      <c r="BG615" s="62"/>
      <c r="BH615" s="62"/>
      <c r="BI615" s="62"/>
      <c r="BJ615" s="62"/>
      <c r="BK615" s="62"/>
      <c r="BL615" s="62"/>
      <c r="BM615" s="62"/>
      <c r="BN615" s="62"/>
      <c r="BO615" s="62"/>
      <c r="BP615" s="62"/>
      <c r="BQ615" s="62"/>
      <c r="BR615" s="62"/>
      <c r="BS615" s="62"/>
      <c r="BT615" s="62"/>
      <c r="BU615" s="62"/>
      <c r="BV615" s="62"/>
      <c r="BW615" s="62"/>
      <c r="BX615" s="62"/>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62"/>
      <c r="CX615" s="62"/>
      <c r="CY615" s="62"/>
      <c r="CZ615" s="62"/>
      <c r="DA615" s="62"/>
      <c r="DB615" s="62"/>
      <c r="DC615" s="62"/>
      <c r="DD615" s="62"/>
      <c r="DE615" s="62"/>
      <c r="DF615" s="62"/>
      <c r="DG615" s="62"/>
      <c r="DH615" s="62"/>
      <c r="DI615" s="62"/>
      <c r="DJ615" s="62"/>
      <c r="DK615" s="62"/>
      <c r="DL615" s="62"/>
      <c r="DM615" s="62"/>
      <c r="DN615" s="62"/>
      <c r="DO615" s="62"/>
      <c r="DP615" s="62"/>
      <c r="DQ615" s="62"/>
      <c r="DR615" s="62"/>
      <c r="DS615" s="62"/>
      <c r="DT615" s="62"/>
      <c r="DU615" s="62"/>
      <c r="DV615" s="62"/>
      <c r="DW615" s="62"/>
      <c r="DX615" s="62"/>
      <c r="DY615" s="62"/>
      <c r="DZ615" s="62"/>
      <c r="EA615" s="62"/>
      <c r="EB615" s="62"/>
      <c r="EC615" s="62"/>
      <c r="ED615" s="62"/>
      <c r="EE615" s="62"/>
      <c r="EF615" s="62"/>
      <c r="EG615" s="62"/>
      <c r="EH615" s="62"/>
      <c r="EI615" s="62"/>
      <c r="EJ615" s="62"/>
      <c r="EK615" s="62"/>
      <c r="EL615" s="62"/>
      <c r="EM615" s="62"/>
      <c r="EN615" s="62"/>
      <c r="EO615" s="62"/>
      <c r="EP615" s="62"/>
      <c r="EQ615" s="62"/>
      <c r="ER615" s="62"/>
      <c r="ES615" s="62"/>
      <c r="ET615" s="62"/>
      <c r="EU615" s="62"/>
      <c r="EV615" s="62"/>
      <c r="EW615" s="62"/>
      <c r="EX615" s="62"/>
      <c r="EY615" s="62"/>
      <c r="EZ615" s="62"/>
      <c r="FA615" s="62"/>
      <c r="FB615" s="62"/>
      <c r="FC615" s="62"/>
      <c r="FD615" s="62"/>
      <c r="FE615" s="62"/>
      <c r="FF615" s="62"/>
      <c r="FG615" s="62"/>
      <c r="FH615" s="62"/>
      <c r="FI615" s="62"/>
      <c r="FJ615" s="62"/>
      <c r="FK615" s="62"/>
      <c r="FL615" s="62"/>
      <c r="FM615" s="62"/>
      <c r="FN615" s="62"/>
      <c r="FO615" s="62"/>
      <c r="FP615" s="62"/>
      <c r="FQ615" s="62"/>
      <c r="FR615" s="62"/>
      <c r="FS615" s="62"/>
      <c r="FT615" s="62"/>
      <c r="FU615" s="62"/>
      <c r="FV615" s="62"/>
    </row>
    <row r="616" spans="1:178" ht="13.8">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c r="AY616" s="62"/>
      <c r="AZ616" s="62"/>
      <c r="BA616" s="62"/>
      <c r="BB616" s="62"/>
      <c r="BC616" s="62"/>
      <c r="BD616" s="62"/>
      <c r="BE616" s="62"/>
      <c r="BF616" s="62"/>
      <c r="BG616" s="62"/>
      <c r="BH616" s="62"/>
      <c r="BI616" s="62"/>
      <c r="BJ616" s="62"/>
      <c r="BK616" s="62"/>
      <c r="BL616" s="62"/>
      <c r="BM616" s="62"/>
      <c r="BN616" s="62"/>
      <c r="BO616" s="62"/>
      <c r="BP616" s="62"/>
      <c r="BQ616" s="62"/>
      <c r="BR616" s="62"/>
      <c r="BS616" s="62"/>
      <c r="BT616" s="62"/>
      <c r="BU616" s="62"/>
      <c r="BV616" s="62"/>
      <c r="BW616" s="62"/>
      <c r="BX616" s="62"/>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62"/>
      <c r="CX616" s="62"/>
      <c r="CY616" s="62"/>
      <c r="CZ616" s="62"/>
      <c r="DA616" s="62"/>
      <c r="DB616" s="62"/>
      <c r="DC616" s="62"/>
      <c r="DD616" s="62"/>
      <c r="DE616" s="62"/>
      <c r="DF616" s="62"/>
      <c r="DG616" s="62"/>
      <c r="DH616" s="62"/>
      <c r="DI616" s="62"/>
      <c r="DJ616" s="62"/>
      <c r="DK616" s="62"/>
      <c r="DL616" s="62"/>
      <c r="DM616" s="62"/>
      <c r="DN616" s="62"/>
      <c r="DO616" s="62"/>
      <c r="DP616" s="62"/>
      <c r="DQ616" s="62"/>
      <c r="DR616" s="62"/>
      <c r="DS616" s="62"/>
      <c r="DT616" s="62"/>
      <c r="DU616" s="62"/>
      <c r="DV616" s="62"/>
      <c r="DW616" s="62"/>
      <c r="DX616" s="62"/>
      <c r="DY616" s="62"/>
      <c r="DZ616" s="62"/>
      <c r="EA616" s="62"/>
      <c r="EB616" s="62"/>
      <c r="EC616" s="62"/>
      <c r="ED616" s="62"/>
      <c r="EE616" s="62"/>
      <c r="EF616" s="62"/>
      <c r="EG616" s="62"/>
      <c r="EH616" s="62"/>
      <c r="EI616" s="62"/>
      <c r="EJ616" s="62"/>
      <c r="EK616" s="62"/>
      <c r="EL616" s="62"/>
      <c r="EM616" s="62"/>
      <c r="EN616" s="62"/>
      <c r="EO616" s="62"/>
      <c r="EP616" s="62"/>
      <c r="EQ616" s="62"/>
      <c r="ER616" s="62"/>
      <c r="ES616" s="62"/>
      <c r="ET616" s="62"/>
      <c r="EU616" s="62"/>
      <c r="EV616" s="62"/>
      <c r="EW616" s="62"/>
      <c r="EX616" s="62"/>
      <c r="EY616" s="62"/>
      <c r="EZ616" s="62"/>
      <c r="FA616" s="62"/>
      <c r="FB616" s="62"/>
      <c r="FC616" s="62"/>
      <c r="FD616" s="62"/>
      <c r="FE616" s="62"/>
      <c r="FF616" s="62"/>
      <c r="FG616" s="62"/>
      <c r="FH616" s="62"/>
      <c r="FI616" s="62"/>
      <c r="FJ616" s="62"/>
      <c r="FK616" s="62"/>
      <c r="FL616" s="62"/>
      <c r="FM616" s="62"/>
      <c r="FN616" s="62"/>
      <c r="FO616" s="62"/>
      <c r="FP616" s="62"/>
      <c r="FQ616" s="62"/>
      <c r="FR616" s="62"/>
      <c r="FS616" s="62"/>
      <c r="FT616" s="62"/>
      <c r="FU616" s="62"/>
      <c r="FV616" s="62"/>
    </row>
    <row r="617" spans="1:178" ht="13.8">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c r="AY617" s="62"/>
      <c r="AZ617" s="62"/>
      <c r="BA617" s="62"/>
      <c r="BB617" s="62"/>
      <c r="BC617" s="62"/>
      <c r="BD617" s="62"/>
      <c r="BE617" s="62"/>
      <c r="BF617" s="62"/>
      <c r="BG617" s="62"/>
      <c r="BH617" s="62"/>
      <c r="BI617" s="62"/>
      <c r="BJ617" s="62"/>
      <c r="BK617" s="62"/>
      <c r="BL617" s="62"/>
      <c r="BM617" s="62"/>
      <c r="BN617" s="62"/>
      <c r="BO617" s="62"/>
      <c r="BP617" s="62"/>
      <c r="BQ617" s="62"/>
      <c r="BR617" s="62"/>
      <c r="BS617" s="62"/>
      <c r="BT617" s="62"/>
      <c r="BU617" s="62"/>
      <c r="BV617" s="62"/>
      <c r="BW617" s="62"/>
      <c r="BX617" s="62"/>
      <c r="BY617" s="62"/>
      <c r="BZ617" s="62"/>
      <c r="CA617" s="62"/>
      <c r="CB617" s="62"/>
      <c r="CC617" s="62"/>
      <c r="CD617" s="62"/>
      <c r="CE617" s="62"/>
      <c r="CF617" s="62"/>
      <c r="CG617" s="62"/>
      <c r="CH617" s="62"/>
      <c r="CI617" s="62"/>
      <c r="CJ617" s="62"/>
      <c r="CK617" s="62"/>
      <c r="CL617" s="62"/>
      <c r="CM617" s="62"/>
      <c r="CN617" s="62"/>
      <c r="CO617" s="62"/>
      <c r="CP617" s="62"/>
      <c r="CQ617" s="62"/>
      <c r="CR617" s="62"/>
      <c r="CS617" s="62"/>
      <c r="CT617" s="62"/>
      <c r="CU617" s="62"/>
      <c r="CV617" s="62"/>
      <c r="CW617" s="62"/>
      <c r="CX617" s="62"/>
      <c r="CY617" s="62"/>
      <c r="CZ617" s="62"/>
      <c r="DA617" s="62"/>
      <c r="DB617" s="62"/>
      <c r="DC617" s="62"/>
      <c r="DD617" s="62"/>
      <c r="DE617" s="62"/>
      <c r="DF617" s="62"/>
      <c r="DG617" s="62"/>
      <c r="DH617" s="62"/>
      <c r="DI617" s="62"/>
      <c r="DJ617" s="62"/>
      <c r="DK617" s="62"/>
      <c r="DL617" s="62"/>
      <c r="DM617" s="62"/>
      <c r="DN617" s="62"/>
      <c r="DO617" s="62"/>
      <c r="DP617" s="62"/>
      <c r="DQ617" s="62"/>
      <c r="DR617" s="62"/>
      <c r="DS617" s="62"/>
      <c r="DT617" s="62"/>
      <c r="DU617" s="62"/>
      <c r="DV617" s="62"/>
      <c r="DW617" s="62"/>
      <c r="DX617" s="62"/>
      <c r="DY617" s="62"/>
      <c r="DZ617" s="62"/>
      <c r="EA617" s="62"/>
      <c r="EB617" s="62"/>
      <c r="EC617" s="62"/>
      <c r="ED617" s="62"/>
      <c r="EE617" s="62"/>
      <c r="EF617" s="62"/>
      <c r="EG617" s="62"/>
      <c r="EH617" s="62"/>
      <c r="EI617" s="62"/>
      <c r="EJ617" s="62"/>
      <c r="EK617" s="62"/>
      <c r="EL617" s="62"/>
      <c r="EM617" s="62"/>
      <c r="EN617" s="62"/>
      <c r="EO617" s="62"/>
      <c r="EP617" s="62"/>
      <c r="EQ617" s="62"/>
      <c r="ER617" s="62"/>
      <c r="ES617" s="62"/>
      <c r="ET617" s="62"/>
      <c r="EU617" s="62"/>
      <c r="EV617" s="62"/>
      <c r="EW617" s="62"/>
      <c r="EX617" s="62"/>
      <c r="EY617" s="62"/>
      <c r="EZ617" s="62"/>
      <c r="FA617" s="62"/>
      <c r="FB617" s="62"/>
      <c r="FC617" s="62"/>
      <c r="FD617" s="62"/>
      <c r="FE617" s="62"/>
      <c r="FF617" s="62"/>
      <c r="FG617" s="62"/>
      <c r="FH617" s="62"/>
      <c r="FI617" s="62"/>
      <c r="FJ617" s="62"/>
      <c r="FK617" s="62"/>
      <c r="FL617" s="62"/>
      <c r="FM617" s="62"/>
      <c r="FN617" s="62"/>
      <c r="FO617" s="62"/>
      <c r="FP617" s="62"/>
      <c r="FQ617" s="62"/>
      <c r="FR617" s="62"/>
      <c r="FS617" s="62"/>
      <c r="FT617" s="62"/>
      <c r="FU617" s="62"/>
      <c r="FV617" s="62"/>
    </row>
    <row r="618" spans="1:178" ht="13.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c r="AY618" s="62"/>
      <c r="AZ618" s="62"/>
      <c r="BA618" s="62"/>
      <c r="BB618" s="62"/>
      <c r="BC618" s="62"/>
      <c r="BD618" s="62"/>
      <c r="BE618" s="62"/>
      <c r="BF618" s="62"/>
      <c r="BG618" s="62"/>
      <c r="BH618" s="62"/>
      <c r="BI618" s="62"/>
      <c r="BJ618" s="62"/>
      <c r="BK618" s="62"/>
      <c r="BL618" s="62"/>
      <c r="BM618" s="62"/>
      <c r="BN618" s="62"/>
      <c r="BO618" s="62"/>
      <c r="BP618" s="62"/>
      <c r="BQ618" s="62"/>
      <c r="BR618" s="62"/>
      <c r="BS618" s="62"/>
      <c r="BT618" s="62"/>
      <c r="BU618" s="62"/>
      <c r="BV618" s="62"/>
      <c r="BW618" s="62"/>
      <c r="BX618" s="62"/>
      <c r="BY618" s="62"/>
      <c r="BZ618" s="62"/>
      <c r="CA618" s="62"/>
      <c r="CB618" s="62"/>
      <c r="CC618" s="62"/>
      <c r="CD618" s="62"/>
      <c r="CE618" s="62"/>
      <c r="CF618" s="62"/>
      <c r="CG618" s="62"/>
      <c r="CH618" s="62"/>
      <c r="CI618" s="62"/>
      <c r="CJ618" s="62"/>
      <c r="CK618" s="62"/>
      <c r="CL618" s="62"/>
      <c r="CM618" s="62"/>
      <c r="CN618" s="62"/>
      <c r="CO618" s="62"/>
      <c r="CP618" s="62"/>
      <c r="CQ618" s="62"/>
      <c r="CR618" s="62"/>
      <c r="CS618" s="62"/>
      <c r="CT618" s="62"/>
      <c r="CU618" s="62"/>
      <c r="CV618" s="62"/>
      <c r="CW618" s="62"/>
      <c r="CX618" s="62"/>
      <c r="CY618" s="62"/>
      <c r="CZ618" s="62"/>
      <c r="DA618" s="62"/>
      <c r="DB618" s="62"/>
      <c r="DC618" s="62"/>
      <c r="DD618" s="62"/>
      <c r="DE618" s="62"/>
      <c r="DF618" s="62"/>
      <c r="DG618" s="62"/>
      <c r="DH618" s="62"/>
      <c r="DI618" s="62"/>
      <c r="DJ618" s="62"/>
      <c r="DK618" s="62"/>
      <c r="DL618" s="62"/>
      <c r="DM618" s="62"/>
      <c r="DN618" s="62"/>
      <c r="DO618" s="62"/>
      <c r="DP618" s="62"/>
      <c r="DQ618" s="62"/>
      <c r="DR618" s="62"/>
      <c r="DS618" s="62"/>
      <c r="DT618" s="62"/>
      <c r="DU618" s="62"/>
      <c r="DV618" s="62"/>
      <c r="DW618" s="62"/>
      <c r="DX618" s="62"/>
      <c r="DY618" s="62"/>
      <c r="DZ618" s="62"/>
      <c r="EA618" s="62"/>
      <c r="EB618" s="62"/>
      <c r="EC618" s="62"/>
      <c r="ED618" s="62"/>
      <c r="EE618" s="62"/>
      <c r="EF618" s="62"/>
      <c r="EG618" s="62"/>
      <c r="EH618" s="62"/>
      <c r="EI618" s="62"/>
      <c r="EJ618" s="62"/>
      <c r="EK618" s="62"/>
      <c r="EL618" s="62"/>
      <c r="EM618" s="62"/>
      <c r="EN618" s="62"/>
      <c r="EO618" s="62"/>
      <c r="EP618" s="62"/>
      <c r="EQ618" s="62"/>
      <c r="ER618" s="62"/>
      <c r="ES618" s="62"/>
      <c r="ET618" s="62"/>
      <c r="EU618" s="62"/>
      <c r="EV618" s="62"/>
      <c r="EW618" s="62"/>
      <c r="EX618" s="62"/>
      <c r="EY618" s="62"/>
      <c r="EZ618" s="62"/>
      <c r="FA618" s="62"/>
      <c r="FB618" s="62"/>
      <c r="FC618" s="62"/>
      <c r="FD618" s="62"/>
      <c r="FE618" s="62"/>
      <c r="FF618" s="62"/>
      <c r="FG618" s="62"/>
      <c r="FH618" s="62"/>
      <c r="FI618" s="62"/>
      <c r="FJ618" s="62"/>
      <c r="FK618" s="62"/>
      <c r="FL618" s="62"/>
      <c r="FM618" s="62"/>
      <c r="FN618" s="62"/>
      <c r="FO618" s="62"/>
      <c r="FP618" s="62"/>
      <c r="FQ618" s="62"/>
      <c r="FR618" s="62"/>
      <c r="FS618" s="62"/>
      <c r="FT618" s="62"/>
      <c r="FU618" s="62"/>
      <c r="FV618" s="62"/>
    </row>
    <row r="619" spans="1:178" ht="13.8">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c r="AY619" s="62"/>
      <c r="AZ619" s="62"/>
      <c r="BA619" s="62"/>
      <c r="BB619" s="62"/>
      <c r="BC619" s="62"/>
      <c r="BD619" s="62"/>
      <c r="BE619" s="62"/>
      <c r="BF619" s="62"/>
      <c r="BG619" s="62"/>
      <c r="BH619" s="62"/>
      <c r="BI619" s="62"/>
      <c r="BJ619" s="62"/>
      <c r="BK619" s="62"/>
      <c r="BL619" s="62"/>
      <c r="BM619" s="62"/>
      <c r="BN619" s="62"/>
      <c r="BO619" s="62"/>
      <c r="BP619" s="62"/>
      <c r="BQ619" s="62"/>
      <c r="BR619" s="62"/>
      <c r="BS619" s="62"/>
      <c r="BT619" s="62"/>
      <c r="BU619" s="62"/>
      <c r="BV619" s="62"/>
      <c r="BW619" s="62"/>
      <c r="BX619" s="62"/>
      <c r="BY619" s="62"/>
      <c r="BZ619" s="62"/>
      <c r="CA619" s="62"/>
      <c r="CB619" s="62"/>
      <c r="CC619" s="62"/>
      <c r="CD619" s="62"/>
      <c r="CE619" s="62"/>
      <c r="CF619" s="62"/>
      <c r="CG619" s="62"/>
      <c r="CH619" s="62"/>
      <c r="CI619" s="62"/>
      <c r="CJ619" s="62"/>
      <c r="CK619" s="62"/>
      <c r="CL619" s="62"/>
      <c r="CM619" s="62"/>
      <c r="CN619" s="62"/>
      <c r="CO619" s="62"/>
      <c r="CP619" s="62"/>
      <c r="CQ619" s="62"/>
      <c r="CR619" s="62"/>
      <c r="CS619" s="62"/>
      <c r="CT619" s="62"/>
      <c r="CU619" s="62"/>
      <c r="CV619" s="62"/>
      <c r="CW619" s="62"/>
      <c r="CX619" s="62"/>
      <c r="CY619" s="62"/>
      <c r="CZ619" s="62"/>
      <c r="DA619" s="62"/>
      <c r="DB619" s="62"/>
      <c r="DC619" s="62"/>
      <c r="DD619" s="62"/>
      <c r="DE619" s="62"/>
      <c r="DF619" s="62"/>
      <c r="DG619" s="62"/>
      <c r="DH619" s="62"/>
      <c r="DI619" s="62"/>
      <c r="DJ619" s="62"/>
      <c r="DK619" s="62"/>
      <c r="DL619" s="62"/>
      <c r="DM619" s="62"/>
      <c r="DN619" s="62"/>
      <c r="DO619" s="62"/>
      <c r="DP619" s="62"/>
      <c r="DQ619" s="62"/>
      <c r="DR619" s="62"/>
      <c r="DS619" s="62"/>
      <c r="DT619" s="62"/>
      <c r="DU619" s="62"/>
      <c r="DV619" s="62"/>
      <c r="DW619" s="62"/>
      <c r="DX619" s="62"/>
      <c r="DY619" s="62"/>
      <c r="DZ619" s="62"/>
      <c r="EA619" s="62"/>
      <c r="EB619" s="62"/>
      <c r="EC619" s="62"/>
      <c r="ED619" s="62"/>
      <c r="EE619" s="62"/>
      <c r="EF619" s="62"/>
      <c r="EG619" s="62"/>
      <c r="EH619" s="62"/>
      <c r="EI619" s="62"/>
      <c r="EJ619" s="62"/>
      <c r="EK619" s="62"/>
      <c r="EL619" s="62"/>
      <c r="EM619" s="62"/>
      <c r="EN619" s="62"/>
      <c r="EO619" s="62"/>
      <c r="EP619" s="62"/>
      <c r="EQ619" s="62"/>
      <c r="ER619" s="62"/>
      <c r="ES619" s="62"/>
      <c r="ET619" s="62"/>
      <c r="EU619" s="62"/>
      <c r="EV619" s="62"/>
      <c r="EW619" s="62"/>
      <c r="EX619" s="62"/>
      <c r="EY619" s="62"/>
      <c r="EZ619" s="62"/>
      <c r="FA619" s="62"/>
      <c r="FB619" s="62"/>
      <c r="FC619" s="62"/>
      <c r="FD619" s="62"/>
      <c r="FE619" s="62"/>
      <c r="FF619" s="62"/>
      <c r="FG619" s="62"/>
      <c r="FH619" s="62"/>
      <c r="FI619" s="62"/>
      <c r="FJ619" s="62"/>
      <c r="FK619" s="62"/>
      <c r="FL619" s="62"/>
      <c r="FM619" s="62"/>
      <c r="FN619" s="62"/>
      <c r="FO619" s="62"/>
      <c r="FP619" s="62"/>
      <c r="FQ619" s="62"/>
      <c r="FR619" s="62"/>
      <c r="FS619" s="62"/>
      <c r="FT619" s="62"/>
      <c r="FU619" s="62"/>
      <c r="FV619" s="62"/>
    </row>
    <row r="620" spans="1:178" ht="13.8">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c r="AY620" s="62"/>
      <c r="AZ620" s="62"/>
      <c r="BA620" s="62"/>
      <c r="BB620" s="62"/>
      <c r="BC620" s="62"/>
      <c r="BD620" s="62"/>
      <c r="BE620" s="62"/>
      <c r="BF620" s="62"/>
      <c r="BG620" s="62"/>
      <c r="BH620" s="62"/>
      <c r="BI620" s="62"/>
      <c r="BJ620" s="62"/>
      <c r="BK620" s="62"/>
      <c r="BL620" s="62"/>
      <c r="BM620" s="62"/>
      <c r="BN620" s="62"/>
      <c r="BO620" s="62"/>
      <c r="BP620" s="62"/>
      <c r="BQ620" s="62"/>
      <c r="BR620" s="62"/>
      <c r="BS620" s="62"/>
      <c r="BT620" s="62"/>
      <c r="BU620" s="62"/>
      <c r="BV620" s="62"/>
      <c r="BW620" s="62"/>
      <c r="BX620" s="62"/>
      <c r="BY620" s="62"/>
      <c r="BZ620" s="62"/>
      <c r="CA620" s="62"/>
      <c r="CB620" s="62"/>
      <c r="CC620" s="62"/>
      <c r="CD620" s="62"/>
      <c r="CE620" s="62"/>
      <c r="CF620" s="62"/>
      <c r="CG620" s="62"/>
      <c r="CH620" s="62"/>
      <c r="CI620" s="62"/>
      <c r="CJ620" s="62"/>
      <c r="CK620" s="62"/>
      <c r="CL620" s="62"/>
      <c r="CM620" s="62"/>
      <c r="CN620" s="62"/>
      <c r="CO620" s="62"/>
      <c r="CP620" s="62"/>
      <c r="CQ620" s="62"/>
      <c r="CR620" s="62"/>
      <c r="CS620" s="62"/>
      <c r="CT620" s="62"/>
      <c r="CU620" s="62"/>
      <c r="CV620" s="62"/>
      <c r="CW620" s="62"/>
      <c r="CX620" s="62"/>
      <c r="CY620" s="62"/>
      <c r="CZ620" s="62"/>
      <c r="DA620" s="62"/>
      <c r="DB620" s="62"/>
      <c r="DC620" s="62"/>
      <c r="DD620" s="62"/>
      <c r="DE620" s="62"/>
      <c r="DF620" s="62"/>
      <c r="DG620" s="62"/>
      <c r="DH620" s="62"/>
      <c r="DI620" s="62"/>
      <c r="DJ620" s="62"/>
      <c r="DK620" s="62"/>
      <c r="DL620" s="62"/>
      <c r="DM620" s="62"/>
      <c r="DN620" s="62"/>
      <c r="DO620" s="62"/>
      <c r="DP620" s="62"/>
      <c r="DQ620" s="62"/>
      <c r="DR620" s="62"/>
      <c r="DS620" s="62"/>
      <c r="DT620" s="62"/>
      <c r="DU620" s="62"/>
      <c r="DV620" s="62"/>
      <c r="DW620" s="62"/>
      <c r="DX620" s="62"/>
      <c r="DY620" s="62"/>
      <c r="DZ620" s="62"/>
      <c r="EA620" s="62"/>
      <c r="EB620" s="62"/>
      <c r="EC620" s="62"/>
      <c r="ED620" s="62"/>
      <c r="EE620" s="62"/>
      <c r="EF620" s="62"/>
      <c r="EG620" s="62"/>
      <c r="EH620" s="62"/>
      <c r="EI620" s="62"/>
      <c r="EJ620" s="62"/>
      <c r="EK620" s="62"/>
      <c r="EL620" s="62"/>
      <c r="EM620" s="62"/>
      <c r="EN620" s="62"/>
      <c r="EO620" s="62"/>
      <c r="EP620" s="62"/>
      <c r="EQ620" s="62"/>
      <c r="ER620" s="62"/>
      <c r="ES620" s="62"/>
      <c r="ET620" s="62"/>
      <c r="EU620" s="62"/>
      <c r="EV620" s="62"/>
      <c r="EW620" s="62"/>
      <c r="EX620" s="62"/>
      <c r="EY620" s="62"/>
      <c r="EZ620" s="62"/>
      <c r="FA620" s="62"/>
      <c r="FB620" s="62"/>
      <c r="FC620" s="62"/>
      <c r="FD620" s="62"/>
      <c r="FE620" s="62"/>
      <c r="FF620" s="62"/>
      <c r="FG620" s="62"/>
      <c r="FH620" s="62"/>
      <c r="FI620" s="62"/>
      <c r="FJ620" s="62"/>
      <c r="FK620" s="62"/>
      <c r="FL620" s="62"/>
      <c r="FM620" s="62"/>
      <c r="FN620" s="62"/>
      <c r="FO620" s="62"/>
      <c r="FP620" s="62"/>
      <c r="FQ620" s="62"/>
      <c r="FR620" s="62"/>
      <c r="FS620" s="62"/>
      <c r="FT620" s="62"/>
      <c r="FU620" s="62"/>
      <c r="FV620" s="62"/>
    </row>
    <row r="621" spans="1:178" ht="13.8">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c r="AY621" s="62"/>
      <c r="AZ621" s="62"/>
      <c r="BA621" s="62"/>
      <c r="BB621" s="62"/>
      <c r="BC621" s="62"/>
      <c r="BD621" s="62"/>
      <c r="BE621" s="62"/>
      <c r="BF621" s="62"/>
      <c r="BG621" s="62"/>
      <c r="BH621" s="62"/>
      <c r="BI621" s="62"/>
      <c r="BJ621" s="62"/>
      <c r="BK621" s="62"/>
      <c r="BL621" s="62"/>
      <c r="BM621" s="62"/>
      <c r="BN621" s="62"/>
      <c r="BO621" s="62"/>
      <c r="BP621" s="62"/>
      <c r="BQ621" s="62"/>
      <c r="BR621" s="62"/>
      <c r="BS621" s="62"/>
      <c r="BT621" s="62"/>
      <c r="BU621" s="62"/>
      <c r="BV621" s="62"/>
      <c r="BW621" s="62"/>
      <c r="BX621" s="62"/>
      <c r="BY621" s="62"/>
      <c r="BZ621" s="62"/>
      <c r="CA621" s="62"/>
      <c r="CB621" s="62"/>
      <c r="CC621" s="62"/>
      <c r="CD621" s="62"/>
      <c r="CE621" s="62"/>
      <c r="CF621" s="62"/>
      <c r="CG621" s="62"/>
      <c r="CH621" s="62"/>
      <c r="CI621" s="62"/>
      <c r="CJ621" s="62"/>
      <c r="CK621" s="62"/>
      <c r="CL621" s="62"/>
      <c r="CM621" s="62"/>
      <c r="CN621" s="62"/>
      <c r="CO621" s="62"/>
      <c r="CP621" s="62"/>
      <c r="CQ621" s="62"/>
      <c r="CR621" s="62"/>
      <c r="CS621" s="62"/>
      <c r="CT621" s="62"/>
      <c r="CU621" s="62"/>
      <c r="CV621" s="62"/>
      <c r="CW621" s="62"/>
      <c r="CX621" s="62"/>
      <c r="CY621" s="62"/>
      <c r="CZ621" s="62"/>
      <c r="DA621" s="62"/>
      <c r="DB621" s="62"/>
      <c r="DC621" s="62"/>
      <c r="DD621" s="62"/>
      <c r="DE621" s="62"/>
      <c r="DF621" s="62"/>
      <c r="DG621" s="62"/>
      <c r="DH621" s="62"/>
      <c r="DI621" s="62"/>
      <c r="DJ621" s="62"/>
      <c r="DK621" s="62"/>
      <c r="DL621" s="62"/>
      <c r="DM621" s="62"/>
      <c r="DN621" s="62"/>
      <c r="DO621" s="62"/>
      <c r="DP621" s="62"/>
      <c r="DQ621" s="62"/>
      <c r="DR621" s="62"/>
      <c r="DS621" s="62"/>
      <c r="DT621" s="62"/>
      <c r="DU621" s="62"/>
      <c r="DV621" s="62"/>
      <c r="DW621" s="62"/>
      <c r="DX621" s="62"/>
      <c r="DY621" s="62"/>
      <c r="DZ621" s="62"/>
      <c r="EA621" s="62"/>
      <c r="EB621" s="62"/>
      <c r="EC621" s="62"/>
      <c r="ED621" s="62"/>
      <c r="EE621" s="62"/>
      <c r="EF621" s="62"/>
      <c r="EG621" s="62"/>
      <c r="EH621" s="62"/>
      <c r="EI621" s="62"/>
      <c r="EJ621" s="62"/>
      <c r="EK621" s="62"/>
      <c r="EL621" s="62"/>
      <c r="EM621" s="62"/>
      <c r="EN621" s="62"/>
      <c r="EO621" s="62"/>
      <c r="EP621" s="62"/>
      <c r="EQ621" s="62"/>
      <c r="ER621" s="62"/>
      <c r="ES621" s="62"/>
      <c r="ET621" s="62"/>
      <c r="EU621" s="62"/>
      <c r="EV621" s="62"/>
      <c r="EW621" s="62"/>
      <c r="EX621" s="62"/>
      <c r="EY621" s="62"/>
      <c r="EZ621" s="62"/>
      <c r="FA621" s="62"/>
      <c r="FB621" s="62"/>
      <c r="FC621" s="62"/>
      <c r="FD621" s="62"/>
      <c r="FE621" s="62"/>
      <c r="FF621" s="62"/>
      <c r="FG621" s="62"/>
      <c r="FH621" s="62"/>
      <c r="FI621" s="62"/>
      <c r="FJ621" s="62"/>
      <c r="FK621" s="62"/>
      <c r="FL621" s="62"/>
      <c r="FM621" s="62"/>
      <c r="FN621" s="62"/>
      <c r="FO621" s="62"/>
      <c r="FP621" s="62"/>
      <c r="FQ621" s="62"/>
      <c r="FR621" s="62"/>
      <c r="FS621" s="62"/>
      <c r="FT621" s="62"/>
      <c r="FU621" s="62"/>
      <c r="FV621" s="62"/>
    </row>
    <row r="622" spans="1:178" ht="13.8">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c r="AY622" s="62"/>
      <c r="AZ622" s="62"/>
      <c r="BA622" s="62"/>
      <c r="BB622" s="62"/>
      <c r="BC622" s="62"/>
      <c r="BD622" s="62"/>
      <c r="BE622" s="62"/>
      <c r="BF622" s="62"/>
      <c r="BG622" s="62"/>
      <c r="BH622" s="62"/>
      <c r="BI622" s="62"/>
      <c r="BJ622" s="62"/>
      <c r="BK622" s="62"/>
      <c r="BL622" s="62"/>
      <c r="BM622" s="62"/>
      <c r="BN622" s="62"/>
      <c r="BO622" s="62"/>
      <c r="BP622" s="62"/>
      <c r="BQ622" s="62"/>
      <c r="BR622" s="62"/>
      <c r="BS622" s="62"/>
      <c r="BT622" s="62"/>
      <c r="BU622" s="62"/>
      <c r="BV622" s="62"/>
      <c r="BW622" s="62"/>
      <c r="BX622" s="62"/>
      <c r="BY622" s="62"/>
      <c r="BZ622" s="62"/>
      <c r="CA622" s="62"/>
      <c r="CB622" s="62"/>
      <c r="CC622" s="62"/>
      <c r="CD622" s="62"/>
      <c r="CE622" s="62"/>
      <c r="CF622" s="62"/>
      <c r="CG622" s="62"/>
      <c r="CH622" s="62"/>
      <c r="CI622" s="62"/>
      <c r="CJ622" s="62"/>
      <c r="CK622" s="62"/>
      <c r="CL622" s="62"/>
      <c r="CM622" s="62"/>
      <c r="CN622" s="62"/>
      <c r="CO622" s="62"/>
      <c r="CP622" s="62"/>
      <c r="CQ622" s="62"/>
      <c r="CR622" s="62"/>
      <c r="CS622" s="62"/>
      <c r="CT622" s="62"/>
      <c r="CU622" s="62"/>
      <c r="CV622" s="62"/>
      <c r="CW622" s="62"/>
      <c r="CX622" s="62"/>
      <c r="CY622" s="62"/>
      <c r="CZ622" s="62"/>
      <c r="DA622" s="62"/>
      <c r="DB622" s="62"/>
      <c r="DC622" s="62"/>
      <c r="DD622" s="62"/>
      <c r="DE622" s="62"/>
      <c r="DF622" s="62"/>
      <c r="DG622" s="62"/>
      <c r="DH622" s="62"/>
      <c r="DI622" s="62"/>
      <c r="DJ622" s="62"/>
      <c r="DK622" s="62"/>
      <c r="DL622" s="62"/>
      <c r="DM622" s="62"/>
      <c r="DN622" s="62"/>
      <c r="DO622" s="62"/>
      <c r="DP622" s="62"/>
      <c r="DQ622" s="62"/>
      <c r="DR622" s="62"/>
      <c r="DS622" s="62"/>
      <c r="DT622" s="62"/>
      <c r="DU622" s="62"/>
      <c r="DV622" s="62"/>
      <c r="DW622" s="62"/>
      <c r="DX622" s="62"/>
      <c r="DY622" s="62"/>
      <c r="DZ622" s="62"/>
      <c r="EA622" s="62"/>
      <c r="EB622" s="62"/>
      <c r="EC622" s="62"/>
      <c r="ED622" s="62"/>
      <c r="EE622" s="62"/>
      <c r="EF622" s="62"/>
      <c r="EG622" s="62"/>
      <c r="EH622" s="62"/>
      <c r="EI622" s="62"/>
      <c r="EJ622" s="62"/>
      <c r="EK622" s="62"/>
      <c r="EL622" s="62"/>
      <c r="EM622" s="62"/>
      <c r="EN622" s="62"/>
      <c r="EO622" s="62"/>
      <c r="EP622" s="62"/>
      <c r="EQ622" s="62"/>
      <c r="ER622" s="62"/>
      <c r="ES622" s="62"/>
      <c r="ET622" s="62"/>
      <c r="EU622" s="62"/>
      <c r="EV622" s="62"/>
      <c r="EW622" s="62"/>
      <c r="EX622" s="62"/>
      <c r="EY622" s="62"/>
      <c r="EZ622" s="62"/>
      <c r="FA622" s="62"/>
      <c r="FB622" s="62"/>
      <c r="FC622" s="62"/>
      <c r="FD622" s="62"/>
      <c r="FE622" s="62"/>
      <c r="FF622" s="62"/>
      <c r="FG622" s="62"/>
      <c r="FH622" s="62"/>
      <c r="FI622" s="62"/>
      <c r="FJ622" s="62"/>
      <c r="FK622" s="62"/>
      <c r="FL622" s="62"/>
      <c r="FM622" s="62"/>
      <c r="FN622" s="62"/>
      <c r="FO622" s="62"/>
      <c r="FP622" s="62"/>
      <c r="FQ622" s="62"/>
      <c r="FR622" s="62"/>
      <c r="FS622" s="62"/>
      <c r="FT622" s="62"/>
      <c r="FU622" s="62"/>
      <c r="FV622" s="62"/>
    </row>
    <row r="623" spans="1:178" ht="13.8">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c r="AY623" s="62"/>
      <c r="AZ623" s="62"/>
      <c r="BA623" s="62"/>
      <c r="BB623" s="62"/>
      <c r="BC623" s="62"/>
      <c r="BD623" s="62"/>
      <c r="BE623" s="62"/>
      <c r="BF623" s="62"/>
      <c r="BG623" s="62"/>
      <c r="BH623" s="62"/>
      <c r="BI623" s="62"/>
      <c r="BJ623" s="62"/>
      <c r="BK623" s="62"/>
      <c r="BL623" s="62"/>
      <c r="BM623" s="62"/>
      <c r="BN623" s="62"/>
      <c r="BO623" s="62"/>
      <c r="BP623" s="62"/>
      <c r="BQ623" s="62"/>
      <c r="BR623" s="62"/>
      <c r="BS623" s="62"/>
      <c r="BT623" s="62"/>
      <c r="BU623" s="62"/>
      <c r="BV623" s="62"/>
      <c r="BW623" s="62"/>
      <c r="BX623" s="62"/>
      <c r="BY623" s="62"/>
      <c r="BZ623" s="62"/>
      <c r="CA623" s="62"/>
      <c r="CB623" s="62"/>
      <c r="CC623" s="62"/>
      <c r="CD623" s="62"/>
      <c r="CE623" s="62"/>
      <c r="CF623" s="62"/>
      <c r="CG623" s="62"/>
      <c r="CH623" s="62"/>
      <c r="CI623" s="62"/>
      <c r="CJ623" s="62"/>
      <c r="CK623" s="62"/>
      <c r="CL623" s="62"/>
      <c r="CM623" s="62"/>
      <c r="CN623" s="62"/>
      <c r="CO623" s="62"/>
      <c r="CP623" s="62"/>
      <c r="CQ623" s="62"/>
      <c r="CR623" s="62"/>
      <c r="CS623" s="62"/>
      <c r="CT623" s="62"/>
      <c r="CU623" s="62"/>
      <c r="CV623" s="62"/>
      <c r="CW623" s="62"/>
      <c r="CX623" s="62"/>
      <c r="CY623" s="62"/>
      <c r="CZ623" s="62"/>
      <c r="DA623" s="62"/>
      <c r="DB623" s="62"/>
      <c r="DC623" s="62"/>
      <c r="DD623" s="62"/>
      <c r="DE623" s="62"/>
      <c r="DF623" s="62"/>
      <c r="DG623" s="62"/>
      <c r="DH623" s="62"/>
      <c r="DI623" s="62"/>
      <c r="DJ623" s="62"/>
      <c r="DK623" s="62"/>
      <c r="DL623" s="62"/>
      <c r="DM623" s="62"/>
      <c r="DN623" s="62"/>
      <c r="DO623" s="62"/>
      <c r="DP623" s="62"/>
      <c r="DQ623" s="62"/>
      <c r="DR623" s="62"/>
      <c r="DS623" s="62"/>
      <c r="DT623" s="62"/>
      <c r="DU623" s="62"/>
      <c r="DV623" s="62"/>
      <c r="DW623" s="62"/>
      <c r="DX623" s="62"/>
      <c r="DY623" s="62"/>
      <c r="DZ623" s="62"/>
      <c r="EA623" s="62"/>
      <c r="EB623" s="62"/>
      <c r="EC623" s="62"/>
      <c r="ED623" s="62"/>
      <c r="EE623" s="62"/>
      <c r="EF623" s="62"/>
      <c r="EG623" s="62"/>
      <c r="EH623" s="62"/>
      <c r="EI623" s="62"/>
      <c r="EJ623" s="62"/>
      <c r="EK623" s="62"/>
      <c r="EL623" s="62"/>
      <c r="EM623" s="62"/>
      <c r="EN623" s="62"/>
      <c r="EO623" s="62"/>
      <c r="EP623" s="62"/>
      <c r="EQ623" s="62"/>
      <c r="ER623" s="62"/>
      <c r="ES623" s="62"/>
      <c r="ET623" s="62"/>
      <c r="EU623" s="62"/>
      <c r="EV623" s="62"/>
      <c r="EW623" s="62"/>
      <c r="EX623" s="62"/>
      <c r="EY623" s="62"/>
      <c r="EZ623" s="62"/>
      <c r="FA623" s="62"/>
      <c r="FB623" s="62"/>
      <c r="FC623" s="62"/>
      <c r="FD623" s="62"/>
      <c r="FE623" s="62"/>
      <c r="FF623" s="62"/>
      <c r="FG623" s="62"/>
      <c r="FH623" s="62"/>
      <c r="FI623" s="62"/>
      <c r="FJ623" s="62"/>
      <c r="FK623" s="62"/>
      <c r="FL623" s="62"/>
      <c r="FM623" s="62"/>
      <c r="FN623" s="62"/>
      <c r="FO623" s="62"/>
      <c r="FP623" s="62"/>
      <c r="FQ623" s="62"/>
      <c r="FR623" s="62"/>
      <c r="FS623" s="62"/>
      <c r="FT623" s="62"/>
      <c r="FU623" s="62"/>
      <c r="FV623" s="62"/>
    </row>
    <row r="624" spans="1:178" ht="13.8">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c r="AY624" s="62"/>
      <c r="AZ624" s="62"/>
      <c r="BA624" s="62"/>
      <c r="BB624" s="62"/>
      <c r="BC624" s="62"/>
      <c r="BD624" s="62"/>
      <c r="BE624" s="62"/>
      <c r="BF624" s="62"/>
      <c r="BG624" s="62"/>
      <c r="BH624" s="62"/>
      <c r="BI624" s="62"/>
      <c r="BJ624" s="62"/>
      <c r="BK624" s="62"/>
      <c r="BL624" s="62"/>
      <c r="BM624" s="62"/>
      <c r="BN624" s="62"/>
      <c r="BO624" s="62"/>
      <c r="BP624" s="62"/>
      <c r="BQ624" s="62"/>
      <c r="BR624" s="62"/>
      <c r="BS624" s="62"/>
      <c r="BT624" s="62"/>
      <c r="BU624" s="62"/>
      <c r="BV624" s="62"/>
      <c r="BW624" s="62"/>
      <c r="BX624" s="62"/>
      <c r="BY624" s="62"/>
      <c r="BZ624" s="62"/>
      <c r="CA624" s="62"/>
      <c r="CB624" s="62"/>
      <c r="CC624" s="62"/>
      <c r="CD624" s="62"/>
      <c r="CE624" s="62"/>
      <c r="CF624" s="62"/>
      <c r="CG624" s="62"/>
      <c r="CH624" s="62"/>
      <c r="CI624" s="62"/>
      <c r="CJ624" s="62"/>
      <c r="CK624" s="62"/>
      <c r="CL624" s="62"/>
      <c r="CM624" s="62"/>
      <c r="CN624" s="62"/>
      <c r="CO624" s="62"/>
      <c r="CP624" s="62"/>
      <c r="CQ624" s="62"/>
      <c r="CR624" s="62"/>
      <c r="CS624" s="62"/>
      <c r="CT624" s="62"/>
      <c r="CU624" s="62"/>
      <c r="CV624" s="62"/>
      <c r="CW624" s="62"/>
      <c r="CX624" s="62"/>
      <c r="CY624" s="62"/>
      <c r="CZ624" s="62"/>
      <c r="DA624" s="62"/>
      <c r="DB624" s="62"/>
      <c r="DC624" s="62"/>
      <c r="DD624" s="62"/>
      <c r="DE624" s="62"/>
      <c r="DF624" s="62"/>
      <c r="DG624" s="62"/>
      <c r="DH624" s="62"/>
      <c r="DI624" s="62"/>
      <c r="DJ624" s="62"/>
      <c r="DK624" s="62"/>
      <c r="DL624" s="62"/>
      <c r="DM624" s="62"/>
      <c r="DN624" s="62"/>
      <c r="DO624" s="62"/>
      <c r="DP624" s="62"/>
      <c r="DQ624" s="62"/>
      <c r="DR624" s="62"/>
      <c r="DS624" s="62"/>
      <c r="DT624" s="62"/>
      <c r="DU624" s="62"/>
      <c r="DV624" s="62"/>
      <c r="DW624" s="62"/>
      <c r="DX624" s="62"/>
      <c r="DY624" s="62"/>
      <c r="DZ624" s="62"/>
      <c r="EA624" s="62"/>
      <c r="EB624" s="62"/>
      <c r="EC624" s="62"/>
      <c r="ED624" s="62"/>
      <c r="EE624" s="62"/>
      <c r="EF624" s="62"/>
      <c r="EG624" s="62"/>
      <c r="EH624" s="62"/>
      <c r="EI624" s="62"/>
      <c r="EJ624" s="62"/>
      <c r="EK624" s="62"/>
      <c r="EL624" s="62"/>
      <c r="EM624" s="62"/>
      <c r="EN624" s="62"/>
      <c r="EO624" s="62"/>
      <c r="EP624" s="62"/>
      <c r="EQ624" s="62"/>
      <c r="ER624" s="62"/>
      <c r="ES624" s="62"/>
      <c r="ET624" s="62"/>
      <c r="EU624" s="62"/>
      <c r="EV624" s="62"/>
      <c r="EW624" s="62"/>
      <c r="EX624" s="62"/>
      <c r="EY624" s="62"/>
      <c r="EZ624" s="62"/>
      <c r="FA624" s="62"/>
      <c r="FB624" s="62"/>
      <c r="FC624" s="62"/>
      <c r="FD624" s="62"/>
      <c r="FE624" s="62"/>
      <c r="FF624" s="62"/>
      <c r="FG624" s="62"/>
      <c r="FH624" s="62"/>
      <c r="FI624" s="62"/>
      <c r="FJ624" s="62"/>
      <c r="FK624" s="62"/>
      <c r="FL624" s="62"/>
      <c r="FM624" s="62"/>
      <c r="FN624" s="62"/>
      <c r="FO624" s="62"/>
      <c r="FP624" s="62"/>
      <c r="FQ624" s="62"/>
      <c r="FR624" s="62"/>
      <c r="FS624" s="62"/>
      <c r="FT624" s="62"/>
      <c r="FU624" s="62"/>
      <c r="FV624" s="62"/>
    </row>
    <row r="625" spans="1:178" ht="13.8">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c r="AY625" s="62"/>
      <c r="AZ625" s="62"/>
      <c r="BA625" s="62"/>
      <c r="BB625" s="62"/>
      <c r="BC625" s="62"/>
      <c r="BD625" s="62"/>
      <c r="BE625" s="62"/>
      <c r="BF625" s="62"/>
      <c r="BG625" s="62"/>
      <c r="BH625" s="62"/>
      <c r="BI625" s="62"/>
      <c r="BJ625" s="62"/>
      <c r="BK625" s="62"/>
      <c r="BL625" s="62"/>
      <c r="BM625" s="62"/>
      <c r="BN625" s="62"/>
      <c r="BO625" s="62"/>
      <c r="BP625" s="62"/>
      <c r="BQ625" s="62"/>
      <c r="BR625" s="62"/>
      <c r="BS625" s="62"/>
      <c r="BT625" s="62"/>
      <c r="BU625" s="62"/>
      <c r="BV625" s="62"/>
      <c r="BW625" s="62"/>
      <c r="BX625" s="62"/>
      <c r="BY625" s="62"/>
      <c r="BZ625" s="62"/>
      <c r="CA625" s="62"/>
      <c r="CB625" s="62"/>
      <c r="CC625" s="62"/>
      <c r="CD625" s="62"/>
      <c r="CE625" s="62"/>
      <c r="CF625" s="62"/>
      <c r="CG625" s="62"/>
      <c r="CH625" s="62"/>
      <c r="CI625" s="62"/>
      <c r="CJ625" s="62"/>
      <c r="CK625" s="62"/>
      <c r="CL625" s="62"/>
      <c r="CM625" s="62"/>
      <c r="CN625" s="62"/>
      <c r="CO625" s="62"/>
      <c r="CP625" s="62"/>
      <c r="CQ625" s="62"/>
      <c r="CR625" s="62"/>
      <c r="CS625" s="62"/>
      <c r="CT625" s="62"/>
      <c r="CU625" s="62"/>
      <c r="CV625" s="62"/>
      <c r="CW625" s="62"/>
      <c r="CX625" s="62"/>
      <c r="CY625" s="62"/>
      <c r="CZ625" s="62"/>
      <c r="DA625" s="62"/>
      <c r="DB625" s="62"/>
      <c r="DC625" s="62"/>
      <c r="DD625" s="62"/>
      <c r="DE625" s="62"/>
      <c r="DF625" s="62"/>
      <c r="DG625" s="62"/>
      <c r="DH625" s="62"/>
      <c r="DI625" s="62"/>
      <c r="DJ625" s="62"/>
      <c r="DK625" s="62"/>
      <c r="DL625" s="62"/>
      <c r="DM625" s="62"/>
      <c r="DN625" s="62"/>
      <c r="DO625" s="62"/>
      <c r="DP625" s="62"/>
      <c r="DQ625" s="62"/>
      <c r="DR625" s="62"/>
      <c r="DS625" s="62"/>
      <c r="DT625" s="62"/>
      <c r="DU625" s="62"/>
      <c r="DV625" s="62"/>
      <c r="DW625" s="62"/>
      <c r="DX625" s="62"/>
      <c r="DY625" s="62"/>
      <c r="DZ625" s="62"/>
      <c r="EA625" s="62"/>
      <c r="EB625" s="62"/>
      <c r="EC625" s="62"/>
      <c r="ED625" s="62"/>
      <c r="EE625" s="62"/>
      <c r="EF625" s="62"/>
      <c r="EG625" s="62"/>
      <c r="EH625" s="62"/>
      <c r="EI625" s="62"/>
      <c r="EJ625" s="62"/>
      <c r="EK625" s="62"/>
      <c r="EL625" s="62"/>
      <c r="EM625" s="62"/>
      <c r="EN625" s="62"/>
      <c r="EO625" s="62"/>
      <c r="EP625" s="62"/>
      <c r="EQ625" s="62"/>
      <c r="ER625" s="62"/>
      <c r="ES625" s="62"/>
      <c r="ET625" s="62"/>
      <c r="EU625" s="62"/>
      <c r="EV625" s="62"/>
      <c r="EW625" s="62"/>
      <c r="EX625" s="62"/>
      <c r="EY625" s="62"/>
      <c r="EZ625" s="62"/>
      <c r="FA625" s="62"/>
      <c r="FB625" s="62"/>
      <c r="FC625" s="62"/>
      <c r="FD625" s="62"/>
      <c r="FE625" s="62"/>
      <c r="FF625" s="62"/>
      <c r="FG625" s="62"/>
      <c r="FH625" s="62"/>
      <c r="FI625" s="62"/>
      <c r="FJ625" s="62"/>
      <c r="FK625" s="62"/>
      <c r="FL625" s="62"/>
      <c r="FM625" s="62"/>
      <c r="FN625" s="62"/>
      <c r="FO625" s="62"/>
      <c r="FP625" s="62"/>
      <c r="FQ625" s="62"/>
      <c r="FR625" s="62"/>
      <c r="FS625" s="62"/>
      <c r="FT625" s="62"/>
      <c r="FU625" s="62"/>
      <c r="FV625" s="62"/>
    </row>
    <row r="626" spans="1:178" ht="13.8">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c r="AY626" s="62"/>
      <c r="AZ626" s="62"/>
      <c r="BA626" s="62"/>
      <c r="BB626" s="62"/>
      <c r="BC626" s="62"/>
      <c r="BD626" s="62"/>
      <c r="BE626" s="62"/>
      <c r="BF626" s="62"/>
      <c r="BG626" s="62"/>
      <c r="BH626" s="62"/>
      <c r="BI626" s="62"/>
      <c r="BJ626" s="62"/>
      <c r="BK626" s="62"/>
      <c r="BL626" s="62"/>
      <c r="BM626" s="62"/>
      <c r="BN626" s="62"/>
      <c r="BO626" s="62"/>
      <c r="BP626" s="62"/>
      <c r="BQ626" s="62"/>
      <c r="BR626" s="62"/>
      <c r="BS626" s="62"/>
      <c r="BT626" s="62"/>
      <c r="BU626" s="62"/>
      <c r="BV626" s="62"/>
      <c r="BW626" s="62"/>
      <c r="BX626" s="62"/>
      <c r="BY626" s="62"/>
      <c r="BZ626" s="62"/>
      <c r="CA626" s="62"/>
      <c r="CB626" s="62"/>
      <c r="CC626" s="62"/>
      <c r="CD626" s="62"/>
      <c r="CE626" s="62"/>
      <c r="CF626" s="62"/>
      <c r="CG626" s="62"/>
      <c r="CH626" s="62"/>
      <c r="CI626" s="62"/>
      <c r="CJ626" s="62"/>
      <c r="CK626" s="62"/>
      <c r="CL626" s="62"/>
      <c r="CM626" s="62"/>
      <c r="CN626" s="62"/>
      <c r="CO626" s="62"/>
      <c r="CP626" s="62"/>
      <c r="CQ626" s="62"/>
      <c r="CR626" s="62"/>
      <c r="CS626" s="62"/>
      <c r="CT626" s="62"/>
      <c r="CU626" s="62"/>
      <c r="CV626" s="62"/>
      <c r="CW626" s="62"/>
      <c r="CX626" s="62"/>
      <c r="CY626" s="62"/>
      <c r="CZ626" s="62"/>
      <c r="DA626" s="62"/>
      <c r="DB626" s="62"/>
      <c r="DC626" s="62"/>
      <c r="DD626" s="62"/>
      <c r="DE626" s="62"/>
      <c r="DF626" s="62"/>
      <c r="DG626" s="62"/>
      <c r="DH626" s="62"/>
      <c r="DI626" s="62"/>
      <c r="DJ626" s="62"/>
      <c r="DK626" s="62"/>
      <c r="DL626" s="62"/>
      <c r="DM626" s="62"/>
      <c r="DN626" s="62"/>
      <c r="DO626" s="62"/>
      <c r="DP626" s="62"/>
      <c r="DQ626" s="62"/>
      <c r="DR626" s="62"/>
      <c r="DS626" s="62"/>
      <c r="DT626" s="62"/>
      <c r="DU626" s="62"/>
      <c r="DV626" s="62"/>
      <c r="DW626" s="62"/>
      <c r="DX626" s="62"/>
      <c r="DY626" s="62"/>
      <c r="DZ626" s="62"/>
      <c r="EA626" s="62"/>
      <c r="EB626" s="62"/>
      <c r="EC626" s="62"/>
      <c r="ED626" s="62"/>
      <c r="EE626" s="62"/>
      <c r="EF626" s="62"/>
      <c r="EG626" s="62"/>
      <c r="EH626" s="62"/>
      <c r="EI626" s="62"/>
      <c r="EJ626" s="62"/>
      <c r="EK626" s="62"/>
      <c r="EL626" s="62"/>
      <c r="EM626" s="62"/>
      <c r="EN626" s="62"/>
      <c r="EO626" s="62"/>
      <c r="EP626" s="62"/>
      <c r="EQ626" s="62"/>
      <c r="ER626" s="62"/>
      <c r="ES626" s="62"/>
      <c r="ET626" s="62"/>
      <c r="EU626" s="62"/>
      <c r="EV626" s="62"/>
      <c r="EW626" s="62"/>
      <c r="EX626" s="62"/>
      <c r="EY626" s="62"/>
      <c r="EZ626" s="62"/>
      <c r="FA626" s="62"/>
      <c r="FB626" s="62"/>
      <c r="FC626" s="62"/>
      <c r="FD626" s="62"/>
      <c r="FE626" s="62"/>
      <c r="FF626" s="62"/>
      <c r="FG626" s="62"/>
      <c r="FH626" s="62"/>
      <c r="FI626" s="62"/>
      <c r="FJ626" s="62"/>
      <c r="FK626" s="62"/>
      <c r="FL626" s="62"/>
      <c r="FM626" s="62"/>
      <c r="FN626" s="62"/>
      <c r="FO626" s="62"/>
      <c r="FP626" s="62"/>
      <c r="FQ626" s="62"/>
      <c r="FR626" s="62"/>
      <c r="FS626" s="62"/>
      <c r="FT626" s="62"/>
      <c r="FU626" s="62"/>
      <c r="FV626" s="62"/>
    </row>
    <row r="627" spans="1:178" ht="13.8">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62"/>
      <c r="AZ627" s="62"/>
      <c r="BA627" s="62"/>
      <c r="BB627" s="62"/>
      <c r="BC627" s="62"/>
      <c r="BD627" s="62"/>
      <c r="BE627" s="62"/>
      <c r="BF627" s="62"/>
      <c r="BG627" s="62"/>
      <c r="BH627" s="62"/>
      <c r="BI627" s="62"/>
      <c r="BJ627" s="62"/>
      <c r="BK627" s="62"/>
      <c r="BL627" s="62"/>
      <c r="BM627" s="62"/>
      <c r="BN627" s="62"/>
      <c r="BO627" s="62"/>
      <c r="BP627" s="62"/>
      <c r="BQ627" s="62"/>
      <c r="BR627" s="62"/>
      <c r="BS627" s="62"/>
      <c r="BT627" s="62"/>
      <c r="BU627" s="62"/>
      <c r="BV627" s="62"/>
      <c r="BW627" s="62"/>
      <c r="BX627" s="62"/>
      <c r="BY627" s="62"/>
      <c r="BZ627" s="62"/>
      <c r="CA627" s="62"/>
      <c r="CB627" s="62"/>
      <c r="CC627" s="62"/>
      <c r="CD627" s="62"/>
      <c r="CE627" s="62"/>
      <c r="CF627" s="62"/>
      <c r="CG627" s="62"/>
      <c r="CH627" s="62"/>
      <c r="CI627" s="62"/>
      <c r="CJ627" s="62"/>
      <c r="CK627" s="62"/>
      <c r="CL627" s="62"/>
      <c r="CM627" s="62"/>
      <c r="CN627" s="62"/>
      <c r="CO627" s="62"/>
      <c r="CP627" s="62"/>
      <c r="CQ627" s="62"/>
      <c r="CR627" s="62"/>
      <c r="CS627" s="62"/>
      <c r="CT627" s="62"/>
      <c r="CU627" s="62"/>
      <c r="CV627" s="62"/>
      <c r="CW627" s="62"/>
      <c r="CX627" s="62"/>
      <c r="CY627" s="62"/>
      <c r="CZ627" s="62"/>
      <c r="DA627" s="62"/>
      <c r="DB627" s="62"/>
      <c r="DC627" s="62"/>
      <c r="DD627" s="62"/>
      <c r="DE627" s="62"/>
      <c r="DF627" s="62"/>
      <c r="DG627" s="62"/>
      <c r="DH627" s="62"/>
      <c r="DI627" s="62"/>
      <c r="DJ627" s="62"/>
      <c r="DK627" s="62"/>
      <c r="DL627" s="62"/>
      <c r="DM627" s="62"/>
      <c r="DN627" s="62"/>
      <c r="DO627" s="62"/>
      <c r="DP627" s="62"/>
      <c r="DQ627" s="62"/>
      <c r="DR627" s="62"/>
      <c r="DS627" s="62"/>
      <c r="DT627" s="62"/>
      <c r="DU627" s="62"/>
      <c r="DV627" s="62"/>
      <c r="DW627" s="62"/>
      <c r="DX627" s="62"/>
      <c r="DY627" s="62"/>
      <c r="DZ627" s="62"/>
      <c r="EA627" s="62"/>
      <c r="EB627" s="62"/>
      <c r="EC627" s="62"/>
      <c r="ED627" s="62"/>
      <c r="EE627" s="62"/>
      <c r="EF627" s="62"/>
      <c r="EG627" s="62"/>
      <c r="EH627" s="62"/>
      <c r="EI627" s="62"/>
      <c r="EJ627" s="62"/>
      <c r="EK627" s="62"/>
      <c r="EL627" s="62"/>
      <c r="EM627" s="62"/>
      <c r="EN627" s="62"/>
      <c r="EO627" s="62"/>
      <c r="EP627" s="62"/>
      <c r="EQ627" s="62"/>
      <c r="ER627" s="62"/>
      <c r="ES627" s="62"/>
      <c r="ET627" s="62"/>
      <c r="EU627" s="62"/>
      <c r="EV627" s="62"/>
      <c r="EW627" s="62"/>
      <c r="EX627" s="62"/>
      <c r="EY627" s="62"/>
      <c r="EZ627" s="62"/>
      <c r="FA627" s="62"/>
      <c r="FB627" s="62"/>
      <c r="FC627" s="62"/>
      <c r="FD627" s="62"/>
      <c r="FE627" s="62"/>
      <c r="FF627" s="62"/>
      <c r="FG627" s="62"/>
      <c r="FH627" s="62"/>
      <c r="FI627" s="62"/>
      <c r="FJ627" s="62"/>
      <c r="FK627" s="62"/>
      <c r="FL627" s="62"/>
      <c r="FM627" s="62"/>
      <c r="FN627" s="62"/>
      <c r="FO627" s="62"/>
      <c r="FP627" s="62"/>
      <c r="FQ627" s="62"/>
      <c r="FR627" s="62"/>
      <c r="FS627" s="62"/>
      <c r="FT627" s="62"/>
      <c r="FU627" s="62"/>
      <c r="FV627" s="62"/>
    </row>
    <row r="628" spans="1:178" ht="13.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62"/>
      <c r="AZ628" s="62"/>
      <c r="BA628" s="62"/>
      <c r="BB628" s="62"/>
      <c r="BC628" s="62"/>
      <c r="BD628" s="62"/>
      <c r="BE628" s="62"/>
      <c r="BF628" s="62"/>
      <c r="BG628" s="62"/>
      <c r="BH628" s="62"/>
      <c r="BI628" s="62"/>
      <c r="BJ628" s="62"/>
      <c r="BK628" s="62"/>
      <c r="BL628" s="62"/>
      <c r="BM628" s="62"/>
      <c r="BN628" s="62"/>
      <c r="BO628" s="62"/>
      <c r="BP628" s="62"/>
      <c r="BQ628" s="62"/>
      <c r="BR628" s="62"/>
      <c r="BS628" s="62"/>
      <c r="BT628" s="62"/>
      <c r="BU628" s="62"/>
      <c r="BV628" s="62"/>
      <c r="BW628" s="62"/>
      <c r="BX628" s="62"/>
      <c r="BY628" s="62"/>
      <c r="BZ628" s="62"/>
      <c r="CA628" s="62"/>
      <c r="CB628" s="62"/>
      <c r="CC628" s="62"/>
      <c r="CD628" s="62"/>
      <c r="CE628" s="62"/>
      <c r="CF628" s="62"/>
      <c r="CG628" s="62"/>
      <c r="CH628" s="62"/>
      <c r="CI628" s="62"/>
      <c r="CJ628" s="62"/>
      <c r="CK628" s="62"/>
      <c r="CL628" s="62"/>
      <c r="CM628" s="62"/>
      <c r="CN628" s="62"/>
      <c r="CO628" s="62"/>
      <c r="CP628" s="62"/>
      <c r="CQ628" s="62"/>
      <c r="CR628" s="62"/>
      <c r="CS628" s="62"/>
      <c r="CT628" s="62"/>
      <c r="CU628" s="62"/>
      <c r="CV628" s="62"/>
      <c r="CW628" s="62"/>
      <c r="CX628" s="62"/>
      <c r="CY628" s="62"/>
      <c r="CZ628" s="62"/>
      <c r="DA628" s="62"/>
      <c r="DB628" s="62"/>
      <c r="DC628" s="62"/>
      <c r="DD628" s="62"/>
      <c r="DE628" s="62"/>
      <c r="DF628" s="62"/>
      <c r="DG628" s="62"/>
      <c r="DH628" s="62"/>
      <c r="DI628" s="62"/>
      <c r="DJ628" s="62"/>
      <c r="DK628" s="62"/>
      <c r="DL628" s="62"/>
      <c r="DM628" s="62"/>
      <c r="DN628" s="62"/>
      <c r="DO628" s="62"/>
      <c r="DP628" s="62"/>
      <c r="DQ628" s="62"/>
      <c r="DR628" s="62"/>
      <c r="DS628" s="62"/>
      <c r="DT628" s="62"/>
      <c r="DU628" s="62"/>
      <c r="DV628" s="62"/>
      <c r="DW628" s="62"/>
      <c r="DX628" s="62"/>
      <c r="DY628" s="62"/>
      <c r="DZ628" s="62"/>
      <c r="EA628" s="62"/>
      <c r="EB628" s="62"/>
      <c r="EC628" s="62"/>
      <c r="ED628" s="62"/>
      <c r="EE628" s="62"/>
      <c r="EF628" s="62"/>
      <c r="EG628" s="62"/>
      <c r="EH628" s="62"/>
      <c r="EI628" s="62"/>
      <c r="EJ628" s="62"/>
      <c r="EK628" s="62"/>
      <c r="EL628" s="62"/>
      <c r="EM628" s="62"/>
      <c r="EN628" s="62"/>
      <c r="EO628" s="62"/>
      <c r="EP628" s="62"/>
      <c r="EQ628" s="62"/>
      <c r="ER628" s="62"/>
      <c r="ES628" s="62"/>
      <c r="ET628" s="62"/>
      <c r="EU628" s="62"/>
      <c r="EV628" s="62"/>
      <c r="EW628" s="62"/>
      <c r="EX628" s="62"/>
      <c r="EY628" s="62"/>
      <c r="EZ628" s="62"/>
      <c r="FA628" s="62"/>
      <c r="FB628" s="62"/>
      <c r="FC628" s="62"/>
      <c r="FD628" s="62"/>
      <c r="FE628" s="62"/>
      <c r="FF628" s="62"/>
      <c r="FG628" s="62"/>
      <c r="FH628" s="62"/>
      <c r="FI628" s="62"/>
      <c r="FJ628" s="62"/>
      <c r="FK628" s="62"/>
      <c r="FL628" s="62"/>
      <c r="FM628" s="62"/>
      <c r="FN628" s="62"/>
      <c r="FO628" s="62"/>
      <c r="FP628" s="62"/>
      <c r="FQ628" s="62"/>
      <c r="FR628" s="62"/>
      <c r="FS628" s="62"/>
      <c r="FT628" s="62"/>
      <c r="FU628" s="62"/>
      <c r="FV628" s="62"/>
    </row>
    <row r="629" spans="1:178" ht="13.8">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62"/>
      <c r="AZ629" s="62"/>
      <c r="BA629" s="62"/>
      <c r="BB629" s="62"/>
      <c r="BC629" s="62"/>
      <c r="BD629" s="62"/>
      <c r="BE629" s="62"/>
      <c r="BF629" s="62"/>
      <c r="BG629" s="62"/>
      <c r="BH629" s="62"/>
      <c r="BI629" s="62"/>
      <c r="BJ629" s="62"/>
      <c r="BK629" s="62"/>
      <c r="BL629" s="62"/>
      <c r="BM629" s="62"/>
      <c r="BN629" s="62"/>
      <c r="BO629" s="62"/>
      <c r="BP629" s="62"/>
      <c r="BQ629" s="62"/>
      <c r="BR629" s="62"/>
      <c r="BS629" s="62"/>
      <c r="BT629" s="62"/>
      <c r="BU629" s="62"/>
      <c r="BV629" s="62"/>
      <c r="BW629" s="62"/>
      <c r="BX629" s="62"/>
      <c r="BY629" s="62"/>
      <c r="BZ629" s="62"/>
      <c r="CA629" s="62"/>
      <c r="CB629" s="62"/>
      <c r="CC629" s="62"/>
      <c r="CD629" s="62"/>
      <c r="CE629" s="62"/>
      <c r="CF629" s="62"/>
      <c r="CG629" s="62"/>
      <c r="CH629" s="62"/>
      <c r="CI629" s="62"/>
      <c r="CJ629" s="62"/>
      <c r="CK629" s="62"/>
      <c r="CL629" s="62"/>
      <c r="CM629" s="62"/>
      <c r="CN629" s="62"/>
      <c r="CO629" s="62"/>
      <c r="CP629" s="62"/>
      <c r="CQ629" s="62"/>
      <c r="CR629" s="62"/>
      <c r="CS629" s="62"/>
      <c r="CT629" s="62"/>
      <c r="CU629" s="62"/>
      <c r="CV629" s="62"/>
      <c r="CW629" s="62"/>
      <c r="CX629" s="62"/>
      <c r="CY629" s="62"/>
      <c r="CZ629" s="62"/>
      <c r="DA629" s="62"/>
      <c r="DB629" s="62"/>
      <c r="DC629" s="62"/>
      <c r="DD629" s="62"/>
      <c r="DE629" s="62"/>
      <c r="DF629" s="62"/>
      <c r="DG629" s="62"/>
      <c r="DH629" s="62"/>
      <c r="DI629" s="62"/>
      <c r="DJ629" s="62"/>
      <c r="DK629" s="62"/>
      <c r="DL629" s="62"/>
      <c r="DM629" s="62"/>
      <c r="DN629" s="62"/>
      <c r="DO629" s="62"/>
      <c r="DP629" s="62"/>
      <c r="DQ629" s="62"/>
      <c r="DR629" s="62"/>
      <c r="DS629" s="62"/>
      <c r="DT629" s="62"/>
      <c r="DU629" s="62"/>
      <c r="DV629" s="62"/>
      <c r="DW629" s="62"/>
      <c r="DX629" s="62"/>
      <c r="DY629" s="62"/>
      <c r="DZ629" s="62"/>
      <c r="EA629" s="62"/>
      <c r="EB629" s="62"/>
      <c r="EC629" s="62"/>
      <c r="ED629" s="62"/>
      <c r="EE629" s="62"/>
      <c r="EF629" s="62"/>
      <c r="EG629" s="62"/>
      <c r="EH629" s="62"/>
      <c r="EI629" s="62"/>
      <c r="EJ629" s="62"/>
      <c r="EK629" s="62"/>
      <c r="EL629" s="62"/>
      <c r="EM629" s="62"/>
      <c r="EN629" s="62"/>
      <c r="EO629" s="62"/>
      <c r="EP629" s="62"/>
      <c r="EQ629" s="62"/>
      <c r="ER629" s="62"/>
      <c r="ES629" s="62"/>
      <c r="ET629" s="62"/>
      <c r="EU629" s="62"/>
      <c r="EV629" s="62"/>
      <c r="EW629" s="62"/>
      <c r="EX629" s="62"/>
      <c r="EY629" s="62"/>
      <c r="EZ629" s="62"/>
      <c r="FA629" s="62"/>
      <c r="FB629" s="62"/>
      <c r="FC629" s="62"/>
      <c r="FD629" s="62"/>
      <c r="FE629" s="62"/>
      <c r="FF629" s="62"/>
      <c r="FG629" s="62"/>
      <c r="FH629" s="62"/>
      <c r="FI629" s="62"/>
      <c r="FJ629" s="62"/>
      <c r="FK629" s="62"/>
      <c r="FL629" s="62"/>
      <c r="FM629" s="62"/>
      <c r="FN629" s="62"/>
      <c r="FO629" s="62"/>
      <c r="FP629" s="62"/>
      <c r="FQ629" s="62"/>
      <c r="FR629" s="62"/>
      <c r="FS629" s="62"/>
      <c r="FT629" s="62"/>
      <c r="FU629" s="62"/>
      <c r="FV629" s="62"/>
    </row>
    <row r="630" spans="1:178" ht="13.8">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c r="AY630" s="62"/>
      <c r="AZ630" s="62"/>
      <c r="BA630" s="62"/>
      <c r="BB630" s="62"/>
      <c r="BC630" s="62"/>
      <c r="BD630" s="62"/>
      <c r="BE630" s="62"/>
      <c r="BF630" s="62"/>
      <c r="BG630" s="62"/>
      <c r="BH630" s="62"/>
      <c r="BI630" s="62"/>
      <c r="BJ630" s="62"/>
      <c r="BK630" s="62"/>
      <c r="BL630" s="62"/>
      <c r="BM630" s="62"/>
      <c r="BN630" s="62"/>
      <c r="BO630" s="62"/>
      <c r="BP630" s="62"/>
      <c r="BQ630" s="62"/>
      <c r="BR630" s="62"/>
      <c r="BS630" s="62"/>
      <c r="BT630" s="62"/>
      <c r="BU630" s="62"/>
      <c r="BV630" s="62"/>
      <c r="BW630" s="62"/>
      <c r="BX630" s="62"/>
      <c r="BY630" s="62"/>
      <c r="BZ630" s="62"/>
      <c r="CA630" s="62"/>
      <c r="CB630" s="62"/>
      <c r="CC630" s="62"/>
      <c r="CD630" s="62"/>
      <c r="CE630" s="62"/>
      <c r="CF630" s="62"/>
      <c r="CG630" s="62"/>
      <c r="CH630" s="62"/>
      <c r="CI630" s="62"/>
      <c r="CJ630" s="62"/>
      <c r="CK630" s="62"/>
      <c r="CL630" s="62"/>
      <c r="CM630" s="62"/>
      <c r="CN630" s="62"/>
      <c r="CO630" s="62"/>
      <c r="CP630" s="62"/>
      <c r="CQ630" s="62"/>
      <c r="CR630" s="62"/>
      <c r="CS630" s="62"/>
      <c r="CT630" s="62"/>
      <c r="CU630" s="62"/>
      <c r="CV630" s="62"/>
      <c r="CW630" s="62"/>
      <c r="CX630" s="62"/>
      <c r="CY630" s="62"/>
      <c r="CZ630" s="62"/>
      <c r="DA630" s="62"/>
      <c r="DB630" s="62"/>
      <c r="DC630" s="62"/>
      <c r="DD630" s="62"/>
      <c r="DE630" s="62"/>
      <c r="DF630" s="62"/>
      <c r="DG630" s="62"/>
      <c r="DH630" s="62"/>
      <c r="DI630" s="62"/>
      <c r="DJ630" s="62"/>
      <c r="DK630" s="62"/>
      <c r="DL630" s="62"/>
      <c r="DM630" s="62"/>
      <c r="DN630" s="62"/>
      <c r="DO630" s="62"/>
      <c r="DP630" s="62"/>
      <c r="DQ630" s="62"/>
      <c r="DR630" s="62"/>
      <c r="DS630" s="62"/>
      <c r="DT630" s="62"/>
      <c r="DU630" s="62"/>
      <c r="DV630" s="62"/>
      <c r="DW630" s="62"/>
      <c r="DX630" s="62"/>
      <c r="DY630" s="62"/>
      <c r="DZ630" s="62"/>
      <c r="EA630" s="62"/>
      <c r="EB630" s="62"/>
      <c r="EC630" s="62"/>
      <c r="ED630" s="62"/>
      <c r="EE630" s="62"/>
      <c r="EF630" s="62"/>
      <c r="EG630" s="62"/>
      <c r="EH630" s="62"/>
      <c r="EI630" s="62"/>
      <c r="EJ630" s="62"/>
      <c r="EK630" s="62"/>
      <c r="EL630" s="62"/>
      <c r="EM630" s="62"/>
      <c r="EN630" s="62"/>
      <c r="EO630" s="62"/>
      <c r="EP630" s="62"/>
      <c r="EQ630" s="62"/>
      <c r="ER630" s="62"/>
      <c r="ES630" s="62"/>
      <c r="ET630" s="62"/>
      <c r="EU630" s="62"/>
      <c r="EV630" s="62"/>
      <c r="EW630" s="62"/>
      <c r="EX630" s="62"/>
      <c r="EY630" s="62"/>
      <c r="EZ630" s="62"/>
      <c r="FA630" s="62"/>
      <c r="FB630" s="62"/>
      <c r="FC630" s="62"/>
      <c r="FD630" s="62"/>
      <c r="FE630" s="62"/>
      <c r="FF630" s="62"/>
      <c r="FG630" s="62"/>
      <c r="FH630" s="62"/>
      <c r="FI630" s="62"/>
      <c r="FJ630" s="62"/>
      <c r="FK630" s="62"/>
      <c r="FL630" s="62"/>
      <c r="FM630" s="62"/>
      <c r="FN630" s="62"/>
      <c r="FO630" s="62"/>
      <c r="FP630" s="62"/>
      <c r="FQ630" s="62"/>
      <c r="FR630" s="62"/>
      <c r="FS630" s="62"/>
      <c r="FT630" s="62"/>
      <c r="FU630" s="62"/>
      <c r="FV630" s="62"/>
    </row>
    <row r="631" spans="1:178" ht="13.8">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c r="AY631" s="62"/>
      <c r="AZ631" s="62"/>
      <c r="BA631" s="62"/>
      <c r="BB631" s="62"/>
      <c r="BC631" s="62"/>
      <c r="BD631" s="62"/>
      <c r="BE631" s="62"/>
      <c r="BF631" s="62"/>
      <c r="BG631" s="62"/>
      <c r="BH631" s="62"/>
      <c r="BI631" s="62"/>
      <c r="BJ631" s="62"/>
      <c r="BK631" s="62"/>
      <c r="BL631" s="62"/>
      <c r="BM631" s="62"/>
      <c r="BN631" s="62"/>
      <c r="BO631" s="62"/>
      <c r="BP631" s="62"/>
      <c r="BQ631" s="62"/>
      <c r="BR631" s="62"/>
      <c r="BS631" s="62"/>
      <c r="BT631" s="62"/>
      <c r="BU631" s="62"/>
      <c r="BV631" s="62"/>
      <c r="BW631" s="62"/>
      <c r="BX631" s="62"/>
      <c r="BY631" s="62"/>
      <c r="BZ631" s="62"/>
      <c r="CA631" s="62"/>
      <c r="CB631" s="62"/>
      <c r="CC631" s="62"/>
      <c r="CD631" s="62"/>
      <c r="CE631" s="62"/>
      <c r="CF631" s="62"/>
      <c r="CG631" s="62"/>
      <c r="CH631" s="62"/>
      <c r="CI631" s="62"/>
      <c r="CJ631" s="62"/>
      <c r="CK631" s="62"/>
      <c r="CL631" s="62"/>
      <c r="CM631" s="62"/>
      <c r="CN631" s="62"/>
      <c r="CO631" s="62"/>
      <c r="CP631" s="62"/>
      <c r="CQ631" s="62"/>
      <c r="CR631" s="62"/>
      <c r="CS631" s="62"/>
      <c r="CT631" s="62"/>
      <c r="CU631" s="62"/>
      <c r="CV631" s="62"/>
      <c r="CW631" s="62"/>
      <c r="CX631" s="62"/>
      <c r="CY631" s="62"/>
      <c r="CZ631" s="62"/>
      <c r="DA631" s="62"/>
      <c r="DB631" s="62"/>
      <c r="DC631" s="62"/>
      <c r="DD631" s="62"/>
      <c r="DE631" s="62"/>
      <c r="DF631" s="62"/>
      <c r="DG631" s="62"/>
      <c r="DH631" s="62"/>
      <c r="DI631" s="62"/>
      <c r="DJ631" s="62"/>
      <c r="DK631" s="62"/>
      <c r="DL631" s="62"/>
      <c r="DM631" s="62"/>
      <c r="DN631" s="62"/>
      <c r="DO631" s="62"/>
      <c r="DP631" s="62"/>
      <c r="DQ631" s="62"/>
      <c r="DR631" s="62"/>
      <c r="DS631" s="62"/>
      <c r="DT631" s="62"/>
      <c r="DU631" s="62"/>
      <c r="DV631" s="62"/>
      <c r="DW631" s="62"/>
      <c r="DX631" s="62"/>
      <c r="DY631" s="62"/>
      <c r="DZ631" s="62"/>
      <c r="EA631" s="62"/>
      <c r="EB631" s="62"/>
      <c r="EC631" s="62"/>
      <c r="ED631" s="62"/>
      <c r="EE631" s="62"/>
      <c r="EF631" s="62"/>
      <c r="EG631" s="62"/>
      <c r="EH631" s="62"/>
      <c r="EI631" s="62"/>
      <c r="EJ631" s="62"/>
      <c r="EK631" s="62"/>
      <c r="EL631" s="62"/>
      <c r="EM631" s="62"/>
      <c r="EN631" s="62"/>
      <c r="EO631" s="62"/>
      <c r="EP631" s="62"/>
      <c r="EQ631" s="62"/>
      <c r="ER631" s="62"/>
      <c r="ES631" s="62"/>
      <c r="ET631" s="62"/>
      <c r="EU631" s="62"/>
      <c r="EV631" s="62"/>
      <c r="EW631" s="62"/>
      <c r="EX631" s="62"/>
      <c r="EY631" s="62"/>
      <c r="EZ631" s="62"/>
      <c r="FA631" s="62"/>
      <c r="FB631" s="62"/>
      <c r="FC631" s="62"/>
      <c r="FD631" s="62"/>
      <c r="FE631" s="62"/>
      <c r="FF631" s="62"/>
      <c r="FG631" s="62"/>
      <c r="FH631" s="62"/>
      <c r="FI631" s="62"/>
      <c r="FJ631" s="62"/>
      <c r="FK631" s="62"/>
      <c r="FL631" s="62"/>
      <c r="FM631" s="62"/>
      <c r="FN631" s="62"/>
      <c r="FO631" s="62"/>
      <c r="FP631" s="62"/>
      <c r="FQ631" s="62"/>
      <c r="FR631" s="62"/>
      <c r="FS631" s="62"/>
      <c r="FT631" s="62"/>
      <c r="FU631" s="62"/>
      <c r="FV631" s="62"/>
    </row>
    <row r="632" spans="1:178" ht="13.8">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c r="AY632" s="62"/>
      <c r="AZ632" s="62"/>
      <c r="BA632" s="62"/>
      <c r="BB632" s="62"/>
      <c r="BC632" s="62"/>
      <c r="BD632" s="62"/>
      <c r="BE632" s="62"/>
      <c r="BF632" s="62"/>
      <c r="BG632" s="62"/>
      <c r="BH632" s="62"/>
      <c r="BI632" s="62"/>
      <c r="BJ632" s="62"/>
      <c r="BK632" s="62"/>
      <c r="BL632" s="62"/>
      <c r="BM632" s="62"/>
      <c r="BN632" s="62"/>
      <c r="BO632" s="62"/>
      <c r="BP632" s="62"/>
      <c r="BQ632" s="62"/>
      <c r="BR632" s="62"/>
      <c r="BS632" s="62"/>
      <c r="BT632" s="62"/>
      <c r="BU632" s="62"/>
      <c r="BV632" s="62"/>
      <c r="BW632" s="62"/>
      <c r="BX632" s="62"/>
      <c r="BY632" s="62"/>
      <c r="BZ632" s="62"/>
      <c r="CA632" s="62"/>
      <c r="CB632" s="62"/>
      <c r="CC632" s="62"/>
      <c r="CD632" s="62"/>
      <c r="CE632" s="62"/>
      <c r="CF632" s="62"/>
      <c r="CG632" s="62"/>
      <c r="CH632" s="62"/>
      <c r="CI632" s="62"/>
      <c r="CJ632" s="62"/>
      <c r="CK632" s="62"/>
      <c r="CL632" s="62"/>
      <c r="CM632" s="62"/>
      <c r="CN632" s="62"/>
      <c r="CO632" s="62"/>
      <c r="CP632" s="62"/>
      <c r="CQ632" s="62"/>
      <c r="CR632" s="62"/>
      <c r="CS632" s="62"/>
      <c r="CT632" s="62"/>
      <c r="CU632" s="62"/>
      <c r="CV632" s="62"/>
      <c r="CW632" s="62"/>
      <c r="CX632" s="62"/>
      <c r="CY632" s="62"/>
      <c r="CZ632" s="62"/>
      <c r="DA632" s="62"/>
      <c r="DB632" s="62"/>
      <c r="DC632" s="62"/>
      <c r="DD632" s="62"/>
      <c r="DE632" s="62"/>
      <c r="DF632" s="62"/>
      <c r="DG632" s="62"/>
      <c r="DH632" s="62"/>
      <c r="DI632" s="62"/>
      <c r="DJ632" s="62"/>
      <c r="DK632" s="62"/>
      <c r="DL632" s="62"/>
      <c r="DM632" s="62"/>
      <c r="DN632" s="62"/>
      <c r="DO632" s="62"/>
      <c r="DP632" s="62"/>
      <c r="DQ632" s="62"/>
      <c r="DR632" s="62"/>
      <c r="DS632" s="62"/>
      <c r="DT632" s="62"/>
      <c r="DU632" s="62"/>
      <c r="DV632" s="62"/>
      <c r="DW632" s="62"/>
      <c r="DX632" s="62"/>
      <c r="DY632" s="62"/>
      <c r="DZ632" s="62"/>
      <c r="EA632" s="62"/>
      <c r="EB632" s="62"/>
      <c r="EC632" s="62"/>
      <c r="ED632" s="62"/>
      <c r="EE632" s="62"/>
      <c r="EF632" s="62"/>
      <c r="EG632" s="62"/>
      <c r="EH632" s="62"/>
      <c r="EI632" s="62"/>
      <c r="EJ632" s="62"/>
      <c r="EK632" s="62"/>
      <c r="EL632" s="62"/>
      <c r="EM632" s="62"/>
      <c r="EN632" s="62"/>
      <c r="EO632" s="62"/>
      <c r="EP632" s="62"/>
      <c r="EQ632" s="62"/>
      <c r="ER632" s="62"/>
      <c r="ES632" s="62"/>
      <c r="ET632" s="62"/>
      <c r="EU632" s="62"/>
      <c r="EV632" s="62"/>
      <c r="EW632" s="62"/>
      <c r="EX632" s="62"/>
      <c r="EY632" s="62"/>
      <c r="EZ632" s="62"/>
      <c r="FA632" s="62"/>
      <c r="FB632" s="62"/>
      <c r="FC632" s="62"/>
      <c r="FD632" s="62"/>
      <c r="FE632" s="62"/>
      <c r="FF632" s="62"/>
      <c r="FG632" s="62"/>
      <c r="FH632" s="62"/>
      <c r="FI632" s="62"/>
      <c r="FJ632" s="62"/>
      <c r="FK632" s="62"/>
      <c r="FL632" s="62"/>
      <c r="FM632" s="62"/>
      <c r="FN632" s="62"/>
      <c r="FO632" s="62"/>
      <c r="FP632" s="62"/>
      <c r="FQ632" s="62"/>
      <c r="FR632" s="62"/>
      <c r="FS632" s="62"/>
      <c r="FT632" s="62"/>
      <c r="FU632" s="62"/>
      <c r="FV632" s="62"/>
    </row>
    <row r="633" spans="1:178" ht="13.8">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c r="AY633" s="62"/>
      <c r="AZ633" s="62"/>
      <c r="BA633" s="62"/>
      <c r="BB633" s="62"/>
      <c r="BC633" s="62"/>
      <c r="BD633" s="62"/>
      <c r="BE633" s="62"/>
      <c r="BF633" s="62"/>
      <c r="BG633" s="62"/>
      <c r="BH633" s="62"/>
      <c r="BI633" s="62"/>
      <c r="BJ633" s="62"/>
      <c r="BK633" s="62"/>
      <c r="BL633" s="62"/>
      <c r="BM633" s="62"/>
      <c r="BN633" s="62"/>
      <c r="BO633" s="62"/>
      <c r="BP633" s="62"/>
      <c r="BQ633" s="62"/>
      <c r="BR633" s="62"/>
      <c r="BS633" s="62"/>
      <c r="BT633" s="62"/>
      <c r="BU633" s="62"/>
      <c r="BV633" s="62"/>
      <c r="BW633" s="62"/>
      <c r="BX633" s="62"/>
      <c r="BY633" s="62"/>
      <c r="BZ633" s="62"/>
      <c r="CA633" s="62"/>
      <c r="CB633" s="62"/>
      <c r="CC633" s="62"/>
      <c r="CD633" s="62"/>
      <c r="CE633" s="62"/>
      <c r="CF633" s="62"/>
      <c r="CG633" s="62"/>
      <c r="CH633" s="62"/>
      <c r="CI633" s="62"/>
      <c r="CJ633" s="62"/>
      <c r="CK633" s="62"/>
      <c r="CL633" s="62"/>
      <c r="CM633" s="62"/>
      <c r="CN633" s="62"/>
      <c r="CO633" s="62"/>
      <c r="CP633" s="62"/>
      <c r="CQ633" s="62"/>
      <c r="CR633" s="62"/>
      <c r="CS633" s="62"/>
      <c r="CT633" s="62"/>
      <c r="CU633" s="62"/>
      <c r="CV633" s="62"/>
      <c r="CW633" s="62"/>
      <c r="CX633" s="62"/>
      <c r="CY633" s="62"/>
      <c r="CZ633" s="62"/>
      <c r="DA633" s="62"/>
      <c r="DB633" s="62"/>
      <c r="DC633" s="62"/>
      <c r="DD633" s="62"/>
      <c r="DE633" s="62"/>
      <c r="DF633" s="62"/>
      <c r="DG633" s="62"/>
      <c r="DH633" s="62"/>
      <c r="DI633" s="62"/>
      <c r="DJ633" s="62"/>
      <c r="DK633" s="62"/>
      <c r="DL633" s="62"/>
      <c r="DM633" s="62"/>
      <c r="DN633" s="62"/>
      <c r="DO633" s="62"/>
      <c r="DP633" s="62"/>
      <c r="DQ633" s="62"/>
      <c r="DR633" s="62"/>
      <c r="DS633" s="62"/>
      <c r="DT633" s="62"/>
      <c r="DU633" s="62"/>
      <c r="DV633" s="62"/>
      <c r="DW633" s="62"/>
      <c r="DX633" s="62"/>
      <c r="DY633" s="62"/>
      <c r="DZ633" s="62"/>
      <c r="EA633" s="62"/>
      <c r="EB633" s="62"/>
      <c r="EC633" s="62"/>
      <c r="ED633" s="62"/>
      <c r="EE633" s="62"/>
      <c r="EF633" s="62"/>
      <c r="EG633" s="62"/>
      <c r="EH633" s="62"/>
      <c r="EI633" s="62"/>
      <c r="EJ633" s="62"/>
      <c r="EK633" s="62"/>
      <c r="EL633" s="62"/>
      <c r="EM633" s="62"/>
      <c r="EN633" s="62"/>
      <c r="EO633" s="62"/>
      <c r="EP633" s="62"/>
      <c r="EQ633" s="62"/>
      <c r="ER633" s="62"/>
      <c r="ES633" s="62"/>
      <c r="ET633" s="62"/>
      <c r="EU633" s="62"/>
      <c r="EV633" s="62"/>
      <c r="EW633" s="62"/>
      <c r="EX633" s="62"/>
      <c r="EY633" s="62"/>
      <c r="EZ633" s="62"/>
      <c r="FA633" s="62"/>
      <c r="FB633" s="62"/>
      <c r="FC633" s="62"/>
      <c r="FD633" s="62"/>
      <c r="FE633" s="62"/>
      <c r="FF633" s="62"/>
      <c r="FG633" s="62"/>
      <c r="FH633" s="62"/>
      <c r="FI633" s="62"/>
      <c r="FJ633" s="62"/>
      <c r="FK633" s="62"/>
      <c r="FL633" s="62"/>
      <c r="FM633" s="62"/>
      <c r="FN633" s="62"/>
      <c r="FO633" s="62"/>
      <c r="FP633" s="62"/>
      <c r="FQ633" s="62"/>
      <c r="FR633" s="62"/>
      <c r="FS633" s="62"/>
      <c r="FT633" s="62"/>
      <c r="FU633" s="62"/>
      <c r="FV633" s="62"/>
    </row>
    <row r="634" spans="1:178" ht="13.8">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c r="AY634" s="62"/>
      <c r="AZ634" s="62"/>
      <c r="BA634" s="62"/>
      <c r="BB634" s="62"/>
      <c r="BC634" s="62"/>
      <c r="BD634" s="62"/>
      <c r="BE634" s="62"/>
      <c r="BF634" s="62"/>
      <c r="BG634" s="62"/>
      <c r="BH634" s="62"/>
      <c r="BI634" s="62"/>
      <c r="BJ634" s="62"/>
      <c r="BK634" s="62"/>
      <c r="BL634" s="62"/>
      <c r="BM634" s="62"/>
      <c r="BN634" s="62"/>
      <c r="BO634" s="62"/>
      <c r="BP634" s="62"/>
      <c r="BQ634" s="62"/>
      <c r="BR634" s="62"/>
      <c r="BS634" s="62"/>
      <c r="BT634" s="62"/>
      <c r="BU634" s="62"/>
      <c r="BV634" s="62"/>
      <c r="BW634" s="62"/>
      <c r="BX634" s="62"/>
      <c r="BY634" s="62"/>
      <c r="BZ634" s="62"/>
      <c r="CA634" s="62"/>
      <c r="CB634" s="62"/>
      <c r="CC634" s="62"/>
      <c r="CD634" s="62"/>
      <c r="CE634" s="62"/>
      <c r="CF634" s="62"/>
      <c r="CG634" s="62"/>
      <c r="CH634" s="62"/>
      <c r="CI634" s="62"/>
      <c r="CJ634" s="62"/>
      <c r="CK634" s="62"/>
      <c r="CL634" s="62"/>
      <c r="CM634" s="62"/>
      <c r="CN634" s="62"/>
      <c r="CO634" s="62"/>
      <c r="CP634" s="62"/>
      <c r="CQ634" s="62"/>
      <c r="CR634" s="62"/>
      <c r="CS634" s="62"/>
      <c r="CT634" s="62"/>
      <c r="CU634" s="62"/>
      <c r="CV634" s="62"/>
      <c r="CW634" s="62"/>
      <c r="CX634" s="62"/>
      <c r="CY634" s="62"/>
      <c r="CZ634" s="62"/>
      <c r="DA634" s="62"/>
      <c r="DB634" s="62"/>
      <c r="DC634" s="62"/>
      <c r="DD634" s="62"/>
      <c r="DE634" s="62"/>
      <c r="DF634" s="62"/>
      <c r="DG634" s="62"/>
      <c r="DH634" s="62"/>
      <c r="DI634" s="62"/>
      <c r="DJ634" s="62"/>
      <c r="DK634" s="62"/>
      <c r="DL634" s="62"/>
      <c r="DM634" s="62"/>
      <c r="DN634" s="62"/>
      <c r="DO634" s="62"/>
      <c r="DP634" s="62"/>
      <c r="DQ634" s="62"/>
      <c r="DR634" s="62"/>
      <c r="DS634" s="62"/>
      <c r="DT634" s="62"/>
      <c r="DU634" s="62"/>
      <c r="DV634" s="62"/>
      <c r="DW634" s="62"/>
      <c r="DX634" s="62"/>
      <c r="DY634" s="62"/>
      <c r="DZ634" s="62"/>
      <c r="EA634" s="62"/>
      <c r="EB634" s="62"/>
      <c r="EC634" s="62"/>
      <c r="ED634" s="62"/>
      <c r="EE634" s="62"/>
      <c r="EF634" s="62"/>
      <c r="EG634" s="62"/>
      <c r="EH634" s="62"/>
      <c r="EI634" s="62"/>
      <c r="EJ634" s="62"/>
      <c r="EK634" s="62"/>
      <c r="EL634" s="62"/>
      <c r="EM634" s="62"/>
      <c r="EN634" s="62"/>
      <c r="EO634" s="62"/>
      <c r="EP634" s="62"/>
      <c r="EQ634" s="62"/>
      <c r="ER634" s="62"/>
      <c r="ES634" s="62"/>
      <c r="ET634" s="62"/>
      <c r="EU634" s="62"/>
      <c r="EV634" s="62"/>
      <c r="EW634" s="62"/>
      <c r="EX634" s="62"/>
      <c r="EY634" s="62"/>
      <c r="EZ634" s="62"/>
      <c r="FA634" s="62"/>
      <c r="FB634" s="62"/>
      <c r="FC634" s="62"/>
      <c r="FD634" s="62"/>
      <c r="FE634" s="62"/>
      <c r="FF634" s="62"/>
      <c r="FG634" s="62"/>
      <c r="FH634" s="62"/>
      <c r="FI634" s="62"/>
      <c r="FJ634" s="62"/>
      <c r="FK634" s="62"/>
      <c r="FL634" s="62"/>
      <c r="FM634" s="62"/>
      <c r="FN634" s="62"/>
      <c r="FO634" s="62"/>
      <c r="FP634" s="62"/>
      <c r="FQ634" s="62"/>
      <c r="FR634" s="62"/>
      <c r="FS634" s="62"/>
      <c r="FT634" s="62"/>
      <c r="FU634" s="62"/>
      <c r="FV634" s="62"/>
    </row>
    <row r="635" spans="1:178" ht="13.8">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62"/>
      <c r="AZ635" s="62"/>
      <c r="BA635" s="62"/>
      <c r="BB635" s="62"/>
      <c r="BC635" s="62"/>
      <c r="BD635" s="62"/>
      <c r="BE635" s="62"/>
      <c r="BF635" s="62"/>
      <c r="BG635" s="62"/>
      <c r="BH635" s="62"/>
      <c r="BI635" s="62"/>
      <c r="BJ635" s="62"/>
      <c r="BK635" s="62"/>
      <c r="BL635" s="62"/>
      <c r="BM635" s="62"/>
      <c r="BN635" s="62"/>
      <c r="BO635" s="62"/>
      <c r="BP635" s="62"/>
      <c r="BQ635" s="62"/>
      <c r="BR635" s="62"/>
      <c r="BS635" s="62"/>
      <c r="BT635" s="62"/>
      <c r="BU635" s="62"/>
      <c r="BV635" s="62"/>
      <c r="BW635" s="62"/>
      <c r="BX635" s="62"/>
      <c r="BY635" s="62"/>
      <c r="BZ635" s="62"/>
      <c r="CA635" s="62"/>
      <c r="CB635" s="62"/>
      <c r="CC635" s="62"/>
      <c r="CD635" s="62"/>
      <c r="CE635" s="62"/>
      <c r="CF635" s="62"/>
      <c r="CG635" s="62"/>
      <c r="CH635" s="62"/>
      <c r="CI635" s="62"/>
      <c r="CJ635" s="62"/>
      <c r="CK635" s="62"/>
      <c r="CL635" s="62"/>
      <c r="CM635" s="62"/>
      <c r="CN635" s="62"/>
      <c r="CO635" s="62"/>
      <c r="CP635" s="62"/>
      <c r="CQ635" s="62"/>
      <c r="CR635" s="62"/>
      <c r="CS635" s="62"/>
      <c r="CT635" s="62"/>
      <c r="CU635" s="62"/>
      <c r="CV635" s="62"/>
      <c r="CW635" s="62"/>
      <c r="CX635" s="62"/>
      <c r="CY635" s="62"/>
      <c r="CZ635" s="62"/>
      <c r="DA635" s="62"/>
      <c r="DB635" s="62"/>
      <c r="DC635" s="62"/>
      <c r="DD635" s="62"/>
      <c r="DE635" s="62"/>
      <c r="DF635" s="62"/>
      <c r="DG635" s="62"/>
      <c r="DH635" s="62"/>
      <c r="DI635" s="62"/>
      <c r="DJ635" s="62"/>
      <c r="DK635" s="62"/>
      <c r="DL635" s="62"/>
      <c r="DM635" s="62"/>
      <c r="DN635" s="62"/>
      <c r="DO635" s="62"/>
      <c r="DP635" s="62"/>
      <c r="DQ635" s="62"/>
      <c r="DR635" s="62"/>
      <c r="DS635" s="62"/>
      <c r="DT635" s="62"/>
      <c r="DU635" s="62"/>
      <c r="DV635" s="62"/>
      <c r="DW635" s="62"/>
      <c r="DX635" s="62"/>
      <c r="DY635" s="62"/>
      <c r="DZ635" s="62"/>
      <c r="EA635" s="62"/>
      <c r="EB635" s="62"/>
      <c r="EC635" s="62"/>
      <c r="ED635" s="62"/>
      <c r="EE635" s="62"/>
      <c r="EF635" s="62"/>
      <c r="EG635" s="62"/>
      <c r="EH635" s="62"/>
      <c r="EI635" s="62"/>
      <c r="EJ635" s="62"/>
      <c r="EK635" s="62"/>
      <c r="EL635" s="62"/>
      <c r="EM635" s="62"/>
      <c r="EN635" s="62"/>
      <c r="EO635" s="62"/>
      <c r="EP635" s="62"/>
      <c r="EQ635" s="62"/>
      <c r="ER635" s="62"/>
      <c r="ES635" s="62"/>
      <c r="ET635" s="62"/>
      <c r="EU635" s="62"/>
      <c r="EV635" s="62"/>
      <c r="EW635" s="62"/>
      <c r="EX635" s="62"/>
      <c r="EY635" s="62"/>
      <c r="EZ635" s="62"/>
      <c r="FA635" s="62"/>
      <c r="FB635" s="62"/>
      <c r="FC635" s="62"/>
      <c r="FD635" s="62"/>
      <c r="FE635" s="62"/>
      <c r="FF635" s="62"/>
      <c r="FG635" s="62"/>
      <c r="FH635" s="62"/>
      <c r="FI635" s="62"/>
      <c r="FJ635" s="62"/>
      <c r="FK635" s="62"/>
      <c r="FL635" s="62"/>
      <c r="FM635" s="62"/>
      <c r="FN635" s="62"/>
      <c r="FO635" s="62"/>
      <c r="FP635" s="62"/>
      <c r="FQ635" s="62"/>
      <c r="FR635" s="62"/>
      <c r="FS635" s="62"/>
      <c r="FT635" s="62"/>
      <c r="FU635" s="62"/>
      <c r="FV635" s="62"/>
    </row>
    <row r="636" spans="1:178" ht="13.8">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c r="AY636" s="62"/>
      <c r="AZ636" s="62"/>
      <c r="BA636" s="62"/>
      <c r="BB636" s="62"/>
      <c r="BC636" s="62"/>
      <c r="BD636" s="62"/>
      <c r="BE636" s="62"/>
      <c r="BF636" s="62"/>
      <c r="BG636" s="62"/>
      <c r="BH636" s="62"/>
      <c r="BI636" s="62"/>
      <c r="BJ636" s="62"/>
      <c r="BK636" s="62"/>
      <c r="BL636" s="62"/>
      <c r="BM636" s="62"/>
      <c r="BN636" s="62"/>
      <c r="BO636" s="62"/>
      <c r="BP636" s="62"/>
      <c r="BQ636" s="62"/>
      <c r="BR636" s="62"/>
      <c r="BS636" s="62"/>
      <c r="BT636" s="62"/>
      <c r="BU636" s="62"/>
      <c r="BV636" s="62"/>
      <c r="BW636" s="62"/>
      <c r="BX636" s="62"/>
      <c r="BY636" s="62"/>
      <c r="BZ636" s="62"/>
      <c r="CA636" s="62"/>
      <c r="CB636" s="62"/>
      <c r="CC636" s="62"/>
      <c r="CD636" s="62"/>
      <c r="CE636" s="62"/>
      <c r="CF636" s="62"/>
      <c r="CG636" s="62"/>
      <c r="CH636" s="62"/>
      <c r="CI636" s="62"/>
      <c r="CJ636" s="62"/>
      <c r="CK636" s="62"/>
      <c r="CL636" s="62"/>
      <c r="CM636" s="62"/>
      <c r="CN636" s="62"/>
      <c r="CO636" s="62"/>
      <c r="CP636" s="62"/>
      <c r="CQ636" s="62"/>
      <c r="CR636" s="62"/>
      <c r="CS636" s="62"/>
      <c r="CT636" s="62"/>
      <c r="CU636" s="62"/>
      <c r="CV636" s="62"/>
      <c r="CW636" s="62"/>
      <c r="CX636" s="62"/>
      <c r="CY636" s="62"/>
      <c r="CZ636" s="62"/>
      <c r="DA636" s="62"/>
      <c r="DB636" s="62"/>
      <c r="DC636" s="62"/>
      <c r="DD636" s="62"/>
      <c r="DE636" s="62"/>
      <c r="DF636" s="62"/>
      <c r="DG636" s="62"/>
      <c r="DH636" s="62"/>
      <c r="DI636" s="62"/>
      <c r="DJ636" s="62"/>
      <c r="DK636" s="62"/>
      <c r="DL636" s="62"/>
      <c r="DM636" s="62"/>
      <c r="DN636" s="62"/>
      <c r="DO636" s="62"/>
      <c r="DP636" s="62"/>
      <c r="DQ636" s="62"/>
      <c r="DR636" s="62"/>
      <c r="DS636" s="62"/>
      <c r="DT636" s="62"/>
      <c r="DU636" s="62"/>
      <c r="DV636" s="62"/>
      <c r="DW636" s="62"/>
      <c r="DX636" s="62"/>
      <c r="DY636" s="62"/>
      <c r="DZ636" s="62"/>
      <c r="EA636" s="62"/>
      <c r="EB636" s="62"/>
      <c r="EC636" s="62"/>
      <c r="ED636" s="62"/>
      <c r="EE636" s="62"/>
      <c r="EF636" s="62"/>
      <c r="EG636" s="62"/>
      <c r="EH636" s="62"/>
      <c r="EI636" s="62"/>
      <c r="EJ636" s="62"/>
      <c r="EK636" s="62"/>
      <c r="EL636" s="62"/>
      <c r="EM636" s="62"/>
      <c r="EN636" s="62"/>
      <c r="EO636" s="62"/>
      <c r="EP636" s="62"/>
      <c r="EQ636" s="62"/>
      <c r="ER636" s="62"/>
      <c r="ES636" s="62"/>
      <c r="ET636" s="62"/>
      <c r="EU636" s="62"/>
      <c r="EV636" s="62"/>
      <c r="EW636" s="62"/>
      <c r="EX636" s="62"/>
      <c r="EY636" s="62"/>
      <c r="EZ636" s="62"/>
      <c r="FA636" s="62"/>
      <c r="FB636" s="62"/>
      <c r="FC636" s="62"/>
      <c r="FD636" s="62"/>
      <c r="FE636" s="62"/>
      <c r="FF636" s="62"/>
      <c r="FG636" s="62"/>
      <c r="FH636" s="62"/>
      <c r="FI636" s="62"/>
      <c r="FJ636" s="62"/>
      <c r="FK636" s="62"/>
      <c r="FL636" s="62"/>
      <c r="FM636" s="62"/>
      <c r="FN636" s="62"/>
      <c r="FO636" s="62"/>
      <c r="FP636" s="62"/>
      <c r="FQ636" s="62"/>
      <c r="FR636" s="62"/>
      <c r="FS636" s="62"/>
      <c r="FT636" s="62"/>
      <c r="FU636" s="62"/>
      <c r="FV636" s="62"/>
    </row>
    <row r="637" spans="1:178" ht="13.8">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62"/>
      <c r="AZ637" s="62"/>
      <c r="BA637" s="62"/>
      <c r="BB637" s="62"/>
      <c r="BC637" s="62"/>
      <c r="BD637" s="62"/>
      <c r="BE637" s="62"/>
      <c r="BF637" s="62"/>
      <c r="BG637" s="62"/>
      <c r="BH637" s="62"/>
      <c r="BI637" s="62"/>
      <c r="BJ637" s="62"/>
      <c r="BK637" s="62"/>
      <c r="BL637" s="62"/>
      <c r="BM637" s="62"/>
      <c r="BN637" s="62"/>
      <c r="BO637" s="62"/>
      <c r="BP637" s="62"/>
      <c r="BQ637" s="62"/>
      <c r="BR637" s="62"/>
      <c r="BS637" s="62"/>
      <c r="BT637" s="62"/>
      <c r="BU637" s="62"/>
      <c r="BV637" s="62"/>
      <c r="BW637" s="62"/>
      <c r="BX637" s="62"/>
      <c r="BY637" s="62"/>
      <c r="BZ637" s="62"/>
      <c r="CA637" s="62"/>
      <c r="CB637" s="62"/>
      <c r="CC637" s="62"/>
      <c r="CD637" s="62"/>
      <c r="CE637" s="62"/>
      <c r="CF637" s="62"/>
      <c r="CG637" s="62"/>
      <c r="CH637" s="62"/>
      <c r="CI637" s="62"/>
      <c r="CJ637" s="62"/>
      <c r="CK637" s="62"/>
      <c r="CL637" s="62"/>
      <c r="CM637" s="62"/>
      <c r="CN637" s="62"/>
      <c r="CO637" s="62"/>
      <c r="CP637" s="62"/>
      <c r="CQ637" s="62"/>
      <c r="CR637" s="62"/>
      <c r="CS637" s="62"/>
      <c r="CT637" s="62"/>
      <c r="CU637" s="62"/>
      <c r="CV637" s="62"/>
      <c r="CW637" s="62"/>
      <c r="CX637" s="62"/>
      <c r="CY637" s="62"/>
      <c r="CZ637" s="62"/>
      <c r="DA637" s="62"/>
      <c r="DB637" s="62"/>
      <c r="DC637" s="62"/>
      <c r="DD637" s="62"/>
      <c r="DE637" s="62"/>
      <c r="DF637" s="62"/>
      <c r="DG637" s="62"/>
      <c r="DH637" s="62"/>
      <c r="DI637" s="62"/>
      <c r="DJ637" s="62"/>
      <c r="DK637" s="62"/>
      <c r="DL637" s="62"/>
      <c r="DM637" s="62"/>
      <c r="DN637" s="62"/>
      <c r="DO637" s="62"/>
      <c r="DP637" s="62"/>
      <c r="DQ637" s="62"/>
      <c r="DR637" s="62"/>
      <c r="DS637" s="62"/>
      <c r="DT637" s="62"/>
      <c r="DU637" s="62"/>
      <c r="DV637" s="62"/>
      <c r="DW637" s="62"/>
      <c r="DX637" s="62"/>
      <c r="DY637" s="62"/>
      <c r="DZ637" s="62"/>
      <c r="EA637" s="62"/>
      <c r="EB637" s="62"/>
      <c r="EC637" s="62"/>
      <c r="ED637" s="62"/>
      <c r="EE637" s="62"/>
      <c r="EF637" s="62"/>
      <c r="EG637" s="62"/>
      <c r="EH637" s="62"/>
      <c r="EI637" s="62"/>
      <c r="EJ637" s="62"/>
      <c r="EK637" s="62"/>
      <c r="EL637" s="62"/>
      <c r="EM637" s="62"/>
      <c r="EN637" s="62"/>
      <c r="EO637" s="62"/>
      <c r="EP637" s="62"/>
      <c r="EQ637" s="62"/>
      <c r="ER637" s="62"/>
      <c r="ES637" s="62"/>
      <c r="ET637" s="62"/>
      <c r="EU637" s="62"/>
      <c r="EV637" s="62"/>
      <c r="EW637" s="62"/>
      <c r="EX637" s="62"/>
      <c r="EY637" s="62"/>
      <c r="EZ637" s="62"/>
      <c r="FA637" s="62"/>
      <c r="FB637" s="62"/>
      <c r="FC637" s="62"/>
      <c r="FD637" s="62"/>
      <c r="FE637" s="62"/>
      <c r="FF637" s="62"/>
      <c r="FG637" s="62"/>
      <c r="FH637" s="62"/>
      <c r="FI637" s="62"/>
      <c r="FJ637" s="62"/>
      <c r="FK637" s="62"/>
      <c r="FL637" s="62"/>
      <c r="FM637" s="62"/>
      <c r="FN637" s="62"/>
      <c r="FO637" s="62"/>
      <c r="FP637" s="62"/>
      <c r="FQ637" s="62"/>
      <c r="FR637" s="62"/>
      <c r="FS637" s="62"/>
      <c r="FT637" s="62"/>
      <c r="FU637" s="62"/>
      <c r="FV637" s="62"/>
    </row>
    <row r="638" spans="1:178" ht="1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c r="AY638" s="62"/>
      <c r="AZ638" s="62"/>
      <c r="BA638" s="62"/>
      <c r="BB638" s="62"/>
      <c r="BC638" s="62"/>
      <c r="BD638" s="62"/>
      <c r="BE638" s="62"/>
      <c r="BF638" s="62"/>
      <c r="BG638" s="62"/>
      <c r="BH638" s="62"/>
      <c r="BI638" s="62"/>
      <c r="BJ638" s="62"/>
      <c r="BK638" s="62"/>
      <c r="BL638" s="62"/>
      <c r="BM638" s="62"/>
      <c r="BN638" s="62"/>
      <c r="BO638" s="62"/>
      <c r="BP638" s="62"/>
      <c r="BQ638" s="62"/>
      <c r="BR638" s="62"/>
      <c r="BS638" s="62"/>
      <c r="BT638" s="62"/>
      <c r="BU638" s="62"/>
      <c r="BV638" s="62"/>
      <c r="BW638" s="62"/>
      <c r="BX638" s="62"/>
      <c r="BY638" s="62"/>
      <c r="BZ638" s="62"/>
      <c r="CA638" s="62"/>
      <c r="CB638" s="62"/>
      <c r="CC638" s="62"/>
      <c r="CD638" s="62"/>
      <c r="CE638" s="62"/>
      <c r="CF638" s="62"/>
      <c r="CG638" s="62"/>
      <c r="CH638" s="62"/>
      <c r="CI638" s="62"/>
      <c r="CJ638" s="62"/>
      <c r="CK638" s="62"/>
      <c r="CL638" s="62"/>
      <c r="CM638" s="62"/>
      <c r="CN638" s="62"/>
      <c r="CO638" s="62"/>
      <c r="CP638" s="62"/>
      <c r="CQ638" s="62"/>
      <c r="CR638" s="62"/>
      <c r="CS638" s="62"/>
      <c r="CT638" s="62"/>
      <c r="CU638" s="62"/>
      <c r="CV638" s="62"/>
      <c r="CW638" s="62"/>
      <c r="CX638" s="62"/>
      <c r="CY638" s="62"/>
      <c r="CZ638" s="62"/>
      <c r="DA638" s="62"/>
      <c r="DB638" s="62"/>
      <c r="DC638" s="62"/>
      <c r="DD638" s="62"/>
      <c r="DE638" s="62"/>
      <c r="DF638" s="62"/>
      <c r="DG638" s="62"/>
      <c r="DH638" s="62"/>
      <c r="DI638" s="62"/>
      <c r="DJ638" s="62"/>
      <c r="DK638" s="62"/>
      <c r="DL638" s="62"/>
      <c r="DM638" s="62"/>
      <c r="DN638" s="62"/>
      <c r="DO638" s="62"/>
      <c r="DP638" s="62"/>
      <c r="DQ638" s="62"/>
      <c r="DR638" s="62"/>
      <c r="DS638" s="62"/>
      <c r="DT638" s="62"/>
      <c r="DU638" s="62"/>
      <c r="DV638" s="62"/>
      <c r="DW638" s="62"/>
      <c r="DX638" s="62"/>
      <c r="DY638" s="62"/>
      <c r="DZ638" s="62"/>
      <c r="EA638" s="62"/>
      <c r="EB638" s="62"/>
      <c r="EC638" s="62"/>
      <c r="ED638" s="62"/>
      <c r="EE638" s="62"/>
      <c r="EF638" s="62"/>
      <c r="EG638" s="62"/>
      <c r="EH638" s="62"/>
      <c r="EI638" s="62"/>
      <c r="EJ638" s="62"/>
      <c r="EK638" s="62"/>
      <c r="EL638" s="62"/>
      <c r="EM638" s="62"/>
      <c r="EN638" s="62"/>
      <c r="EO638" s="62"/>
      <c r="EP638" s="62"/>
      <c r="EQ638" s="62"/>
      <c r="ER638" s="62"/>
      <c r="ES638" s="62"/>
      <c r="ET638" s="62"/>
      <c r="EU638" s="62"/>
      <c r="EV638" s="62"/>
      <c r="EW638" s="62"/>
      <c r="EX638" s="62"/>
      <c r="EY638" s="62"/>
      <c r="EZ638" s="62"/>
      <c r="FA638" s="62"/>
      <c r="FB638" s="62"/>
      <c r="FC638" s="62"/>
      <c r="FD638" s="62"/>
      <c r="FE638" s="62"/>
      <c r="FF638" s="62"/>
      <c r="FG638" s="62"/>
      <c r="FH638" s="62"/>
      <c r="FI638" s="62"/>
      <c r="FJ638" s="62"/>
      <c r="FK638" s="62"/>
      <c r="FL638" s="62"/>
      <c r="FM638" s="62"/>
      <c r="FN638" s="62"/>
      <c r="FO638" s="62"/>
      <c r="FP638" s="62"/>
      <c r="FQ638" s="62"/>
      <c r="FR638" s="62"/>
      <c r="FS638" s="62"/>
      <c r="FT638" s="62"/>
      <c r="FU638" s="62"/>
      <c r="FV638" s="62"/>
    </row>
    <row r="639" spans="1:178" ht="13.8">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c r="AY639" s="62"/>
      <c r="AZ639" s="62"/>
      <c r="BA639" s="62"/>
      <c r="BB639" s="62"/>
      <c r="BC639" s="62"/>
      <c r="BD639" s="62"/>
      <c r="BE639" s="62"/>
      <c r="BF639" s="62"/>
      <c r="BG639" s="62"/>
      <c r="BH639" s="62"/>
      <c r="BI639" s="62"/>
      <c r="BJ639" s="62"/>
      <c r="BK639" s="62"/>
      <c r="BL639" s="62"/>
      <c r="BM639" s="62"/>
      <c r="BN639" s="62"/>
      <c r="BO639" s="62"/>
      <c r="BP639" s="62"/>
      <c r="BQ639" s="62"/>
      <c r="BR639" s="62"/>
      <c r="BS639" s="62"/>
      <c r="BT639" s="62"/>
      <c r="BU639" s="62"/>
      <c r="BV639" s="62"/>
      <c r="BW639" s="62"/>
      <c r="BX639" s="62"/>
      <c r="BY639" s="62"/>
      <c r="BZ639" s="62"/>
      <c r="CA639" s="62"/>
      <c r="CB639" s="62"/>
      <c r="CC639" s="62"/>
      <c r="CD639" s="62"/>
      <c r="CE639" s="62"/>
      <c r="CF639" s="62"/>
      <c r="CG639" s="62"/>
      <c r="CH639" s="62"/>
      <c r="CI639" s="62"/>
      <c r="CJ639" s="62"/>
      <c r="CK639" s="62"/>
      <c r="CL639" s="62"/>
      <c r="CM639" s="62"/>
      <c r="CN639" s="62"/>
      <c r="CO639" s="62"/>
      <c r="CP639" s="62"/>
      <c r="CQ639" s="62"/>
      <c r="CR639" s="62"/>
      <c r="CS639" s="62"/>
      <c r="CT639" s="62"/>
      <c r="CU639" s="62"/>
      <c r="CV639" s="62"/>
      <c r="CW639" s="62"/>
      <c r="CX639" s="62"/>
      <c r="CY639" s="62"/>
      <c r="CZ639" s="62"/>
      <c r="DA639" s="62"/>
      <c r="DB639" s="62"/>
      <c r="DC639" s="62"/>
      <c r="DD639" s="62"/>
      <c r="DE639" s="62"/>
      <c r="DF639" s="62"/>
      <c r="DG639" s="62"/>
      <c r="DH639" s="62"/>
      <c r="DI639" s="62"/>
      <c r="DJ639" s="62"/>
      <c r="DK639" s="62"/>
      <c r="DL639" s="62"/>
      <c r="DM639" s="62"/>
      <c r="DN639" s="62"/>
      <c r="DO639" s="62"/>
      <c r="DP639" s="62"/>
      <c r="DQ639" s="62"/>
      <c r="DR639" s="62"/>
      <c r="DS639" s="62"/>
      <c r="DT639" s="62"/>
      <c r="DU639" s="62"/>
      <c r="DV639" s="62"/>
      <c r="DW639" s="62"/>
      <c r="DX639" s="62"/>
      <c r="DY639" s="62"/>
      <c r="DZ639" s="62"/>
      <c r="EA639" s="62"/>
      <c r="EB639" s="62"/>
      <c r="EC639" s="62"/>
      <c r="ED639" s="62"/>
      <c r="EE639" s="62"/>
      <c r="EF639" s="62"/>
      <c r="EG639" s="62"/>
      <c r="EH639" s="62"/>
      <c r="EI639" s="62"/>
      <c r="EJ639" s="62"/>
      <c r="EK639" s="62"/>
      <c r="EL639" s="62"/>
      <c r="EM639" s="62"/>
      <c r="EN639" s="62"/>
      <c r="EO639" s="62"/>
      <c r="EP639" s="62"/>
      <c r="EQ639" s="62"/>
      <c r="ER639" s="62"/>
      <c r="ES639" s="62"/>
      <c r="ET639" s="62"/>
      <c r="EU639" s="62"/>
      <c r="EV639" s="62"/>
      <c r="EW639" s="62"/>
      <c r="EX639" s="62"/>
      <c r="EY639" s="62"/>
      <c r="EZ639" s="62"/>
      <c r="FA639" s="62"/>
      <c r="FB639" s="62"/>
      <c r="FC639" s="62"/>
      <c r="FD639" s="62"/>
      <c r="FE639" s="62"/>
      <c r="FF639" s="62"/>
      <c r="FG639" s="62"/>
      <c r="FH639" s="62"/>
      <c r="FI639" s="62"/>
      <c r="FJ639" s="62"/>
      <c r="FK639" s="62"/>
      <c r="FL639" s="62"/>
      <c r="FM639" s="62"/>
      <c r="FN639" s="62"/>
      <c r="FO639" s="62"/>
      <c r="FP639" s="62"/>
      <c r="FQ639" s="62"/>
      <c r="FR639" s="62"/>
      <c r="FS639" s="62"/>
      <c r="FT639" s="62"/>
      <c r="FU639" s="62"/>
      <c r="FV639" s="62"/>
    </row>
    <row r="640" spans="1:178" ht="13.8">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c r="AY640" s="62"/>
      <c r="AZ640" s="62"/>
      <c r="BA640" s="62"/>
      <c r="BB640" s="62"/>
      <c r="BC640" s="62"/>
      <c r="BD640" s="62"/>
      <c r="BE640" s="62"/>
      <c r="BF640" s="62"/>
      <c r="BG640" s="62"/>
      <c r="BH640" s="62"/>
      <c r="BI640" s="62"/>
      <c r="BJ640" s="62"/>
      <c r="BK640" s="62"/>
      <c r="BL640" s="62"/>
      <c r="BM640" s="62"/>
      <c r="BN640" s="62"/>
      <c r="BO640" s="62"/>
      <c r="BP640" s="62"/>
      <c r="BQ640" s="62"/>
      <c r="BR640" s="62"/>
      <c r="BS640" s="62"/>
      <c r="BT640" s="62"/>
      <c r="BU640" s="62"/>
      <c r="BV640" s="62"/>
      <c r="BW640" s="62"/>
      <c r="BX640" s="62"/>
      <c r="BY640" s="62"/>
      <c r="BZ640" s="62"/>
      <c r="CA640" s="62"/>
      <c r="CB640" s="62"/>
      <c r="CC640" s="62"/>
      <c r="CD640" s="62"/>
      <c r="CE640" s="62"/>
      <c r="CF640" s="62"/>
      <c r="CG640" s="62"/>
      <c r="CH640" s="62"/>
      <c r="CI640" s="62"/>
      <c r="CJ640" s="62"/>
      <c r="CK640" s="62"/>
      <c r="CL640" s="62"/>
      <c r="CM640" s="62"/>
      <c r="CN640" s="62"/>
      <c r="CO640" s="62"/>
      <c r="CP640" s="62"/>
      <c r="CQ640" s="62"/>
      <c r="CR640" s="62"/>
      <c r="CS640" s="62"/>
      <c r="CT640" s="62"/>
      <c r="CU640" s="62"/>
      <c r="CV640" s="62"/>
      <c r="CW640" s="62"/>
      <c r="CX640" s="62"/>
      <c r="CY640" s="62"/>
      <c r="CZ640" s="62"/>
      <c r="DA640" s="62"/>
      <c r="DB640" s="62"/>
      <c r="DC640" s="62"/>
      <c r="DD640" s="62"/>
      <c r="DE640" s="62"/>
      <c r="DF640" s="62"/>
      <c r="DG640" s="62"/>
      <c r="DH640" s="62"/>
      <c r="DI640" s="62"/>
      <c r="DJ640" s="62"/>
      <c r="DK640" s="62"/>
      <c r="DL640" s="62"/>
      <c r="DM640" s="62"/>
      <c r="DN640" s="62"/>
      <c r="DO640" s="62"/>
      <c r="DP640" s="62"/>
      <c r="DQ640" s="62"/>
      <c r="DR640" s="62"/>
      <c r="DS640" s="62"/>
      <c r="DT640" s="62"/>
      <c r="DU640" s="62"/>
      <c r="DV640" s="62"/>
      <c r="DW640" s="62"/>
      <c r="DX640" s="62"/>
      <c r="DY640" s="62"/>
      <c r="DZ640" s="62"/>
      <c r="EA640" s="62"/>
      <c r="EB640" s="62"/>
      <c r="EC640" s="62"/>
      <c r="ED640" s="62"/>
      <c r="EE640" s="62"/>
      <c r="EF640" s="62"/>
      <c r="EG640" s="62"/>
      <c r="EH640" s="62"/>
      <c r="EI640" s="62"/>
      <c r="EJ640" s="62"/>
      <c r="EK640" s="62"/>
      <c r="EL640" s="62"/>
      <c r="EM640" s="62"/>
      <c r="EN640" s="62"/>
      <c r="EO640" s="62"/>
      <c r="EP640" s="62"/>
      <c r="EQ640" s="62"/>
      <c r="ER640" s="62"/>
      <c r="ES640" s="62"/>
      <c r="ET640" s="62"/>
      <c r="EU640" s="62"/>
      <c r="EV640" s="62"/>
      <c r="EW640" s="62"/>
      <c r="EX640" s="62"/>
      <c r="EY640" s="62"/>
      <c r="EZ640" s="62"/>
      <c r="FA640" s="62"/>
      <c r="FB640" s="62"/>
      <c r="FC640" s="62"/>
      <c r="FD640" s="62"/>
      <c r="FE640" s="62"/>
      <c r="FF640" s="62"/>
      <c r="FG640" s="62"/>
      <c r="FH640" s="62"/>
      <c r="FI640" s="62"/>
      <c r="FJ640" s="62"/>
      <c r="FK640" s="62"/>
      <c r="FL640" s="62"/>
      <c r="FM640" s="62"/>
      <c r="FN640" s="62"/>
      <c r="FO640" s="62"/>
      <c r="FP640" s="62"/>
      <c r="FQ640" s="62"/>
      <c r="FR640" s="62"/>
      <c r="FS640" s="62"/>
      <c r="FT640" s="62"/>
      <c r="FU640" s="62"/>
      <c r="FV640" s="62"/>
    </row>
    <row r="641" spans="1:178" ht="13.8">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c r="AY641" s="62"/>
      <c r="AZ641" s="62"/>
      <c r="BA641" s="62"/>
      <c r="BB641" s="62"/>
      <c r="BC641" s="62"/>
      <c r="BD641" s="62"/>
      <c r="BE641" s="62"/>
      <c r="BF641" s="62"/>
      <c r="BG641" s="62"/>
      <c r="BH641" s="62"/>
      <c r="BI641" s="62"/>
      <c r="BJ641" s="62"/>
      <c r="BK641" s="62"/>
      <c r="BL641" s="62"/>
      <c r="BM641" s="62"/>
      <c r="BN641" s="62"/>
      <c r="BO641" s="62"/>
      <c r="BP641" s="62"/>
      <c r="BQ641" s="62"/>
      <c r="BR641" s="62"/>
      <c r="BS641" s="62"/>
      <c r="BT641" s="62"/>
      <c r="BU641" s="62"/>
      <c r="BV641" s="62"/>
      <c r="BW641" s="62"/>
      <c r="BX641" s="62"/>
      <c r="BY641" s="62"/>
      <c r="BZ641" s="62"/>
      <c r="CA641" s="62"/>
      <c r="CB641" s="62"/>
      <c r="CC641" s="62"/>
      <c r="CD641" s="62"/>
      <c r="CE641" s="62"/>
      <c r="CF641" s="62"/>
      <c r="CG641" s="62"/>
      <c r="CH641" s="62"/>
      <c r="CI641" s="62"/>
      <c r="CJ641" s="62"/>
      <c r="CK641" s="62"/>
      <c r="CL641" s="62"/>
      <c r="CM641" s="62"/>
      <c r="CN641" s="62"/>
      <c r="CO641" s="62"/>
      <c r="CP641" s="62"/>
      <c r="CQ641" s="62"/>
      <c r="CR641" s="62"/>
      <c r="CS641" s="62"/>
      <c r="CT641" s="62"/>
      <c r="CU641" s="62"/>
      <c r="CV641" s="62"/>
      <c r="CW641" s="62"/>
      <c r="CX641" s="62"/>
      <c r="CY641" s="62"/>
      <c r="CZ641" s="62"/>
      <c r="DA641" s="62"/>
      <c r="DB641" s="62"/>
      <c r="DC641" s="62"/>
      <c r="DD641" s="62"/>
      <c r="DE641" s="62"/>
      <c r="DF641" s="62"/>
      <c r="DG641" s="62"/>
      <c r="DH641" s="62"/>
      <c r="DI641" s="62"/>
      <c r="DJ641" s="62"/>
      <c r="DK641" s="62"/>
      <c r="DL641" s="62"/>
      <c r="DM641" s="62"/>
      <c r="DN641" s="62"/>
      <c r="DO641" s="62"/>
      <c r="DP641" s="62"/>
      <c r="DQ641" s="62"/>
      <c r="DR641" s="62"/>
      <c r="DS641" s="62"/>
      <c r="DT641" s="62"/>
      <c r="DU641" s="62"/>
      <c r="DV641" s="62"/>
      <c r="DW641" s="62"/>
      <c r="DX641" s="62"/>
      <c r="DY641" s="62"/>
      <c r="DZ641" s="62"/>
      <c r="EA641" s="62"/>
      <c r="EB641" s="62"/>
      <c r="EC641" s="62"/>
      <c r="ED641" s="62"/>
      <c r="EE641" s="62"/>
      <c r="EF641" s="62"/>
      <c r="EG641" s="62"/>
      <c r="EH641" s="62"/>
      <c r="EI641" s="62"/>
      <c r="EJ641" s="62"/>
      <c r="EK641" s="62"/>
      <c r="EL641" s="62"/>
      <c r="EM641" s="62"/>
      <c r="EN641" s="62"/>
      <c r="EO641" s="62"/>
      <c r="EP641" s="62"/>
      <c r="EQ641" s="62"/>
      <c r="ER641" s="62"/>
      <c r="ES641" s="62"/>
      <c r="ET641" s="62"/>
      <c r="EU641" s="62"/>
      <c r="EV641" s="62"/>
      <c r="EW641" s="62"/>
      <c r="EX641" s="62"/>
      <c r="EY641" s="62"/>
      <c r="EZ641" s="62"/>
      <c r="FA641" s="62"/>
      <c r="FB641" s="62"/>
      <c r="FC641" s="62"/>
      <c r="FD641" s="62"/>
      <c r="FE641" s="62"/>
      <c r="FF641" s="62"/>
      <c r="FG641" s="62"/>
      <c r="FH641" s="62"/>
      <c r="FI641" s="62"/>
      <c r="FJ641" s="62"/>
      <c r="FK641" s="62"/>
      <c r="FL641" s="62"/>
      <c r="FM641" s="62"/>
      <c r="FN641" s="62"/>
      <c r="FO641" s="62"/>
      <c r="FP641" s="62"/>
      <c r="FQ641" s="62"/>
      <c r="FR641" s="62"/>
      <c r="FS641" s="62"/>
      <c r="FT641" s="62"/>
      <c r="FU641" s="62"/>
      <c r="FV641" s="62"/>
    </row>
    <row r="642" spans="1:178" ht="13.8">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c r="AY642" s="62"/>
      <c r="AZ642" s="62"/>
      <c r="BA642" s="62"/>
      <c r="BB642" s="62"/>
      <c r="BC642" s="62"/>
      <c r="BD642" s="62"/>
      <c r="BE642" s="62"/>
      <c r="BF642" s="62"/>
      <c r="BG642" s="62"/>
      <c r="BH642" s="62"/>
      <c r="BI642" s="62"/>
      <c r="BJ642" s="62"/>
      <c r="BK642" s="62"/>
      <c r="BL642" s="62"/>
      <c r="BM642" s="62"/>
      <c r="BN642" s="62"/>
      <c r="BO642" s="62"/>
      <c r="BP642" s="62"/>
      <c r="BQ642" s="62"/>
      <c r="BR642" s="62"/>
      <c r="BS642" s="62"/>
      <c r="BT642" s="62"/>
      <c r="BU642" s="62"/>
      <c r="BV642" s="62"/>
      <c r="BW642" s="62"/>
      <c r="BX642" s="62"/>
      <c r="BY642" s="62"/>
      <c r="BZ642" s="62"/>
      <c r="CA642" s="62"/>
      <c r="CB642" s="62"/>
      <c r="CC642" s="62"/>
      <c r="CD642" s="62"/>
      <c r="CE642" s="62"/>
      <c r="CF642" s="62"/>
      <c r="CG642" s="62"/>
      <c r="CH642" s="62"/>
      <c r="CI642" s="62"/>
      <c r="CJ642" s="62"/>
      <c r="CK642" s="62"/>
      <c r="CL642" s="62"/>
      <c r="CM642" s="62"/>
      <c r="CN642" s="62"/>
      <c r="CO642" s="62"/>
      <c r="CP642" s="62"/>
      <c r="CQ642" s="62"/>
      <c r="CR642" s="62"/>
      <c r="CS642" s="62"/>
      <c r="CT642" s="62"/>
      <c r="CU642" s="62"/>
      <c r="CV642" s="62"/>
      <c r="CW642" s="62"/>
      <c r="CX642" s="62"/>
      <c r="CY642" s="62"/>
      <c r="CZ642" s="62"/>
      <c r="DA642" s="62"/>
      <c r="DB642" s="62"/>
      <c r="DC642" s="62"/>
      <c r="DD642" s="62"/>
      <c r="DE642" s="62"/>
      <c r="DF642" s="62"/>
      <c r="DG642" s="62"/>
      <c r="DH642" s="62"/>
      <c r="DI642" s="62"/>
      <c r="DJ642" s="62"/>
      <c r="DK642" s="62"/>
      <c r="DL642" s="62"/>
      <c r="DM642" s="62"/>
      <c r="DN642" s="62"/>
      <c r="DO642" s="62"/>
      <c r="DP642" s="62"/>
      <c r="DQ642" s="62"/>
      <c r="DR642" s="62"/>
      <c r="DS642" s="62"/>
      <c r="DT642" s="62"/>
      <c r="DU642" s="62"/>
      <c r="DV642" s="62"/>
      <c r="DW642" s="62"/>
      <c r="DX642" s="62"/>
      <c r="DY642" s="62"/>
      <c r="DZ642" s="62"/>
      <c r="EA642" s="62"/>
      <c r="EB642" s="62"/>
      <c r="EC642" s="62"/>
      <c r="ED642" s="62"/>
      <c r="EE642" s="62"/>
      <c r="EF642" s="62"/>
      <c r="EG642" s="62"/>
      <c r="EH642" s="62"/>
      <c r="EI642" s="62"/>
      <c r="EJ642" s="62"/>
      <c r="EK642" s="62"/>
      <c r="EL642" s="62"/>
      <c r="EM642" s="62"/>
      <c r="EN642" s="62"/>
      <c r="EO642" s="62"/>
      <c r="EP642" s="62"/>
      <c r="EQ642" s="62"/>
      <c r="ER642" s="62"/>
      <c r="ES642" s="62"/>
      <c r="ET642" s="62"/>
      <c r="EU642" s="62"/>
      <c r="EV642" s="62"/>
      <c r="EW642" s="62"/>
      <c r="EX642" s="62"/>
      <c r="EY642" s="62"/>
      <c r="EZ642" s="62"/>
      <c r="FA642" s="62"/>
      <c r="FB642" s="62"/>
      <c r="FC642" s="62"/>
      <c r="FD642" s="62"/>
      <c r="FE642" s="62"/>
      <c r="FF642" s="62"/>
      <c r="FG642" s="62"/>
      <c r="FH642" s="62"/>
      <c r="FI642" s="62"/>
      <c r="FJ642" s="62"/>
      <c r="FK642" s="62"/>
      <c r="FL642" s="62"/>
      <c r="FM642" s="62"/>
      <c r="FN642" s="62"/>
      <c r="FO642" s="62"/>
      <c r="FP642" s="62"/>
      <c r="FQ642" s="62"/>
      <c r="FR642" s="62"/>
      <c r="FS642" s="62"/>
      <c r="FT642" s="62"/>
      <c r="FU642" s="62"/>
      <c r="FV642" s="62"/>
    </row>
    <row r="643" spans="1:178" ht="13.8">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c r="AY643" s="62"/>
      <c r="AZ643" s="62"/>
      <c r="BA643" s="62"/>
      <c r="BB643" s="62"/>
      <c r="BC643" s="62"/>
      <c r="BD643" s="62"/>
      <c r="BE643" s="62"/>
      <c r="BF643" s="62"/>
      <c r="BG643" s="62"/>
      <c r="BH643" s="62"/>
      <c r="BI643" s="62"/>
      <c r="BJ643" s="62"/>
      <c r="BK643" s="62"/>
      <c r="BL643" s="62"/>
      <c r="BM643" s="62"/>
      <c r="BN643" s="62"/>
      <c r="BO643" s="62"/>
      <c r="BP643" s="62"/>
      <c r="BQ643" s="62"/>
      <c r="BR643" s="62"/>
      <c r="BS643" s="62"/>
      <c r="BT643" s="62"/>
      <c r="BU643" s="62"/>
      <c r="BV643" s="62"/>
      <c r="BW643" s="62"/>
      <c r="BX643" s="62"/>
      <c r="BY643" s="62"/>
      <c r="BZ643" s="62"/>
      <c r="CA643" s="62"/>
      <c r="CB643" s="62"/>
      <c r="CC643" s="62"/>
      <c r="CD643" s="62"/>
      <c r="CE643" s="62"/>
      <c r="CF643" s="62"/>
      <c r="CG643" s="62"/>
      <c r="CH643" s="62"/>
      <c r="CI643" s="62"/>
      <c r="CJ643" s="62"/>
      <c r="CK643" s="62"/>
      <c r="CL643" s="62"/>
      <c r="CM643" s="62"/>
      <c r="CN643" s="62"/>
      <c r="CO643" s="62"/>
      <c r="CP643" s="62"/>
      <c r="CQ643" s="62"/>
      <c r="CR643" s="62"/>
      <c r="CS643" s="62"/>
      <c r="CT643" s="62"/>
      <c r="CU643" s="62"/>
      <c r="CV643" s="62"/>
      <c r="CW643" s="62"/>
      <c r="CX643" s="62"/>
      <c r="CY643" s="62"/>
      <c r="CZ643" s="62"/>
      <c r="DA643" s="62"/>
      <c r="DB643" s="62"/>
      <c r="DC643" s="62"/>
      <c r="DD643" s="62"/>
      <c r="DE643" s="62"/>
      <c r="DF643" s="62"/>
      <c r="DG643" s="62"/>
      <c r="DH643" s="62"/>
      <c r="DI643" s="62"/>
      <c r="DJ643" s="62"/>
      <c r="DK643" s="62"/>
      <c r="DL643" s="62"/>
      <c r="DM643" s="62"/>
      <c r="DN643" s="62"/>
      <c r="DO643" s="62"/>
      <c r="DP643" s="62"/>
      <c r="DQ643" s="62"/>
      <c r="DR643" s="62"/>
      <c r="DS643" s="62"/>
      <c r="DT643" s="62"/>
      <c r="DU643" s="62"/>
      <c r="DV643" s="62"/>
      <c r="DW643" s="62"/>
      <c r="DX643" s="62"/>
      <c r="DY643" s="62"/>
      <c r="DZ643" s="62"/>
      <c r="EA643" s="62"/>
      <c r="EB643" s="62"/>
      <c r="EC643" s="62"/>
      <c r="ED643" s="62"/>
      <c r="EE643" s="62"/>
      <c r="EF643" s="62"/>
      <c r="EG643" s="62"/>
      <c r="EH643" s="62"/>
      <c r="EI643" s="62"/>
      <c r="EJ643" s="62"/>
      <c r="EK643" s="62"/>
      <c r="EL643" s="62"/>
      <c r="EM643" s="62"/>
      <c r="EN643" s="62"/>
      <c r="EO643" s="62"/>
      <c r="EP643" s="62"/>
      <c r="EQ643" s="62"/>
      <c r="ER643" s="62"/>
      <c r="ES643" s="62"/>
      <c r="ET643" s="62"/>
      <c r="EU643" s="62"/>
      <c r="EV643" s="62"/>
      <c r="EW643" s="62"/>
      <c r="EX643" s="62"/>
      <c r="EY643" s="62"/>
      <c r="EZ643" s="62"/>
      <c r="FA643" s="62"/>
      <c r="FB643" s="62"/>
      <c r="FC643" s="62"/>
      <c r="FD643" s="62"/>
      <c r="FE643" s="62"/>
      <c r="FF643" s="62"/>
      <c r="FG643" s="62"/>
      <c r="FH643" s="62"/>
      <c r="FI643" s="62"/>
      <c r="FJ643" s="62"/>
      <c r="FK643" s="62"/>
      <c r="FL643" s="62"/>
      <c r="FM643" s="62"/>
      <c r="FN643" s="62"/>
      <c r="FO643" s="62"/>
      <c r="FP643" s="62"/>
      <c r="FQ643" s="62"/>
      <c r="FR643" s="62"/>
      <c r="FS643" s="62"/>
      <c r="FT643" s="62"/>
      <c r="FU643" s="62"/>
      <c r="FV643" s="62"/>
    </row>
    <row r="644" spans="1:178" ht="13.8">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c r="AY644" s="62"/>
      <c r="AZ644" s="62"/>
      <c r="BA644" s="62"/>
      <c r="BB644" s="62"/>
      <c r="BC644" s="62"/>
      <c r="BD644" s="62"/>
      <c r="BE644" s="62"/>
      <c r="BF644" s="62"/>
      <c r="BG644" s="62"/>
      <c r="BH644" s="62"/>
      <c r="BI644" s="62"/>
      <c r="BJ644" s="62"/>
      <c r="BK644" s="62"/>
      <c r="BL644" s="62"/>
      <c r="BM644" s="62"/>
      <c r="BN644" s="62"/>
      <c r="BO644" s="62"/>
      <c r="BP644" s="62"/>
      <c r="BQ644" s="62"/>
      <c r="BR644" s="62"/>
      <c r="BS644" s="62"/>
      <c r="BT644" s="62"/>
      <c r="BU644" s="62"/>
      <c r="BV644" s="62"/>
      <c r="BW644" s="62"/>
      <c r="BX644" s="62"/>
      <c r="BY644" s="62"/>
      <c r="BZ644" s="62"/>
      <c r="CA644" s="62"/>
      <c r="CB644" s="62"/>
      <c r="CC644" s="62"/>
      <c r="CD644" s="62"/>
      <c r="CE644" s="62"/>
      <c r="CF644" s="62"/>
      <c r="CG644" s="62"/>
      <c r="CH644" s="62"/>
      <c r="CI644" s="62"/>
      <c r="CJ644" s="62"/>
      <c r="CK644" s="62"/>
      <c r="CL644" s="62"/>
      <c r="CM644" s="62"/>
      <c r="CN644" s="62"/>
      <c r="CO644" s="62"/>
      <c r="CP644" s="62"/>
      <c r="CQ644" s="62"/>
      <c r="CR644" s="62"/>
      <c r="CS644" s="62"/>
      <c r="CT644" s="62"/>
      <c r="CU644" s="62"/>
      <c r="CV644" s="62"/>
      <c r="CW644" s="62"/>
      <c r="CX644" s="62"/>
      <c r="CY644" s="62"/>
      <c r="CZ644" s="62"/>
      <c r="DA644" s="62"/>
      <c r="DB644" s="62"/>
      <c r="DC644" s="62"/>
      <c r="DD644" s="62"/>
      <c r="DE644" s="62"/>
      <c r="DF644" s="62"/>
      <c r="DG644" s="62"/>
      <c r="DH644" s="62"/>
      <c r="DI644" s="62"/>
      <c r="DJ644" s="62"/>
      <c r="DK644" s="62"/>
      <c r="DL644" s="62"/>
      <c r="DM644" s="62"/>
      <c r="DN644" s="62"/>
      <c r="DO644" s="62"/>
      <c r="DP644" s="62"/>
      <c r="DQ644" s="62"/>
      <c r="DR644" s="62"/>
      <c r="DS644" s="62"/>
      <c r="DT644" s="62"/>
      <c r="DU644" s="62"/>
      <c r="DV644" s="62"/>
      <c r="DW644" s="62"/>
      <c r="DX644" s="62"/>
      <c r="DY644" s="62"/>
      <c r="DZ644" s="62"/>
      <c r="EA644" s="62"/>
      <c r="EB644" s="62"/>
      <c r="EC644" s="62"/>
      <c r="ED644" s="62"/>
      <c r="EE644" s="62"/>
      <c r="EF644" s="62"/>
      <c r="EG644" s="62"/>
      <c r="EH644" s="62"/>
      <c r="EI644" s="62"/>
      <c r="EJ644" s="62"/>
      <c r="EK644" s="62"/>
      <c r="EL644" s="62"/>
      <c r="EM644" s="62"/>
      <c r="EN644" s="62"/>
      <c r="EO644" s="62"/>
      <c r="EP644" s="62"/>
      <c r="EQ644" s="62"/>
      <c r="ER644" s="62"/>
      <c r="ES644" s="62"/>
      <c r="ET644" s="62"/>
      <c r="EU644" s="62"/>
      <c r="EV644" s="62"/>
      <c r="EW644" s="62"/>
      <c r="EX644" s="62"/>
      <c r="EY644" s="62"/>
      <c r="EZ644" s="62"/>
      <c r="FA644" s="62"/>
      <c r="FB644" s="62"/>
      <c r="FC644" s="62"/>
      <c r="FD644" s="62"/>
      <c r="FE644" s="62"/>
      <c r="FF644" s="62"/>
      <c r="FG644" s="62"/>
      <c r="FH644" s="62"/>
      <c r="FI644" s="62"/>
      <c r="FJ644" s="62"/>
      <c r="FK644" s="62"/>
      <c r="FL644" s="62"/>
      <c r="FM644" s="62"/>
      <c r="FN644" s="62"/>
      <c r="FO644" s="62"/>
      <c r="FP644" s="62"/>
      <c r="FQ644" s="62"/>
      <c r="FR644" s="62"/>
      <c r="FS644" s="62"/>
      <c r="FT644" s="62"/>
      <c r="FU644" s="62"/>
      <c r="FV644" s="62"/>
    </row>
    <row r="645" spans="1:178" ht="13.8">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62"/>
      <c r="AZ645" s="62"/>
      <c r="BA645" s="62"/>
      <c r="BB645" s="62"/>
      <c r="BC645" s="62"/>
      <c r="BD645" s="62"/>
      <c r="BE645" s="62"/>
      <c r="BF645" s="62"/>
      <c r="BG645" s="62"/>
      <c r="BH645" s="62"/>
      <c r="BI645" s="62"/>
      <c r="BJ645" s="62"/>
      <c r="BK645" s="62"/>
      <c r="BL645" s="62"/>
      <c r="BM645" s="62"/>
      <c r="BN645" s="62"/>
      <c r="BO645" s="62"/>
      <c r="BP645" s="62"/>
      <c r="BQ645" s="62"/>
      <c r="BR645" s="62"/>
      <c r="BS645" s="62"/>
      <c r="BT645" s="62"/>
      <c r="BU645" s="62"/>
      <c r="BV645" s="62"/>
      <c r="BW645" s="62"/>
      <c r="BX645" s="62"/>
      <c r="BY645" s="62"/>
      <c r="BZ645" s="62"/>
      <c r="CA645" s="62"/>
      <c r="CB645" s="62"/>
      <c r="CC645" s="62"/>
      <c r="CD645" s="62"/>
      <c r="CE645" s="62"/>
      <c r="CF645" s="62"/>
      <c r="CG645" s="62"/>
      <c r="CH645" s="62"/>
      <c r="CI645" s="62"/>
      <c r="CJ645" s="62"/>
      <c r="CK645" s="62"/>
      <c r="CL645" s="62"/>
      <c r="CM645" s="62"/>
      <c r="CN645" s="62"/>
      <c r="CO645" s="62"/>
      <c r="CP645" s="62"/>
      <c r="CQ645" s="62"/>
      <c r="CR645" s="62"/>
      <c r="CS645" s="62"/>
      <c r="CT645" s="62"/>
      <c r="CU645" s="62"/>
      <c r="CV645" s="62"/>
      <c r="CW645" s="62"/>
      <c r="CX645" s="62"/>
      <c r="CY645" s="62"/>
      <c r="CZ645" s="62"/>
      <c r="DA645" s="62"/>
      <c r="DB645" s="62"/>
      <c r="DC645" s="62"/>
      <c r="DD645" s="62"/>
      <c r="DE645" s="62"/>
      <c r="DF645" s="62"/>
      <c r="DG645" s="62"/>
      <c r="DH645" s="62"/>
      <c r="DI645" s="62"/>
      <c r="DJ645" s="62"/>
      <c r="DK645" s="62"/>
      <c r="DL645" s="62"/>
      <c r="DM645" s="62"/>
      <c r="DN645" s="62"/>
      <c r="DO645" s="62"/>
      <c r="DP645" s="62"/>
      <c r="DQ645" s="62"/>
      <c r="DR645" s="62"/>
      <c r="DS645" s="62"/>
      <c r="DT645" s="62"/>
      <c r="DU645" s="62"/>
      <c r="DV645" s="62"/>
      <c r="DW645" s="62"/>
      <c r="DX645" s="62"/>
      <c r="DY645" s="62"/>
      <c r="DZ645" s="62"/>
      <c r="EA645" s="62"/>
      <c r="EB645" s="62"/>
      <c r="EC645" s="62"/>
      <c r="ED645" s="62"/>
      <c r="EE645" s="62"/>
      <c r="EF645" s="62"/>
      <c r="EG645" s="62"/>
      <c r="EH645" s="62"/>
      <c r="EI645" s="62"/>
      <c r="EJ645" s="62"/>
      <c r="EK645" s="62"/>
      <c r="EL645" s="62"/>
      <c r="EM645" s="62"/>
      <c r="EN645" s="62"/>
      <c r="EO645" s="62"/>
      <c r="EP645" s="62"/>
      <c r="EQ645" s="62"/>
      <c r="ER645" s="62"/>
      <c r="ES645" s="62"/>
      <c r="ET645" s="62"/>
      <c r="EU645" s="62"/>
      <c r="EV645" s="62"/>
      <c r="EW645" s="62"/>
      <c r="EX645" s="62"/>
      <c r="EY645" s="62"/>
      <c r="EZ645" s="62"/>
      <c r="FA645" s="62"/>
      <c r="FB645" s="62"/>
      <c r="FC645" s="62"/>
      <c r="FD645" s="62"/>
      <c r="FE645" s="62"/>
      <c r="FF645" s="62"/>
      <c r="FG645" s="62"/>
      <c r="FH645" s="62"/>
      <c r="FI645" s="62"/>
      <c r="FJ645" s="62"/>
      <c r="FK645" s="62"/>
      <c r="FL645" s="62"/>
      <c r="FM645" s="62"/>
      <c r="FN645" s="62"/>
      <c r="FO645" s="62"/>
      <c r="FP645" s="62"/>
      <c r="FQ645" s="62"/>
      <c r="FR645" s="62"/>
      <c r="FS645" s="62"/>
      <c r="FT645" s="62"/>
      <c r="FU645" s="62"/>
      <c r="FV645" s="62"/>
    </row>
    <row r="646" spans="1:178" ht="13.8">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c r="AY646" s="62"/>
      <c r="AZ646" s="62"/>
      <c r="BA646" s="62"/>
      <c r="BB646" s="62"/>
      <c r="BC646" s="62"/>
      <c r="BD646" s="62"/>
      <c r="BE646" s="62"/>
      <c r="BF646" s="62"/>
      <c r="BG646" s="62"/>
      <c r="BH646" s="62"/>
      <c r="BI646" s="62"/>
      <c r="BJ646" s="62"/>
      <c r="BK646" s="62"/>
      <c r="BL646" s="62"/>
      <c r="BM646" s="62"/>
      <c r="BN646" s="62"/>
      <c r="BO646" s="62"/>
      <c r="BP646" s="62"/>
      <c r="BQ646" s="62"/>
      <c r="BR646" s="62"/>
      <c r="BS646" s="62"/>
      <c r="BT646" s="62"/>
      <c r="BU646" s="62"/>
      <c r="BV646" s="62"/>
      <c r="BW646" s="62"/>
      <c r="BX646" s="62"/>
      <c r="BY646" s="62"/>
      <c r="BZ646" s="62"/>
      <c r="CA646" s="62"/>
      <c r="CB646" s="62"/>
      <c r="CC646" s="62"/>
      <c r="CD646" s="62"/>
      <c r="CE646" s="62"/>
      <c r="CF646" s="62"/>
      <c r="CG646" s="62"/>
      <c r="CH646" s="62"/>
      <c r="CI646" s="62"/>
      <c r="CJ646" s="62"/>
      <c r="CK646" s="62"/>
      <c r="CL646" s="62"/>
      <c r="CM646" s="62"/>
      <c r="CN646" s="62"/>
      <c r="CO646" s="62"/>
      <c r="CP646" s="62"/>
      <c r="CQ646" s="62"/>
      <c r="CR646" s="62"/>
      <c r="CS646" s="62"/>
      <c r="CT646" s="62"/>
      <c r="CU646" s="62"/>
      <c r="CV646" s="62"/>
      <c r="CW646" s="62"/>
      <c r="CX646" s="62"/>
      <c r="CY646" s="62"/>
      <c r="CZ646" s="62"/>
      <c r="DA646" s="62"/>
      <c r="DB646" s="62"/>
      <c r="DC646" s="62"/>
      <c r="DD646" s="62"/>
      <c r="DE646" s="62"/>
      <c r="DF646" s="62"/>
      <c r="DG646" s="62"/>
      <c r="DH646" s="62"/>
      <c r="DI646" s="62"/>
      <c r="DJ646" s="62"/>
      <c r="DK646" s="62"/>
      <c r="DL646" s="62"/>
      <c r="DM646" s="62"/>
      <c r="DN646" s="62"/>
      <c r="DO646" s="62"/>
      <c r="DP646" s="62"/>
      <c r="DQ646" s="62"/>
      <c r="DR646" s="62"/>
      <c r="DS646" s="62"/>
      <c r="DT646" s="62"/>
      <c r="DU646" s="62"/>
      <c r="DV646" s="62"/>
      <c r="DW646" s="62"/>
      <c r="DX646" s="62"/>
      <c r="DY646" s="62"/>
      <c r="DZ646" s="62"/>
      <c r="EA646" s="62"/>
      <c r="EB646" s="62"/>
      <c r="EC646" s="62"/>
      <c r="ED646" s="62"/>
      <c r="EE646" s="62"/>
      <c r="EF646" s="62"/>
      <c r="EG646" s="62"/>
      <c r="EH646" s="62"/>
      <c r="EI646" s="62"/>
      <c r="EJ646" s="62"/>
      <c r="EK646" s="62"/>
      <c r="EL646" s="62"/>
      <c r="EM646" s="62"/>
      <c r="EN646" s="62"/>
      <c r="EO646" s="62"/>
      <c r="EP646" s="62"/>
      <c r="EQ646" s="62"/>
      <c r="ER646" s="62"/>
      <c r="ES646" s="62"/>
      <c r="ET646" s="62"/>
      <c r="EU646" s="62"/>
      <c r="EV646" s="62"/>
      <c r="EW646" s="62"/>
      <c r="EX646" s="62"/>
      <c r="EY646" s="62"/>
      <c r="EZ646" s="62"/>
      <c r="FA646" s="62"/>
      <c r="FB646" s="62"/>
      <c r="FC646" s="62"/>
      <c r="FD646" s="62"/>
      <c r="FE646" s="62"/>
      <c r="FF646" s="62"/>
      <c r="FG646" s="62"/>
      <c r="FH646" s="62"/>
      <c r="FI646" s="62"/>
      <c r="FJ646" s="62"/>
      <c r="FK646" s="62"/>
      <c r="FL646" s="62"/>
      <c r="FM646" s="62"/>
      <c r="FN646" s="62"/>
      <c r="FO646" s="62"/>
      <c r="FP646" s="62"/>
      <c r="FQ646" s="62"/>
      <c r="FR646" s="62"/>
      <c r="FS646" s="62"/>
      <c r="FT646" s="62"/>
      <c r="FU646" s="62"/>
      <c r="FV646" s="62"/>
    </row>
    <row r="647" spans="1:178" ht="13.8">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c r="AY647" s="62"/>
      <c r="AZ647" s="62"/>
      <c r="BA647" s="62"/>
      <c r="BB647" s="62"/>
      <c r="BC647" s="62"/>
      <c r="BD647" s="62"/>
      <c r="BE647" s="62"/>
      <c r="BF647" s="62"/>
      <c r="BG647" s="62"/>
      <c r="BH647" s="62"/>
      <c r="BI647" s="62"/>
      <c r="BJ647" s="62"/>
      <c r="BK647" s="62"/>
      <c r="BL647" s="62"/>
      <c r="BM647" s="62"/>
      <c r="BN647" s="62"/>
      <c r="BO647" s="62"/>
      <c r="BP647" s="62"/>
      <c r="BQ647" s="62"/>
      <c r="BR647" s="62"/>
      <c r="BS647" s="62"/>
      <c r="BT647" s="62"/>
      <c r="BU647" s="62"/>
      <c r="BV647" s="62"/>
      <c r="BW647" s="62"/>
      <c r="BX647" s="62"/>
      <c r="BY647" s="62"/>
      <c r="BZ647" s="62"/>
      <c r="CA647" s="62"/>
      <c r="CB647" s="62"/>
      <c r="CC647" s="62"/>
      <c r="CD647" s="62"/>
      <c r="CE647" s="62"/>
      <c r="CF647" s="62"/>
      <c r="CG647" s="62"/>
      <c r="CH647" s="62"/>
      <c r="CI647" s="62"/>
      <c r="CJ647" s="62"/>
      <c r="CK647" s="62"/>
      <c r="CL647" s="62"/>
      <c r="CM647" s="62"/>
      <c r="CN647" s="62"/>
      <c r="CO647" s="62"/>
      <c r="CP647" s="62"/>
      <c r="CQ647" s="62"/>
      <c r="CR647" s="62"/>
      <c r="CS647" s="62"/>
      <c r="CT647" s="62"/>
      <c r="CU647" s="62"/>
      <c r="CV647" s="62"/>
      <c r="CW647" s="62"/>
      <c r="CX647" s="62"/>
      <c r="CY647" s="62"/>
      <c r="CZ647" s="62"/>
      <c r="DA647" s="62"/>
      <c r="DB647" s="62"/>
      <c r="DC647" s="62"/>
      <c r="DD647" s="62"/>
      <c r="DE647" s="62"/>
      <c r="DF647" s="62"/>
      <c r="DG647" s="62"/>
      <c r="DH647" s="62"/>
      <c r="DI647" s="62"/>
      <c r="DJ647" s="62"/>
      <c r="DK647" s="62"/>
      <c r="DL647" s="62"/>
      <c r="DM647" s="62"/>
      <c r="DN647" s="62"/>
      <c r="DO647" s="62"/>
      <c r="DP647" s="62"/>
      <c r="DQ647" s="62"/>
      <c r="DR647" s="62"/>
      <c r="DS647" s="62"/>
      <c r="DT647" s="62"/>
      <c r="DU647" s="62"/>
      <c r="DV647" s="62"/>
      <c r="DW647" s="62"/>
      <c r="DX647" s="62"/>
      <c r="DY647" s="62"/>
      <c r="DZ647" s="62"/>
      <c r="EA647" s="62"/>
      <c r="EB647" s="62"/>
      <c r="EC647" s="62"/>
      <c r="ED647" s="62"/>
      <c r="EE647" s="62"/>
      <c r="EF647" s="62"/>
      <c r="EG647" s="62"/>
      <c r="EH647" s="62"/>
      <c r="EI647" s="62"/>
      <c r="EJ647" s="62"/>
      <c r="EK647" s="62"/>
      <c r="EL647" s="62"/>
      <c r="EM647" s="62"/>
      <c r="EN647" s="62"/>
      <c r="EO647" s="62"/>
      <c r="EP647" s="62"/>
      <c r="EQ647" s="62"/>
      <c r="ER647" s="62"/>
      <c r="ES647" s="62"/>
      <c r="ET647" s="62"/>
      <c r="EU647" s="62"/>
      <c r="EV647" s="62"/>
      <c r="EW647" s="62"/>
      <c r="EX647" s="62"/>
      <c r="EY647" s="62"/>
      <c r="EZ647" s="62"/>
      <c r="FA647" s="62"/>
      <c r="FB647" s="62"/>
      <c r="FC647" s="62"/>
      <c r="FD647" s="62"/>
      <c r="FE647" s="62"/>
      <c r="FF647" s="62"/>
      <c r="FG647" s="62"/>
      <c r="FH647" s="62"/>
      <c r="FI647" s="62"/>
      <c r="FJ647" s="62"/>
      <c r="FK647" s="62"/>
      <c r="FL647" s="62"/>
      <c r="FM647" s="62"/>
      <c r="FN647" s="62"/>
      <c r="FO647" s="62"/>
      <c r="FP647" s="62"/>
      <c r="FQ647" s="62"/>
      <c r="FR647" s="62"/>
      <c r="FS647" s="62"/>
      <c r="FT647" s="62"/>
      <c r="FU647" s="62"/>
      <c r="FV647" s="62"/>
    </row>
    <row r="648" spans="1:178" ht="13.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c r="AY648" s="62"/>
      <c r="AZ648" s="62"/>
      <c r="BA648" s="62"/>
      <c r="BB648" s="62"/>
      <c r="BC648" s="62"/>
      <c r="BD648" s="62"/>
      <c r="BE648" s="62"/>
      <c r="BF648" s="62"/>
      <c r="BG648" s="62"/>
      <c r="BH648" s="62"/>
      <c r="BI648" s="62"/>
      <c r="BJ648" s="62"/>
      <c r="BK648" s="62"/>
      <c r="BL648" s="62"/>
      <c r="BM648" s="62"/>
      <c r="BN648" s="62"/>
      <c r="BO648" s="62"/>
      <c r="BP648" s="62"/>
      <c r="BQ648" s="62"/>
      <c r="BR648" s="62"/>
      <c r="BS648" s="62"/>
      <c r="BT648" s="62"/>
      <c r="BU648" s="62"/>
      <c r="BV648" s="62"/>
      <c r="BW648" s="62"/>
      <c r="BX648" s="62"/>
      <c r="BY648" s="62"/>
      <c r="BZ648" s="62"/>
      <c r="CA648" s="62"/>
      <c r="CB648" s="62"/>
      <c r="CC648" s="62"/>
      <c r="CD648" s="62"/>
      <c r="CE648" s="62"/>
      <c r="CF648" s="62"/>
      <c r="CG648" s="62"/>
      <c r="CH648" s="62"/>
      <c r="CI648" s="62"/>
      <c r="CJ648" s="62"/>
      <c r="CK648" s="62"/>
      <c r="CL648" s="62"/>
      <c r="CM648" s="62"/>
      <c r="CN648" s="62"/>
      <c r="CO648" s="62"/>
      <c r="CP648" s="62"/>
      <c r="CQ648" s="62"/>
      <c r="CR648" s="62"/>
      <c r="CS648" s="62"/>
      <c r="CT648" s="62"/>
      <c r="CU648" s="62"/>
      <c r="CV648" s="62"/>
      <c r="CW648" s="62"/>
      <c r="CX648" s="62"/>
      <c r="CY648" s="62"/>
      <c r="CZ648" s="62"/>
      <c r="DA648" s="62"/>
      <c r="DB648" s="62"/>
      <c r="DC648" s="62"/>
      <c r="DD648" s="62"/>
      <c r="DE648" s="62"/>
      <c r="DF648" s="62"/>
      <c r="DG648" s="62"/>
      <c r="DH648" s="62"/>
      <c r="DI648" s="62"/>
      <c r="DJ648" s="62"/>
      <c r="DK648" s="62"/>
      <c r="DL648" s="62"/>
      <c r="DM648" s="62"/>
      <c r="DN648" s="62"/>
      <c r="DO648" s="62"/>
      <c r="DP648" s="62"/>
      <c r="DQ648" s="62"/>
      <c r="DR648" s="62"/>
      <c r="DS648" s="62"/>
      <c r="DT648" s="62"/>
      <c r="DU648" s="62"/>
      <c r="DV648" s="62"/>
      <c r="DW648" s="62"/>
      <c r="DX648" s="62"/>
      <c r="DY648" s="62"/>
      <c r="DZ648" s="62"/>
      <c r="EA648" s="62"/>
      <c r="EB648" s="62"/>
      <c r="EC648" s="62"/>
      <c r="ED648" s="62"/>
      <c r="EE648" s="62"/>
      <c r="EF648" s="62"/>
      <c r="EG648" s="62"/>
      <c r="EH648" s="62"/>
      <c r="EI648" s="62"/>
      <c r="EJ648" s="62"/>
      <c r="EK648" s="62"/>
      <c r="EL648" s="62"/>
      <c r="EM648" s="62"/>
      <c r="EN648" s="62"/>
      <c r="EO648" s="62"/>
      <c r="EP648" s="62"/>
      <c r="EQ648" s="62"/>
      <c r="ER648" s="62"/>
      <c r="ES648" s="62"/>
      <c r="ET648" s="62"/>
      <c r="EU648" s="62"/>
      <c r="EV648" s="62"/>
      <c r="EW648" s="62"/>
      <c r="EX648" s="62"/>
      <c r="EY648" s="62"/>
      <c r="EZ648" s="62"/>
      <c r="FA648" s="62"/>
      <c r="FB648" s="62"/>
      <c r="FC648" s="62"/>
      <c r="FD648" s="62"/>
      <c r="FE648" s="62"/>
      <c r="FF648" s="62"/>
      <c r="FG648" s="62"/>
      <c r="FH648" s="62"/>
      <c r="FI648" s="62"/>
      <c r="FJ648" s="62"/>
      <c r="FK648" s="62"/>
      <c r="FL648" s="62"/>
      <c r="FM648" s="62"/>
      <c r="FN648" s="62"/>
      <c r="FO648" s="62"/>
      <c r="FP648" s="62"/>
      <c r="FQ648" s="62"/>
      <c r="FR648" s="62"/>
      <c r="FS648" s="62"/>
      <c r="FT648" s="62"/>
      <c r="FU648" s="62"/>
      <c r="FV648" s="62"/>
    </row>
    <row r="649" spans="1:178" ht="13.8">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c r="AY649" s="62"/>
      <c r="AZ649" s="62"/>
      <c r="BA649" s="62"/>
      <c r="BB649" s="62"/>
      <c r="BC649" s="62"/>
      <c r="BD649" s="62"/>
      <c r="BE649" s="62"/>
      <c r="BF649" s="62"/>
      <c r="BG649" s="62"/>
      <c r="BH649" s="62"/>
      <c r="BI649" s="62"/>
      <c r="BJ649" s="62"/>
      <c r="BK649" s="62"/>
      <c r="BL649" s="62"/>
      <c r="BM649" s="62"/>
      <c r="BN649" s="62"/>
      <c r="BO649" s="62"/>
      <c r="BP649" s="62"/>
      <c r="BQ649" s="62"/>
      <c r="BR649" s="62"/>
      <c r="BS649" s="62"/>
      <c r="BT649" s="62"/>
      <c r="BU649" s="62"/>
      <c r="BV649" s="62"/>
      <c r="BW649" s="62"/>
      <c r="BX649" s="62"/>
      <c r="BY649" s="62"/>
      <c r="BZ649" s="62"/>
      <c r="CA649" s="62"/>
      <c r="CB649" s="62"/>
      <c r="CC649" s="62"/>
      <c r="CD649" s="62"/>
      <c r="CE649" s="62"/>
      <c r="CF649" s="62"/>
      <c r="CG649" s="62"/>
      <c r="CH649" s="62"/>
      <c r="CI649" s="62"/>
      <c r="CJ649" s="62"/>
      <c r="CK649" s="62"/>
      <c r="CL649" s="62"/>
      <c r="CM649" s="62"/>
      <c r="CN649" s="62"/>
      <c r="CO649" s="62"/>
      <c r="CP649" s="62"/>
      <c r="CQ649" s="62"/>
      <c r="CR649" s="62"/>
      <c r="CS649" s="62"/>
      <c r="CT649" s="62"/>
      <c r="CU649" s="62"/>
      <c r="CV649" s="62"/>
      <c r="CW649" s="62"/>
      <c r="CX649" s="62"/>
      <c r="CY649" s="62"/>
      <c r="CZ649" s="62"/>
      <c r="DA649" s="62"/>
      <c r="DB649" s="62"/>
      <c r="DC649" s="62"/>
      <c r="DD649" s="62"/>
      <c r="DE649" s="62"/>
      <c r="DF649" s="62"/>
      <c r="DG649" s="62"/>
      <c r="DH649" s="62"/>
      <c r="DI649" s="62"/>
      <c r="DJ649" s="62"/>
      <c r="DK649" s="62"/>
      <c r="DL649" s="62"/>
      <c r="DM649" s="62"/>
      <c r="DN649" s="62"/>
      <c r="DO649" s="62"/>
      <c r="DP649" s="62"/>
      <c r="DQ649" s="62"/>
      <c r="DR649" s="62"/>
      <c r="DS649" s="62"/>
      <c r="DT649" s="62"/>
      <c r="DU649" s="62"/>
      <c r="DV649" s="62"/>
      <c r="DW649" s="62"/>
      <c r="DX649" s="62"/>
      <c r="DY649" s="62"/>
      <c r="DZ649" s="62"/>
      <c r="EA649" s="62"/>
      <c r="EB649" s="62"/>
      <c r="EC649" s="62"/>
      <c r="ED649" s="62"/>
      <c r="EE649" s="62"/>
      <c r="EF649" s="62"/>
      <c r="EG649" s="62"/>
      <c r="EH649" s="62"/>
      <c r="EI649" s="62"/>
      <c r="EJ649" s="62"/>
      <c r="EK649" s="62"/>
      <c r="EL649" s="62"/>
      <c r="EM649" s="62"/>
      <c r="EN649" s="62"/>
      <c r="EO649" s="62"/>
      <c r="EP649" s="62"/>
      <c r="EQ649" s="62"/>
      <c r="ER649" s="62"/>
      <c r="ES649" s="62"/>
      <c r="ET649" s="62"/>
      <c r="EU649" s="62"/>
      <c r="EV649" s="62"/>
      <c r="EW649" s="62"/>
      <c r="EX649" s="62"/>
      <c r="EY649" s="62"/>
      <c r="EZ649" s="62"/>
      <c r="FA649" s="62"/>
      <c r="FB649" s="62"/>
      <c r="FC649" s="62"/>
      <c r="FD649" s="62"/>
      <c r="FE649" s="62"/>
      <c r="FF649" s="62"/>
      <c r="FG649" s="62"/>
      <c r="FH649" s="62"/>
      <c r="FI649" s="62"/>
      <c r="FJ649" s="62"/>
      <c r="FK649" s="62"/>
      <c r="FL649" s="62"/>
      <c r="FM649" s="62"/>
      <c r="FN649" s="62"/>
      <c r="FO649" s="62"/>
      <c r="FP649" s="62"/>
      <c r="FQ649" s="62"/>
      <c r="FR649" s="62"/>
      <c r="FS649" s="62"/>
      <c r="FT649" s="62"/>
      <c r="FU649" s="62"/>
      <c r="FV649" s="62"/>
    </row>
    <row r="650" spans="1:178" ht="13.8">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c r="AY650" s="62"/>
      <c r="AZ650" s="62"/>
      <c r="BA650" s="62"/>
      <c r="BB650" s="62"/>
      <c r="BC650" s="62"/>
      <c r="BD650" s="62"/>
      <c r="BE650" s="62"/>
      <c r="BF650" s="62"/>
      <c r="BG650" s="62"/>
      <c r="BH650" s="62"/>
      <c r="BI650" s="62"/>
      <c r="BJ650" s="62"/>
      <c r="BK650" s="62"/>
      <c r="BL650" s="62"/>
      <c r="BM650" s="62"/>
      <c r="BN650" s="62"/>
      <c r="BO650" s="62"/>
      <c r="BP650" s="62"/>
      <c r="BQ650" s="62"/>
      <c r="BR650" s="62"/>
      <c r="BS650" s="62"/>
      <c r="BT650" s="62"/>
      <c r="BU650" s="62"/>
      <c r="BV650" s="62"/>
      <c r="BW650" s="62"/>
      <c r="BX650" s="62"/>
      <c r="BY650" s="62"/>
      <c r="BZ650" s="62"/>
      <c r="CA650" s="62"/>
      <c r="CB650" s="62"/>
      <c r="CC650" s="62"/>
      <c r="CD650" s="62"/>
      <c r="CE650" s="62"/>
      <c r="CF650" s="62"/>
      <c r="CG650" s="62"/>
      <c r="CH650" s="62"/>
      <c r="CI650" s="62"/>
      <c r="CJ650" s="62"/>
      <c r="CK650" s="62"/>
      <c r="CL650" s="62"/>
      <c r="CM650" s="62"/>
      <c r="CN650" s="62"/>
      <c r="CO650" s="62"/>
      <c r="CP650" s="62"/>
      <c r="CQ650" s="62"/>
      <c r="CR650" s="62"/>
      <c r="CS650" s="62"/>
      <c r="CT650" s="62"/>
      <c r="CU650" s="62"/>
      <c r="CV650" s="62"/>
      <c r="CW650" s="62"/>
      <c r="CX650" s="62"/>
      <c r="CY650" s="62"/>
      <c r="CZ650" s="62"/>
      <c r="DA650" s="62"/>
      <c r="DB650" s="62"/>
      <c r="DC650" s="62"/>
      <c r="DD650" s="62"/>
      <c r="DE650" s="62"/>
      <c r="DF650" s="62"/>
      <c r="DG650" s="62"/>
      <c r="DH650" s="62"/>
      <c r="DI650" s="62"/>
      <c r="DJ650" s="62"/>
      <c r="DK650" s="62"/>
      <c r="DL650" s="62"/>
      <c r="DM650" s="62"/>
      <c r="DN650" s="62"/>
      <c r="DO650" s="62"/>
      <c r="DP650" s="62"/>
      <c r="DQ650" s="62"/>
      <c r="DR650" s="62"/>
      <c r="DS650" s="62"/>
      <c r="DT650" s="62"/>
      <c r="DU650" s="62"/>
      <c r="DV650" s="62"/>
      <c r="DW650" s="62"/>
      <c r="DX650" s="62"/>
      <c r="DY650" s="62"/>
      <c r="DZ650" s="62"/>
      <c r="EA650" s="62"/>
      <c r="EB650" s="62"/>
      <c r="EC650" s="62"/>
      <c r="ED650" s="62"/>
      <c r="EE650" s="62"/>
      <c r="EF650" s="62"/>
      <c r="EG650" s="62"/>
      <c r="EH650" s="62"/>
      <c r="EI650" s="62"/>
      <c r="EJ650" s="62"/>
      <c r="EK650" s="62"/>
      <c r="EL650" s="62"/>
      <c r="EM650" s="62"/>
      <c r="EN650" s="62"/>
      <c r="EO650" s="62"/>
      <c r="EP650" s="62"/>
      <c r="EQ650" s="62"/>
      <c r="ER650" s="62"/>
      <c r="ES650" s="62"/>
      <c r="ET650" s="62"/>
      <c r="EU650" s="62"/>
      <c r="EV650" s="62"/>
      <c r="EW650" s="62"/>
      <c r="EX650" s="62"/>
      <c r="EY650" s="62"/>
      <c r="EZ650" s="62"/>
      <c r="FA650" s="62"/>
      <c r="FB650" s="62"/>
      <c r="FC650" s="62"/>
      <c r="FD650" s="62"/>
      <c r="FE650" s="62"/>
      <c r="FF650" s="62"/>
      <c r="FG650" s="62"/>
      <c r="FH650" s="62"/>
      <c r="FI650" s="62"/>
      <c r="FJ650" s="62"/>
      <c r="FK650" s="62"/>
      <c r="FL650" s="62"/>
      <c r="FM650" s="62"/>
      <c r="FN650" s="62"/>
      <c r="FO650" s="62"/>
      <c r="FP650" s="62"/>
      <c r="FQ650" s="62"/>
      <c r="FR650" s="62"/>
      <c r="FS650" s="62"/>
      <c r="FT650" s="62"/>
      <c r="FU650" s="62"/>
      <c r="FV650" s="62"/>
    </row>
    <row r="651" spans="1:178" ht="13.8">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c r="AY651" s="62"/>
      <c r="AZ651" s="62"/>
      <c r="BA651" s="62"/>
      <c r="BB651" s="62"/>
      <c r="BC651" s="62"/>
      <c r="BD651" s="62"/>
      <c r="BE651" s="62"/>
      <c r="BF651" s="62"/>
      <c r="BG651" s="62"/>
      <c r="BH651" s="62"/>
      <c r="BI651" s="62"/>
      <c r="BJ651" s="62"/>
      <c r="BK651" s="62"/>
      <c r="BL651" s="62"/>
      <c r="BM651" s="62"/>
      <c r="BN651" s="62"/>
      <c r="BO651" s="62"/>
      <c r="BP651" s="62"/>
      <c r="BQ651" s="62"/>
      <c r="BR651" s="62"/>
      <c r="BS651" s="62"/>
      <c r="BT651" s="62"/>
      <c r="BU651" s="62"/>
      <c r="BV651" s="62"/>
      <c r="BW651" s="62"/>
      <c r="BX651" s="62"/>
      <c r="BY651" s="62"/>
      <c r="BZ651" s="62"/>
      <c r="CA651" s="62"/>
      <c r="CB651" s="62"/>
      <c r="CC651" s="62"/>
      <c r="CD651" s="62"/>
      <c r="CE651" s="62"/>
      <c r="CF651" s="62"/>
      <c r="CG651" s="62"/>
      <c r="CH651" s="62"/>
      <c r="CI651" s="62"/>
      <c r="CJ651" s="62"/>
      <c r="CK651" s="62"/>
      <c r="CL651" s="62"/>
      <c r="CM651" s="62"/>
      <c r="CN651" s="62"/>
      <c r="CO651" s="62"/>
      <c r="CP651" s="62"/>
      <c r="CQ651" s="62"/>
      <c r="CR651" s="62"/>
      <c r="CS651" s="62"/>
      <c r="CT651" s="62"/>
      <c r="CU651" s="62"/>
      <c r="CV651" s="62"/>
      <c r="CW651" s="62"/>
      <c r="CX651" s="62"/>
      <c r="CY651" s="62"/>
      <c r="CZ651" s="62"/>
      <c r="DA651" s="62"/>
      <c r="DB651" s="62"/>
      <c r="DC651" s="62"/>
      <c r="DD651" s="62"/>
      <c r="DE651" s="62"/>
      <c r="DF651" s="62"/>
      <c r="DG651" s="62"/>
      <c r="DH651" s="62"/>
      <c r="DI651" s="62"/>
      <c r="DJ651" s="62"/>
      <c r="DK651" s="62"/>
      <c r="DL651" s="62"/>
      <c r="DM651" s="62"/>
      <c r="DN651" s="62"/>
      <c r="DO651" s="62"/>
      <c r="DP651" s="62"/>
      <c r="DQ651" s="62"/>
      <c r="DR651" s="62"/>
      <c r="DS651" s="62"/>
      <c r="DT651" s="62"/>
      <c r="DU651" s="62"/>
      <c r="DV651" s="62"/>
      <c r="DW651" s="62"/>
      <c r="DX651" s="62"/>
      <c r="DY651" s="62"/>
      <c r="DZ651" s="62"/>
      <c r="EA651" s="62"/>
      <c r="EB651" s="62"/>
      <c r="EC651" s="62"/>
      <c r="ED651" s="62"/>
      <c r="EE651" s="62"/>
      <c r="EF651" s="62"/>
      <c r="EG651" s="62"/>
      <c r="EH651" s="62"/>
      <c r="EI651" s="62"/>
      <c r="EJ651" s="62"/>
      <c r="EK651" s="62"/>
      <c r="EL651" s="62"/>
      <c r="EM651" s="62"/>
      <c r="EN651" s="62"/>
      <c r="EO651" s="62"/>
      <c r="EP651" s="62"/>
      <c r="EQ651" s="62"/>
      <c r="ER651" s="62"/>
      <c r="ES651" s="62"/>
      <c r="ET651" s="62"/>
      <c r="EU651" s="62"/>
      <c r="EV651" s="62"/>
      <c r="EW651" s="62"/>
      <c r="EX651" s="62"/>
      <c r="EY651" s="62"/>
      <c r="EZ651" s="62"/>
      <c r="FA651" s="62"/>
      <c r="FB651" s="62"/>
      <c r="FC651" s="62"/>
      <c r="FD651" s="62"/>
      <c r="FE651" s="62"/>
      <c r="FF651" s="62"/>
      <c r="FG651" s="62"/>
      <c r="FH651" s="62"/>
      <c r="FI651" s="62"/>
      <c r="FJ651" s="62"/>
      <c r="FK651" s="62"/>
      <c r="FL651" s="62"/>
      <c r="FM651" s="62"/>
      <c r="FN651" s="62"/>
      <c r="FO651" s="62"/>
      <c r="FP651" s="62"/>
      <c r="FQ651" s="62"/>
      <c r="FR651" s="62"/>
      <c r="FS651" s="62"/>
      <c r="FT651" s="62"/>
      <c r="FU651" s="62"/>
      <c r="FV651" s="62"/>
    </row>
    <row r="652" spans="1:178" ht="13.8">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c r="AY652" s="62"/>
      <c r="AZ652" s="62"/>
      <c r="BA652" s="62"/>
      <c r="BB652" s="62"/>
      <c r="BC652" s="62"/>
      <c r="BD652" s="62"/>
      <c r="BE652" s="62"/>
      <c r="BF652" s="62"/>
      <c r="BG652" s="62"/>
      <c r="BH652" s="62"/>
      <c r="BI652" s="62"/>
      <c r="BJ652" s="62"/>
      <c r="BK652" s="62"/>
      <c r="BL652" s="62"/>
      <c r="BM652" s="62"/>
      <c r="BN652" s="62"/>
      <c r="BO652" s="62"/>
      <c r="BP652" s="62"/>
      <c r="BQ652" s="62"/>
      <c r="BR652" s="62"/>
      <c r="BS652" s="62"/>
      <c r="BT652" s="62"/>
      <c r="BU652" s="62"/>
      <c r="BV652" s="62"/>
      <c r="BW652" s="62"/>
      <c r="BX652" s="62"/>
      <c r="BY652" s="62"/>
      <c r="BZ652" s="62"/>
      <c r="CA652" s="62"/>
      <c r="CB652" s="62"/>
      <c r="CC652" s="62"/>
      <c r="CD652" s="62"/>
      <c r="CE652" s="62"/>
      <c r="CF652" s="62"/>
      <c r="CG652" s="62"/>
      <c r="CH652" s="62"/>
      <c r="CI652" s="62"/>
      <c r="CJ652" s="62"/>
      <c r="CK652" s="62"/>
      <c r="CL652" s="62"/>
      <c r="CM652" s="62"/>
      <c r="CN652" s="62"/>
      <c r="CO652" s="62"/>
      <c r="CP652" s="62"/>
      <c r="CQ652" s="62"/>
      <c r="CR652" s="62"/>
      <c r="CS652" s="62"/>
      <c r="CT652" s="62"/>
      <c r="CU652" s="62"/>
      <c r="CV652" s="62"/>
      <c r="CW652" s="62"/>
      <c r="CX652" s="62"/>
      <c r="CY652" s="62"/>
      <c r="CZ652" s="62"/>
      <c r="DA652" s="62"/>
      <c r="DB652" s="62"/>
      <c r="DC652" s="62"/>
      <c r="DD652" s="62"/>
      <c r="DE652" s="62"/>
      <c r="DF652" s="62"/>
      <c r="DG652" s="62"/>
      <c r="DH652" s="62"/>
      <c r="DI652" s="62"/>
      <c r="DJ652" s="62"/>
      <c r="DK652" s="62"/>
      <c r="DL652" s="62"/>
      <c r="DM652" s="62"/>
      <c r="DN652" s="62"/>
      <c r="DO652" s="62"/>
      <c r="DP652" s="62"/>
      <c r="DQ652" s="62"/>
      <c r="DR652" s="62"/>
      <c r="DS652" s="62"/>
      <c r="DT652" s="62"/>
      <c r="DU652" s="62"/>
      <c r="DV652" s="62"/>
      <c r="DW652" s="62"/>
      <c r="DX652" s="62"/>
      <c r="DY652" s="62"/>
      <c r="DZ652" s="62"/>
      <c r="EA652" s="62"/>
      <c r="EB652" s="62"/>
      <c r="EC652" s="62"/>
      <c r="ED652" s="62"/>
      <c r="EE652" s="62"/>
      <c r="EF652" s="62"/>
      <c r="EG652" s="62"/>
      <c r="EH652" s="62"/>
      <c r="EI652" s="62"/>
      <c r="EJ652" s="62"/>
      <c r="EK652" s="62"/>
      <c r="EL652" s="62"/>
      <c r="EM652" s="62"/>
      <c r="EN652" s="62"/>
      <c r="EO652" s="62"/>
      <c r="EP652" s="62"/>
      <c r="EQ652" s="62"/>
      <c r="ER652" s="62"/>
      <c r="ES652" s="62"/>
      <c r="ET652" s="62"/>
      <c r="EU652" s="62"/>
      <c r="EV652" s="62"/>
      <c r="EW652" s="62"/>
      <c r="EX652" s="62"/>
      <c r="EY652" s="62"/>
      <c r="EZ652" s="62"/>
      <c r="FA652" s="62"/>
      <c r="FB652" s="62"/>
      <c r="FC652" s="62"/>
      <c r="FD652" s="62"/>
      <c r="FE652" s="62"/>
      <c r="FF652" s="62"/>
      <c r="FG652" s="62"/>
      <c r="FH652" s="62"/>
      <c r="FI652" s="62"/>
      <c r="FJ652" s="62"/>
      <c r="FK652" s="62"/>
      <c r="FL652" s="62"/>
      <c r="FM652" s="62"/>
      <c r="FN652" s="62"/>
      <c r="FO652" s="62"/>
      <c r="FP652" s="62"/>
      <c r="FQ652" s="62"/>
      <c r="FR652" s="62"/>
      <c r="FS652" s="62"/>
      <c r="FT652" s="62"/>
      <c r="FU652" s="62"/>
      <c r="FV652" s="62"/>
    </row>
    <row r="653" spans="1:178" ht="13.8">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c r="AY653" s="62"/>
      <c r="AZ653" s="62"/>
      <c r="BA653" s="62"/>
      <c r="BB653" s="62"/>
      <c r="BC653" s="62"/>
      <c r="BD653" s="62"/>
      <c r="BE653" s="62"/>
      <c r="BF653" s="62"/>
      <c r="BG653" s="62"/>
      <c r="BH653" s="62"/>
      <c r="BI653" s="62"/>
      <c r="BJ653" s="62"/>
      <c r="BK653" s="62"/>
      <c r="BL653" s="62"/>
      <c r="BM653" s="62"/>
      <c r="BN653" s="62"/>
      <c r="BO653" s="62"/>
      <c r="BP653" s="62"/>
      <c r="BQ653" s="62"/>
      <c r="BR653" s="62"/>
      <c r="BS653" s="62"/>
      <c r="BT653" s="62"/>
      <c r="BU653" s="62"/>
      <c r="BV653" s="62"/>
      <c r="BW653" s="62"/>
      <c r="BX653" s="62"/>
      <c r="BY653" s="62"/>
      <c r="BZ653" s="62"/>
      <c r="CA653" s="62"/>
      <c r="CB653" s="62"/>
      <c r="CC653" s="62"/>
      <c r="CD653" s="62"/>
      <c r="CE653" s="62"/>
      <c r="CF653" s="62"/>
      <c r="CG653" s="62"/>
      <c r="CH653" s="62"/>
      <c r="CI653" s="62"/>
      <c r="CJ653" s="62"/>
      <c r="CK653" s="62"/>
      <c r="CL653" s="62"/>
      <c r="CM653" s="62"/>
      <c r="CN653" s="62"/>
      <c r="CO653" s="62"/>
      <c r="CP653" s="62"/>
      <c r="CQ653" s="62"/>
      <c r="CR653" s="62"/>
      <c r="CS653" s="62"/>
      <c r="CT653" s="62"/>
      <c r="CU653" s="62"/>
      <c r="CV653" s="62"/>
      <c r="CW653" s="62"/>
      <c r="CX653" s="62"/>
      <c r="CY653" s="62"/>
      <c r="CZ653" s="62"/>
      <c r="DA653" s="62"/>
      <c r="DB653" s="62"/>
      <c r="DC653" s="62"/>
      <c r="DD653" s="62"/>
      <c r="DE653" s="62"/>
      <c r="DF653" s="62"/>
      <c r="DG653" s="62"/>
      <c r="DH653" s="62"/>
      <c r="DI653" s="62"/>
      <c r="DJ653" s="62"/>
      <c r="DK653" s="62"/>
      <c r="DL653" s="62"/>
      <c r="DM653" s="62"/>
      <c r="DN653" s="62"/>
      <c r="DO653" s="62"/>
      <c r="DP653" s="62"/>
      <c r="DQ653" s="62"/>
      <c r="DR653" s="62"/>
      <c r="DS653" s="62"/>
      <c r="DT653" s="62"/>
      <c r="DU653" s="62"/>
      <c r="DV653" s="62"/>
      <c r="DW653" s="62"/>
      <c r="DX653" s="62"/>
      <c r="DY653" s="62"/>
      <c r="DZ653" s="62"/>
      <c r="EA653" s="62"/>
      <c r="EB653" s="62"/>
      <c r="EC653" s="62"/>
      <c r="ED653" s="62"/>
      <c r="EE653" s="62"/>
      <c r="EF653" s="62"/>
      <c r="EG653" s="62"/>
      <c r="EH653" s="62"/>
      <c r="EI653" s="62"/>
      <c r="EJ653" s="62"/>
      <c r="EK653" s="62"/>
      <c r="EL653" s="62"/>
      <c r="EM653" s="62"/>
      <c r="EN653" s="62"/>
      <c r="EO653" s="62"/>
      <c r="EP653" s="62"/>
      <c r="EQ653" s="62"/>
      <c r="ER653" s="62"/>
      <c r="ES653" s="62"/>
      <c r="ET653" s="62"/>
      <c r="EU653" s="62"/>
      <c r="EV653" s="62"/>
      <c r="EW653" s="62"/>
      <c r="EX653" s="62"/>
      <c r="EY653" s="62"/>
      <c r="EZ653" s="62"/>
      <c r="FA653" s="62"/>
      <c r="FB653" s="62"/>
      <c r="FC653" s="62"/>
      <c r="FD653" s="62"/>
      <c r="FE653" s="62"/>
      <c r="FF653" s="62"/>
      <c r="FG653" s="62"/>
      <c r="FH653" s="62"/>
      <c r="FI653" s="62"/>
      <c r="FJ653" s="62"/>
      <c r="FK653" s="62"/>
      <c r="FL653" s="62"/>
      <c r="FM653" s="62"/>
      <c r="FN653" s="62"/>
      <c r="FO653" s="62"/>
      <c r="FP653" s="62"/>
      <c r="FQ653" s="62"/>
      <c r="FR653" s="62"/>
      <c r="FS653" s="62"/>
      <c r="FT653" s="62"/>
      <c r="FU653" s="62"/>
      <c r="FV653" s="62"/>
    </row>
    <row r="654" spans="1:178" ht="13.8">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c r="AY654" s="62"/>
      <c r="AZ654" s="62"/>
      <c r="BA654" s="62"/>
      <c r="BB654" s="62"/>
      <c r="BC654" s="62"/>
      <c r="BD654" s="62"/>
      <c r="BE654" s="62"/>
      <c r="BF654" s="62"/>
      <c r="BG654" s="62"/>
      <c r="BH654" s="62"/>
      <c r="BI654" s="62"/>
      <c r="BJ654" s="62"/>
      <c r="BK654" s="62"/>
      <c r="BL654" s="62"/>
      <c r="BM654" s="62"/>
      <c r="BN654" s="62"/>
      <c r="BO654" s="62"/>
      <c r="BP654" s="62"/>
      <c r="BQ654" s="62"/>
      <c r="BR654" s="62"/>
      <c r="BS654" s="62"/>
      <c r="BT654" s="62"/>
      <c r="BU654" s="62"/>
      <c r="BV654" s="62"/>
      <c r="BW654" s="62"/>
      <c r="BX654" s="62"/>
      <c r="BY654" s="62"/>
      <c r="BZ654" s="62"/>
      <c r="CA654" s="62"/>
      <c r="CB654" s="62"/>
      <c r="CC654" s="62"/>
      <c r="CD654" s="62"/>
      <c r="CE654" s="62"/>
      <c r="CF654" s="62"/>
      <c r="CG654" s="62"/>
      <c r="CH654" s="62"/>
      <c r="CI654" s="62"/>
      <c r="CJ654" s="62"/>
      <c r="CK654" s="62"/>
      <c r="CL654" s="62"/>
      <c r="CM654" s="62"/>
      <c r="CN654" s="62"/>
      <c r="CO654" s="62"/>
      <c r="CP654" s="62"/>
      <c r="CQ654" s="62"/>
      <c r="CR654" s="62"/>
      <c r="CS654" s="62"/>
      <c r="CT654" s="62"/>
      <c r="CU654" s="62"/>
      <c r="CV654" s="62"/>
      <c r="CW654" s="62"/>
      <c r="CX654" s="62"/>
      <c r="CY654" s="62"/>
      <c r="CZ654" s="62"/>
      <c r="DA654" s="62"/>
      <c r="DB654" s="62"/>
      <c r="DC654" s="62"/>
      <c r="DD654" s="62"/>
      <c r="DE654" s="62"/>
      <c r="DF654" s="62"/>
      <c r="DG654" s="62"/>
      <c r="DH654" s="62"/>
      <c r="DI654" s="62"/>
      <c r="DJ654" s="62"/>
      <c r="DK654" s="62"/>
      <c r="DL654" s="62"/>
      <c r="DM654" s="62"/>
      <c r="DN654" s="62"/>
      <c r="DO654" s="62"/>
      <c r="DP654" s="62"/>
      <c r="DQ654" s="62"/>
      <c r="DR654" s="62"/>
      <c r="DS654" s="62"/>
      <c r="DT654" s="62"/>
      <c r="DU654" s="62"/>
      <c r="DV654" s="62"/>
      <c r="DW654" s="62"/>
      <c r="DX654" s="62"/>
      <c r="DY654" s="62"/>
      <c r="DZ654" s="62"/>
      <c r="EA654" s="62"/>
      <c r="EB654" s="62"/>
      <c r="EC654" s="62"/>
      <c r="ED654" s="62"/>
      <c r="EE654" s="62"/>
      <c r="EF654" s="62"/>
      <c r="EG654" s="62"/>
      <c r="EH654" s="62"/>
      <c r="EI654" s="62"/>
      <c r="EJ654" s="62"/>
      <c r="EK654" s="62"/>
      <c r="EL654" s="62"/>
      <c r="EM654" s="62"/>
      <c r="EN654" s="62"/>
      <c r="EO654" s="62"/>
      <c r="EP654" s="62"/>
      <c r="EQ654" s="62"/>
      <c r="ER654" s="62"/>
      <c r="ES654" s="62"/>
      <c r="ET654" s="62"/>
      <c r="EU654" s="62"/>
      <c r="EV654" s="62"/>
      <c r="EW654" s="62"/>
      <c r="EX654" s="62"/>
      <c r="EY654" s="62"/>
      <c r="EZ654" s="62"/>
      <c r="FA654" s="62"/>
      <c r="FB654" s="62"/>
      <c r="FC654" s="62"/>
      <c r="FD654" s="62"/>
      <c r="FE654" s="62"/>
      <c r="FF654" s="62"/>
      <c r="FG654" s="62"/>
      <c r="FH654" s="62"/>
      <c r="FI654" s="62"/>
      <c r="FJ654" s="62"/>
      <c r="FK654" s="62"/>
      <c r="FL654" s="62"/>
      <c r="FM654" s="62"/>
      <c r="FN654" s="62"/>
      <c r="FO654" s="62"/>
      <c r="FP654" s="62"/>
      <c r="FQ654" s="62"/>
      <c r="FR654" s="62"/>
      <c r="FS654" s="62"/>
      <c r="FT654" s="62"/>
      <c r="FU654" s="62"/>
      <c r="FV654" s="62"/>
    </row>
    <row r="655" spans="1:178" ht="13.8">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c r="AY655" s="62"/>
      <c r="AZ655" s="62"/>
      <c r="BA655" s="62"/>
      <c r="BB655" s="62"/>
      <c r="BC655" s="62"/>
      <c r="BD655" s="62"/>
      <c r="BE655" s="62"/>
      <c r="BF655" s="62"/>
      <c r="BG655" s="62"/>
      <c r="BH655" s="62"/>
      <c r="BI655" s="62"/>
      <c r="BJ655" s="62"/>
      <c r="BK655" s="62"/>
      <c r="BL655" s="62"/>
      <c r="BM655" s="62"/>
      <c r="BN655" s="62"/>
      <c r="BO655" s="62"/>
      <c r="BP655" s="62"/>
      <c r="BQ655" s="62"/>
      <c r="BR655" s="62"/>
      <c r="BS655" s="62"/>
      <c r="BT655" s="62"/>
      <c r="BU655" s="62"/>
      <c r="BV655" s="62"/>
      <c r="BW655" s="62"/>
      <c r="BX655" s="62"/>
      <c r="BY655" s="62"/>
      <c r="BZ655" s="62"/>
      <c r="CA655" s="62"/>
      <c r="CB655" s="62"/>
      <c r="CC655" s="62"/>
      <c r="CD655" s="62"/>
      <c r="CE655" s="62"/>
      <c r="CF655" s="62"/>
      <c r="CG655" s="62"/>
      <c r="CH655" s="62"/>
      <c r="CI655" s="62"/>
      <c r="CJ655" s="62"/>
      <c r="CK655" s="62"/>
      <c r="CL655" s="62"/>
      <c r="CM655" s="62"/>
      <c r="CN655" s="62"/>
      <c r="CO655" s="62"/>
      <c r="CP655" s="62"/>
      <c r="CQ655" s="62"/>
      <c r="CR655" s="62"/>
      <c r="CS655" s="62"/>
      <c r="CT655" s="62"/>
      <c r="CU655" s="62"/>
      <c r="CV655" s="62"/>
      <c r="CW655" s="62"/>
      <c r="CX655" s="62"/>
      <c r="CY655" s="62"/>
      <c r="CZ655" s="62"/>
      <c r="DA655" s="62"/>
      <c r="DB655" s="62"/>
      <c r="DC655" s="62"/>
      <c r="DD655" s="62"/>
      <c r="DE655" s="62"/>
      <c r="DF655" s="62"/>
      <c r="DG655" s="62"/>
      <c r="DH655" s="62"/>
      <c r="DI655" s="62"/>
      <c r="DJ655" s="62"/>
      <c r="DK655" s="62"/>
      <c r="DL655" s="62"/>
      <c r="DM655" s="62"/>
      <c r="DN655" s="62"/>
      <c r="DO655" s="62"/>
      <c r="DP655" s="62"/>
      <c r="DQ655" s="62"/>
      <c r="DR655" s="62"/>
      <c r="DS655" s="62"/>
      <c r="DT655" s="62"/>
      <c r="DU655" s="62"/>
      <c r="DV655" s="62"/>
      <c r="DW655" s="62"/>
      <c r="DX655" s="62"/>
      <c r="DY655" s="62"/>
      <c r="DZ655" s="62"/>
      <c r="EA655" s="62"/>
      <c r="EB655" s="62"/>
      <c r="EC655" s="62"/>
      <c r="ED655" s="62"/>
      <c r="EE655" s="62"/>
      <c r="EF655" s="62"/>
      <c r="EG655" s="62"/>
      <c r="EH655" s="62"/>
      <c r="EI655" s="62"/>
      <c r="EJ655" s="62"/>
      <c r="EK655" s="62"/>
      <c r="EL655" s="62"/>
      <c r="EM655" s="62"/>
      <c r="EN655" s="62"/>
      <c r="EO655" s="62"/>
      <c r="EP655" s="62"/>
      <c r="EQ655" s="62"/>
      <c r="ER655" s="62"/>
      <c r="ES655" s="62"/>
      <c r="ET655" s="62"/>
      <c r="EU655" s="62"/>
      <c r="EV655" s="62"/>
      <c r="EW655" s="62"/>
      <c r="EX655" s="62"/>
      <c r="EY655" s="62"/>
      <c r="EZ655" s="62"/>
      <c r="FA655" s="62"/>
      <c r="FB655" s="62"/>
      <c r="FC655" s="62"/>
      <c r="FD655" s="62"/>
      <c r="FE655" s="62"/>
      <c r="FF655" s="62"/>
      <c r="FG655" s="62"/>
      <c r="FH655" s="62"/>
      <c r="FI655" s="62"/>
      <c r="FJ655" s="62"/>
      <c r="FK655" s="62"/>
      <c r="FL655" s="62"/>
      <c r="FM655" s="62"/>
      <c r="FN655" s="62"/>
      <c r="FO655" s="62"/>
      <c r="FP655" s="62"/>
      <c r="FQ655" s="62"/>
      <c r="FR655" s="62"/>
      <c r="FS655" s="62"/>
      <c r="FT655" s="62"/>
      <c r="FU655" s="62"/>
      <c r="FV655" s="62"/>
    </row>
    <row r="656" spans="1:178" ht="13.8">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c r="AY656" s="62"/>
      <c r="AZ656" s="62"/>
      <c r="BA656" s="62"/>
      <c r="BB656" s="62"/>
      <c r="BC656" s="62"/>
      <c r="BD656" s="62"/>
      <c r="BE656" s="62"/>
      <c r="BF656" s="62"/>
      <c r="BG656" s="62"/>
      <c r="BH656" s="62"/>
      <c r="BI656" s="62"/>
      <c r="BJ656" s="62"/>
      <c r="BK656" s="62"/>
      <c r="BL656" s="62"/>
      <c r="BM656" s="62"/>
      <c r="BN656" s="62"/>
      <c r="BO656" s="62"/>
      <c r="BP656" s="62"/>
      <c r="BQ656" s="62"/>
      <c r="BR656" s="62"/>
      <c r="BS656" s="62"/>
      <c r="BT656" s="62"/>
      <c r="BU656" s="62"/>
      <c r="BV656" s="62"/>
      <c r="BW656" s="62"/>
      <c r="BX656" s="62"/>
      <c r="BY656" s="62"/>
      <c r="BZ656" s="62"/>
      <c r="CA656" s="62"/>
      <c r="CB656" s="62"/>
      <c r="CC656" s="62"/>
      <c r="CD656" s="62"/>
      <c r="CE656" s="62"/>
      <c r="CF656" s="62"/>
      <c r="CG656" s="62"/>
      <c r="CH656" s="62"/>
      <c r="CI656" s="62"/>
      <c r="CJ656" s="62"/>
      <c r="CK656" s="62"/>
      <c r="CL656" s="62"/>
      <c r="CM656" s="62"/>
      <c r="CN656" s="62"/>
      <c r="CO656" s="62"/>
      <c r="CP656" s="62"/>
      <c r="CQ656" s="62"/>
      <c r="CR656" s="62"/>
      <c r="CS656" s="62"/>
      <c r="CT656" s="62"/>
      <c r="CU656" s="62"/>
      <c r="CV656" s="62"/>
      <c r="CW656" s="62"/>
      <c r="CX656" s="62"/>
      <c r="CY656" s="62"/>
      <c r="CZ656" s="62"/>
      <c r="DA656" s="62"/>
      <c r="DB656" s="62"/>
      <c r="DC656" s="62"/>
      <c r="DD656" s="62"/>
      <c r="DE656" s="62"/>
      <c r="DF656" s="62"/>
      <c r="DG656" s="62"/>
      <c r="DH656" s="62"/>
      <c r="DI656" s="62"/>
      <c r="DJ656" s="62"/>
      <c r="DK656" s="62"/>
      <c r="DL656" s="62"/>
      <c r="DM656" s="62"/>
      <c r="DN656" s="62"/>
      <c r="DO656" s="62"/>
      <c r="DP656" s="62"/>
      <c r="DQ656" s="62"/>
      <c r="DR656" s="62"/>
      <c r="DS656" s="62"/>
      <c r="DT656" s="62"/>
      <c r="DU656" s="62"/>
      <c r="DV656" s="62"/>
      <c r="DW656" s="62"/>
      <c r="DX656" s="62"/>
      <c r="DY656" s="62"/>
      <c r="DZ656" s="62"/>
      <c r="EA656" s="62"/>
      <c r="EB656" s="62"/>
      <c r="EC656" s="62"/>
      <c r="ED656" s="62"/>
      <c r="EE656" s="62"/>
      <c r="EF656" s="62"/>
      <c r="EG656" s="62"/>
      <c r="EH656" s="62"/>
      <c r="EI656" s="62"/>
      <c r="EJ656" s="62"/>
      <c r="EK656" s="62"/>
      <c r="EL656" s="62"/>
      <c r="EM656" s="62"/>
      <c r="EN656" s="62"/>
      <c r="EO656" s="62"/>
      <c r="EP656" s="62"/>
      <c r="EQ656" s="62"/>
      <c r="ER656" s="62"/>
      <c r="ES656" s="62"/>
      <c r="ET656" s="62"/>
      <c r="EU656" s="62"/>
      <c r="EV656" s="62"/>
      <c r="EW656" s="62"/>
      <c r="EX656" s="62"/>
      <c r="EY656" s="62"/>
      <c r="EZ656" s="62"/>
      <c r="FA656" s="62"/>
      <c r="FB656" s="62"/>
      <c r="FC656" s="62"/>
      <c r="FD656" s="62"/>
      <c r="FE656" s="62"/>
      <c r="FF656" s="62"/>
      <c r="FG656" s="62"/>
      <c r="FH656" s="62"/>
      <c r="FI656" s="62"/>
      <c r="FJ656" s="62"/>
      <c r="FK656" s="62"/>
      <c r="FL656" s="62"/>
      <c r="FM656" s="62"/>
      <c r="FN656" s="62"/>
      <c r="FO656" s="62"/>
      <c r="FP656" s="62"/>
      <c r="FQ656" s="62"/>
      <c r="FR656" s="62"/>
      <c r="FS656" s="62"/>
      <c r="FT656" s="62"/>
      <c r="FU656" s="62"/>
      <c r="FV656" s="62"/>
    </row>
    <row r="657" spans="1:178" ht="13.8">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c r="AY657" s="62"/>
      <c r="AZ657" s="62"/>
      <c r="BA657" s="62"/>
      <c r="BB657" s="62"/>
      <c r="BC657" s="62"/>
      <c r="BD657" s="62"/>
      <c r="BE657" s="62"/>
      <c r="BF657" s="62"/>
      <c r="BG657" s="62"/>
      <c r="BH657" s="62"/>
      <c r="BI657" s="62"/>
      <c r="BJ657" s="62"/>
      <c r="BK657" s="62"/>
      <c r="BL657" s="62"/>
      <c r="BM657" s="62"/>
      <c r="BN657" s="62"/>
      <c r="BO657" s="62"/>
      <c r="BP657" s="62"/>
      <c r="BQ657" s="62"/>
      <c r="BR657" s="62"/>
      <c r="BS657" s="62"/>
      <c r="BT657" s="62"/>
      <c r="BU657" s="62"/>
      <c r="BV657" s="62"/>
      <c r="BW657" s="62"/>
      <c r="BX657" s="62"/>
      <c r="BY657" s="62"/>
      <c r="BZ657" s="62"/>
      <c r="CA657" s="62"/>
      <c r="CB657" s="62"/>
      <c r="CC657" s="62"/>
      <c r="CD657" s="62"/>
      <c r="CE657" s="62"/>
      <c r="CF657" s="62"/>
      <c r="CG657" s="62"/>
      <c r="CH657" s="62"/>
      <c r="CI657" s="62"/>
      <c r="CJ657" s="62"/>
      <c r="CK657" s="62"/>
      <c r="CL657" s="62"/>
      <c r="CM657" s="62"/>
      <c r="CN657" s="62"/>
      <c r="CO657" s="62"/>
      <c r="CP657" s="62"/>
      <c r="CQ657" s="62"/>
      <c r="CR657" s="62"/>
      <c r="CS657" s="62"/>
      <c r="CT657" s="62"/>
      <c r="CU657" s="62"/>
      <c r="CV657" s="62"/>
      <c r="CW657" s="62"/>
      <c r="CX657" s="62"/>
      <c r="CY657" s="62"/>
      <c r="CZ657" s="62"/>
      <c r="DA657" s="62"/>
      <c r="DB657" s="62"/>
      <c r="DC657" s="62"/>
      <c r="DD657" s="62"/>
      <c r="DE657" s="62"/>
      <c r="DF657" s="62"/>
      <c r="DG657" s="62"/>
      <c r="DH657" s="62"/>
      <c r="DI657" s="62"/>
      <c r="DJ657" s="62"/>
      <c r="DK657" s="62"/>
      <c r="DL657" s="62"/>
      <c r="DM657" s="62"/>
      <c r="DN657" s="62"/>
      <c r="DO657" s="62"/>
      <c r="DP657" s="62"/>
      <c r="DQ657" s="62"/>
      <c r="DR657" s="62"/>
      <c r="DS657" s="62"/>
      <c r="DT657" s="62"/>
      <c r="DU657" s="62"/>
      <c r="DV657" s="62"/>
      <c r="DW657" s="62"/>
      <c r="DX657" s="62"/>
      <c r="DY657" s="62"/>
      <c r="DZ657" s="62"/>
      <c r="EA657" s="62"/>
      <c r="EB657" s="62"/>
      <c r="EC657" s="62"/>
      <c r="ED657" s="62"/>
      <c r="EE657" s="62"/>
      <c r="EF657" s="62"/>
      <c r="EG657" s="62"/>
      <c r="EH657" s="62"/>
      <c r="EI657" s="62"/>
      <c r="EJ657" s="62"/>
      <c r="EK657" s="62"/>
      <c r="EL657" s="62"/>
      <c r="EM657" s="62"/>
      <c r="EN657" s="62"/>
      <c r="EO657" s="62"/>
      <c r="EP657" s="62"/>
      <c r="EQ657" s="62"/>
      <c r="ER657" s="62"/>
      <c r="ES657" s="62"/>
      <c r="ET657" s="62"/>
      <c r="EU657" s="62"/>
      <c r="EV657" s="62"/>
      <c r="EW657" s="62"/>
      <c r="EX657" s="62"/>
      <c r="EY657" s="62"/>
      <c r="EZ657" s="62"/>
      <c r="FA657" s="62"/>
      <c r="FB657" s="62"/>
      <c r="FC657" s="62"/>
      <c r="FD657" s="62"/>
      <c r="FE657" s="62"/>
      <c r="FF657" s="62"/>
      <c r="FG657" s="62"/>
      <c r="FH657" s="62"/>
      <c r="FI657" s="62"/>
      <c r="FJ657" s="62"/>
      <c r="FK657" s="62"/>
      <c r="FL657" s="62"/>
      <c r="FM657" s="62"/>
      <c r="FN657" s="62"/>
      <c r="FO657" s="62"/>
      <c r="FP657" s="62"/>
      <c r="FQ657" s="62"/>
      <c r="FR657" s="62"/>
      <c r="FS657" s="62"/>
      <c r="FT657" s="62"/>
      <c r="FU657" s="62"/>
      <c r="FV657" s="62"/>
    </row>
    <row r="658" spans="1:178" ht="13.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c r="AY658" s="62"/>
      <c r="AZ658" s="62"/>
      <c r="BA658" s="62"/>
      <c r="BB658" s="62"/>
      <c r="BC658" s="62"/>
      <c r="BD658" s="62"/>
      <c r="BE658" s="62"/>
      <c r="BF658" s="62"/>
      <c r="BG658" s="62"/>
      <c r="BH658" s="62"/>
      <c r="BI658" s="62"/>
      <c r="BJ658" s="62"/>
      <c r="BK658" s="62"/>
      <c r="BL658" s="62"/>
      <c r="BM658" s="62"/>
      <c r="BN658" s="62"/>
      <c r="BO658" s="62"/>
      <c r="BP658" s="62"/>
      <c r="BQ658" s="62"/>
      <c r="BR658" s="62"/>
      <c r="BS658" s="62"/>
      <c r="BT658" s="62"/>
      <c r="BU658" s="62"/>
      <c r="BV658" s="62"/>
      <c r="BW658" s="62"/>
      <c r="BX658" s="62"/>
      <c r="BY658" s="62"/>
      <c r="BZ658" s="62"/>
      <c r="CA658" s="62"/>
      <c r="CB658" s="62"/>
      <c r="CC658" s="62"/>
      <c r="CD658" s="62"/>
      <c r="CE658" s="62"/>
      <c r="CF658" s="62"/>
      <c r="CG658" s="62"/>
      <c r="CH658" s="62"/>
      <c r="CI658" s="62"/>
      <c r="CJ658" s="62"/>
      <c r="CK658" s="62"/>
      <c r="CL658" s="62"/>
      <c r="CM658" s="62"/>
      <c r="CN658" s="62"/>
      <c r="CO658" s="62"/>
      <c r="CP658" s="62"/>
      <c r="CQ658" s="62"/>
      <c r="CR658" s="62"/>
      <c r="CS658" s="62"/>
      <c r="CT658" s="62"/>
      <c r="CU658" s="62"/>
      <c r="CV658" s="62"/>
      <c r="CW658" s="62"/>
      <c r="CX658" s="62"/>
      <c r="CY658" s="62"/>
      <c r="CZ658" s="62"/>
      <c r="DA658" s="62"/>
      <c r="DB658" s="62"/>
      <c r="DC658" s="62"/>
      <c r="DD658" s="62"/>
      <c r="DE658" s="62"/>
      <c r="DF658" s="62"/>
      <c r="DG658" s="62"/>
      <c r="DH658" s="62"/>
      <c r="DI658" s="62"/>
      <c r="DJ658" s="62"/>
      <c r="DK658" s="62"/>
      <c r="DL658" s="62"/>
      <c r="DM658" s="62"/>
      <c r="DN658" s="62"/>
      <c r="DO658" s="62"/>
      <c r="DP658" s="62"/>
      <c r="DQ658" s="62"/>
      <c r="DR658" s="62"/>
      <c r="DS658" s="62"/>
      <c r="DT658" s="62"/>
      <c r="DU658" s="62"/>
      <c r="DV658" s="62"/>
      <c r="DW658" s="62"/>
      <c r="DX658" s="62"/>
      <c r="DY658" s="62"/>
      <c r="DZ658" s="62"/>
      <c r="EA658" s="62"/>
      <c r="EB658" s="62"/>
      <c r="EC658" s="62"/>
      <c r="ED658" s="62"/>
      <c r="EE658" s="62"/>
      <c r="EF658" s="62"/>
      <c r="EG658" s="62"/>
      <c r="EH658" s="62"/>
      <c r="EI658" s="62"/>
      <c r="EJ658" s="62"/>
      <c r="EK658" s="62"/>
      <c r="EL658" s="62"/>
      <c r="EM658" s="62"/>
      <c r="EN658" s="62"/>
      <c r="EO658" s="62"/>
      <c r="EP658" s="62"/>
      <c r="EQ658" s="62"/>
      <c r="ER658" s="62"/>
      <c r="ES658" s="62"/>
      <c r="ET658" s="62"/>
      <c r="EU658" s="62"/>
      <c r="EV658" s="62"/>
      <c r="EW658" s="62"/>
      <c r="EX658" s="62"/>
      <c r="EY658" s="62"/>
      <c r="EZ658" s="62"/>
      <c r="FA658" s="62"/>
      <c r="FB658" s="62"/>
      <c r="FC658" s="62"/>
      <c r="FD658" s="62"/>
      <c r="FE658" s="62"/>
      <c r="FF658" s="62"/>
      <c r="FG658" s="62"/>
      <c r="FH658" s="62"/>
      <c r="FI658" s="62"/>
      <c r="FJ658" s="62"/>
      <c r="FK658" s="62"/>
      <c r="FL658" s="62"/>
      <c r="FM658" s="62"/>
      <c r="FN658" s="62"/>
      <c r="FO658" s="62"/>
      <c r="FP658" s="62"/>
      <c r="FQ658" s="62"/>
      <c r="FR658" s="62"/>
      <c r="FS658" s="62"/>
      <c r="FT658" s="62"/>
      <c r="FU658" s="62"/>
      <c r="FV658" s="62"/>
    </row>
    <row r="659" spans="1:178" ht="13.8">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c r="AY659" s="62"/>
      <c r="AZ659" s="62"/>
      <c r="BA659" s="62"/>
      <c r="BB659" s="62"/>
      <c r="BC659" s="62"/>
      <c r="BD659" s="62"/>
      <c r="BE659" s="62"/>
      <c r="BF659" s="62"/>
      <c r="BG659" s="62"/>
      <c r="BH659" s="62"/>
      <c r="BI659" s="62"/>
      <c r="BJ659" s="62"/>
      <c r="BK659" s="62"/>
      <c r="BL659" s="62"/>
      <c r="BM659" s="62"/>
      <c r="BN659" s="62"/>
      <c r="BO659" s="62"/>
      <c r="BP659" s="62"/>
      <c r="BQ659" s="62"/>
      <c r="BR659" s="62"/>
      <c r="BS659" s="62"/>
      <c r="BT659" s="62"/>
      <c r="BU659" s="62"/>
      <c r="BV659" s="62"/>
      <c r="BW659" s="62"/>
      <c r="BX659" s="62"/>
      <c r="BY659" s="62"/>
      <c r="BZ659" s="62"/>
      <c r="CA659" s="62"/>
      <c r="CB659" s="62"/>
      <c r="CC659" s="62"/>
      <c r="CD659" s="62"/>
      <c r="CE659" s="62"/>
      <c r="CF659" s="62"/>
      <c r="CG659" s="62"/>
      <c r="CH659" s="62"/>
      <c r="CI659" s="62"/>
      <c r="CJ659" s="62"/>
      <c r="CK659" s="62"/>
      <c r="CL659" s="62"/>
      <c r="CM659" s="62"/>
      <c r="CN659" s="62"/>
      <c r="CO659" s="62"/>
      <c r="CP659" s="62"/>
      <c r="CQ659" s="62"/>
      <c r="CR659" s="62"/>
      <c r="CS659" s="62"/>
      <c r="CT659" s="62"/>
      <c r="CU659" s="62"/>
      <c r="CV659" s="62"/>
      <c r="CW659" s="62"/>
      <c r="CX659" s="62"/>
      <c r="CY659" s="62"/>
      <c r="CZ659" s="62"/>
      <c r="DA659" s="62"/>
      <c r="DB659" s="62"/>
      <c r="DC659" s="62"/>
      <c r="DD659" s="62"/>
      <c r="DE659" s="62"/>
      <c r="DF659" s="62"/>
      <c r="DG659" s="62"/>
      <c r="DH659" s="62"/>
      <c r="DI659" s="62"/>
      <c r="DJ659" s="62"/>
      <c r="DK659" s="62"/>
      <c r="DL659" s="62"/>
      <c r="DM659" s="62"/>
      <c r="DN659" s="62"/>
      <c r="DO659" s="62"/>
      <c r="DP659" s="62"/>
      <c r="DQ659" s="62"/>
      <c r="DR659" s="62"/>
      <c r="DS659" s="62"/>
      <c r="DT659" s="62"/>
      <c r="DU659" s="62"/>
      <c r="DV659" s="62"/>
      <c r="DW659" s="62"/>
      <c r="DX659" s="62"/>
      <c r="DY659" s="62"/>
      <c r="DZ659" s="62"/>
      <c r="EA659" s="62"/>
      <c r="EB659" s="62"/>
      <c r="EC659" s="62"/>
      <c r="ED659" s="62"/>
      <c r="EE659" s="62"/>
      <c r="EF659" s="62"/>
      <c r="EG659" s="62"/>
      <c r="EH659" s="62"/>
      <c r="EI659" s="62"/>
      <c r="EJ659" s="62"/>
      <c r="EK659" s="62"/>
      <c r="EL659" s="62"/>
      <c r="EM659" s="62"/>
      <c r="EN659" s="62"/>
      <c r="EO659" s="62"/>
      <c r="EP659" s="62"/>
      <c r="EQ659" s="62"/>
      <c r="ER659" s="62"/>
      <c r="ES659" s="62"/>
      <c r="ET659" s="62"/>
      <c r="EU659" s="62"/>
      <c r="EV659" s="62"/>
      <c r="EW659" s="62"/>
      <c r="EX659" s="62"/>
      <c r="EY659" s="62"/>
      <c r="EZ659" s="62"/>
      <c r="FA659" s="62"/>
      <c r="FB659" s="62"/>
      <c r="FC659" s="62"/>
      <c r="FD659" s="62"/>
      <c r="FE659" s="62"/>
      <c r="FF659" s="62"/>
      <c r="FG659" s="62"/>
      <c r="FH659" s="62"/>
      <c r="FI659" s="62"/>
      <c r="FJ659" s="62"/>
      <c r="FK659" s="62"/>
      <c r="FL659" s="62"/>
      <c r="FM659" s="62"/>
      <c r="FN659" s="62"/>
      <c r="FO659" s="62"/>
      <c r="FP659" s="62"/>
      <c r="FQ659" s="62"/>
      <c r="FR659" s="62"/>
      <c r="FS659" s="62"/>
      <c r="FT659" s="62"/>
      <c r="FU659" s="62"/>
      <c r="FV659" s="62"/>
    </row>
    <row r="660" spans="1:178" ht="13.8">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c r="AY660" s="62"/>
      <c r="AZ660" s="62"/>
      <c r="BA660" s="62"/>
      <c r="BB660" s="62"/>
      <c r="BC660" s="62"/>
      <c r="BD660" s="62"/>
      <c r="BE660" s="62"/>
      <c r="BF660" s="62"/>
      <c r="BG660" s="62"/>
      <c r="BH660" s="62"/>
      <c r="BI660" s="62"/>
      <c r="BJ660" s="62"/>
      <c r="BK660" s="62"/>
      <c r="BL660" s="62"/>
      <c r="BM660" s="62"/>
      <c r="BN660" s="62"/>
      <c r="BO660" s="62"/>
      <c r="BP660" s="62"/>
      <c r="BQ660" s="62"/>
      <c r="BR660" s="62"/>
      <c r="BS660" s="62"/>
      <c r="BT660" s="62"/>
      <c r="BU660" s="62"/>
      <c r="BV660" s="62"/>
      <c r="BW660" s="62"/>
      <c r="BX660" s="62"/>
      <c r="BY660" s="62"/>
      <c r="BZ660" s="62"/>
      <c r="CA660" s="62"/>
      <c r="CB660" s="62"/>
      <c r="CC660" s="62"/>
      <c r="CD660" s="62"/>
      <c r="CE660" s="62"/>
      <c r="CF660" s="62"/>
      <c r="CG660" s="62"/>
      <c r="CH660" s="62"/>
      <c r="CI660" s="62"/>
      <c r="CJ660" s="62"/>
      <c r="CK660" s="62"/>
      <c r="CL660" s="62"/>
      <c r="CM660" s="62"/>
      <c r="CN660" s="62"/>
      <c r="CO660" s="62"/>
      <c r="CP660" s="62"/>
      <c r="CQ660" s="62"/>
      <c r="CR660" s="62"/>
      <c r="CS660" s="62"/>
      <c r="CT660" s="62"/>
      <c r="CU660" s="62"/>
      <c r="CV660" s="62"/>
      <c r="CW660" s="62"/>
      <c r="CX660" s="62"/>
      <c r="CY660" s="62"/>
      <c r="CZ660" s="62"/>
      <c r="DA660" s="62"/>
      <c r="DB660" s="62"/>
      <c r="DC660" s="62"/>
      <c r="DD660" s="62"/>
      <c r="DE660" s="62"/>
      <c r="DF660" s="62"/>
      <c r="DG660" s="62"/>
      <c r="DH660" s="62"/>
      <c r="DI660" s="62"/>
      <c r="DJ660" s="62"/>
      <c r="DK660" s="62"/>
      <c r="DL660" s="62"/>
      <c r="DM660" s="62"/>
      <c r="DN660" s="62"/>
      <c r="DO660" s="62"/>
      <c r="DP660" s="62"/>
      <c r="DQ660" s="62"/>
      <c r="DR660" s="62"/>
      <c r="DS660" s="62"/>
      <c r="DT660" s="62"/>
      <c r="DU660" s="62"/>
      <c r="DV660" s="62"/>
      <c r="DW660" s="62"/>
      <c r="DX660" s="62"/>
      <c r="DY660" s="62"/>
      <c r="DZ660" s="62"/>
      <c r="EA660" s="62"/>
      <c r="EB660" s="62"/>
      <c r="EC660" s="62"/>
      <c r="ED660" s="62"/>
      <c r="EE660" s="62"/>
      <c r="EF660" s="62"/>
      <c r="EG660" s="62"/>
      <c r="EH660" s="62"/>
      <c r="EI660" s="62"/>
      <c r="EJ660" s="62"/>
      <c r="EK660" s="62"/>
      <c r="EL660" s="62"/>
      <c r="EM660" s="62"/>
      <c r="EN660" s="62"/>
      <c r="EO660" s="62"/>
      <c r="EP660" s="62"/>
      <c r="EQ660" s="62"/>
      <c r="ER660" s="62"/>
      <c r="ES660" s="62"/>
      <c r="ET660" s="62"/>
      <c r="EU660" s="62"/>
      <c r="EV660" s="62"/>
      <c r="EW660" s="62"/>
      <c r="EX660" s="62"/>
      <c r="EY660" s="62"/>
      <c r="EZ660" s="62"/>
      <c r="FA660" s="62"/>
      <c r="FB660" s="62"/>
      <c r="FC660" s="62"/>
      <c r="FD660" s="62"/>
      <c r="FE660" s="62"/>
      <c r="FF660" s="62"/>
      <c r="FG660" s="62"/>
      <c r="FH660" s="62"/>
      <c r="FI660" s="62"/>
      <c r="FJ660" s="62"/>
      <c r="FK660" s="62"/>
      <c r="FL660" s="62"/>
      <c r="FM660" s="62"/>
      <c r="FN660" s="62"/>
      <c r="FO660" s="62"/>
      <c r="FP660" s="62"/>
      <c r="FQ660" s="62"/>
      <c r="FR660" s="62"/>
      <c r="FS660" s="62"/>
      <c r="FT660" s="62"/>
      <c r="FU660" s="62"/>
      <c r="FV660" s="62"/>
    </row>
    <row r="661" spans="1:178" ht="13.8">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c r="AY661" s="62"/>
      <c r="AZ661" s="62"/>
      <c r="BA661" s="62"/>
      <c r="BB661" s="62"/>
      <c r="BC661" s="62"/>
      <c r="BD661" s="62"/>
      <c r="BE661" s="62"/>
      <c r="BF661" s="62"/>
      <c r="BG661" s="62"/>
      <c r="BH661" s="62"/>
      <c r="BI661" s="62"/>
      <c r="BJ661" s="62"/>
      <c r="BK661" s="62"/>
      <c r="BL661" s="62"/>
      <c r="BM661" s="62"/>
      <c r="BN661" s="62"/>
      <c r="BO661" s="62"/>
      <c r="BP661" s="62"/>
      <c r="BQ661" s="62"/>
      <c r="BR661" s="62"/>
      <c r="BS661" s="62"/>
      <c r="BT661" s="62"/>
      <c r="BU661" s="62"/>
      <c r="BV661" s="62"/>
      <c r="BW661" s="62"/>
      <c r="BX661" s="62"/>
      <c r="BY661" s="62"/>
      <c r="BZ661" s="62"/>
      <c r="CA661" s="62"/>
      <c r="CB661" s="62"/>
      <c r="CC661" s="62"/>
      <c r="CD661" s="62"/>
      <c r="CE661" s="62"/>
      <c r="CF661" s="62"/>
      <c r="CG661" s="62"/>
      <c r="CH661" s="62"/>
      <c r="CI661" s="62"/>
      <c r="CJ661" s="62"/>
      <c r="CK661" s="62"/>
      <c r="CL661" s="62"/>
      <c r="CM661" s="62"/>
      <c r="CN661" s="62"/>
      <c r="CO661" s="62"/>
      <c r="CP661" s="62"/>
      <c r="CQ661" s="62"/>
      <c r="CR661" s="62"/>
      <c r="CS661" s="62"/>
      <c r="CT661" s="62"/>
      <c r="CU661" s="62"/>
      <c r="CV661" s="62"/>
      <c r="CW661" s="62"/>
      <c r="CX661" s="62"/>
      <c r="CY661" s="62"/>
      <c r="CZ661" s="62"/>
      <c r="DA661" s="62"/>
      <c r="DB661" s="62"/>
      <c r="DC661" s="62"/>
      <c r="DD661" s="62"/>
      <c r="DE661" s="62"/>
      <c r="DF661" s="62"/>
      <c r="DG661" s="62"/>
      <c r="DH661" s="62"/>
      <c r="DI661" s="62"/>
      <c r="DJ661" s="62"/>
      <c r="DK661" s="62"/>
      <c r="DL661" s="62"/>
      <c r="DM661" s="62"/>
      <c r="DN661" s="62"/>
      <c r="DO661" s="62"/>
      <c r="DP661" s="62"/>
      <c r="DQ661" s="62"/>
      <c r="DR661" s="62"/>
      <c r="DS661" s="62"/>
      <c r="DT661" s="62"/>
      <c r="DU661" s="62"/>
      <c r="DV661" s="62"/>
      <c r="DW661" s="62"/>
      <c r="DX661" s="62"/>
      <c r="DY661" s="62"/>
      <c r="DZ661" s="62"/>
      <c r="EA661" s="62"/>
      <c r="EB661" s="62"/>
      <c r="EC661" s="62"/>
      <c r="ED661" s="62"/>
      <c r="EE661" s="62"/>
      <c r="EF661" s="62"/>
      <c r="EG661" s="62"/>
      <c r="EH661" s="62"/>
      <c r="EI661" s="62"/>
      <c r="EJ661" s="62"/>
      <c r="EK661" s="62"/>
      <c r="EL661" s="62"/>
      <c r="EM661" s="62"/>
      <c r="EN661" s="62"/>
      <c r="EO661" s="62"/>
      <c r="EP661" s="62"/>
      <c r="EQ661" s="62"/>
      <c r="ER661" s="62"/>
      <c r="ES661" s="62"/>
      <c r="ET661" s="62"/>
      <c r="EU661" s="62"/>
      <c r="EV661" s="62"/>
      <c r="EW661" s="62"/>
      <c r="EX661" s="62"/>
      <c r="EY661" s="62"/>
      <c r="EZ661" s="62"/>
      <c r="FA661" s="62"/>
      <c r="FB661" s="62"/>
      <c r="FC661" s="62"/>
      <c r="FD661" s="62"/>
      <c r="FE661" s="62"/>
      <c r="FF661" s="62"/>
      <c r="FG661" s="62"/>
      <c r="FH661" s="62"/>
      <c r="FI661" s="62"/>
      <c r="FJ661" s="62"/>
      <c r="FK661" s="62"/>
      <c r="FL661" s="62"/>
      <c r="FM661" s="62"/>
      <c r="FN661" s="62"/>
      <c r="FO661" s="62"/>
      <c r="FP661" s="62"/>
      <c r="FQ661" s="62"/>
      <c r="FR661" s="62"/>
      <c r="FS661" s="62"/>
      <c r="FT661" s="62"/>
      <c r="FU661" s="62"/>
      <c r="FV661" s="62"/>
    </row>
    <row r="662" spans="1:178" ht="13.8">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c r="AY662" s="62"/>
      <c r="AZ662" s="62"/>
      <c r="BA662" s="62"/>
      <c r="BB662" s="62"/>
      <c r="BC662" s="62"/>
      <c r="BD662" s="62"/>
      <c r="BE662" s="62"/>
      <c r="BF662" s="62"/>
      <c r="BG662" s="62"/>
      <c r="BH662" s="62"/>
      <c r="BI662" s="62"/>
      <c r="BJ662" s="62"/>
      <c r="BK662" s="62"/>
      <c r="BL662" s="62"/>
      <c r="BM662" s="62"/>
      <c r="BN662" s="62"/>
      <c r="BO662" s="62"/>
      <c r="BP662" s="62"/>
      <c r="BQ662" s="62"/>
      <c r="BR662" s="62"/>
      <c r="BS662" s="62"/>
      <c r="BT662" s="62"/>
      <c r="BU662" s="62"/>
      <c r="BV662" s="62"/>
      <c r="BW662" s="62"/>
      <c r="BX662" s="62"/>
      <c r="BY662" s="62"/>
      <c r="BZ662" s="62"/>
      <c r="CA662" s="62"/>
      <c r="CB662" s="62"/>
      <c r="CC662" s="62"/>
      <c r="CD662" s="62"/>
      <c r="CE662" s="62"/>
      <c r="CF662" s="62"/>
      <c r="CG662" s="62"/>
      <c r="CH662" s="62"/>
      <c r="CI662" s="62"/>
      <c r="CJ662" s="62"/>
      <c r="CK662" s="62"/>
      <c r="CL662" s="62"/>
      <c r="CM662" s="62"/>
      <c r="CN662" s="62"/>
      <c r="CO662" s="62"/>
      <c r="CP662" s="62"/>
      <c r="CQ662" s="62"/>
      <c r="CR662" s="62"/>
      <c r="CS662" s="62"/>
      <c r="CT662" s="62"/>
      <c r="CU662" s="62"/>
      <c r="CV662" s="62"/>
      <c r="CW662" s="62"/>
      <c r="CX662" s="62"/>
      <c r="CY662" s="62"/>
      <c r="CZ662" s="62"/>
      <c r="DA662" s="62"/>
      <c r="DB662" s="62"/>
      <c r="DC662" s="62"/>
      <c r="DD662" s="62"/>
      <c r="DE662" s="62"/>
      <c r="DF662" s="62"/>
      <c r="DG662" s="62"/>
      <c r="DH662" s="62"/>
      <c r="DI662" s="62"/>
      <c r="DJ662" s="62"/>
      <c r="DK662" s="62"/>
      <c r="DL662" s="62"/>
      <c r="DM662" s="62"/>
      <c r="DN662" s="62"/>
      <c r="DO662" s="62"/>
      <c r="DP662" s="62"/>
      <c r="DQ662" s="62"/>
      <c r="DR662" s="62"/>
      <c r="DS662" s="62"/>
      <c r="DT662" s="62"/>
      <c r="DU662" s="62"/>
      <c r="DV662" s="62"/>
      <c r="DW662" s="62"/>
      <c r="DX662" s="62"/>
      <c r="DY662" s="62"/>
      <c r="DZ662" s="62"/>
      <c r="EA662" s="62"/>
      <c r="EB662" s="62"/>
      <c r="EC662" s="62"/>
      <c r="ED662" s="62"/>
      <c r="EE662" s="62"/>
      <c r="EF662" s="62"/>
      <c r="EG662" s="62"/>
      <c r="EH662" s="62"/>
      <c r="EI662" s="62"/>
      <c r="EJ662" s="62"/>
      <c r="EK662" s="62"/>
      <c r="EL662" s="62"/>
      <c r="EM662" s="62"/>
      <c r="EN662" s="62"/>
      <c r="EO662" s="62"/>
      <c r="EP662" s="62"/>
      <c r="EQ662" s="62"/>
      <c r="ER662" s="62"/>
      <c r="ES662" s="62"/>
      <c r="ET662" s="62"/>
      <c r="EU662" s="62"/>
      <c r="EV662" s="62"/>
      <c r="EW662" s="62"/>
      <c r="EX662" s="62"/>
      <c r="EY662" s="62"/>
      <c r="EZ662" s="62"/>
      <c r="FA662" s="62"/>
      <c r="FB662" s="62"/>
      <c r="FC662" s="62"/>
      <c r="FD662" s="62"/>
      <c r="FE662" s="62"/>
      <c r="FF662" s="62"/>
      <c r="FG662" s="62"/>
      <c r="FH662" s="62"/>
      <c r="FI662" s="62"/>
      <c r="FJ662" s="62"/>
      <c r="FK662" s="62"/>
      <c r="FL662" s="62"/>
      <c r="FM662" s="62"/>
      <c r="FN662" s="62"/>
      <c r="FO662" s="62"/>
      <c r="FP662" s="62"/>
      <c r="FQ662" s="62"/>
      <c r="FR662" s="62"/>
      <c r="FS662" s="62"/>
      <c r="FT662" s="62"/>
      <c r="FU662" s="62"/>
      <c r="FV662" s="62"/>
    </row>
    <row r="663" spans="1:178" ht="13.8">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c r="AY663" s="62"/>
      <c r="AZ663" s="62"/>
      <c r="BA663" s="62"/>
      <c r="BB663" s="62"/>
      <c r="BC663" s="62"/>
      <c r="BD663" s="62"/>
      <c r="BE663" s="62"/>
      <c r="BF663" s="62"/>
      <c r="BG663" s="62"/>
      <c r="BH663" s="62"/>
      <c r="BI663" s="62"/>
      <c r="BJ663" s="62"/>
      <c r="BK663" s="62"/>
      <c r="BL663" s="62"/>
      <c r="BM663" s="62"/>
      <c r="BN663" s="62"/>
      <c r="BO663" s="62"/>
      <c r="BP663" s="62"/>
      <c r="BQ663" s="62"/>
      <c r="BR663" s="62"/>
      <c r="BS663" s="62"/>
      <c r="BT663" s="62"/>
      <c r="BU663" s="62"/>
      <c r="BV663" s="62"/>
      <c r="BW663" s="62"/>
      <c r="BX663" s="62"/>
      <c r="BY663" s="62"/>
      <c r="BZ663" s="62"/>
      <c r="CA663" s="62"/>
      <c r="CB663" s="62"/>
      <c r="CC663" s="62"/>
      <c r="CD663" s="62"/>
      <c r="CE663" s="62"/>
      <c r="CF663" s="62"/>
      <c r="CG663" s="62"/>
      <c r="CH663" s="62"/>
      <c r="CI663" s="62"/>
      <c r="CJ663" s="62"/>
      <c r="CK663" s="62"/>
      <c r="CL663" s="62"/>
      <c r="CM663" s="62"/>
      <c r="CN663" s="62"/>
      <c r="CO663" s="62"/>
      <c r="CP663" s="62"/>
      <c r="CQ663" s="62"/>
      <c r="CR663" s="62"/>
      <c r="CS663" s="62"/>
      <c r="CT663" s="62"/>
      <c r="CU663" s="62"/>
      <c r="CV663" s="62"/>
      <c r="CW663" s="62"/>
      <c r="CX663" s="62"/>
      <c r="CY663" s="62"/>
      <c r="CZ663" s="62"/>
      <c r="DA663" s="62"/>
      <c r="DB663" s="62"/>
      <c r="DC663" s="62"/>
      <c r="DD663" s="62"/>
      <c r="DE663" s="62"/>
      <c r="DF663" s="62"/>
      <c r="DG663" s="62"/>
      <c r="DH663" s="62"/>
      <c r="DI663" s="62"/>
      <c r="DJ663" s="62"/>
      <c r="DK663" s="62"/>
      <c r="DL663" s="62"/>
      <c r="DM663" s="62"/>
      <c r="DN663" s="62"/>
      <c r="DO663" s="62"/>
      <c r="DP663" s="62"/>
      <c r="DQ663" s="62"/>
      <c r="DR663" s="62"/>
      <c r="DS663" s="62"/>
      <c r="DT663" s="62"/>
      <c r="DU663" s="62"/>
      <c r="DV663" s="62"/>
      <c r="DW663" s="62"/>
      <c r="DX663" s="62"/>
      <c r="DY663" s="62"/>
      <c r="DZ663" s="62"/>
      <c r="EA663" s="62"/>
      <c r="EB663" s="62"/>
      <c r="EC663" s="62"/>
      <c r="ED663" s="62"/>
      <c r="EE663" s="62"/>
      <c r="EF663" s="62"/>
      <c r="EG663" s="62"/>
      <c r="EH663" s="62"/>
      <c r="EI663" s="62"/>
      <c r="EJ663" s="62"/>
      <c r="EK663" s="62"/>
      <c r="EL663" s="62"/>
      <c r="EM663" s="62"/>
      <c r="EN663" s="62"/>
      <c r="EO663" s="62"/>
      <c r="EP663" s="62"/>
      <c r="EQ663" s="62"/>
      <c r="ER663" s="62"/>
      <c r="ES663" s="62"/>
      <c r="ET663" s="62"/>
      <c r="EU663" s="62"/>
      <c r="EV663" s="62"/>
      <c r="EW663" s="62"/>
      <c r="EX663" s="62"/>
      <c r="EY663" s="62"/>
      <c r="EZ663" s="62"/>
      <c r="FA663" s="62"/>
      <c r="FB663" s="62"/>
      <c r="FC663" s="62"/>
      <c r="FD663" s="62"/>
      <c r="FE663" s="62"/>
      <c r="FF663" s="62"/>
      <c r="FG663" s="62"/>
      <c r="FH663" s="62"/>
      <c r="FI663" s="62"/>
      <c r="FJ663" s="62"/>
      <c r="FK663" s="62"/>
      <c r="FL663" s="62"/>
      <c r="FM663" s="62"/>
      <c r="FN663" s="62"/>
      <c r="FO663" s="62"/>
      <c r="FP663" s="62"/>
      <c r="FQ663" s="62"/>
      <c r="FR663" s="62"/>
      <c r="FS663" s="62"/>
      <c r="FT663" s="62"/>
      <c r="FU663" s="62"/>
      <c r="FV663" s="62"/>
    </row>
    <row r="664" spans="1:178" ht="13.8">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c r="AY664" s="62"/>
      <c r="AZ664" s="62"/>
      <c r="BA664" s="62"/>
      <c r="BB664" s="62"/>
      <c r="BC664" s="62"/>
      <c r="BD664" s="62"/>
      <c r="BE664" s="62"/>
      <c r="BF664" s="62"/>
      <c r="BG664" s="62"/>
      <c r="BH664" s="62"/>
      <c r="BI664" s="62"/>
      <c r="BJ664" s="62"/>
      <c r="BK664" s="62"/>
      <c r="BL664" s="62"/>
      <c r="BM664" s="62"/>
      <c r="BN664" s="62"/>
      <c r="BO664" s="62"/>
      <c r="BP664" s="62"/>
      <c r="BQ664" s="62"/>
      <c r="BR664" s="62"/>
      <c r="BS664" s="62"/>
      <c r="BT664" s="62"/>
      <c r="BU664" s="62"/>
      <c r="BV664" s="62"/>
      <c r="BW664" s="62"/>
      <c r="BX664" s="62"/>
      <c r="BY664" s="62"/>
      <c r="BZ664" s="62"/>
      <c r="CA664" s="62"/>
      <c r="CB664" s="62"/>
      <c r="CC664" s="62"/>
      <c r="CD664" s="62"/>
      <c r="CE664" s="62"/>
      <c r="CF664" s="62"/>
      <c r="CG664" s="62"/>
      <c r="CH664" s="62"/>
      <c r="CI664" s="62"/>
      <c r="CJ664" s="62"/>
      <c r="CK664" s="62"/>
      <c r="CL664" s="62"/>
      <c r="CM664" s="62"/>
      <c r="CN664" s="62"/>
      <c r="CO664" s="62"/>
      <c r="CP664" s="62"/>
      <c r="CQ664" s="62"/>
      <c r="CR664" s="62"/>
      <c r="CS664" s="62"/>
      <c r="CT664" s="62"/>
      <c r="CU664" s="62"/>
      <c r="CV664" s="62"/>
      <c r="CW664" s="62"/>
      <c r="CX664" s="62"/>
      <c r="CY664" s="62"/>
      <c r="CZ664" s="62"/>
      <c r="DA664" s="62"/>
      <c r="DB664" s="62"/>
      <c r="DC664" s="62"/>
      <c r="DD664" s="62"/>
      <c r="DE664" s="62"/>
      <c r="DF664" s="62"/>
      <c r="DG664" s="62"/>
      <c r="DH664" s="62"/>
      <c r="DI664" s="62"/>
      <c r="DJ664" s="62"/>
      <c r="DK664" s="62"/>
      <c r="DL664" s="62"/>
      <c r="DM664" s="62"/>
      <c r="DN664" s="62"/>
      <c r="DO664" s="62"/>
      <c r="DP664" s="62"/>
      <c r="DQ664" s="62"/>
      <c r="DR664" s="62"/>
      <c r="DS664" s="62"/>
      <c r="DT664" s="62"/>
      <c r="DU664" s="62"/>
      <c r="DV664" s="62"/>
      <c r="DW664" s="62"/>
      <c r="DX664" s="62"/>
      <c r="DY664" s="62"/>
      <c r="DZ664" s="62"/>
      <c r="EA664" s="62"/>
      <c r="EB664" s="62"/>
      <c r="EC664" s="62"/>
      <c r="ED664" s="62"/>
      <c r="EE664" s="62"/>
      <c r="EF664" s="62"/>
      <c r="EG664" s="62"/>
      <c r="EH664" s="62"/>
      <c r="EI664" s="62"/>
      <c r="EJ664" s="62"/>
      <c r="EK664" s="62"/>
      <c r="EL664" s="62"/>
      <c r="EM664" s="62"/>
      <c r="EN664" s="62"/>
      <c r="EO664" s="62"/>
      <c r="EP664" s="62"/>
      <c r="EQ664" s="62"/>
      <c r="ER664" s="62"/>
      <c r="ES664" s="62"/>
      <c r="ET664" s="62"/>
      <c r="EU664" s="62"/>
      <c r="EV664" s="62"/>
      <c r="EW664" s="62"/>
      <c r="EX664" s="62"/>
      <c r="EY664" s="62"/>
      <c r="EZ664" s="62"/>
      <c r="FA664" s="62"/>
      <c r="FB664" s="62"/>
      <c r="FC664" s="62"/>
      <c r="FD664" s="62"/>
      <c r="FE664" s="62"/>
      <c r="FF664" s="62"/>
      <c r="FG664" s="62"/>
      <c r="FH664" s="62"/>
      <c r="FI664" s="62"/>
      <c r="FJ664" s="62"/>
      <c r="FK664" s="62"/>
      <c r="FL664" s="62"/>
      <c r="FM664" s="62"/>
      <c r="FN664" s="62"/>
      <c r="FO664" s="62"/>
      <c r="FP664" s="62"/>
      <c r="FQ664" s="62"/>
      <c r="FR664" s="62"/>
      <c r="FS664" s="62"/>
      <c r="FT664" s="62"/>
      <c r="FU664" s="62"/>
      <c r="FV664" s="62"/>
    </row>
    <row r="665" spans="1:178" ht="13.8">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c r="AY665" s="62"/>
      <c r="AZ665" s="62"/>
      <c r="BA665" s="62"/>
      <c r="BB665" s="62"/>
      <c r="BC665" s="62"/>
      <c r="BD665" s="62"/>
      <c r="BE665" s="62"/>
      <c r="BF665" s="62"/>
      <c r="BG665" s="62"/>
      <c r="BH665" s="62"/>
      <c r="BI665" s="62"/>
      <c r="BJ665" s="62"/>
      <c r="BK665" s="62"/>
      <c r="BL665" s="62"/>
      <c r="BM665" s="62"/>
      <c r="BN665" s="62"/>
      <c r="BO665" s="62"/>
      <c r="BP665" s="62"/>
      <c r="BQ665" s="62"/>
      <c r="BR665" s="62"/>
      <c r="BS665" s="62"/>
      <c r="BT665" s="62"/>
      <c r="BU665" s="62"/>
      <c r="BV665" s="62"/>
      <c r="BW665" s="62"/>
      <c r="BX665" s="62"/>
      <c r="BY665" s="62"/>
      <c r="BZ665" s="62"/>
      <c r="CA665" s="62"/>
      <c r="CB665" s="62"/>
      <c r="CC665" s="62"/>
      <c r="CD665" s="62"/>
      <c r="CE665" s="62"/>
      <c r="CF665" s="62"/>
      <c r="CG665" s="62"/>
      <c r="CH665" s="62"/>
      <c r="CI665" s="62"/>
      <c r="CJ665" s="62"/>
      <c r="CK665" s="62"/>
      <c r="CL665" s="62"/>
      <c r="CM665" s="62"/>
      <c r="CN665" s="62"/>
      <c r="CO665" s="62"/>
      <c r="CP665" s="62"/>
      <c r="CQ665" s="62"/>
      <c r="CR665" s="62"/>
      <c r="CS665" s="62"/>
      <c r="CT665" s="62"/>
      <c r="CU665" s="62"/>
      <c r="CV665" s="62"/>
      <c r="CW665" s="62"/>
      <c r="CX665" s="62"/>
      <c r="CY665" s="62"/>
      <c r="CZ665" s="62"/>
      <c r="DA665" s="62"/>
      <c r="DB665" s="62"/>
      <c r="DC665" s="62"/>
      <c r="DD665" s="62"/>
      <c r="DE665" s="62"/>
      <c r="DF665" s="62"/>
      <c r="DG665" s="62"/>
      <c r="DH665" s="62"/>
      <c r="DI665" s="62"/>
      <c r="DJ665" s="62"/>
      <c r="DK665" s="62"/>
      <c r="DL665" s="62"/>
      <c r="DM665" s="62"/>
      <c r="DN665" s="62"/>
      <c r="DO665" s="62"/>
      <c r="DP665" s="62"/>
      <c r="DQ665" s="62"/>
      <c r="DR665" s="62"/>
      <c r="DS665" s="62"/>
      <c r="DT665" s="62"/>
      <c r="DU665" s="62"/>
      <c r="DV665" s="62"/>
      <c r="DW665" s="62"/>
      <c r="DX665" s="62"/>
      <c r="DY665" s="62"/>
      <c r="DZ665" s="62"/>
      <c r="EA665" s="62"/>
      <c r="EB665" s="62"/>
      <c r="EC665" s="62"/>
      <c r="ED665" s="62"/>
      <c r="EE665" s="62"/>
      <c r="EF665" s="62"/>
      <c r="EG665" s="62"/>
      <c r="EH665" s="62"/>
      <c r="EI665" s="62"/>
      <c r="EJ665" s="62"/>
      <c r="EK665" s="62"/>
      <c r="EL665" s="62"/>
      <c r="EM665" s="62"/>
      <c r="EN665" s="62"/>
      <c r="EO665" s="62"/>
      <c r="EP665" s="62"/>
      <c r="EQ665" s="62"/>
      <c r="ER665" s="62"/>
      <c r="ES665" s="62"/>
      <c r="ET665" s="62"/>
      <c r="EU665" s="62"/>
      <c r="EV665" s="62"/>
      <c r="EW665" s="62"/>
      <c r="EX665" s="62"/>
      <c r="EY665" s="62"/>
      <c r="EZ665" s="62"/>
      <c r="FA665" s="62"/>
      <c r="FB665" s="62"/>
      <c r="FC665" s="62"/>
      <c r="FD665" s="62"/>
      <c r="FE665" s="62"/>
      <c r="FF665" s="62"/>
      <c r="FG665" s="62"/>
      <c r="FH665" s="62"/>
      <c r="FI665" s="62"/>
      <c r="FJ665" s="62"/>
      <c r="FK665" s="62"/>
      <c r="FL665" s="62"/>
      <c r="FM665" s="62"/>
      <c r="FN665" s="62"/>
      <c r="FO665" s="62"/>
      <c r="FP665" s="62"/>
      <c r="FQ665" s="62"/>
      <c r="FR665" s="62"/>
      <c r="FS665" s="62"/>
      <c r="FT665" s="62"/>
      <c r="FU665" s="62"/>
      <c r="FV665" s="62"/>
    </row>
    <row r="666" spans="1:178" ht="13.8">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c r="AY666" s="62"/>
      <c r="AZ666" s="62"/>
      <c r="BA666" s="62"/>
      <c r="BB666" s="62"/>
      <c r="BC666" s="62"/>
      <c r="BD666" s="62"/>
      <c r="BE666" s="62"/>
      <c r="BF666" s="62"/>
      <c r="BG666" s="62"/>
      <c r="BH666" s="62"/>
      <c r="BI666" s="62"/>
      <c r="BJ666" s="62"/>
      <c r="BK666" s="62"/>
      <c r="BL666" s="62"/>
      <c r="BM666" s="62"/>
      <c r="BN666" s="62"/>
      <c r="BO666" s="62"/>
      <c r="BP666" s="62"/>
      <c r="BQ666" s="62"/>
      <c r="BR666" s="62"/>
      <c r="BS666" s="62"/>
      <c r="BT666" s="62"/>
      <c r="BU666" s="62"/>
      <c r="BV666" s="62"/>
      <c r="BW666" s="62"/>
      <c r="BX666" s="62"/>
      <c r="BY666" s="62"/>
      <c r="BZ666" s="62"/>
      <c r="CA666" s="62"/>
      <c r="CB666" s="62"/>
      <c r="CC666" s="62"/>
      <c r="CD666" s="62"/>
      <c r="CE666" s="62"/>
      <c r="CF666" s="62"/>
      <c r="CG666" s="62"/>
      <c r="CH666" s="62"/>
      <c r="CI666" s="62"/>
      <c r="CJ666" s="62"/>
      <c r="CK666" s="62"/>
      <c r="CL666" s="62"/>
      <c r="CM666" s="62"/>
      <c r="CN666" s="62"/>
      <c r="CO666" s="62"/>
      <c r="CP666" s="62"/>
      <c r="CQ666" s="62"/>
      <c r="CR666" s="62"/>
      <c r="CS666" s="62"/>
      <c r="CT666" s="62"/>
      <c r="CU666" s="62"/>
      <c r="CV666" s="62"/>
      <c r="CW666" s="62"/>
      <c r="CX666" s="62"/>
      <c r="CY666" s="62"/>
      <c r="CZ666" s="62"/>
      <c r="DA666" s="62"/>
      <c r="DB666" s="62"/>
      <c r="DC666" s="62"/>
      <c r="DD666" s="62"/>
      <c r="DE666" s="62"/>
      <c r="DF666" s="62"/>
      <c r="DG666" s="62"/>
      <c r="DH666" s="62"/>
      <c r="DI666" s="62"/>
      <c r="DJ666" s="62"/>
      <c r="DK666" s="62"/>
      <c r="DL666" s="62"/>
      <c r="DM666" s="62"/>
      <c r="DN666" s="62"/>
      <c r="DO666" s="62"/>
      <c r="DP666" s="62"/>
      <c r="DQ666" s="62"/>
      <c r="DR666" s="62"/>
      <c r="DS666" s="62"/>
      <c r="DT666" s="62"/>
      <c r="DU666" s="62"/>
      <c r="DV666" s="62"/>
      <c r="DW666" s="62"/>
      <c r="DX666" s="62"/>
      <c r="DY666" s="62"/>
      <c r="DZ666" s="62"/>
      <c r="EA666" s="62"/>
      <c r="EB666" s="62"/>
      <c r="EC666" s="62"/>
      <c r="ED666" s="62"/>
      <c r="EE666" s="62"/>
      <c r="EF666" s="62"/>
      <c r="EG666" s="62"/>
      <c r="EH666" s="62"/>
      <c r="EI666" s="62"/>
      <c r="EJ666" s="62"/>
      <c r="EK666" s="62"/>
      <c r="EL666" s="62"/>
      <c r="EM666" s="62"/>
      <c r="EN666" s="62"/>
      <c r="EO666" s="62"/>
      <c r="EP666" s="62"/>
      <c r="EQ666" s="62"/>
      <c r="ER666" s="62"/>
      <c r="ES666" s="62"/>
      <c r="ET666" s="62"/>
      <c r="EU666" s="62"/>
      <c r="EV666" s="62"/>
      <c r="EW666" s="62"/>
      <c r="EX666" s="62"/>
      <c r="EY666" s="62"/>
      <c r="EZ666" s="62"/>
      <c r="FA666" s="62"/>
      <c r="FB666" s="62"/>
      <c r="FC666" s="62"/>
      <c r="FD666" s="62"/>
      <c r="FE666" s="62"/>
      <c r="FF666" s="62"/>
      <c r="FG666" s="62"/>
      <c r="FH666" s="62"/>
      <c r="FI666" s="62"/>
      <c r="FJ666" s="62"/>
      <c r="FK666" s="62"/>
      <c r="FL666" s="62"/>
      <c r="FM666" s="62"/>
      <c r="FN666" s="62"/>
      <c r="FO666" s="62"/>
      <c r="FP666" s="62"/>
      <c r="FQ666" s="62"/>
      <c r="FR666" s="62"/>
      <c r="FS666" s="62"/>
      <c r="FT666" s="62"/>
      <c r="FU666" s="62"/>
      <c r="FV666" s="62"/>
    </row>
    <row r="667" spans="1:178" ht="13.8">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62"/>
      <c r="AZ667" s="62"/>
      <c r="BA667" s="62"/>
      <c r="BB667" s="62"/>
      <c r="BC667" s="62"/>
      <c r="BD667" s="62"/>
      <c r="BE667" s="62"/>
      <c r="BF667" s="62"/>
      <c r="BG667" s="62"/>
      <c r="BH667" s="62"/>
      <c r="BI667" s="62"/>
      <c r="BJ667" s="62"/>
      <c r="BK667" s="62"/>
      <c r="BL667" s="62"/>
      <c r="BM667" s="62"/>
      <c r="BN667" s="62"/>
      <c r="BO667" s="62"/>
      <c r="BP667" s="62"/>
      <c r="BQ667" s="62"/>
      <c r="BR667" s="62"/>
      <c r="BS667" s="62"/>
      <c r="BT667" s="62"/>
      <c r="BU667" s="62"/>
      <c r="BV667" s="62"/>
      <c r="BW667" s="62"/>
      <c r="BX667" s="62"/>
      <c r="BY667" s="62"/>
      <c r="BZ667" s="62"/>
      <c r="CA667" s="62"/>
      <c r="CB667" s="62"/>
      <c r="CC667" s="62"/>
      <c r="CD667" s="62"/>
      <c r="CE667" s="62"/>
      <c r="CF667" s="62"/>
      <c r="CG667" s="62"/>
      <c r="CH667" s="62"/>
      <c r="CI667" s="62"/>
      <c r="CJ667" s="62"/>
      <c r="CK667" s="62"/>
      <c r="CL667" s="62"/>
      <c r="CM667" s="62"/>
      <c r="CN667" s="62"/>
      <c r="CO667" s="62"/>
      <c r="CP667" s="62"/>
      <c r="CQ667" s="62"/>
      <c r="CR667" s="62"/>
      <c r="CS667" s="62"/>
      <c r="CT667" s="62"/>
      <c r="CU667" s="62"/>
      <c r="CV667" s="62"/>
      <c r="CW667" s="62"/>
      <c r="CX667" s="62"/>
      <c r="CY667" s="62"/>
      <c r="CZ667" s="62"/>
      <c r="DA667" s="62"/>
      <c r="DB667" s="62"/>
      <c r="DC667" s="62"/>
      <c r="DD667" s="62"/>
      <c r="DE667" s="62"/>
      <c r="DF667" s="62"/>
      <c r="DG667" s="62"/>
      <c r="DH667" s="62"/>
      <c r="DI667" s="62"/>
      <c r="DJ667" s="62"/>
      <c r="DK667" s="62"/>
      <c r="DL667" s="62"/>
      <c r="DM667" s="62"/>
      <c r="DN667" s="62"/>
      <c r="DO667" s="62"/>
      <c r="DP667" s="62"/>
      <c r="DQ667" s="62"/>
      <c r="DR667" s="62"/>
      <c r="DS667" s="62"/>
      <c r="DT667" s="62"/>
      <c r="DU667" s="62"/>
      <c r="DV667" s="62"/>
      <c r="DW667" s="62"/>
      <c r="DX667" s="62"/>
      <c r="DY667" s="62"/>
      <c r="DZ667" s="62"/>
      <c r="EA667" s="62"/>
      <c r="EB667" s="62"/>
      <c r="EC667" s="62"/>
      <c r="ED667" s="62"/>
      <c r="EE667" s="62"/>
      <c r="EF667" s="62"/>
      <c r="EG667" s="62"/>
      <c r="EH667" s="62"/>
      <c r="EI667" s="62"/>
      <c r="EJ667" s="62"/>
      <c r="EK667" s="62"/>
      <c r="EL667" s="62"/>
      <c r="EM667" s="62"/>
      <c r="EN667" s="62"/>
      <c r="EO667" s="62"/>
      <c r="EP667" s="62"/>
      <c r="EQ667" s="62"/>
      <c r="ER667" s="62"/>
      <c r="ES667" s="62"/>
      <c r="ET667" s="62"/>
      <c r="EU667" s="62"/>
      <c r="EV667" s="62"/>
      <c r="EW667" s="62"/>
      <c r="EX667" s="62"/>
      <c r="EY667" s="62"/>
      <c r="EZ667" s="62"/>
      <c r="FA667" s="62"/>
      <c r="FB667" s="62"/>
      <c r="FC667" s="62"/>
      <c r="FD667" s="62"/>
      <c r="FE667" s="62"/>
      <c r="FF667" s="62"/>
      <c r="FG667" s="62"/>
      <c r="FH667" s="62"/>
      <c r="FI667" s="62"/>
      <c r="FJ667" s="62"/>
      <c r="FK667" s="62"/>
      <c r="FL667" s="62"/>
      <c r="FM667" s="62"/>
      <c r="FN667" s="62"/>
      <c r="FO667" s="62"/>
      <c r="FP667" s="62"/>
      <c r="FQ667" s="62"/>
      <c r="FR667" s="62"/>
      <c r="FS667" s="62"/>
      <c r="FT667" s="62"/>
      <c r="FU667" s="62"/>
      <c r="FV667" s="62"/>
    </row>
    <row r="668" spans="1:178" ht="13.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c r="AY668" s="62"/>
      <c r="AZ668" s="62"/>
      <c r="BA668" s="62"/>
      <c r="BB668" s="62"/>
      <c r="BC668" s="62"/>
      <c r="BD668" s="62"/>
      <c r="BE668" s="62"/>
      <c r="BF668" s="62"/>
      <c r="BG668" s="62"/>
      <c r="BH668" s="62"/>
      <c r="BI668" s="62"/>
      <c r="BJ668" s="62"/>
      <c r="BK668" s="62"/>
      <c r="BL668" s="62"/>
      <c r="BM668" s="62"/>
      <c r="BN668" s="62"/>
      <c r="BO668" s="62"/>
      <c r="BP668" s="62"/>
      <c r="BQ668" s="62"/>
      <c r="BR668" s="62"/>
      <c r="BS668" s="62"/>
      <c r="BT668" s="62"/>
      <c r="BU668" s="62"/>
      <c r="BV668" s="62"/>
      <c r="BW668" s="62"/>
      <c r="BX668" s="62"/>
      <c r="BY668" s="62"/>
      <c r="BZ668" s="62"/>
      <c r="CA668" s="62"/>
      <c r="CB668" s="62"/>
      <c r="CC668" s="62"/>
      <c r="CD668" s="62"/>
      <c r="CE668" s="62"/>
      <c r="CF668" s="62"/>
      <c r="CG668" s="62"/>
      <c r="CH668" s="62"/>
      <c r="CI668" s="62"/>
      <c r="CJ668" s="62"/>
      <c r="CK668" s="62"/>
      <c r="CL668" s="62"/>
      <c r="CM668" s="62"/>
      <c r="CN668" s="62"/>
      <c r="CO668" s="62"/>
      <c r="CP668" s="62"/>
      <c r="CQ668" s="62"/>
      <c r="CR668" s="62"/>
      <c r="CS668" s="62"/>
      <c r="CT668" s="62"/>
      <c r="CU668" s="62"/>
      <c r="CV668" s="62"/>
      <c r="CW668" s="62"/>
      <c r="CX668" s="62"/>
      <c r="CY668" s="62"/>
      <c r="CZ668" s="62"/>
      <c r="DA668" s="62"/>
      <c r="DB668" s="62"/>
      <c r="DC668" s="62"/>
      <c r="DD668" s="62"/>
      <c r="DE668" s="62"/>
      <c r="DF668" s="62"/>
      <c r="DG668" s="62"/>
      <c r="DH668" s="62"/>
      <c r="DI668" s="62"/>
      <c r="DJ668" s="62"/>
      <c r="DK668" s="62"/>
      <c r="DL668" s="62"/>
      <c r="DM668" s="62"/>
      <c r="DN668" s="62"/>
      <c r="DO668" s="62"/>
      <c r="DP668" s="62"/>
      <c r="DQ668" s="62"/>
      <c r="DR668" s="62"/>
      <c r="DS668" s="62"/>
      <c r="DT668" s="62"/>
      <c r="DU668" s="62"/>
      <c r="DV668" s="62"/>
      <c r="DW668" s="62"/>
      <c r="DX668" s="62"/>
      <c r="DY668" s="62"/>
      <c r="DZ668" s="62"/>
      <c r="EA668" s="62"/>
      <c r="EB668" s="62"/>
      <c r="EC668" s="62"/>
      <c r="ED668" s="62"/>
      <c r="EE668" s="62"/>
      <c r="EF668" s="62"/>
      <c r="EG668" s="62"/>
      <c r="EH668" s="62"/>
      <c r="EI668" s="62"/>
      <c r="EJ668" s="62"/>
      <c r="EK668" s="62"/>
      <c r="EL668" s="62"/>
      <c r="EM668" s="62"/>
      <c r="EN668" s="62"/>
      <c r="EO668" s="62"/>
      <c r="EP668" s="62"/>
      <c r="EQ668" s="62"/>
      <c r="ER668" s="62"/>
      <c r="ES668" s="62"/>
      <c r="ET668" s="62"/>
      <c r="EU668" s="62"/>
      <c r="EV668" s="62"/>
      <c r="EW668" s="62"/>
      <c r="EX668" s="62"/>
      <c r="EY668" s="62"/>
      <c r="EZ668" s="62"/>
      <c r="FA668" s="62"/>
      <c r="FB668" s="62"/>
      <c r="FC668" s="62"/>
      <c r="FD668" s="62"/>
      <c r="FE668" s="62"/>
      <c r="FF668" s="62"/>
      <c r="FG668" s="62"/>
      <c r="FH668" s="62"/>
      <c r="FI668" s="62"/>
      <c r="FJ668" s="62"/>
      <c r="FK668" s="62"/>
      <c r="FL668" s="62"/>
      <c r="FM668" s="62"/>
      <c r="FN668" s="62"/>
      <c r="FO668" s="62"/>
      <c r="FP668" s="62"/>
      <c r="FQ668" s="62"/>
      <c r="FR668" s="62"/>
      <c r="FS668" s="62"/>
      <c r="FT668" s="62"/>
      <c r="FU668" s="62"/>
      <c r="FV668" s="62"/>
    </row>
    <row r="669" spans="1:178" ht="13.8">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c r="AY669" s="62"/>
      <c r="AZ669" s="62"/>
      <c r="BA669" s="62"/>
      <c r="BB669" s="62"/>
      <c r="BC669" s="62"/>
      <c r="BD669" s="62"/>
      <c r="BE669" s="62"/>
      <c r="BF669" s="62"/>
      <c r="BG669" s="62"/>
      <c r="BH669" s="62"/>
      <c r="BI669" s="62"/>
      <c r="BJ669" s="62"/>
      <c r="BK669" s="62"/>
      <c r="BL669" s="62"/>
      <c r="BM669" s="62"/>
      <c r="BN669" s="62"/>
      <c r="BO669" s="62"/>
      <c r="BP669" s="62"/>
      <c r="BQ669" s="62"/>
      <c r="BR669" s="62"/>
      <c r="BS669" s="62"/>
      <c r="BT669" s="62"/>
      <c r="BU669" s="62"/>
      <c r="BV669" s="62"/>
      <c r="BW669" s="62"/>
      <c r="BX669" s="62"/>
      <c r="BY669" s="62"/>
      <c r="BZ669" s="62"/>
      <c r="CA669" s="62"/>
      <c r="CB669" s="62"/>
      <c r="CC669" s="62"/>
      <c r="CD669" s="62"/>
      <c r="CE669" s="62"/>
      <c r="CF669" s="62"/>
      <c r="CG669" s="62"/>
      <c r="CH669" s="62"/>
      <c r="CI669" s="62"/>
      <c r="CJ669" s="62"/>
      <c r="CK669" s="62"/>
      <c r="CL669" s="62"/>
      <c r="CM669" s="62"/>
      <c r="CN669" s="62"/>
      <c r="CO669" s="62"/>
      <c r="CP669" s="62"/>
      <c r="CQ669" s="62"/>
      <c r="CR669" s="62"/>
      <c r="CS669" s="62"/>
      <c r="CT669" s="62"/>
      <c r="CU669" s="62"/>
      <c r="CV669" s="62"/>
      <c r="CW669" s="62"/>
      <c r="CX669" s="62"/>
      <c r="CY669" s="62"/>
      <c r="CZ669" s="62"/>
      <c r="DA669" s="62"/>
      <c r="DB669" s="62"/>
      <c r="DC669" s="62"/>
      <c r="DD669" s="62"/>
      <c r="DE669" s="62"/>
      <c r="DF669" s="62"/>
      <c r="DG669" s="62"/>
      <c r="DH669" s="62"/>
      <c r="DI669" s="62"/>
      <c r="DJ669" s="62"/>
      <c r="DK669" s="62"/>
      <c r="DL669" s="62"/>
      <c r="DM669" s="62"/>
      <c r="DN669" s="62"/>
      <c r="DO669" s="62"/>
      <c r="DP669" s="62"/>
      <c r="DQ669" s="62"/>
      <c r="DR669" s="62"/>
      <c r="DS669" s="62"/>
      <c r="DT669" s="62"/>
      <c r="DU669" s="62"/>
      <c r="DV669" s="62"/>
      <c r="DW669" s="62"/>
      <c r="DX669" s="62"/>
      <c r="DY669" s="62"/>
      <c r="DZ669" s="62"/>
      <c r="EA669" s="62"/>
      <c r="EB669" s="62"/>
      <c r="EC669" s="62"/>
      <c r="ED669" s="62"/>
      <c r="EE669" s="62"/>
      <c r="EF669" s="62"/>
      <c r="EG669" s="62"/>
      <c r="EH669" s="62"/>
      <c r="EI669" s="62"/>
      <c r="EJ669" s="62"/>
      <c r="EK669" s="62"/>
      <c r="EL669" s="62"/>
      <c r="EM669" s="62"/>
      <c r="EN669" s="62"/>
      <c r="EO669" s="62"/>
      <c r="EP669" s="62"/>
      <c r="EQ669" s="62"/>
      <c r="ER669" s="62"/>
      <c r="ES669" s="62"/>
      <c r="ET669" s="62"/>
      <c r="EU669" s="62"/>
      <c r="EV669" s="62"/>
      <c r="EW669" s="62"/>
      <c r="EX669" s="62"/>
      <c r="EY669" s="62"/>
      <c r="EZ669" s="62"/>
      <c r="FA669" s="62"/>
      <c r="FB669" s="62"/>
      <c r="FC669" s="62"/>
      <c r="FD669" s="62"/>
      <c r="FE669" s="62"/>
      <c r="FF669" s="62"/>
      <c r="FG669" s="62"/>
      <c r="FH669" s="62"/>
      <c r="FI669" s="62"/>
      <c r="FJ669" s="62"/>
      <c r="FK669" s="62"/>
      <c r="FL669" s="62"/>
      <c r="FM669" s="62"/>
      <c r="FN669" s="62"/>
      <c r="FO669" s="62"/>
      <c r="FP669" s="62"/>
      <c r="FQ669" s="62"/>
      <c r="FR669" s="62"/>
      <c r="FS669" s="62"/>
      <c r="FT669" s="62"/>
      <c r="FU669" s="62"/>
      <c r="FV669" s="62"/>
    </row>
    <row r="670" spans="1:178" ht="13.8">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c r="AY670" s="62"/>
      <c r="AZ670" s="62"/>
      <c r="BA670" s="62"/>
      <c r="BB670" s="62"/>
      <c r="BC670" s="62"/>
      <c r="BD670" s="62"/>
      <c r="BE670" s="62"/>
      <c r="BF670" s="62"/>
      <c r="BG670" s="62"/>
      <c r="BH670" s="62"/>
      <c r="BI670" s="62"/>
      <c r="BJ670" s="62"/>
      <c r="BK670" s="62"/>
      <c r="BL670" s="62"/>
      <c r="BM670" s="62"/>
      <c r="BN670" s="62"/>
      <c r="BO670" s="62"/>
      <c r="BP670" s="62"/>
      <c r="BQ670" s="62"/>
      <c r="BR670" s="62"/>
      <c r="BS670" s="62"/>
      <c r="BT670" s="62"/>
      <c r="BU670" s="62"/>
      <c r="BV670" s="62"/>
      <c r="BW670" s="62"/>
      <c r="BX670" s="62"/>
      <c r="BY670" s="62"/>
      <c r="BZ670" s="62"/>
      <c r="CA670" s="62"/>
      <c r="CB670" s="62"/>
      <c r="CC670" s="62"/>
      <c r="CD670" s="62"/>
      <c r="CE670" s="62"/>
      <c r="CF670" s="62"/>
      <c r="CG670" s="62"/>
      <c r="CH670" s="62"/>
      <c r="CI670" s="62"/>
      <c r="CJ670" s="62"/>
      <c r="CK670" s="62"/>
      <c r="CL670" s="62"/>
      <c r="CM670" s="62"/>
      <c r="CN670" s="62"/>
      <c r="CO670" s="62"/>
      <c r="CP670" s="62"/>
      <c r="CQ670" s="62"/>
      <c r="CR670" s="62"/>
      <c r="CS670" s="62"/>
      <c r="CT670" s="62"/>
      <c r="CU670" s="62"/>
      <c r="CV670" s="62"/>
      <c r="CW670" s="62"/>
      <c r="CX670" s="62"/>
      <c r="CY670" s="62"/>
      <c r="CZ670" s="62"/>
      <c r="DA670" s="62"/>
      <c r="DB670" s="62"/>
      <c r="DC670" s="62"/>
      <c r="DD670" s="62"/>
      <c r="DE670" s="62"/>
      <c r="DF670" s="62"/>
      <c r="DG670" s="62"/>
      <c r="DH670" s="62"/>
      <c r="DI670" s="62"/>
      <c r="DJ670" s="62"/>
      <c r="DK670" s="62"/>
      <c r="DL670" s="62"/>
      <c r="DM670" s="62"/>
      <c r="DN670" s="62"/>
      <c r="DO670" s="62"/>
      <c r="DP670" s="62"/>
      <c r="DQ670" s="62"/>
      <c r="DR670" s="62"/>
      <c r="DS670" s="62"/>
      <c r="DT670" s="62"/>
      <c r="DU670" s="62"/>
      <c r="DV670" s="62"/>
      <c r="DW670" s="62"/>
      <c r="DX670" s="62"/>
      <c r="DY670" s="62"/>
      <c r="DZ670" s="62"/>
      <c r="EA670" s="62"/>
      <c r="EB670" s="62"/>
      <c r="EC670" s="62"/>
      <c r="ED670" s="62"/>
      <c r="EE670" s="62"/>
      <c r="EF670" s="62"/>
      <c r="EG670" s="62"/>
      <c r="EH670" s="62"/>
      <c r="EI670" s="62"/>
      <c r="EJ670" s="62"/>
      <c r="EK670" s="62"/>
      <c r="EL670" s="62"/>
      <c r="EM670" s="62"/>
      <c r="EN670" s="62"/>
      <c r="EO670" s="62"/>
      <c r="EP670" s="62"/>
      <c r="EQ670" s="62"/>
      <c r="ER670" s="62"/>
      <c r="ES670" s="62"/>
      <c r="ET670" s="62"/>
      <c r="EU670" s="62"/>
      <c r="EV670" s="62"/>
      <c r="EW670" s="62"/>
      <c r="EX670" s="62"/>
      <c r="EY670" s="62"/>
      <c r="EZ670" s="62"/>
      <c r="FA670" s="62"/>
      <c r="FB670" s="62"/>
      <c r="FC670" s="62"/>
      <c r="FD670" s="62"/>
      <c r="FE670" s="62"/>
      <c r="FF670" s="62"/>
      <c r="FG670" s="62"/>
      <c r="FH670" s="62"/>
      <c r="FI670" s="62"/>
      <c r="FJ670" s="62"/>
      <c r="FK670" s="62"/>
      <c r="FL670" s="62"/>
      <c r="FM670" s="62"/>
      <c r="FN670" s="62"/>
      <c r="FO670" s="62"/>
      <c r="FP670" s="62"/>
      <c r="FQ670" s="62"/>
      <c r="FR670" s="62"/>
      <c r="FS670" s="62"/>
      <c r="FT670" s="62"/>
      <c r="FU670" s="62"/>
      <c r="FV670" s="62"/>
    </row>
    <row r="671" spans="1:178" ht="13.8">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c r="AY671" s="62"/>
      <c r="AZ671" s="62"/>
      <c r="BA671" s="62"/>
      <c r="BB671" s="62"/>
      <c r="BC671" s="62"/>
      <c r="BD671" s="62"/>
      <c r="BE671" s="62"/>
      <c r="BF671" s="62"/>
      <c r="BG671" s="62"/>
      <c r="BH671" s="62"/>
      <c r="BI671" s="62"/>
      <c r="BJ671" s="62"/>
      <c r="BK671" s="62"/>
      <c r="BL671" s="62"/>
      <c r="BM671" s="62"/>
      <c r="BN671" s="62"/>
      <c r="BO671" s="62"/>
      <c r="BP671" s="62"/>
      <c r="BQ671" s="62"/>
      <c r="BR671" s="62"/>
      <c r="BS671" s="62"/>
      <c r="BT671" s="62"/>
      <c r="BU671" s="62"/>
      <c r="BV671" s="62"/>
      <c r="BW671" s="62"/>
      <c r="BX671" s="62"/>
      <c r="BY671" s="62"/>
      <c r="BZ671" s="62"/>
      <c r="CA671" s="62"/>
      <c r="CB671" s="62"/>
      <c r="CC671" s="62"/>
      <c r="CD671" s="62"/>
      <c r="CE671" s="62"/>
      <c r="CF671" s="62"/>
      <c r="CG671" s="62"/>
      <c r="CH671" s="62"/>
      <c r="CI671" s="62"/>
      <c r="CJ671" s="62"/>
      <c r="CK671" s="62"/>
      <c r="CL671" s="62"/>
      <c r="CM671" s="62"/>
      <c r="CN671" s="62"/>
      <c r="CO671" s="62"/>
      <c r="CP671" s="62"/>
      <c r="CQ671" s="62"/>
      <c r="CR671" s="62"/>
      <c r="CS671" s="62"/>
      <c r="CT671" s="62"/>
      <c r="CU671" s="62"/>
      <c r="CV671" s="62"/>
      <c r="CW671" s="62"/>
      <c r="CX671" s="62"/>
      <c r="CY671" s="62"/>
      <c r="CZ671" s="62"/>
      <c r="DA671" s="62"/>
      <c r="DB671" s="62"/>
      <c r="DC671" s="62"/>
      <c r="DD671" s="62"/>
      <c r="DE671" s="62"/>
      <c r="DF671" s="62"/>
      <c r="DG671" s="62"/>
      <c r="DH671" s="62"/>
      <c r="DI671" s="62"/>
      <c r="DJ671" s="62"/>
      <c r="DK671" s="62"/>
      <c r="DL671" s="62"/>
      <c r="DM671" s="62"/>
      <c r="DN671" s="62"/>
      <c r="DO671" s="62"/>
      <c r="DP671" s="62"/>
      <c r="DQ671" s="62"/>
      <c r="DR671" s="62"/>
      <c r="DS671" s="62"/>
      <c r="DT671" s="62"/>
      <c r="DU671" s="62"/>
      <c r="DV671" s="62"/>
      <c r="DW671" s="62"/>
      <c r="DX671" s="62"/>
      <c r="DY671" s="62"/>
      <c r="DZ671" s="62"/>
      <c r="EA671" s="62"/>
      <c r="EB671" s="62"/>
      <c r="EC671" s="62"/>
      <c r="ED671" s="62"/>
      <c r="EE671" s="62"/>
      <c r="EF671" s="62"/>
      <c r="EG671" s="62"/>
      <c r="EH671" s="62"/>
      <c r="EI671" s="62"/>
      <c r="EJ671" s="62"/>
      <c r="EK671" s="62"/>
      <c r="EL671" s="62"/>
      <c r="EM671" s="62"/>
      <c r="EN671" s="62"/>
      <c r="EO671" s="62"/>
      <c r="EP671" s="62"/>
      <c r="EQ671" s="62"/>
      <c r="ER671" s="62"/>
      <c r="ES671" s="62"/>
      <c r="ET671" s="62"/>
      <c r="EU671" s="62"/>
      <c r="EV671" s="62"/>
      <c r="EW671" s="62"/>
      <c r="EX671" s="62"/>
      <c r="EY671" s="62"/>
      <c r="EZ671" s="62"/>
      <c r="FA671" s="62"/>
      <c r="FB671" s="62"/>
      <c r="FC671" s="62"/>
      <c r="FD671" s="62"/>
      <c r="FE671" s="62"/>
      <c r="FF671" s="62"/>
      <c r="FG671" s="62"/>
      <c r="FH671" s="62"/>
      <c r="FI671" s="62"/>
      <c r="FJ671" s="62"/>
      <c r="FK671" s="62"/>
      <c r="FL671" s="62"/>
      <c r="FM671" s="62"/>
      <c r="FN671" s="62"/>
      <c r="FO671" s="62"/>
      <c r="FP671" s="62"/>
      <c r="FQ671" s="62"/>
      <c r="FR671" s="62"/>
      <c r="FS671" s="62"/>
      <c r="FT671" s="62"/>
      <c r="FU671" s="62"/>
      <c r="FV671" s="62"/>
    </row>
    <row r="672" spans="1:178" ht="13.8">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c r="AY672" s="62"/>
      <c r="AZ672" s="62"/>
      <c r="BA672" s="62"/>
      <c r="BB672" s="62"/>
      <c r="BC672" s="62"/>
      <c r="BD672" s="62"/>
      <c r="BE672" s="62"/>
      <c r="BF672" s="62"/>
      <c r="BG672" s="62"/>
      <c r="BH672" s="62"/>
      <c r="BI672" s="62"/>
      <c r="BJ672" s="62"/>
      <c r="BK672" s="62"/>
      <c r="BL672" s="62"/>
      <c r="BM672" s="62"/>
      <c r="BN672" s="62"/>
      <c r="BO672" s="62"/>
      <c r="BP672" s="62"/>
      <c r="BQ672" s="62"/>
      <c r="BR672" s="62"/>
      <c r="BS672" s="62"/>
      <c r="BT672" s="62"/>
      <c r="BU672" s="62"/>
      <c r="BV672" s="62"/>
      <c r="BW672" s="62"/>
      <c r="BX672" s="62"/>
      <c r="BY672" s="62"/>
      <c r="BZ672" s="62"/>
      <c r="CA672" s="62"/>
      <c r="CB672" s="62"/>
      <c r="CC672" s="62"/>
      <c r="CD672" s="62"/>
      <c r="CE672" s="62"/>
      <c r="CF672" s="62"/>
      <c r="CG672" s="62"/>
      <c r="CH672" s="62"/>
      <c r="CI672" s="62"/>
      <c r="CJ672" s="62"/>
      <c r="CK672" s="62"/>
      <c r="CL672" s="62"/>
      <c r="CM672" s="62"/>
      <c r="CN672" s="62"/>
      <c r="CO672" s="62"/>
      <c r="CP672" s="62"/>
      <c r="CQ672" s="62"/>
      <c r="CR672" s="62"/>
      <c r="CS672" s="62"/>
      <c r="CT672" s="62"/>
      <c r="CU672" s="62"/>
      <c r="CV672" s="62"/>
      <c r="CW672" s="62"/>
      <c r="CX672" s="62"/>
      <c r="CY672" s="62"/>
      <c r="CZ672" s="62"/>
      <c r="DA672" s="62"/>
      <c r="DB672" s="62"/>
      <c r="DC672" s="62"/>
      <c r="DD672" s="62"/>
      <c r="DE672" s="62"/>
      <c r="DF672" s="62"/>
      <c r="DG672" s="62"/>
      <c r="DH672" s="62"/>
      <c r="DI672" s="62"/>
      <c r="DJ672" s="62"/>
      <c r="DK672" s="62"/>
      <c r="DL672" s="62"/>
      <c r="DM672" s="62"/>
      <c r="DN672" s="62"/>
      <c r="DO672" s="62"/>
      <c r="DP672" s="62"/>
      <c r="DQ672" s="62"/>
      <c r="DR672" s="62"/>
      <c r="DS672" s="62"/>
      <c r="DT672" s="62"/>
      <c r="DU672" s="62"/>
      <c r="DV672" s="62"/>
      <c r="DW672" s="62"/>
      <c r="DX672" s="62"/>
      <c r="DY672" s="62"/>
      <c r="DZ672" s="62"/>
      <c r="EA672" s="62"/>
      <c r="EB672" s="62"/>
      <c r="EC672" s="62"/>
      <c r="ED672" s="62"/>
      <c r="EE672" s="62"/>
      <c r="EF672" s="62"/>
      <c r="EG672" s="62"/>
      <c r="EH672" s="62"/>
      <c r="EI672" s="62"/>
      <c r="EJ672" s="62"/>
      <c r="EK672" s="62"/>
      <c r="EL672" s="62"/>
      <c r="EM672" s="62"/>
      <c r="EN672" s="62"/>
      <c r="EO672" s="62"/>
      <c r="EP672" s="62"/>
      <c r="EQ672" s="62"/>
      <c r="ER672" s="62"/>
      <c r="ES672" s="62"/>
      <c r="ET672" s="62"/>
      <c r="EU672" s="62"/>
      <c r="EV672" s="62"/>
      <c r="EW672" s="62"/>
      <c r="EX672" s="62"/>
      <c r="EY672" s="62"/>
      <c r="EZ672" s="62"/>
      <c r="FA672" s="62"/>
      <c r="FB672" s="62"/>
      <c r="FC672" s="62"/>
      <c r="FD672" s="62"/>
      <c r="FE672" s="62"/>
      <c r="FF672" s="62"/>
      <c r="FG672" s="62"/>
      <c r="FH672" s="62"/>
      <c r="FI672" s="62"/>
      <c r="FJ672" s="62"/>
      <c r="FK672" s="62"/>
      <c r="FL672" s="62"/>
      <c r="FM672" s="62"/>
      <c r="FN672" s="62"/>
      <c r="FO672" s="62"/>
      <c r="FP672" s="62"/>
      <c r="FQ672" s="62"/>
      <c r="FR672" s="62"/>
      <c r="FS672" s="62"/>
      <c r="FT672" s="62"/>
      <c r="FU672" s="62"/>
      <c r="FV672" s="62"/>
    </row>
    <row r="673" spans="1:178" ht="13.8">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c r="AY673" s="62"/>
      <c r="AZ673" s="62"/>
      <c r="BA673" s="62"/>
      <c r="BB673" s="62"/>
      <c r="BC673" s="62"/>
      <c r="BD673" s="62"/>
      <c r="BE673" s="62"/>
      <c r="BF673" s="62"/>
      <c r="BG673" s="62"/>
      <c r="BH673" s="62"/>
      <c r="BI673" s="62"/>
      <c r="BJ673" s="62"/>
      <c r="BK673" s="62"/>
      <c r="BL673" s="62"/>
      <c r="BM673" s="62"/>
      <c r="BN673" s="62"/>
      <c r="BO673" s="62"/>
      <c r="BP673" s="62"/>
      <c r="BQ673" s="62"/>
      <c r="BR673" s="62"/>
      <c r="BS673" s="62"/>
      <c r="BT673" s="62"/>
      <c r="BU673" s="62"/>
      <c r="BV673" s="62"/>
      <c r="BW673" s="62"/>
      <c r="BX673" s="62"/>
      <c r="BY673" s="62"/>
      <c r="BZ673" s="62"/>
      <c r="CA673" s="62"/>
      <c r="CB673" s="62"/>
      <c r="CC673" s="62"/>
      <c r="CD673" s="62"/>
      <c r="CE673" s="62"/>
      <c r="CF673" s="62"/>
      <c r="CG673" s="62"/>
      <c r="CH673" s="62"/>
      <c r="CI673" s="62"/>
      <c r="CJ673" s="62"/>
      <c r="CK673" s="62"/>
      <c r="CL673" s="62"/>
      <c r="CM673" s="62"/>
      <c r="CN673" s="62"/>
      <c r="CO673" s="62"/>
      <c r="CP673" s="62"/>
      <c r="CQ673" s="62"/>
      <c r="CR673" s="62"/>
      <c r="CS673" s="62"/>
      <c r="CT673" s="62"/>
      <c r="CU673" s="62"/>
      <c r="CV673" s="62"/>
      <c r="CW673" s="62"/>
      <c r="CX673" s="62"/>
      <c r="CY673" s="62"/>
      <c r="CZ673" s="62"/>
      <c r="DA673" s="62"/>
      <c r="DB673" s="62"/>
      <c r="DC673" s="62"/>
      <c r="DD673" s="62"/>
      <c r="DE673" s="62"/>
      <c r="DF673" s="62"/>
      <c r="DG673" s="62"/>
      <c r="DH673" s="62"/>
      <c r="DI673" s="62"/>
      <c r="DJ673" s="62"/>
      <c r="DK673" s="62"/>
      <c r="DL673" s="62"/>
      <c r="DM673" s="62"/>
      <c r="DN673" s="62"/>
      <c r="DO673" s="62"/>
      <c r="DP673" s="62"/>
      <c r="DQ673" s="62"/>
      <c r="DR673" s="62"/>
      <c r="DS673" s="62"/>
      <c r="DT673" s="62"/>
      <c r="DU673" s="62"/>
      <c r="DV673" s="62"/>
      <c r="DW673" s="62"/>
      <c r="DX673" s="62"/>
      <c r="DY673" s="62"/>
      <c r="DZ673" s="62"/>
      <c r="EA673" s="62"/>
      <c r="EB673" s="62"/>
      <c r="EC673" s="62"/>
      <c r="ED673" s="62"/>
      <c r="EE673" s="62"/>
      <c r="EF673" s="62"/>
      <c r="EG673" s="62"/>
      <c r="EH673" s="62"/>
      <c r="EI673" s="62"/>
      <c r="EJ673" s="62"/>
      <c r="EK673" s="62"/>
      <c r="EL673" s="62"/>
      <c r="EM673" s="62"/>
      <c r="EN673" s="62"/>
      <c r="EO673" s="62"/>
      <c r="EP673" s="62"/>
      <c r="EQ673" s="62"/>
      <c r="ER673" s="62"/>
      <c r="ES673" s="62"/>
      <c r="ET673" s="62"/>
      <c r="EU673" s="62"/>
      <c r="EV673" s="62"/>
      <c r="EW673" s="62"/>
      <c r="EX673" s="62"/>
      <c r="EY673" s="62"/>
      <c r="EZ673" s="62"/>
      <c r="FA673" s="62"/>
      <c r="FB673" s="62"/>
      <c r="FC673" s="62"/>
      <c r="FD673" s="62"/>
      <c r="FE673" s="62"/>
      <c r="FF673" s="62"/>
      <c r="FG673" s="62"/>
      <c r="FH673" s="62"/>
      <c r="FI673" s="62"/>
      <c r="FJ673" s="62"/>
      <c r="FK673" s="62"/>
      <c r="FL673" s="62"/>
      <c r="FM673" s="62"/>
      <c r="FN673" s="62"/>
      <c r="FO673" s="62"/>
      <c r="FP673" s="62"/>
      <c r="FQ673" s="62"/>
      <c r="FR673" s="62"/>
      <c r="FS673" s="62"/>
      <c r="FT673" s="62"/>
      <c r="FU673" s="62"/>
      <c r="FV673" s="62"/>
    </row>
    <row r="674" spans="1:178" ht="13.8">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c r="AY674" s="62"/>
      <c r="AZ674" s="62"/>
      <c r="BA674" s="62"/>
      <c r="BB674" s="62"/>
      <c r="BC674" s="62"/>
      <c r="BD674" s="62"/>
      <c r="BE674" s="62"/>
      <c r="BF674" s="62"/>
      <c r="BG674" s="62"/>
      <c r="BH674" s="62"/>
      <c r="BI674" s="62"/>
      <c r="BJ674" s="62"/>
      <c r="BK674" s="62"/>
      <c r="BL674" s="62"/>
      <c r="BM674" s="62"/>
      <c r="BN674" s="62"/>
      <c r="BO674" s="62"/>
      <c r="BP674" s="62"/>
      <c r="BQ674" s="62"/>
      <c r="BR674" s="62"/>
      <c r="BS674" s="62"/>
      <c r="BT674" s="62"/>
      <c r="BU674" s="62"/>
      <c r="BV674" s="62"/>
      <c r="BW674" s="62"/>
      <c r="BX674" s="62"/>
      <c r="BY674" s="62"/>
      <c r="BZ674" s="62"/>
      <c r="CA674" s="62"/>
      <c r="CB674" s="62"/>
      <c r="CC674" s="62"/>
      <c r="CD674" s="62"/>
      <c r="CE674" s="62"/>
      <c r="CF674" s="62"/>
      <c r="CG674" s="62"/>
      <c r="CH674" s="62"/>
      <c r="CI674" s="62"/>
      <c r="CJ674" s="62"/>
      <c r="CK674" s="62"/>
      <c r="CL674" s="62"/>
      <c r="CM674" s="62"/>
      <c r="CN674" s="62"/>
      <c r="CO674" s="62"/>
      <c r="CP674" s="62"/>
      <c r="CQ674" s="62"/>
      <c r="CR674" s="62"/>
      <c r="CS674" s="62"/>
      <c r="CT674" s="62"/>
      <c r="CU674" s="62"/>
      <c r="CV674" s="62"/>
      <c r="CW674" s="62"/>
      <c r="CX674" s="62"/>
      <c r="CY674" s="62"/>
      <c r="CZ674" s="62"/>
      <c r="DA674" s="62"/>
      <c r="DB674" s="62"/>
      <c r="DC674" s="62"/>
      <c r="DD674" s="62"/>
      <c r="DE674" s="62"/>
      <c r="DF674" s="62"/>
      <c r="DG674" s="62"/>
      <c r="DH674" s="62"/>
      <c r="DI674" s="62"/>
      <c r="DJ674" s="62"/>
      <c r="DK674" s="62"/>
      <c r="DL674" s="62"/>
      <c r="DM674" s="62"/>
      <c r="DN674" s="62"/>
      <c r="DO674" s="62"/>
      <c r="DP674" s="62"/>
      <c r="DQ674" s="62"/>
      <c r="DR674" s="62"/>
      <c r="DS674" s="62"/>
      <c r="DT674" s="62"/>
      <c r="DU674" s="62"/>
      <c r="DV674" s="62"/>
      <c r="DW674" s="62"/>
      <c r="DX674" s="62"/>
      <c r="DY674" s="62"/>
      <c r="DZ674" s="62"/>
      <c r="EA674" s="62"/>
      <c r="EB674" s="62"/>
      <c r="EC674" s="62"/>
      <c r="ED674" s="62"/>
      <c r="EE674" s="62"/>
      <c r="EF674" s="62"/>
      <c r="EG674" s="62"/>
      <c r="EH674" s="62"/>
      <c r="EI674" s="62"/>
      <c r="EJ674" s="62"/>
      <c r="EK674" s="62"/>
      <c r="EL674" s="62"/>
      <c r="EM674" s="62"/>
      <c r="EN674" s="62"/>
      <c r="EO674" s="62"/>
      <c r="EP674" s="62"/>
      <c r="EQ674" s="62"/>
      <c r="ER674" s="62"/>
      <c r="ES674" s="62"/>
      <c r="ET674" s="62"/>
      <c r="EU674" s="62"/>
      <c r="EV674" s="62"/>
      <c r="EW674" s="62"/>
      <c r="EX674" s="62"/>
      <c r="EY674" s="62"/>
      <c r="EZ674" s="62"/>
      <c r="FA674" s="62"/>
      <c r="FB674" s="62"/>
      <c r="FC674" s="62"/>
      <c r="FD674" s="62"/>
      <c r="FE674" s="62"/>
      <c r="FF674" s="62"/>
      <c r="FG674" s="62"/>
      <c r="FH674" s="62"/>
      <c r="FI674" s="62"/>
      <c r="FJ674" s="62"/>
      <c r="FK674" s="62"/>
      <c r="FL674" s="62"/>
      <c r="FM674" s="62"/>
      <c r="FN674" s="62"/>
      <c r="FO674" s="62"/>
      <c r="FP674" s="62"/>
      <c r="FQ674" s="62"/>
      <c r="FR674" s="62"/>
      <c r="FS674" s="62"/>
      <c r="FT674" s="62"/>
      <c r="FU674" s="62"/>
      <c r="FV674" s="62"/>
    </row>
    <row r="675" spans="1:178" ht="13.8">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c r="AY675" s="62"/>
      <c r="AZ675" s="62"/>
      <c r="BA675" s="62"/>
      <c r="BB675" s="62"/>
      <c r="BC675" s="62"/>
      <c r="BD675" s="62"/>
      <c r="BE675" s="62"/>
      <c r="BF675" s="62"/>
      <c r="BG675" s="62"/>
      <c r="BH675" s="62"/>
      <c r="BI675" s="62"/>
      <c r="BJ675" s="62"/>
      <c r="BK675" s="62"/>
      <c r="BL675" s="62"/>
      <c r="BM675" s="62"/>
      <c r="BN675" s="62"/>
      <c r="BO675" s="62"/>
      <c r="BP675" s="62"/>
      <c r="BQ675" s="62"/>
      <c r="BR675" s="62"/>
      <c r="BS675" s="62"/>
      <c r="BT675" s="62"/>
      <c r="BU675" s="62"/>
      <c r="BV675" s="62"/>
      <c r="BW675" s="62"/>
      <c r="BX675" s="62"/>
      <c r="BY675" s="62"/>
      <c r="BZ675" s="62"/>
      <c r="CA675" s="62"/>
      <c r="CB675" s="62"/>
      <c r="CC675" s="62"/>
      <c r="CD675" s="62"/>
      <c r="CE675" s="62"/>
      <c r="CF675" s="62"/>
      <c r="CG675" s="62"/>
      <c r="CH675" s="62"/>
      <c r="CI675" s="62"/>
      <c r="CJ675" s="62"/>
      <c r="CK675" s="62"/>
      <c r="CL675" s="62"/>
      <c r="CM675" s="62"/>
      <c r="CN675" s="62"/>
      <c r="CO675" s="62"/>
      <c r="CP675" s="62"/>
      <c r="CQ675" s="62"/>
      <c r="CR675" s="62"/>
      <c r="CS675" s="62"/>
      <c r="CT675" s="62"/>
      <c r="CU675" s="62"/>
      <c r="CV675" s="62"/>
      <c r="CW675" s="62"/>
      <c r="CX675" s="62"/>
      <c r="CY675" s="62"/>
      <c r="CZ675" s="62"/>
      <c r="DA675" s="62"/>
      <c r="DB675" s="62"/>
      <c r="DC675" s="62"/>
      <c r="DD675" s="62"/>
      <c r="DE675" s="62"/>
      <c r="DF675" s="62"/>
      <c r="DG675" s="62"/>
      <c r="DH675" s="62"/>
      <c r="DI675" s="62"/>
      <c r="DJ675" s="62"/>
      <c r="DK675" s="62"/>
      <c r="DL675" s="62"/>
      <c r="DM675" s="62"/>
      <c r="DN675" s="62"/>
      <c r="DO675" s="62"/>
      <c r="DP675" s="62"/>
      <c r="DQ675" s="62"/>
      <c r="DR675" s="62"/>
      <c r="DS675" s="62"/>
      <c r="DT675" s="62"/>
      <c r="DU675" s="62"/>
      <c r="DV675" s="62"/>
      <c r="DW675" s="62"/>
      <c r="DX675" s="62"/>
      <c r="DY675" s="62"/>
      <c r="DZ675" s="62"/>
      <c r="EA675" s="62"/>
      <c r="EB675" s="62"/>
      <c r="EC675" s="62"/>
      <c r="ED675" s="62"/>
      <c r="EE675" s="62"/>
      <c r="EF675" s="62"/>
      <c r="EG675" s="62"/>
      <c r="EH675" s="62"/>
      <c r="EI675" s="62"/>
      <c r="EJ675" s="62"/>
      <c r="EK675" s="62"/>
      <c r="EL675" s="62"/>
      <c r="EM675" s="62"/>
      <c r="EN675" s="62"/>
      <c r="EO675" s="62"/>
      <c r="EP675" s="62"/>
      <c r="EQ675" s="62"/>
      <c r="ER675" s="62"/>
      <c r="ES675" s="62"/>
      <c r="ET675" s="62"/>
      <c r="EU675" s="62"/>
      <c r="EV675" s="62"/>
      <c r="EW675" s="62"/>
      <c r="EX675" s="62"/>
      <c r="EY675" s="62"/>
      <c r="EZ675" s="62"/>
      <c r="FA675" s="62"/>
      <c r="FB675" s="62"/>
      <c r="FC675" s="62"/>
      <c r="FD675" s="62"/>
      <c r="FE675" s="62"/>
      <c r="FF675" s="62"/>
      <c r="FG675" s="62"/>
      <c r="FH675" s="62"/>
      <c r="FI675" s="62"/>
      <c r="FJ675" s="62"/>
      <c r="FK675" s="62"/>
      <c r="FL675" s="62"/>
      <c r="FM675" s="62"/>
      <c r="FN675" s="62"/>
      <c r="FO675" s="62"/>
      <c r="FP675" s="62"/>
      <c r="FQ675" s="62"/>
      <c r="FR675" s="62"/>
      <c r="FS675" s="62"/>
      <c r="FT675" s="62"/>
      <c r="FU675" s="62"/>
      <c r="FV675" s="62"/>
    </row>
    <row r="676" spans="1:178" ht="13.8">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c r="AY676" s="62"/>
      <c r="AZ676" s="62"/>
      <c r="BA676" s="62"/>
      <c r="BB676" s="62"/>
      <c r="BC676" s="62"/>
      <c r="BD676" s="62"/>
      <c r="BE676" s="62"/>
      <c r="BF676" s="62"/>
      <c r="BG676" s="62"/>
      <c r="BH676" s="62"/>
      <c r="BI676" s="62"/>
      <c r="BJ676" s="62"/>
      <c r="BK676" s="62"/>
      <c r="BL676" s="62"/>
      <c r="BM676" s="62"/>
      <c r="BN676" s="62"/>
      <c r="BO676" s="62"/>
      <c r="BP676" s="62"/>
      <c r="BQ676" s="62"/>
      <c r="BR676" s="62"/>
      <c r="BS676" s="62"/>
      <c r="BT676" s="62"/>
      <c r="BU676" s="62"/>
      <c r="BV676" s="62"/>
      <c r="BW676" s="62"/>
      <c r="BX676" s="62"/>
      <c r="BY676" s="62"/>
      <c r="BZ676" s="62"/>
      <c r="CA676" s="62"/>
      <c r="CB676" s="62"/>
      <c r="CC676" s="62"/>
      <c r="CD676" s="62"/>
      <c r="CE676" s="62"/>
      <c r="CF676" s="62"/>
      <c r="CG676" s="62"/>
      <c r="CH676" s="62"/>
      <c r="CI676" s="62"/>
      <c r="CJ676" s="62"/>
      <c r="CK676" s="62"/>
      <c r="CL676" s="62"/>
      <c r="CM676" s="62"/>
      <c r="CN676" s="62"/>
      <c r="CO676" s="62"/>
      <c r="CP676" s="62"/>
      <c r="CQ676" s="62"/>
      <c r="CR676" s="62"/>
      <c r="CS676" s="62"/>
      <c r="CT676" s="62"/>
      <c r="CU676" s="62"/>
      <c r="CV676" s="62"/>
      <c r="CW676" s="62"/>
      <c r="CX676" s="62"/>
      <c r="CY676" s="62"/>
      <c r="CZ676" s="62"/>
      <c r="DA676" s="62"/>
      <c r="DB676" s="62"/>
      <c r="DC676" s="62"/>
      <c r="DD676" s="62"/>
      <c r="DE676" s="62"/>
      <c r="DF676" s="62"/>
      <c r="DG676" s="62"/>
      <c r="DH676" s="62"/>
      <c r="DI676" s="62"/>
      <c r="DJ676" s="62"/>
      <c r="DK676" s="62"/>
      <c r="DL676" s="62"/>
      <c r="DM676" s="62"/>
      <c r="DN676" s="62"/>
      <c r="DO676" s="62"/>
      <c r="DP676" s="62"/>
      <c r="DQ676" s="62"/>
      <c r="DR676" s="62"/>
      <c r="DS676" s="62"/>
      <c r="DT676" s="62"/>
      <c r="DU676" s="62"/>
      <c r="DV676" s="62"/>
      <c r="DW676" s="62"/>
      <c r="DX676" s="62"/>
      <c r="DY676" s="62"/>
      <c r="DZ676" s="62"/>
      <c r="EA676" s="62"/>
      <c r="EB676" s="62"/>
      <c r="EC676" s="62"/>
      <c r="ED676" s="62"/>
      <c r="EE676" s="62"/>
      <c r="EF676" s="62"/>
      <c r="EG676" s="62"/>
      <c r="EH676" s="62"/>
      <c r="EI676" s="62"/>
      <c r="EJ676" s="62"/>
      <c r="EK676" s="62"/>
      <c r="EL676" s="62"/>
      <c r="EM676" s="62"/>
      <c r="EN676" s="62"/>
      <c r="EO676" s="62"/>
      <c r="EP676" s="62"/>
      <c r="EQ676" s="62"/>
      <c r="ER676" s="62"/>
      <c r="ES676" s="62"/>
      <c r="ET676" s="62"/>
      <c r="EU676" s="62"/>
      <c r="EV676" s="62"/>
      <c r="EW676" s="62"/>
      <c r="EX676" s="62"/>
      <c r="EY676" s="62"/>
      <c r="EZ676" s="62"/>
      <c r="FA676" s="62"/>
      <c r="FB676" s="62"/>
      <c r="FC676" s="62"/>
      <c r="FD676" s="62"/>
      <c r="FE676" s="62"/>
      <c r="FF676" s="62"/>
      <c r="FG676" s="62"/>
      <c r="FH676" s="62"/>
      <c r="FI676" s="62"/>
      <c r="FJ676" s="62"/>
      <c r="FK676" s="62"/>
      <c r="FL676" s="62"/>
      <c r="FM676" s="62"/>
      <c r="FN676" s="62"/>
      <c r="FO676" s="62"/>
      <c r="FP676" s="62"/>
      <c r="FQ676" s="62"/>
      <c r="FR676" s="62"/>
      <c r="FS676" s="62"/>
      <c r="FT676" s="62"/>
      <c r="FU676" s="62"/>
      <c r="FV676" s="62"/>
    </row>
    <row r="677" spans="1:178" ht="13.8">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c r="AY677" s="62"/>
      <c r="AZ677" s="62"/>
      <c r="BA677" s="62"/>
      <c r="BB677" s="62"/>
      <c r="BC677" s="62"/>
      <c r="BD677" s="62"/>
      <c r="BE677" s="62"/>
      <c r="BF677" s="62"/>
      <c r="BG677" s="62"/>
      <c r="BH677" s="62"/>
      <c r="BI677" s="62"/>
      <c r="BJ677" s="62"/>
      <c r="BK677" s="62"/>
      <c r="BL677" s="62"/>
      <c r="BM677" s="62"/>
      <c r="BN677" s="62"/>
      <c r="BO677" s="62"/>
      <c r="BP677" s="62"/>
      <c r="BQ677" s="62"/>
      <c r="BR677" s="62"/>
      <c r="BS677" s="62"/>
      <c r="BT677" s="62"/>
      <c r="BU677" s="62"/>
      <c r="BV677" s="62"/>
      <c r="BW677" s="62"/>
      <c r="BX677" s="62"/>
      <c r="BY677" s="62"/>
      <c r="BZ677" s="62"/>
      <c r="CA677" s="62"/>
      <c r="CB677" s="62"/>
      <c r="CC677" s="62"/>
      <c r="CD677" s="62"/>
      <c r="CE677" s="62"/>
      <c r="CF677" s="62"/>
      <c r="CG677" s="62"/>
      <c r="CH677" s="62"/>
      <c r="CI677" s="62"/>
      <c r="CJ677" s="62"/>
      <c r="CK677" s="62"/>
      <c r="CL677" s="62"/>
      <c r="CM677" s="62"/>
      <c r="CN677" s="62"/>
      <c r="CO677" s="62"/>
      <c r="CP677" s="62"/>
      <c r="CQ677" s="62"/>
      <c r="CR677" s="62"/>
      <c r="CS677" s="62"/>
      <c r="CT677" s="62"/>
      <c r="CU677" s="62"/>
      <c r="CV677" s="62"/>
      <c r="CW677" s="62"/>
      <c r="CX677" s="62"/>
      <c r="CY677" s="62"/>
      <c r="CZ677" s="62"/>
      <c r="DA677" s="62"/>
      <c r="DB677" s="62"/>
      <c r="DC677" s="62"/>
      <c r="DD677" s="62"/>
      <c r="DE677" s="62"/>
      <c r="DF677" s="62"/>
      <c r="DG677" s="62"/>
      <c r="DH677" s="62"/>
      <c r="DI677" s="62"/>
      <c r="DJ677" s="62"/>
      <c r="DK677" s="62"/>
      <c r="DL677" s="62"/>
      <c r="DM677" s="62"/>
      <c r="DN677" s="62"/>
      <c r="DO677" s="62"/>
      <c r="DP677" s="62"/>
      <c r="DQ677" s="62"/>
      <c r="DR677" s="62"/>
      <c r="DS677" s="62"/>
      <c r="DT677" s="62"/>
      <c r="DU677" s="62"/>
      <c r="DV677" s="62"/>
      <c r="DW677" s="62"/>
      <c r="DX677" s="62"/>
      <c r="DY677" s="62"/>
      <c r="DZ677" s="62"/>
      <c r="EA677" s="62"/>
      <c r="EB677" s="62"/>
      <c r="EC677" s="62"/>
      <c r="ED677" s="62"/>
      <c r="EE677" s="62"/>
      <c r="EF677" s="62"/>
      <c r="EG677" s="62"/>
      <c r="EH677" s="62"/>
      <c r="EI677" s="62"/>
      <c r="EJ677" s="62"/>
      <c r="EK677" s="62"/>
      <c r="EL677" s="62"/>
      <c r="EM677" s="62"/>
      <c r="EN677" s="62"/>
      <c r="EO677" s="62"/>
      <c r="EP677" s="62"/>
      <c r="EQ677" s="62"/>
      <c r="ER677" s="62"/>
      <c r="ES677" s="62"/>
      <c r="ET677" s="62"/>
      <c r="EU677" s="62"/>
      <c r="EV677" s="62"/>
      <c r="EW677" s="62"/>
      <c r="EX677" s="62"/>
      <c r="EY677" s="62"/>
      <c r="EZ677" s="62"/>
      <c r="FA677" s="62"/>
      <c r="FB677" s="62"/>
      <c r="FC677" s="62"/>
      <c r="FD677" s="62"/>
      <c r="FE677" s="62"/>
      <c r="FF677" s="62"/>
      <c r="FG677" s="62"/>
      <c r="FH677" s="62"/>
      <c r="FI677" s="62"/>
      <c r="FJ677" s="62"/>
      <c r="FK677" s="62"/>
      <c r="FL677" s="62"/>
      <c r="FM677" s="62"/>
      <c r="FN677" s="62"/>
      <c r="FO677" s="62"/>
      <c r="FP677" s="62"/>
      <c r="FQ677" s="62"/>
      <c r="FR677" s="62"/>
      <c r="FS677" s="62"/>
      <c r="FT677" s="62"/>
      <c r="FU677" s="62"/>
      <c r="FV677" s="62"/>
    </row>
    <row r="678" spans="1:178" ht="13.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c r="AY678" s="62"/>
      <c r="AZ678" s="62"/>
      <c r="BA678" s="62"/>
      <c r="BB678" s="62"/>
      <c r="BC678" s="62"/>
      <c r="BD678" s="62"/>
      <c r="BE678" s="62"/>
      <c r="BF678" s="62"/>
      <c r="BG678" s="62"/>
      <c r="BH678" s="62"/>
      <c r="BI678" s="62"/>
      <c r="BJ678" s="62"/>
      <c r="BK678" s="62"/>
      <c r="BL678" s="62"/>
      <c r="BM678" s="62"/>
      <c r="BN678" s="62"/>
      <c r="BO678" s="62"/>
      <c r="BP678" s="62"/>
      <c r="BQ678" s="62"/>
      <c r="BR678" s="62"/>
      <c r="BS678" s="62"/>
      <c r="BT678" s="62"/>
      <c r="BU678" s="62"/>
      <c r="BV678" s="62"/>
      <c r="BW678" s="62"/>
      <c r="BX678" s="62"/>
      <c r="BY678" s="62"/>
      <c r="BZ678" s="62"/>
      <c r="CA678" s="62"/>
      <c r="CB678" s="62"/>
      <c r="CC678" s="62"/>
      <c r="CD678" s="62"/>
      <c r="CE678" s="62"/>
      <c r="CF678" s="62"/>
      <c r="CG678" s="62"/>
      <c r="CH678" s="62"/>
      <c r="CI678" s="62"/>
      <c r="CJ678" s="62"/>
      <c r="CK678" s="62"/>
      <c r="CL678" s="62"/>
      <c r="CM678" s="62"/>
      <c r="CN678" s="62"/>
      <c r="CO678" s="62"/>
      <c r="CP678" s="62"/>
      <c r="CQ678" s="62"/>
      <c r="CR678" s="62"/>
      <c r="CS678" s="62"/>
      <c r="CT678" s="62"/>
      <c r="CU678" s="62"/>
      <c r="CV678" s="62"/>
      <c r="CW678" s="62"/>
      <c r="CX678" s="62"/>
      <c r="CY678" s="62"/>
      <c r="CZ678" s="62"/>
      <c r="DA678" s="62"/>
      <c r="DB678" s="62"/>
      <c r="DC678" s="62"/>
      <c r="DD678" s="62"/>
      <c r="DE678" s="62"/>
      <c r="DF678" s="62"/>
      <c r="DG678" s="62"/>
      <c r="DH678" s="62"/>
      <c r="DI678" s="62"/>
      <c r="DJ678" s="62"/>
      <c r="DK678" s="62"/>
      <c r="DL678" s="62"/>
      <c r="DM678" s="62"/>
      <c r="DN678" s="62"/>
      <c r="DO678" s="62"/>
      <c r="DP678" s="62"/>
      <c r="DQ678" s="62"/>
      <c r="DR678" s="62"/>
      <c r="DS678" s="62"/>
      <c r="DT678" s="62"/>
      <c r="DU678" s="62"/>
      <c r="DV678" s="62"/>
      <c r="DW678" s="62"/>
      <c r="DX678" s="62"/>
      <c r="DY678" s="62"/>
      <c r="DZ678" s="62"/>
      <c r="EA678" s="62"/>
      <c r="EB678" s="62"/>
      <c r="EC678" s="62"/>
      <c r="ED678" s="62"/>
      <c r="EE678" s="62"/>
      <c r="EF678" s="62"/>
      <c r="EG678" s="62"/>
      <c r="EH678" s="62"/>
      <c r="EI678" s="62"/>
      <c r="EJ678" s="62"/>
      <c r="EK678" s="62"/>
      <c r="EL678" s="62"/>
      <c r="EM678" s="62"/>
      <c r="EN678" s="62"/>
      <c r="EO678" s="62"/>
      <c r="EP678" s="62"/>
      <c r="EQ678" s="62"/>
      <c r="ER678" s="62"/>
      <c r="ES678" s="62"/>
      <c r="ET678" s="62"/>
      <c r="EU678" s="62"/>
      <c r="EV678" s="62"/>
      <c r="EW678" s="62"/>
      <c r="EX678" s="62"/>
      <c r="EY678" s="62"/>
      <c r="EZ678" s="62"/>
      <c r="FA678" s="62"/>
      <c r="FB678" s="62"/>
      <c r="FC678" s="62"/>
      <c r="FD678" s="62"/>
      <c r="FE678" s="62"/>
      <c r="FF678" s="62"/>
      <c r="FG678" s="62"/>
      <c r="FH678" s="62"/>
      <c r="FI678" s="62"/>
      <c r="FJ678" s="62"/>
      <c r="FK678" s="62"/>
      <c r="FL678" s="62"/>
      <c r="FM678" s="62"/>
      <c r="FN678" s="62"/>
      <c r="FO678" s="62"/>
      <c r="FP678" s="62"/>
      <c r="FQ678" s="62"/>
      <c r="FR678" s="62"/>
      <c r="FS678" s="62"/>
      <c r="FT678" s="62"/>
      <c r="FU678" s="62"/>
      <c r="FV678" s="62"/>
    </row>
    <row r="679" spans="1:178" ht="13.8">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c r="AY679" s="62"/>
      <c r="AZ679" s="62"/>
      <c r="BA679" s="62"/>
      <c r="BB679" s="62"/>
      <c r="BC679" s="62"/>
      <c r="BD679" s="62"/>
      <c r="BE679" s="62"/>
      <c r="BF679" s="62"/>
      <c r="BG679" s="62"/>
      <c r="BH679" s="62"/>
      <c r="BI679" s="62"/>
      <c r="BJ679" s="62"/>
      <c r="BK679" s="62"/>
      <c r="BL679" s="62"/>
      <c r="BM679" s="62"/>
      <c r="BN679" s="62"/>
      <c r="BO679" s="62"/>
      <c r="BP679" s="62"/>
      <c r="BQ679" s="62"/>
      <c r="BR679" s="62"/>
      <c r="BS679" s="62"/>
      <c r="BT679" s="62"/>
      <c r="BU679" s="62"/>
      <c r="BV679" s="62"/>
      <c r="BW679" s="62"/>
      <c r="BX679" s="62"/>
      <c r="BY679" s="62"/>
      <c r="BZ679" s="62"/>
      <c r="CA679" s="62"/>
      <c r="CB679" s="62"/>
      <c r="CC679" s="62"/>
      <c r="CD679" s="62"/>
      <c r="CE679" s="62"/>
      <c r="CF679" s="62"/>
      <c r="CG679" s="62"/>
      <c r="CH679" s="62"/>
      <c r="CI679" s="62"/>
      <c r="CJ679" s="62"/>
      <c r="CK679" s="62"/>
      <c r="CL679" s="62"/>
      <c r="CM679" s="62"/>
      <c r="CN679" s="62"/>
      <c r="CO679" s="62"/>
      <c r="CP679" s="62"/>
      <c r="CQ679" s="62"/>
      <c r="CR679" s="62"/>
      <c r="CS679" s="62"/>
      <c r="CT679" s="62"/>
      <c r="CU679" s="62"/>
      <c r="CV679" s="62"/>
      <c r="CW679" s="62"/>
      <c r="CX679" s="62"/>
      <c r="CY679" s="62"/>
      <c r="CZ679" s="62"/>
      <c r="DA679" s="62"/>
      <c r="DB679" s="62"/>
      <c r="DC679" s="62"/>
      <c r="DD679" s="62"/>
      <c r="DE679" s="62"/>
      <c r="DF679" s="62"/>
      <c r="DG679" s="62"/>
      <c r="DH679" s="62"/>
      <c r="DI679" s="62"/>
      <c r="DJ679" s="62"/>
      <c r="DK679" s="62"/>
      <c r="DL679" s="62"/>
      <c r="DM679" s="62"/>
      <c r="DN679" s="62"/>
      <c r="DO679" s="62"/>
      <c r="DP679" s="62"/>
      <c r="DQ679" s="62"/>
      <c r="DR679" s="62"/>
      <c r="DS679" s="62"/>
      <c r="DT679" s="62"/>
      <c r="DU679" s="62"/>
      <c r="DV679" s="62"/>
      <c r="DW679" s="62"/>
      <c r="DX679" s="62"/>
      <c r="DY679" s="62"/>
      <c r="DZ679" s="62"/>
      <c r="EA679" s="62"/>
      <c r="EB679" s="62"/>
      <c r="EC679" s="62"/>
      <c r="ED679" s="62"/>
      <c r="EE679" s="62"/>
      <c r="EF679" s="62"/>
      <c r="EG679" s="62"/>
      <c r="EH679" s="62"/>
      <c r="EI679" s="62"/>
      <c r="EJ679" s="62"/>
      <c r="EK679" s="62"/>
      <c r="EL679" s="62"/>
      <c r="EM679" s="62"/>
      <c r="EN679" s="62"/>
      <c r="EO679" s="62"/>
      <c r="EP679" s="62"/>
      <c r="EQ679" s="62"/>
      <c r="ER679" s="62"/>
      <c r="ES679" s="62"/>
      <c r="ET679" s="62"/>
      <c r="EU679" s="62"/>
      <c r="EV679" s="62"/>
      <c r="EW679" s="62"/>
      <c r="EX679" s="62"/>
      <c r="EY679" s="62"/>
      <c r="EZ679" s="62"/>
      <c r="FA679" s="62"/>
      <c r="FB679" s="62"/>
      <c r="FC679" s="62"/>
      <c r="FD679" s="62"/>
      <c r="FE679" s="62"/>
      <c r="FF679" s="62"/>
      <c r="FG679" s="62"/>
      <c r="FH679" s="62"/>
      <c r="FI679" s="62"/>
      <c r="FJ679" s="62"/>
      <c r="FK679" s="62"/>
      <c r="FL679" s="62"/>
      <c r="FM679" s="62"/>
      <c r="FN679" s="62"/>
      <c r="FO679" s="62"/>
      <c r="FP679" s="62"/>
      <c r="FQ679" s="62"/>
      <c r="FR679" s="62"/>
      <c r="FS679" s="62"/>
      <c r="FT679" s="62"/>
      <c r="FU679" s="62"/>
      <c r="FV679" s="62"/>
    </row>
    <row r="680" spans="1:178" ht="13.8">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62"/>
      <c r="AZ680" s="62"/>
      <c r="BA680" s="62"/>
      <c r="BB680" s="62"/>
      <c r="BC680" s="62"/>
      <c r="BD680" s="62"/>
      <c r="BE680" s="62"/>
      <c r="BF680" s="62"/>
      <c r="BG680" s="62"/>
      <c r="BH680" s="62"/>
      <c r="BI680" s="62"/>
      <c r="BJ680" s="62"/>
      <c r="BK680" s="62"/>
      <c r="BL680" s="62"/>
      <c r="BM680" s="62"/>
      <c r="BN680" s="62"/>
      <c r="BO680" s="62"/>
      <c r="BP680" s="62"/>
      <c r="BQ680" s="62"/>
      <c r="BR680" s="62"/>
      <c r="BS680" s="62"/>
      <c r="BT680" s="62"/>
      <c r="BU680" s="62"/>
      <c r="BV680" s="62"/>
      <c r="BW680" s="62"/>
      <c r="BX680" s="62"/>
      <c r="BY680" s="62"/>
      <c r="BZ680" s="62"/>
      <c r="CA680" s="62"/>
      <c r="CB680" s="62"/>
      <c r="CC680" s="62"/>
      <c r="CD680" s="62"/>
      <c r="CE680" s="62"/>
      <c r="CF680" s="62"/>
      <c r="CG680" s="62"/>
      <c r="CH680" s="62"/>
      <c r="CI680" s="62"/>
      <c r="CJ680" s="62"/>
      <c r="CK680" s="62"/>
      <c r="CL680" s="62"/>
      <c r="CM680" s="62"/>
      <c r="CN680" s="62"/>
      <c r="CO680" s="62"/>
      <c r="CP680" s="62"/>
      <c r="CQ680" s="62"/>
      <c r="CR680" s="62"/>
      <c r="CS680" s="62"/>
      <c r="CT680" s="62"/>
      <c r="CU680" s="62"/>
      <c r="CV680" s="62"/>
      <c r="CW680" s="62"/>
      <c r="CX680" s="62"/>
      <c r="CY680" s="62"/>
      <c r="CZ680" s="62"/>
      <c r="DA680" s="62"/>
      <c r="DB680" s="62"/>
      <c r="DC680" s="62"/>
      <c r="DD680" s="62"/>
      <c r="DE680" s="62"/>
      <c r="DF680" s="62"/>
      <c r="DG680" s="62"/>
      <c r="DH680" s="62"/>
      <c r="DI680" s="62"/>
      <c r="DJ680" s="62"/>
      <c r="DK680" s="62"/>
      <c r="DL680" s="62"/>
      <c r="DM680" s="62"/>
      <c r="DN680" s="62"/>
      <c r="DO680" s="62"/>
      <c r="DP680" s="62"/>
      <c r="DQ680" s="62"/>
      <c r="DR680" s="62"/>
      <c r="DS680" s="62"/>
      <c r="DT680" s="62"/>
      <c r="DU680" s="62"/>
      <c r="DV680" s="62"/>
      <c r="DW680" s="62"/>
      <c r="DX680" s="62"/>
      <c r="DY680" s="62"/>
      <c r="DZ680" s="62"/>
      <c r="EA680" s="62"/>
      <c r="EB680" s="62"/>
      <c r="EC680" s="62"/>
      <c r="ED680" s="62"/>
      <c r="EE680" s="62"/>
      <c r="EF680" s="62"/>
      <c r="EG680" s="62"/>
      <c r="EH680" s="62"/>
      <c r="EI680" s="62"/>
      <c r="EJ680" s="62"/>
      <c r="EK680" s="62"/>
      <c r="EL680" s="62"/>
      <c r="EM680" s="62"/>
      <c r="EN680" s="62"/>
      <c r="EO680" s="62"/>
      <c r="EP680" s="62"/>
      <c r="EQ680" s="62"/>
      <c r="ER680" s="62"/>
      <c r="ES680" s="62"/>
      <c r="ET680" s="62"/>
      <c r="EU680" s="62"/>
      <c r="EV680" s="62"/>
      <c r="EW680" s="62"/>
      <c r="EX680" s="62"/>
      <c r="EY680" s="62"/>
      <c r="EZ680" s="62"/>
      <c r="FA680" s="62"/>
      <c r="FB680" s="62"/>
      <c r="FC680" s="62"/>
      <c r="FD680" s="62"/>
      <c r="FE680" s="62"/>
      <c r="FF680" s="62"/>
      <c r="FG680" s="62"/>
      <c r="FH680" s="62"/>
      <c r="FI680" s="62"/>
      <c r="FJ680" s="62"/>
      <c r="FK680" s="62"/>
      <c r="FL680" s="62"/>
      <c r="FM680" s="62"/>
      <c r="FN680" s="62"/>
      <c r="FO680" s="62"/>
      <c r="FP680" s="62"/>
      <c r="FQ680" s="62"/>
      <c r="FR680" s="62"/>
      <c r="FS680" s="62"/>
      <c r="FT680" s="62"/>
      <c r="FU680" s="62"/>
      <c r="FV680" s="62"/>
    </row>
    <row r="681" spans="1:178" ht="13.8">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c r="AY681" s="62"/>
      <c r="AZ681" s="62"/>
      <c r="BA681" s="62"/>
      <c r="BB681" s="62"/>
      <c r="BC681" s="62"/>
      <c r="BD681" s="62"/>
      <c r="BE681" s="62"/>
      <c r="BF681" s="62"/>
      <c r="BG681" s="62"/>
      <c r="BH681" s="62"/>
      <c r="BI681" s="62"/>
      <c r="BJ681" s="62"/>
      <c r="BK681" s="62"/>
      <c r="BL681" s="62"/>
      <c r="BM681" s="62"/>
      <c r="BN681" s="62"/>
      <c r="BO681" s="62"/>
      <c r="BP681" s="62"/>
      <c r="BQ681" s="62"/>
      <c r="BR681" s="62"/>
      <c r="BS681" s="62"/>
      <c r="BT681" s="62"/>
      <c r="BU681" s="62"/>
      <c r="BV681" s="62"/>
      <c r="BW681" s="62"/>
      <c r="BX681" s="62"/>
      <c r="BY681" s="62"/>
      <c r="BZ681" s="62"/>
      <c r="CA681" s="62"/>
      <c r="CB681" s="62"/>
      <c r="CC681" s="62"/>
      <c r="CD681" s="62"/>
      <c r="CE681" s="62"/>
      <c r="CF681" s="62"/>
      <c r="CG681" s="62"/>
      <c r="CH681" s="62"/>
      <c r="CI681" s="62"/>
      <c r="CJ681" s="62"/>
      <c r="CK681" s="62"/>
      <c r="CL681" s="62"/>
      <c r="CM681" s="62"/>
      <c r="CN681" s="62"/>
      <c r="CO681" s="62"/>
      <c r="CP681" s="62"/>
      <c r="CQ681" s="62"/>
      <c r="CR681" s="62"/>
      <c r="CS681" s="62"/>
      <c r="CT681" s="62"/>
      <c r="CU681" s="62"/>
      <c r="CV681" s="62"/>
      <c r="CW681" s="62"/>
      <c r="CX681" s="62"/>
      <c r="CY681" s="62"/>
      <c r="CZ681" s="62"/>
      <c r="DA681" s="62"/>
      <c r="DB681" s="62"/>
      <c r="DC681" s="62"/>
      <c r="DD681" s="62"/>
      <c r="DE681" s="62"/>
      <c r="DF681" s="62"/>
      <c r="DG681" s="62"/>
      <c r="DH681" s="62"/>
      <c r="DI681" s="62"/>
      <c r="DJ681" s="62"/>
      <c r="DK681" s="62"/>
      <c r="DL681" s="62"/>
      <c r="DM681" s="62"/>
      <c r="DN681" s="62"/>
      <c r="DO681" s="62"/>
      <c r="DP681" s="62"/>
      <c r="DQ681" s="62"/>
      <c r="DR681" s="62"/>
      <c r="DS681" s="62"/>
      <c r="DT681" s="62"/>
      <c r="DU681" s="62"/>
      <c r="DV681" s="62"/>
      <c r="DW681" s="62"/>
      <c r="DX681" s="62"/>
      <c r="DY681" s="62"/>
      <c r="DZ681" s="62"/>
      <c r="EA681" s="62"/>
      <c r="EB681" s="62"/>
      <c r="EC681" s="62"/>
      <c r="ED681" s="62"/>
      <c r="EE681" s="62"/>
      <c r="EF681" s="62"/>
      <c r="EG681" s="62"/>
      <c r="EH681" s="62"/>
      <c r="EI681" s="62"/>
      <c r="EJ681" s="62"/>
      <c r="EK681" s="62"/>
      <c r="EL681" s="62"/>
      <c r="EM681" s="62"/>
      <c r="EN681" s="62"/>
      <c r="EO681" s="62"/>
      <c r="EP681" s="62"/>
      <c r="EQ681" s="62"/>
      <c r="ER681" s="62"/>
      <c r="ES681" s="62"/>
      <c r="ET681" s="62"/>
      <c r="EU681" s="62"/>
      <c r="EV681" s="62"/>
      <c r="EW681" s="62"/>
      <c r="EX681" s="62"/>
      <c r="EY681" s="62"/>
      <c r="EZ681" s="62"/>
      <c r="FA681" s="62"/>
      <c r="FB681" s="62"/>
      <c r="FC681" s="62"/>
      <c r="FD681" s="62"/>
      <c r="FE681" s="62"/>
      <c r="FF681" s="62"/>
      <c r="FG681" s="62"/>
      <c r="FH681" s="62"/>
      <c r="FI681" s="62"/>
      <c r="FJ681" s="62"/>
      <c r="FK681" s="62"/>
      <c r="FL681" s="62"/>
      <c r="FM681" s="62"/>
      <c r="FN681" s="62"/>
      <c r="FO681" s="62"/>
      <c r="FP681" s="62"/>
      <c r="FQ681" s="62"/>
      <c r="FR681" s="62"/>
      <c r="FS681" s="62"/>
      <c r="FT681" s="62"/>
      <c r="FU681" s="62"/>
      <c r="FV681" s="62"/>
    </row>
    <row r="682" spans="1:178" ht="13.8">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c r="AY682" s="62"/>
      <c r="AZ682" s="62"/>
      <c r="BA682" s="62"/>
      <c r="BB682" s="62"/>
      <c r="BC682" s="62"/>
      <c r="BD682" s="62"/>
      <c r="BE682" s="62"/>
      <c r="BF682" s="62"/>
      <c r="BG682" s="62"/>
      <c r="BH682" s="62"/>
      <c r="BI682" s="62"/>
      <c r="BJ682" s="62"/>
      <c r="BK682" s="62"/>
      <c r="BL682" s="62"/>
      <c r="BM682" s="62"/>
      <c r="BN682" s="62"/>
      <c r="BO682" s="62"/>
      <c r="BP682" s="62"/>
      <c r="BQ682" s="62"/>
      <c r="BR682" s="62"/>
      <c r="BS682" s="62"/>
      <c r="BT682" s="62"/>
      <c r="BU682" s="62"/>
      <c r="BV682" s="62"/>
      <c r="BW682" s="62"/>
      <c r="BX682" s="62"/>
      <c r="BY682" s="62"/>
      <c r="BZ682" s="62"/>
      <c r="CA682" s="62"/>
      <c r="CB682" s="62"/>
      <c r="CC682" s="62"/>
      <c r="CD682" s="62"/>
      <c r="CE682" s="62"/>
      <c r="CF682" s="62"/>
      <c r="CG682" s="62"/>
      <c r="CH682" s="62"/>
      <c r="CI682" s="62"/>
      <c r="CJ682" s="62"/>
      <c r="CK682" s="62"/>
      <c r="CL682" s="62"/>
      <c r="CM682" s="62"/>
      <c r="CN682" s="62"/>
      <c r="CO682" s="62"/>
      <c r="CP682" s="62"/>
      <c r="CQ682" s="62"/>
      <c r="CR682" s="62"/>
      <c r="CS682" s="62"/>
      <c r="CT682" s="62"/>
      <c r="CU682" s="62"/>
      <c r="CV682" s="62"/>
      <c r="CW682" s="62"/>
      <c r="CX682" s="62"/>
      <c r="CY682" s="62"/>
      <c r="CZ682" s="62"/>
      <c r="DA682" s="62"/>
      <c r="DB682" s="62"/>
      <c r="DC682" s="62"/>
      <c r="DD682" s="62"/>
      <c r="DE682" s="62"/>
      <c r="DF682" s="62"/>
      <c r="DG682" s="62"/>
      <c r="DH682" s="62"/>
      <c r="DI682" s="62"/>
      <c r="DJ682" s="62"/>
      <c r="DK682" s="62"/>
      <c r="DL682" s="62"/>
      <c r="DM682" s="62"/>
      <c r="DN682" s="62"/>
      <c r="DO682" s="62"/>
      <c r="DP682" s="62"/>
      <c r="DQ682" s="62"/>
      <c r="DR682" s="62"/>
      <c r="DS682" s="62"/>
      <c r="DT682" s="62"/>
      <c r="DU682" s="62"/>
      <c r="DV682" s="62"/>
      <c r="DW682" s="62"/>
      <c r="DX682" s="62"/>
      <c r="DY682" s="62"/>
      <c r="DZ682" s="62"/>
      <c r="EA682" s="62"/>
      <c r="EB682" s="62"/>
      <c r="EC682" s="62"/>
      <c r="ED682" s="62"/>
      <c r="EE682" s="62"/>
      <c r="EF682" s="62"/>
      <c r="EG682" s="62"/>
      <c r="EH682" s="62"/>
      <c r="EI682" s="62"/>
      <c r="EJ682" s="62"/>
      <c r="EK682" s="62"/>
      <c r="EL682" s="62"/>
      <c r="EM682" s="62"/>
      <c r="EN682" s="62"/>
      <c r="EO682" s="62"/>
      <c r="EP682" s="62"/>
      <c r="EQ682" s="62"/>
      <c r="ER682" s="62"/>
      <c r="ES682" s="62"/>
      <c r="ET682" s="62"/>
      <c r="EU682" s="62"/>
      <c r="EV682" s="62"/>
      <c r="EW682" s="62"/>
      <c r="EX682" s="62"/>
      <c r="EY682" s="62"/>
      <c r="EZ682" s="62"/>
      <c r="FA682" s="62"/>
      <c r="FB682" s="62"/>
      <c r="FC682" s="62"/>
      <c r="FD682" s="62"/>
      <c r="FE682" s="62"/>
      <c r="FF682" s="62"/>
      <c r="FG682" s="62"/>
      <c r="FH682" s="62"/>
      <c r="FI682" s="62"/>
      <c r="FJ682" s="62"/>
      <c r="FK682" s="62"/>
      <c r="FL682" s="62"/>
      <c r="FM682" s="62"/>
      <c r="FN682" s="62"/>
      <c r="FO682" s="62"/>
      <c r="FP682" s="62"/>
      <c r="FQ682" s="62"/>
      <c r="FR682" s="62"/>
      <c r="FS682" s="62"/>
      <c r="FT682" s="62"/>
      <c r="FU682" s="62"/>
      <c r="FV682" s="62"/>
    </row>
    <row r="683" spans="1:178" ht="13.8">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c r="AY683" s="62"/>
      <c r="AZ683" s="62"/>
      <c r="BA683" s="62"/>
      <c r="BB683" s="62"/>
      <c r="BC683" s="62"/>
      <c r="BD683" s="62"/>
      <c r="BE683" s="62"/>
      <c r="BF683" s="62"/>
      <c r="BG683" s="62"/>
      <c r="BH683" s="62"/>
      <c r="BI683" s="62"/>
      <c r="BJ683" s="62"/>
      <c r="BK683" s="62"/>
      <c r="BL683" s="62"/>
      <c r="BM683" s="62"/>
      <c r="BN683" s="62"/>
      <c r="BO683" s="62"/>
      <c r="BP683" s="62"/>
      <c r="BQ683" s="62"/>
      <c r="BR683" s="62"/>
      <c r="BS683" s="62"/>
      <c r="BT683" s="62"/>
      <c r="BU683" s="62"/>
      <c r="BV683" s="62"/>
      <c r="BW683" s="62"/>
      <c r="BX683" s="62"/>
      <c r="BY683" s="62"/>
      <c r="BZ683" s="62"/>
      <c r="CA683" s="62"/>
      <c r="CB683" s="62"/>
      <c r="CC683" s="62"/>
      <c r="CD683" s="62"/>
      <c r="CE683" s="62"/>
      <c r="CF683" s="62"/>
      <c r="CG683" s="62"/>
      <c r="CH683" s="62"/>
      <c r="CI683" s="62"/>
      <c r="CJ683" s="62"/>
      <c r="CK683" s="62"/>
      <c r="CL683" s="62"/>
      <c r="CM683" s="62"/>
      <c r="CN683" s="62"/>
      <c r="CO683" s="62"/>
      <c r="CP683" s="62"/>
      <c r="CQ683" s="62"/>
      <c r="CR683" s="62"/>
      <c r="CS683" s="62"/>
      <c r="CT683" s="62"/>
      <c r="CU683" s="62"/>
      <c r="CV683" s="62"/>
      <c r="CW683" s="62"/>
      <c r="CX683" s="62"/>
      <c r="CY683" s="62"/>
      <c r="CZ683" s="62"/>
      <c r="DA683" s="62"/>
      <c r="DB683" s="62"/>
      <c r="DC683" s="62"/>
      <c r="DD683" s="62"/>
      <c r="DE683" s="62"/>
      <c r="DF683" s="62"/>
      <c r="DG683" s="62"/>
      <c r="DH683" s="62"/>
      <c r="DI683" s="62"/>
      <c r="DJ683" s="62"/>
      <c r="DK683" s="62"/>
      <c r="DL683" s="62"/>
      <c r="DM683" s="62"/>
      <c r="DN683" s="62"/>
      <c r="DO683" s="62"/>
      <c r="DP683" s="62"/>
      <c r="DQ683" s="62"/>
      <c r="DR683" s="62"/>
      <c r="DS683" s="62"/>
      <c r="DT683" s="62"/>
      <c r="DU683" s="62"/>
      <c r="DV683" s="62"/>
      <c r="DW683" s="62"/>
      <c r="DX683" s="62"/>
      <c r="DY683" s="62"/>
      <c r="DZ683" s="62"/>
      <c r="EA683" s="62"/>
      <c r="EB683" s="62"/>
      <c r="EC683" s="62"/>
      <c r="ED683" s="62"/>
      <c r="EE683" s="62"/>
      <c r="EF683" s="62"/>
      <c r="EG683" s="62"/>
      <c r="EH683" s="62"/>
      <c r="EI683" s="62"/>
      <c r="EJ683" s="62"/>
      <c r="EK683" s="62"/>
      <c r="EL683" s="62"/>
      <c r="EM683" s="62"/>
      <c r="EN683" s="62"/>
      <c r="EO683" s="62"/>
      <c r="EP683" s="62"/>
      <c r="EQ683" s="62"/>
      <c r="ER683" s="62"/>
      <c r="ES683" s="62"/>
      <c r="ET683" s="62"/>
      <c r="EU683" s="62"/>
      <c r="EV683" s="62"/>
      <c r="EW683" s="62"/>
      <c r="EX683" s="62"/>
      <c r="EY683" s="62"/>
      <c r="EZ683" s="62"/>
      <c r="FA683" s="62"/>
      <c r="FB683" s="62"/>
      <c r="FC683" s="62"/>
      <c r="FD683" s="62"/>
      <c r="FE683" s="62"/>
      <c r="FF683" s="62"/>
      <c r="FG683" s="62"/>
      <c r="FH683" s="62"/>
      <c r="FI683" s="62"/>
      <c r="FJ683" s="62"/>
      <c r="FK683" s="62"/>
      <c r="FL683" s="62"/>
      <c r="FM683" s="62"/>
      <c r="FN683" s="62"/>
      <c r="FO683" s="62"/>
      <c r="FP683" s="62"/>
      <c r="FQ683" s="62"/>
      <c r="FR683" s="62"/>
      <c r="FS683" s="62"/>
      <c r="FT683" s="62"/>
      <c r="FU683" s="62"/>
      <c r="FV683" s="62"/>
    </row>
    <row r="684" spans="1:178" ht="13.8">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c r="AY684" s="62"/>
      <c r="AZ684" s="62"/>
      <c r="BA684" s="62"/>
      <c r="BB684" s="62"/>
      <c r="BC684" s="62"/>
      <c r="BD684" s="62"/>
      <c r="BE684" s="62"/>
      <c r="BF684" s="62"/>
      <c r="BG684" s="62"/>
      <c r="BH684" s="62"/>
      <c r="BI684" s="62"/>
      <c r="BJ684" s="62"/>
      <c r="BK684" s="62"/>
      <c r="BL684" s="62"/>
      <c r="BM684" s="62"/>
      <c r="BN684" s="62"/>
      <c r="BO684" s="62"/>
      <c r="BP684" s="62"/>
      <c r="BQ684" s="62"/>
      <c r="BR684" s="62"/>
      <c r="BS684" s="62"/>
      <c r="BT684" s="62"/>
      <c r="BU684" s="62"/>
      <c r="BV684" s="62"/>
      <c r="BW684" s="62"/>
      <c r="BX684" s="62"/>
      <c r="BY684" s="62"/>
      <c r="BZ684" s="62"/>
      <c r="CA684" s="62"/>
      <c r="CB684" s="62"/>
      <c r="CC684" s="62"/>
      <c r="CD684" s="62"/>
      <c r="CE684" s="62"/>
      <c r="CF684" s="62"/>
      <c r="CG684" s="62"/>
      <c r="CH684" s="62"/>
      <c r="CI684" s="62"/>
      <c r="CJ684" s="62"/>
      <c r="CK684" s="62"/>
      <c r="CL684" s="62"/>
      <c r="CM684" s="62"/>
      <c r="CN684" s="62"/>
      <c r="CO684" s="62"/>
      <c r="CP684" s="62"/>
      <c r="CQ684" s="62"/>
      <c r="CR684" s="62"/>
      <c r="CS684" s="62"/>
      <c r="CT684" s="62"/>
      <c r="CU684" s="62"/>
      <c r="CV684" s="62"/>
      <c r="CW684" s="62"/>
      <c r="CX684" s="62"/>
      <c r="CY684" s="62"/>
      <c r="CZ684" s="62"/>
      <c r="DA684" s="62"/>
      <c r="DB684" s="62"/>
      <c r="DC684" s="62"/>
      <c r="DD684" s="62"/>
      <c r="DE684" s="62"/>
      <c r="DF684" s="62"/>
      <c r="DG684" s="62"/>
      <c r="DH684" s="62"/>
      <c r="DI684" s="62"/>
      <c r="DJ684" s="62"/>
      <c r="DK684" s="62"/>
      <c r="DL684" s="62"/>
      <c r="DM684" s="62"/>
      <c r="DN684" s="62"/>
      <c r="DO684" s="62"/>
      <c r="DP684" s="62"/>
      <c r="DQ684" s="62"/>
      <c r="DR684" s="62"/>
      <c r="DS684" s="62"/>
      <c r="DT684" s="62"/>
      <c r="DU684" s="62"/>
      <c r="DV684" s="62"/>
      <c r="DW684" s="62"/>
      <c r="DX684" s="62"/>
      <c r="DY684" s="62"/>
      <c r="DZ684" s="62"/>
      <c r="EA684" s="62"/>
      <c r="EB684" s="62"/>
      <c r="EC684" s="62"/>
      <c r="ED684" s="62"/>
      <c r="EE684" s="62"/>
      <c r="EF684" s="62"/>
      <c r="EG684" s="62"/>
      <c r="EH684" s="62"/>
      <c r="EI684" s="62"/>
      <c r="EJ684" s="62"/>
      <c r="EK684" s="62"/>
      <c r="EL684" s="62"/>
      <c r="EM684" s="62"/>
      <c r="EN684" s="62"/>
      <c r="EO684" s="62"/>
      <c r="EP684" s="62"/>
      <c r="EQ684" s="62"/>
      <c r="ER684" s="62"/>
      <c r="ES684" s="62"/>
      <c r="ET684" s="62"/>
      <c r="EU684" s="62"/>
      <c r="EV684" s="62"/>
      <c r="EW684" s="62"/>
      <c r="EX684" s="62"/>
      <c r="EY684" s="62"/>
      <c r="EZ684" s="62"/>
      <c r="FA684" s="62"/>
      <c r="FB684" s="62"/>
      <c r="FC684" s="62"/>
      <c r="FD684" s="62"/>
      <c r="FE684" s="62"/>
      <c r="FF684" s="62"/>
      <c r="FG684" s="62"/>
      <c r="FH684" s="62"/>
      <c r="FI684" s="62"/>
      <c r="FJ684" s="62"/>
      <c r="FK684" s="62"/>
      <c r="FL684" s="62"/>
      <c r="FM684" s="62"/>
      <c r="FN684" s="62"/>
      <c r="FO684" s="62"/>
      <c r="FP684" s="62"/>
      <c r="FQ684" s="62"/>
      <c r="FR684" s="62"/>
      <c r="FS684" s="62"/>
      <c r="FT684" s="62"/>
      <c r="FU684" s="62"/>
      <c r="FV684" s="62"/>
    </row>
    <row r="685" spans="1:178" ht="13.8">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c r="AY685" s="62"/>
      <c r="AZ685" s="62"/>
      <c r="BA685" s="62"/>
      <c r="BB685" s="62"/>
      <c r="BC685" s="62"/>
      <c r="BD685" s="62"/>
      <c r="BE685" s="62"/>
      <c r="BF685" s="62"/>
      <c r="BG685" s="62"/>
      <c r="BH685" s="62"/>
      <c r="BI685" s="62"/>
      <c r="BJ685" s="62"/>
      <c r="BK685" s="62"/>
      <c r="BL685" s="62"/>
      <c r="BM685" s="62"/>
      <c r="BN685" s="62"/>
      <c r="BO685" s="62"/>
      <c r="BP685" s="62"/>
      <c r="BQ685" s="62"/>
      <c r="BR685" s="62"/>
      <c r="BS685" s="62"/>
      <c r="BT685" s="62"/>
      <c r="BU685" s="62"/>
      <c r="BV685" s="62"/>
      <c r="BW685" s="62"/>
      <c r="BX685" s="62"/>
      <c r="BY685" s="62"/>
      <c r="BZ685" s="62"/>
      <c r="CA685" s="62"/>
      <c r="CB685" s="62"/>
      <c r="CC685" s="62"/>
      <c r="CD685" s="62"/>
      <c r="CE685" s="62"/>
      <c r="CF685" s="62"/>
      <c r="CG685" s="62"/>
      <c r="CH685" s="62"/>
      <c r="CI685" s="62"/>
      <c r="CJ685" s="62"/>
      <c r="CK685" s="62"/>
      <c r="CL685" s="62"/>
      <c r="CM685" s="62"/>
      <c r="CN685" s="62"/>
      <c r="CO685" s="62"/>
      <c r="CP685" s="62"/>
      <c r="CQ685" s="62"/>
      <c r="CR685" s="62"/>
      <c r="CS685" s="62"/>
      <c r="CT685" s="62"/>
      <c r="CU685" s="62"/>
      <c r="CV685" s="62"/>
      <c r="CW685" s="62"/>
      <c r="CX685" s="62"/>
      <c r="CY685" s="62"/>
      <c r="CZ685" s="62"/>
      <c r="DA685" s="62"/>
      <c r="DB685" s="62"/>
      <c r="DC685" s="62"/>
      <c r="DD685" s="62"/>
      <c r="DE685" s="62"/>
      <c r="DF685" s="62"/>
      <c r="DG685" s="62"/>
      <c r="DH685" s="62"/>
      <c r="DI685" s="62"/>
      <c r="DJ685" s="62"/>
      <c r="DK685" s="62"/>
      <c r="DL685" s="62"/>
      <c r="DM685" s="62"/>
      <c r="DN685" s="62"/>
      <c r="DO685" s="62"/>
      <c r="DP685" s="62"/>
      <c r="DQ685" s="62"/>
      <c r="DR685" s="62"/>
      <c r="DS685" s="62"/>
      <c r="DT685" s="62"/>
      <c r="DU685" s="62"/>
      <c r="DV685" s="62"/>
      <c r="DW685" s="62"/>
      <c r="DX685" s="62"/>
      <c r="DY685" s="62"/>
      <c r="DZ685" s="62"/>
      <c r="EA685" s="62"/>
      <c r="EB685" s="62"/>
      <c r="EC685" s="62"/>
      <c r="ED685" s="62"/>
      <c r="EE685" s="62"/>
      <c r="EF685" s="62"/>
      <c r="EG685" s="62"/>
      <c r="EH685" s="62"/>
      <c r="EI685" s="62"/>
      <c r="EJ685" s="62"/>
      <c r="EK685" s="62"/>
      <c r="EL685" s="62"/>
      <c r="EM685" s="62"/>
      <c r="EN685" s="62"/>
      <c r="EO685" s="62"/>
      <c r="EP685" s="62"/>
      <c r="EQ685" s="62"/>
      <c r="ER685" s="62"/>
      <c r="ES685" s="62"/>
      <c r="ET685" s="62"/>
      <c r="EU685" s="62"/>
      <c r="EV685" s="62"/>
      <c r="EW685" s="62"/>
      <c r="EX685" s="62"/>
      <c r="EY685" s="62"/>
      <c r="EZ685" s="62"/>
      <c r="FA685" s="62"/>
      <c r="FB685" s="62"/>
      <c r="FC685" s="62"/>
      <c r="FD685" s="62"/>
      <c r="FE685" s="62"/>
      <c r="FF685" s="62"/>
      <c r="FG685" s="62"/>
      <c r="FH685" s="62"/>
      <c r="FI685" s="62"/>
      <c r="FJ685" s="62"/>
      <c r="FK685" s="62"/>
      <c r="FL685" s="62"/>
      <c r="FM685" s="62"/>
      <c r="FN685" s="62"/>
      <c r="FO685" s="62"/>
      <c r="FP685" s="62"/>
      <c r="FQ685" s="62"/>
      <c r="FR685" s="62"/>
      <c r="FS685" s="62"/>
      <c r="FT685" s="62"/>
      <c r="FU685" s="62"/>
      <c r="FV685" s="62"/>
    </row>
    <row r="686" spans="1:178" ht="13.8">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c r="AY686" s="62"/>
      <c r="AZ686" s="62"/>
      <c r="BA686" s="62"/>
      <c r="BB686" s="62"/>
      <c r="BC686" s="62"/>
      <c r="BD686" s="62"/>
      <c r="BE686" s="62"/>
      <c r="BF686" s="62"/>
      <c r="BG686" s="62"/>
      <c r="BH686" s="62"/>
      <c r="BI686" s="62"/>
      <c r="BJ686" s="62"/>
      <c r="BK686" s="62"/>
      <c r="BL686" s="62"/>
      <c r="BM686" s="62"/>
      <c r="BN686" s="62"/>
      <c r="BO686" s="62"/>
      <c r="BP686" s="62"/>
      <c r="BQ686" s="62"/>
      <c r="BR686" s="62"/>
      <c r="BS686" s="62"/>
      <c r="BT686" s="62"/>
      <c r="BU686" s="62"/>
      <c r="BV686" s="62"/>
      <c r="BW686" s="62"/>
      <c r="BX686" s="62"/>
      <c r="BY686" s="62"/>
      <c r="BZ686" s="62"/>
      <c r="CA686" s="62"/>
      <c r="CB686" s="62"/>
      <c r="CC686" s="62"/>
      <c r="CD686" s="62"/>
      <c r="CE686" s="62"/>
      <c r="CF686" s="62"/>
      <c r="CG686" s="62"/>
      <c r="CH686" s="62"/>
      <c r="CI686" s="62"/>
      <c r="CJ686" s="62"/>
      <c r="CK686" s="62"/>
      <c r="CL686" s="62"/>
      <c r="CM686" s="62"/>
      <c r="CN686" s="62"/>
      <c r="CO686" s="62"/>
      <c r="CP686" s="62"/>
      <c r="CQ686" s="62"/>
      <c r="CR686" s="62"/>
      <c r="CS686" s="62"/>
      <c r="CT686" s="62"/>
      <c r="CU686" s="62"/>
      <c r="CV686" s="62"/>
      <c r="CW686" s="62"/>
      <c r="CX686" s="62"/>
      <c r="CY686" s="62"/>
      <c r="CZ686" s="62"/>
      <c r="DA686" s="62"/>
      <c r="DB686" s="62"/>
      <c r="DC686" s="62"/>
      <c r="DD686" s="62"/>
      <c r="DE686" s="62"/>
      <c r="DF686" s="62"/>
      <c r="DG686" s="62"/>
      <c r="DH686" s="62"/>
      <c r="DI686" s="62"/>
      <c r="DJ686" s="62"/>
      <c r="DK686" s="62"/>
      <c r="DL686" s="62"/>
      <c r="DM686" s="62"/>
      <c r="DN686" s="62"/>
      <c r="DO686" s="62"/>
      <c r="DP686" s="62"/>
      <c r="DQ686" s="62"/>
      <c r="DR686" s="62"/>
      <c r="DS686" s="62"/>
      <c r="DT686" s="62"/>
      <c r="DU686" s="62"/>
      <c r="DV686" s="62"/>
      <c r="DW686" s="62"/>
      <c r="DX686" s="62"/>
      <c r="DY686" s="62"/>
      <c r="DZ686" s="62"/>
      <c r="EA686" s="62"/>
      <c r="EB686" s="62"/>
      <c r="EC686" s="62"/>
      <c r="ED686" s="62"/>
      <c r="EE686" s="62"/>
      <c r="EF686" s="62"/>
      <c r="EG686" s="62"/>
      <c r="EH686" s="62"/>
      <c r="EI686" s="62"/>
      <c r="EJ686" s="62"/>
      <c r="EK686" s="62"/>
      <c r="EL686" s="62"/>
      <c r="EM686" s="62"/>
      <c r="EN686" s="62"/>
      <c r="EO686" s="62"/>
      <c r="EP686" s="62"/>
      <c r="EQ686" s="62"/>
      <c r="ER686" s="62"/>
      <c r="ES686" s="62"/>
      <c r="ET686" s="62"/>
      <c r="EU686" s="62"/>
      <c r="EV686" s="62"/>
      <c r="EW686" s="62"/>
      <c r="EX686" s="62"/>
      <c r="EY686" s="62"/>
      <c r="EZ686" s="62"/>
      <c r="FA686" s="62"/>
      <c r="FB686" s="62"/>
      <c r="FC686" s="62"/>
      <c r="FD686" s="62"/>
      <c r="FE686" s="62"/>
      <c r="FF686" s="62"/>
      <c r="FG686" s="62"/>
      <c r="FH686" s="62"/>
      <c r="FI686" s="62"/>
      <c r="FJ686" s="62"/>
      <c r="FK686" s="62"/>
      <c r="FL686" s="62"/>
      <c r="FM686" s="62"/>
      <c r="FN686" s="62"/>
      <c r="FO686" s="62"/>
      <c r="FP686" s="62"/>
      <c r="FQ686" s="62"/>
      <c r="FR686" s="62"/>
      <c r="FS686" s="62"/>
      <c r="FT686" s="62"/>
      <c r="FU686" s="62"/>
      <c r="FV686" s="62"/>
    </row>
    <row r="687" spans="1:178" ht="13.8">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c r="AY687" s="62"/>
      <c r="AZ687" s="62"/>
      <c r="BA687" s="62"/>
      <c r="BB687" s="62"/>
      <c r="BC687" s="62"/>
      <c r="BD687" s="62"/>
      <c r="BE687" s="62"/>
      <c r="BF687" s="62"/>
      <c r="BG687" s="62"/>
      <c r="BH687" s="62"/>
      <c r="BI687" s="62"/>
      <c r="BJ687" s="62"/>
      <c r="BK687" s="62"/>
      <c r="BL687" s="62"/>
      <c r="BM687" s="62"/>
      <c r="BN687" s="62"/>
      <c r="BO687" s="62"/>
      <c r="BP687" s="62"/>
      <c r="BQ687" s="62"/>
      <c r="BR687" s="62"/>
      <c r="BS687" s="62"/>
      <c r="BT687" s="62"/>
      <c r="BU687" s="62"/>
      <c r="BV687" s="62"/>
      <c r="BW687" s="62"/>
      <c r="BX687" s="62"/>
      <c r="BY687" s="62"/>
      <c r="BZ687" s="62"/>
      <c r="CA687" s="62"/>
      <c r="CB687" s="62"/>
      <c r="CC687" s="62"/>
      <c r="CD687" s="62"/>
      <c r="CE687" s="62"/>
      <c r="CF687" s="62"/>
      <c r="CG687" s="62"/>
      <c r="CH687" s="62"/>
      <c r="CI687" s="62"/>
      <c r="CJ687" s="62"/>
      <c r="CK687" s="62"/>
      <c r="CL687" s="62"/>
      <c r="CM687" s="62"/>
      <c r="CN687" s="62"/>
      <c r="CO687" s="62"/>
      <c r="CP687" s="62"/>
      <c r="CQ687" s="62"/>
      <c r="CR687" s="62"/>
      <c r="CS687" s="62"/>
      <c r="CT687" s="62"/>
      <c r="CU687" s="62"/>
      <c r="CV687" s="62"/>
      <c r="CW687" s="62"/>
      <c r="CX687" s="62"/>
      <c r="CY687" s="62"/>
      <c r="CZ687" s="62"/>
      <c r="DA687" s="62"/>
      <c r="DB687" s="62"/>
      <c r="DC687" s="62"/>
      <c r="DD687" s="62"/>
      <c r="DE687" s="62"/>
      <c r="DF687" s="62"/>
      <c r="DG687" s="62"/>
      <c r="DH687" s="62"/>
      <c r="DI687" s="62"/>
      <c r="DJ687" s="62"/>
      <c r="DK687" s="62"/>
      <c r="DL687" s="62"/>
      <c r="DM687" s="62"/>
      <c r="DN687" s="62"/>
      <c r="DO687" s="62"/>
      <c r="DP687" s="62"/>
      <c r="DQ687" s="62"/>
      <c r="DR687" s="62"/>
      <c r="DS687" s="62"/>
      <c r="DT687" s="62"/>
      <c r="DU687" s="62"/>
      <c r="DV687" s="62"/>
      <c r="DW687" s="62"/>
      <c r="DX687" s="62"/>
      <c r="DY687" s="62"/>
      <c r="DZ687" s="62"/>
      <c r="EA687" s="62"/>
      <c r="EB687" s="62"/>
      <c r="EC687" s="62"/>
      <c r="ED687" s="62"/>
      <c r="EE687" s="62"/>
      <c r="EF687" s="62"/>
      <c r="EG687" s="62"/>
      <c r="EH687" s="62"/>
      <c r="EI687" s="62"/>
      <c r="EJ687" s="62"/>
      <c r="EK687" s="62"/>
      <c r="EL687" s="62"/>
      <c r="EM687" s="62"/>
      <c r="EN687" s="62"/>
      <c r="EO687" s="62"/>
      <c r="EP687" s="62"/>
      <c r="EQ687" s="62"/>
      <c r="ER687" s="62"/>
      <c r="ES687" s="62"/>
      <c r="ET687" s="62"/>
      <c r="EU687" s="62"/>
      <c r="EV687" s="62"/>
      <c r="EW687" s="62"/>
      <c r="EX687" s="62"/>
      <c r="EY687" s="62"/>
      <c r="EZ687" s="62"/>
      <c r="FA687" s="62"/>
      <c r="FB687" s="62"/>
      <c r="FC687" s="62"/>
      <c r="FD687" s="62"/>
      <c r="FE687" s="62"/>
      <c r="FF687" s="62"/>
      <c r="FG687" s="62"/>
      <c r="FH687" s="62"/>
      <c r="FI687" s="62"/>
      <c r="FJ687" s="62"/>
      <c r="FK687" s="62"/>
      <c r="FL687" s="62"/>
      <c r="FM687" s="62"/>
      <c r="FN687" s="62"/>
      <c r="FO687" s="62"/>
      <c r="FP687" s="62"/>
      <c r="FQ687" s="62"/>
      <c r="FR687" s="62"/>
      <c r="FS687" s="62"/>
      <c r="FT687" s="62"/>
      <c r="FU687" s="62"/>
      <c r="FV687" s="62"/>
    </row>
    <row r="688" spans="1:178" ht="13.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62"/>
      <c r="AZ688" s="62"/>
      <c r="BA688" s="62"/>
      <c r="BB688" s="62"/>
      <c r="BC688" s="62"/>
      <c r="BD688" s="62"/>
      <c r="BE688" s="62"/>
      <c r="BF688" s="62"/>
      <c r="BG688" s="62"/>
      <c r="BH688" s="62"/>
      <c r="BI688" s="62"/>
      <c r="BJ688" s="62"/>
      <c r="BK688" s="62"/>
      <c r="BL688" s="62"/>
      <c r="BM688" s="62"/>
      <c r="BN688" s="62"/>
      <c r="BO688" s="62"/>
      <c r="BP688" s="62"/>
      <c r="BQ688" s="62"/>
      <c r="BR688" s="62"/>
      <c r="BS688" s="62"/>
      <c r="BT688" s="62"/>
      <c r="BU688" s="62"/>
      <c r="BV688" s="62"/>
      <c r="BW688" s="62"/>
      <c r="BX688" s="62"/>
      <c r="BY688" s="62"/>
      <c r="BZ688" s="62"/>
      <c r="CA688" s="62"/>
      <c r="CB688" s="62"/>
      <c r="CC688" s="62"/>
      <c r="CD688" s="62"/>
      <c r="CE688" s="62"/>
      <c r="CF688" s="62"/>
      <c r="CG688" s="62"/>
      <c r="CH688" s="62"/>
      <c r="CI688" s="62"/>
      <c r="CJ688" s="62"/>
      <c r="CK688" s="62"/>
      <c r="CL688" s="62"/>
      <c r="CM688" s="62"/>
      <c r="CN688" s="62"/>
      <c r="CO688" s="62"/>
      <c r="CP688" s="62"/>
      <c r="CQ688" s="62"/>
      <c r="CR688" s="62"/>
      <c r="CS688" s="62"/>
      <c r="CT688" s="62"/>
      <c r="CU688" s="62"/>
      <c r="CV688" s="62"/>
      <c r="CW688" s="62"/>
      <c r="CX688" s="62"/>
      <c r="CY688" s="62"/>
      <c r="CZ688" s="62"/>
      <c r="DA688" s="62"/>
      <c r="DB688" s="62"/>
      <c r="DC688" s="62"/>
      <c r="DD688" s="62"/>
      <c r="DE688" s="62"/>
      <c r="DF688" s="62"/>
      <c r="DG688" s="62"/>
      <c r="DH688" s="62"/>
      <c r="DI688" s="62"/>
      <c r="DJ688" s="62"/>
      <c r="DK688" s="62"/>
      <c r="DL688" s="62"/>
      <c r="DM688" s="62"/>
      <c r="DN688" s="62"/>
      <c r="DO688" s="62"/>
      <c r="DP688" s="62"/>
      <c r="DQ688" s="62"/>
      <c r="DR688" s="62"/>
      <c r="DS688" s="62"/>
      <c r="DT688" s="62"/>
      <c r="DU688" s="62"/>
      <c r="DV688" s="62"/>
      <c r="DW688" s="62"/>
      <c r="DX688" s="62"/>
      <c r="DY688" s="62"/>
      <c r="DZ688" s="62"/>
      <c r="EA688" s="62"/>
      <c r="EB688" s="62"/>
      <c r="EC688" s="62"/>
      <c r="ED688" s="62"/>
      <c r="EE688" s="62"/>
      <c r="EF688" s="62"/>
      <c r="EG688" s="62"/>
      <c r="EH688" s="62"/>
      <c r="EI688" s="62"/>
      <c r="EJ688" s="62"/>
      <c r="EK688" s="62"/>
      <c r="EL688" s="62"/>
      <c r="EM688" s="62"/>
      <c r="EN688" s="62"/>
      <c r="EO688" s="62"/>
      <c r="EP688" s="62"/>
      <c r="EQ688" s="62"/>
      <c r="ER688" s="62"/>
      <c r="ES688" s="62"/>
      <c r="ET688" s="62"/>
      <c r="EU688" s="62"/>
      <c r="EV688" s="62"/>
      <c r="EW688" s="62"/>
      <c r="EX688" s="62"/>
      <c r="EY688" s="62"/>
      <c r="EZ688" s="62"/>
      <c r="FA688" s="62"/>
      <c r="FB688" s="62"/>
      <c r="FC688" s="62"/>
      <c r="FD688" s="62"/>
      <c r="FE688" s="62"/>
      <c r="FF688" s="62"/>
      <c r="FG688" s="62"/>
      <c r="FH688" s="62"/>
      <c r="FI688" s="62"/>
      <c r="FJ688" s="62"/>
      <c r="FK688" s="62"/>
      <c r="FL688" s="62"/>
      <c r="FM688" s="62"/>
      <c r="FN688" s="62"/>
      <c r="FO688" s="62"/>
      <c r="FP688" s="62"/>
      <c r="FQ688" s="62"/>
      <c r="FR688" s="62"/>
      <c r="FS688" s="62"/>
      <c r="FT688" s="62"/>
      <c r="FU688" s="62"/>
      <c r="FV688" s="62"/>
    </row>
    <row r="689" spans="1:178" ht="13.8">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c r="AY689" s="62"/>
      <c r="AZ689" s="62"/>
      <c r="BA689" s="62"/>
      <c r="BB689" s="62"/>
      <c r="BC689" s="62"/>
      <c r="BD689" s="62"/>
      <c r="BE689" s="62"/>
      <c r="BF689" s="62"/>
      <c r="BG689" s="62"/>
      <c r="BH689" s="62"/>
      <c r="BI689" s="62"/>
      <c r="BJ689" s="62"/>
      <c r="BK689" s="62"/>
      <c r="BL689" s="62"/>
      <c r="BM689" s="62"/>
      <c r="BN689" s="62"/>
      <c r="BO689" s="62"/>
      <c r="BP689" s="62"/>
      <c r="BQ689" s="62"/>
      <c r="BR689" s="62"/>
      <c r="BS689" s="62"/>
      <c r="BT689" s="62"/>
      <c r="BU689" s="62"/>
      <c r="BV689" s="62"/>
      <c r="BW689" s="62"/>
      <c r="BX689" s="62"/>
      <c r="BY689" s="62"/>
      <c r="BZ689" s="62"/>
      <c r="CA689" s="62"/>
      <c r="CB689" s="62"/>
      <c r="CC689" s="62"/>
      <c r="CD689" s="62"/>
      <c r="CE689" s="62"/>
      <c r="CF689" s="62"/>
      <c r="CG689" s="62"/>
      <c r="CH689" s="62"/>
      <c r="CI689" s="62"/>
      <c r="CJ689" s="62"/>
      <c r="CK689" s="62"/>
      <c r="CL689" s="62"/>
      <c r="CM689" s="62"/>
      <c r="CN689" s="62"/>
      <c r="CO689" s="62"/>
      <c r="CP689" s="62"/>
      <c r="CQ689" s="62"/>
      <c r="CR689" s="62"/>
      <c r="CS689" s="62"/>
      <c r="CT689" s="62"/>
      <c r="CU689" s="62"/>
      <c r="CV689" s="62"/>
      <c r="CW689" s="62"/>
      <c r="CX689" s="62"/>
      <c r="CY689" s="62"/>
      <c r="CZ689" s="62"/>
      <c r="DA689" s="62"/>
      <c r="DB689" s="62"/>
      <c r="DC689" s="62"/>
      <c r="DD689" s="62"/>
      <c r="DE689" s="62"/>
      <c r="DF689" s="62"/>
      <c r="DG689" s="62"/>
      <c r="DH689" s="62"/>
      <c r="DI689" s="62"/>
      <c r="DJ689" s="62"/>
      <c r="DK689" s="62"/>
      <c r="DL689" s="62"/>
      <c r="DM689" s="62"/>
      <c r="DN689" s="62"/>
      <c r="DO689" s="62"/>
      <c r="DP689" s="62"/>
      <c r="DQ689" s="62"/>
      <c r="DR689" s="62"/>
      <c r="DS689" s="62"/>
      <c r="DT689" s="62"/>
      <c r="DU689" s="62"/>
      <c r="DV689" s="62"/>
      <c r="DW689" s="62"/>
      <c r="DX689" s="62"/>
      <c r="DY689" s="62"/>
      <c r="DZ689" s="62"/>
      <c r="EA689" s="62"/>
      <c r="EB689" s="62"/>
      <c r="EC689" s="62"/>
      <c r="ED689" s="62"/>
      <c r="EE689" s="62"/>
      <c r="EF689" s="62"/>
      <c r="EG689" s="62"/>
      <c r="EH689" s="62"/>
      <c r="EI689" s="62"/>
      <c r="EJ689" s="62"/>
      <c r="EK689" s="62"/>
      <c r="EL689" s="62"/>
      <c r="EM689" s="62"/>
      <c r="EN689" s="62"/>
      <c r="EO689" s="62"/>
      <c r="EP689" s="62"/>
      <c r="EQ689" s="62"/>
      <c r="ER689" s="62"/>
      <c r="ES689" s="62"/>
      <c r="ET689" s="62"/>
      <c r="EU689" s="62"/>
      <c r="EV689" s="62"/>
      <c r="EW689" s="62"/>
      <c r="EX689" s="62"/>
      <c r="EY689" s="62"/>
      <c r="EZ689" s="62"/>
      <c r="FA689" s="62"/>
      <c r="FB689" s="62"/>
      <c r="FC689" s="62"/>
      <c r="FD689" s="62"/>
      <c r="FE689" s="62"/>
      <c r="FF689" s="62"/>
      <c r="FG689" s="62"/>
      <c r="FH689" s="62"/>
      <c r="FI689" s="62"/>
      <c r="FJ689" s="62"/>
      <c r="FK689" s="62"/>
      <c r="FL689" s="62"/>
      <c r="FM689" s="62"/>
      <c r="FN689" s="62"/>
      <c r="FO689" s="62"/>
      <c r="FP689" s="62"/>
      <c r="FQ689" s="62"/>
      <c r="FR689" s="62"/>
      <c r="FS689" s="62"/>
      <c r="FT689" s="62"/>
      <c r="FU689" s="62"/>
      <c r="FV689" s="62"/>
    </row>
    <row r="690" spans="1:178" ht="13.8">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c r="AY690" s="62"/>
      <c r="AZ690" s="62"/>
      <c r="BA690" s="62"/>
      <c r="BB690" s="62"/>
      <c r="BC690" s="62"/>
      <c r="BD690" s="62"/>
      <c r="BE690" s="62"/>
      <c r="BF690" s="62"/>
      <c r="BG690" s="62"/>
      <c r="BH690" s="62"/>
      <c r="BI690" s="62"/>
      <c r="BJ690" s="62"/>
      <c r="BK690" s="62"/>
      <c r="BL690" s="62"/>
      <c r="BM690" s="62"/>
      <c r="BN690" s="62"/>
      <c r="BO690" s="62"/>
      <c r="BP690" s="62"/>
      <c r="BQ690" s="62"/>
      <c r="BR690" s="62"/>
      <c r="BS690" s="62"/>
      <c r="BT690" s="62"/>
      <c r="BU690" s="62"/>
      <c r="BV690" s="62"/>
      <c r="BW690" s="62"/>
      <c r="BX690" s="62"/>
      <c r="BY690" s="62"/>
      <c r="BZ690" s="62"/>
      <c r="CA690" s="62"/>
      <c r="CB690" s="62"/>
      <c r="CC690" s="62"/>
      <c r="CD690" s="62"/>
      <c r="CE690" s="62"/>
      <c r="CF690" s="62"/>
      <c r="CG690" s="62"/>
      <c r="CH690" s="62"/>
      <c r="CI690" s="62"/>
      <c r="CJ690" s="62"/>
      <c r="CK690" s="62"/>
      <c r="CL690" s="62"/>
      <c r="CM690" s="62"/>
      <c r="CN690" s="62"/>
      <c r="CO690" s="62"/>
      <c r="CP690" s="62"/>
      <c r="CQ690" s="62"/>
      <c r="CR690" s="62"/>
      <c r="CS690" s="62"/>
      <c r="CT690" s="62"/>
      <c r="CU690" s="62"/>
      <c r="CV690" s="62"/>
      <c r="CW690" s="62"/>
      <c r="CX690" s="62"/>
      <c r="CY690" s="62"/>
      <c r="CZ690" s="62"/>
      <c r="DA690" s="62"/>
      <c r="DB690" s="62"/>
      <c r="DC690" s="62"/>
      <c r="DD690" s="62"/>
      <c r="DE690" s="62"/>
      <c r="DF690" s="62"/>
      <c r="DG690" s="62"/>
      <c r="DH690" s="62"/>
      <c r="DI690" s="62"/>
      <c r="DJ690" s="62"/>
      <c r="DK690" s="62"/>
      <c r="DL690" s="62"/>
      <c r="DM690" s="62"/>
      <c r="DN690" s="62"/>
      <c r="DO690" s="62"/>
      <c r="DP690" s="62"/>
      <c r="DQ690" s="62"/>
      <c r="DR690" s="62"/>
      <c r="DS690" s="62"/>
      <c r="DT690" s="62"/>
      <c r="DU690" s="62"/>
      <c r="DV690" s="62"/>
      <c r="DW690" s="62"/>
      <c r="DX690" s="62"/>
      <c r="DY690" s="62"/>
      <c r="DZ690" s="62"/>
      <c r="EA690" s="62"/>
      <c r="EB690" s="62"/>
      <c r="EC690" s="62"/>
      <c r="ED690" s="62"/>
      <c r="EE690" s="62"/>
      <c r="EF690" s="62"/>
      <c r="EG690" s="62"/>
      <c r="EH690" s="62"/>
      <c r="EI690" s="62"/>
      <c r="EJ690" s="62"/>
      <c r="EK690" s="62"/>
      <c r="EL690" s="62"/>
      <c r="EM690" s="62"/>
      <c r="EN690" s="62"/>
      <c r="EO690" s="62"/>
      <c r="EP690" s="62"/>
      <c r="EQ690" s="62"/>
      <c r="ER690" s="62"/>
      <c r="ES690" s="62"/>
      <c r="ET690" s="62"/>
      <c r="EU690" s="62"/>
      <c r="EV690" s="62"/>
      <c r="EW690" s="62"/>
      <c r="EX690" s="62"/>
      <c r="EY690" s="62"/>
      <c r="EZ690" s="62"/>
      <c r="FA690" s="62"/>
      <c r="FB690" s="62"/>
      <c r="FC690" s="62"/>
      <c r="FD690" s="62"/>
      <c r="FE690" s="62"/>
      <c r="FF690" s="62"/>
      <c r="FG690" s="62"/>
      <c r="FH690" s="62"/>
      <c r="FI690" s="62"/>
      <c r="FJ690" s="62"/>
      <c r="FK690" s="62"/>
      <c r="FL690" s="62"/>
      <c r="FM690" s="62"/>
      <c r="FN690" s="62"/>
      <c r="FO690" s="62"/>
      <c r="FP690" s="62"/>
      <c r="FQ690" s="62"/>
      <c r="FR690" s="62"/>
      <c r="FS690" s="62"/>
      <c r="FT690" s="62"/>
      <c r="FU690" s="62"/>
      <c r="FV690" s="62"/>
    </row>
    <row r="691" spans="1:178" ht="13.8">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c r="AY691" s="62"/>
      <c r="AZ691" s="62"/>
      <c r="BA691" s="62"/>
      <c r="BB691" s="62"/>
      <c r="BC691" s="62"/>
      <c r="BD691" s="62"/>
      <c r="BE691" s="62"/>
      <c r="BF691" s="62"/>
      <c r="BG691" s="62"/>
      <c r="BH691" s="62"/>
      <c r="BI691" s="62"/>
      <c r="BJ691" s="62"/>
      <c r="BK691" s="62"/>
      <c r="BL691" s="62"/>
      <c r="BM691" s="62"/>
      <c r="BN691" s="62"/>
      <c r="BO691" s="62"/>
      <c r="BP691" s="62"/>
      <c r="BQ691" s="62"/>
      <c r="BR691" s="62"/>
      <c r="BS691" s="62"/>
      <c r="BT691" s="62"/>
      <c r="BU691" s="62"/>
      <c r="BV691" s="62"/>
      <c r="BW691" s="62"/>
      <c r="BX691" s="62"/>
      <c r="BY691" s="62"/>
      <c r="BZ691" s="62"/>
      <c r="CA691" s="62"/>
      <c r="CB691" s="62"/>
      <c r="CC691" s="62"/>
      <c r="CD691" s="62"/>
      <c r="CE691" s="62"/>
      <c r="CF691" s="62"/>
      <c r="CG691" s="62"/>
      <c r="CH691" s="62"/>
      <c r="CI691" s="62"/>
      <c r="CJ691" s="62"/>
      <c r="CK691" s="62"/>
      <c r="CL691" s="62"/>
      <c r="CM691" s="62"/>
      <c r="CN691" s="62"/>
      <c r="CO691" s="62"/>
      <c r="CP691" s="62"/>
      <c r="CQ691" s="62"/>
      <c r="CR691" s="62"/>
      <c r="CS691" s="62"/>
      <c r="CT691" s="62"/>
      <c r="CU691" s="62"/>
      <c r="CV691" s="62"/>
      <c r="CW691" s="62"/>
      <c r="CX691" s="62"/>
      <c r="CY691" s="62"/>
      <c r="CZ691" s="62"/>
      <c r="DA691" s="62"/>
      <c r="DB691" s="62"/>
      <c r="DC691" s="62"/>
      <c r="DD691" s="62"/>
      <c r="DE691" s="62"/>
      <c r="DF691" s="62"/>
      <c r="DG691" s="62"/>
      <c r="DH691" s="62"/>
      <c r="DI691" s="62"/>
      <c r="DJ691" s="62"/>
      <c r="DK691" s="62"/>
      <c r="DL691" s="62"/>
      <c r="DM691" s="62"/>
      <c r="DN691" s="62"/>
      <c r="DO691" s="62"/>
      <c r="DP691" s="62"/>
      <c r="DQ691" s="62"/>
      <c r="DR691" s="62"/>
      <c r="DS691" s="62"/>
      <c r="DT691" s="62"/>
      <c r="DU691" s="62"/>
      <c r="DV691" s="62"/>
      <c r="DW691" s="62"/>
      <c r="DX691" s="62"/>
      <c r="DY691" s="62"/>
      <c r="DZ691" s="62"/>
      <c r="EA691" s="62"/>
      <c r="EB691" s="62"/>
      <c r="EC691" s="62"/>
      <c r="ED691" s="62"/>
      <c r="EE691" s="62"/>
      <c r="EF691" s="62"/>
      <c r="EG691" s="62"/>
      <c r="EH691" s="62"/>
      <c r="EI691" s="62"/>
      <c r="EJ691" s="62"/>
      <c r="EK691" s="62"/>
      <c r="EL691" s="62"/>
      <c r="EM691" s="62"/>
      <c r="EN691" s="62"/>
      <c r="EO691" s="62"/>
      <c r="EP691" s="62"/>
      <c r="EQ691" s="62"/>
      <c r="ER691" s="62"/>
      <c r="ES691" s="62"/>
      <c r="ET691" s="62"/>
      <c r="EU691" s="62"/>
      <c r="EV691" s="62"/>
      <c r="EW691" s="62"/>
      <c r="EX691" s="62"/>
      <c r="EY691" s="62"/>
      <c r="EZ691" s="62"/>
      <c r="FA691" s="62"/>
      <c r="FB691" s="62"/>
      <c r="FC691" s="62"/>
      <c r="FD691" s="62"/>
      <c r="FE691" s="62"/>
      <c r="FF691" s="62"/>
      <c r="FG691" s="62"/>
      <c r="FH691" s="62"/>
      <c r="FI691" s="62"/>
      <c r="FJ691" s="62"/>
      <c r="FK691" s="62"/>
      <c r="FL691" s="62"/>
      <c r="FM691" s="62"/>
      <c r="FN691" s="62"/>
      <c r="FO691" s="62"/>
      <c r="FP691" s="62"/>
      <c r="FQ691" s="62"/>
      <c r="FR691" s="62"/>
      <c r="FS691" s="62"/>
      <c r="FT691" s="62"/>
      <c r="FU691" s="62"/>
      <c r="FV691" s="62"/>
    </row>
    <row r="692" spans="1:178" ht="13.8">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c r="AY692" s="62"/>
      <c r="AZ692" s="62"/>
      <c r="BA692" s="62"/>
      <c r="BB692" s="62"/>
      <c r="BC692" s="62"/>
      <c r="BD692" s="62"/>
      <c r="BE692" s="62"/>
      <c r="BF692" s="62"/>
      <c r="BG692" s="62"/>
      <c r="BH692" s="62"/>
      <c r="BI692" s="62"/>
      <c r="BJ692" s="62"/>
      <c r="BK692" s="62"/>
      <c r="BL692" s="62"/>
      <c r="BM692" s="62"/>
      <c r="BN692" s="62"/>
      <c r="BO692" s="62"/>
      <c r="BP692" s="62"/>
      <c r="BQ692" s="62"/>
      <c r="BR692" s="62"/>
      <c r="BS692" s="62"/>
      <c r="BT692" s="62"/>
      <c r="BU692" s="62"/>
      <c r="BV692" s="62"/>
      <c r="BW692" s="62"/>
      <c r="BX692" s="62"/>
      <c r="BY692" s="62"/>
      <c r="BZ692" s="62"/>
      <c r="CA692" s="62"/>
      <c r="CB692" s="62"/>
      <c r="CC692" s="62"/>
      <c r="CD692" s="62"/>
      <c r="CE692" s="62"/>
      <c r="CF692" s="62"/>
      <c r="CG692" s="62"/>
      <c r="CH692" s="62"/>
      <c r="CI692" s="62"/>
      <c r="CJ692" s="62"/>
      <c r="CK692" s="62"/>
      <c r="CL692" s="62"/>
      <c r="CM692" s="62"/>
      <c r="CN692" s="62"/>
      <c r="CO692" s="62"/>
      <c r="CP692" s="62"/>
      <c r="CQ692" s="62"/>
      <c r="CR692" s="62"/>
      <c r="CS692" s="62"/>
      <c r="CT692" s="62"/>
      <c r="CU692" s="62"/>
      <c r="CV692" s="62"/>
      <c r="CW692" s="62"/>
      <c r="CX692" s="62"/>
      <c r="CY692" s="62"/>
      <c r="CZ692" s="62"/>
      <c r="DA692" s="62"/>
      <c r="DB692" s="62"/>
      <c r="DC692" s="62"/>
      <c r="DD692" s="62"/>
      <c r="DE692" s="62"/>
      <c r="DF692" s="62"/>
      <c r="DG692" s="62"/>
      <c r="DH692" s="62"/>
      <c r="DI692" s="62"/>
      <c r="DJ692" s="62"/>
      <c r="DK692" s="62"/>
      <c r="DL692" s="62"/>
      <c r="DM692" s="62"/>
      <c r="DN692" s="62"/>
      <c r="DO692" s="62"/>
      <c r="DP692" s="62"/>
      <c r="DQ692" s="62"/>
      <c r="DR692" s="62"/>
      <c r="DS692" s="62"/>
      <c r="DT692" s="62"/>
      <c r="DU692" s="62"/>
      <c r="DV692" s="62"/>
      <c r="DW692" s="62"/>
      <c r="DX692" s="62"/>
      <c r="DY692" s="62"/>
      <c r="DZ692" s="62"/>
      <c r="EA692" s="62"/>
      <c r="EB692" s="62"/>
      <c r="EC692" s="62"/>
      <c r="ED692" s="62"/>
      <c r="EE692" s="62"/>
      <c r="EF692" s="62"/>
      <c r="EG692" s="62"/>
      <c r="EH692" s="62"/>
      <c r="EI692" s="62"/>
      <c r="EJ692" s="62"/>
      <c r="EK692" s="62"/>
      <c r="EL692" s="62"/>
      <c r="EM692" s="62"/>
      <c r="EN692" s="62"/>
      <c r="EO692" s="62"/>
      <c r="EP692" s="62"/>
      <c r="EQ692" s="62"/>
      <c r="ER692" s="62"/>
      <c r="ES692" s="62"/>
      <c r="ET692" s="62"/>
      <c r="EU692" s="62"/>
      <c r="EV692" s="62"/>
      <c r="EW692" s="62"/>
      <c r="EX692" s="62"/>
      <c r="EY692" s="62"/>
      <c r="EZ692" s="62"/>
      <c r="FA692" s="62"/>
      <c r="FB692" s="62"/>
      <c r="FC692" s="62"/>
      <c r="FD692" s="62"/>
      <c r="FE692" s="62"/>
      <c r="FF692" s="62"/>
      <c r="FG692" s="62"/>
      <c r="FH692" s="62"/>
      <c r="FI692" s="62"/>
      <c r="FJ692" s="62"/>
      <c r="FK692" s="62"/>
      <c r="FL692" s="62"/>
      <c r="FM692" s="62"/>
      <c r="FN692" s="62"/>
      <c r="FO692" s="62"/>
      <c r="FP692" s="62"/>
      <c r="FQ692" s="62"/>
      <c r="FR692" s="62"/>
      <c r="FS692" s="62"/>
      <c r="FT692" s="62"/>
      <c r="FU692" s="62"/>
      <c r="FV692" s="62"/>
    </row>
    <row r="693" spans="1:178" ht="13.8">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c r="AY693" s="62"/>
      <c r="AZ693" s="62"/>
      <c r="BA693" s="62"/>
      <c r="BB693" s="62"/>
      <c r="BC693" s="62"/>
      <c r="BD693" s="62"/>
      <c r="BE693" s="62"/>
      <c r="BF693" s="62"/>
      <c r="BG693" s="62"/>
      <c r="BH693" s="62"/>
      <c r="BI693" s="62"/>
      <c r="BJ693" s="62"/>
      <c r="BK693" s="62"/>
      <c r="BL693" s="62"/>
      <c r="BM693" s="62"/>
      <c r="BN693" s="62"/>
      <c r="BO693" s="62"/>
      <c r="BP693" s="62"/>
      <c r="BQ693" s="62"/>
      <c r="BR693" s="62"/>
      <c r="BS693" s="62"/>
      <c r="BT693" s="62"/>
      <c r="BU693" s="62"/>
      <c r="BV693" s="62"/>
      <c r="BW693" s="62"/>
      <c r="BX693" s="62"/>
      <c r="BY693" s="62"/>
      <c r="BZ693" s="62"/>
      <c r="CA693" s="62"/>
      <c r="CB693" s="62"/>
      <c r="CC693" s="62"/>
      <c r="CD693" s="62"/>
      <c r="CE693" s="62"/>
      <c r="CF693" s="62"/>
      <c r="CG693" s="62"/>
      <c r="CH693" s="62"/>
      <c r="CI693" s="62"/>
      <c r="CJ693" s="62"/>
      <c r="CK693" s="62"/>
      <c r="CL693" s="62"/>
      <c r="CM693" s="62"/>
      <c r="CN693" s="62"/>
      <c r="CO693" s="62"/>
      <c r="CP693" s="62"/>
      <c r="CQ693" s="62"/>
      <c r="CR693" s="62"/>
      <c r="CS693" s="62"/>
      <c r="CT693" s="62"/>
      <c r="CU693" s="62"/>
      <c r="CV693" s="62"/>
      <c r="CW693" s="62"/>
      <c r="CX693" s="62"/>
      <c r="CY693" s="62"/>
      <c r="CZ693" s="62"/>
      <c r="DA693" s="62"/>
      <c r="DB693" s="62"/>
      <c r="DC693" s="62"/>
      <c r="DD693" s="62"/>
      <c r="DE693" s="62"/>
      <c r="DF693" s="62"/>
      <c r="DG693" s="62"/>
      <c r="DH693" s="62"/>
      <c r="DI693" s="62"/>
      <c r="DJ693" s="62"/>
      <c r="DK693" s="62"/>
      <c r="DL693" s="62"/>
      <c r="DM693" s="62"/>
      <c r="DN693" s="62"/>
      <c r="DO693" s="62"/>
      <c r="DP693" s="62"/>
      <c r="DQ693" s="62"/>
      <c r="DR693" s="62"/>
      <c r="DS693" s="62"/>
      <c r="DT693" s="62"/>
      <c r="DU693" s="62"/>
      <c r="DV693" s="62"/>
      <c r="DW693" s="62"/>
      <c r="DX693" s="62"/>
      <c r="DY693" s="62"/>
      <c r="DZ693" s="62"/>
      <c r="EA693" s="62"/>
      <c r="EB693" s="62"/>
      <c r="EC693" s="62"/>
      <c r="ED693" s="62"/>
      <c r="EE693" s="62"/>
      <c r="EF693" s="62"/>
      <c r="EG693" s="62"/>
      <c r="EH693" s="62"/>
      <c r="EI693" s="62"/>
      <c r="EJ693" s="62"/>
      <c r="EK693" s="62"/>
      <c r="EL693" s="62"/>
      <c r="EM693" s="62"/>
      <c r="EN693" s="62"/>
      <c r="EO693" s="62"/>
      <c r="EP693" s="62"/>
      <c r="EQ693" s="62"/>
      <c r="ER693" s="62"/>
      <c r="ES693" s="62"/>
      <c r="ET693" s="62"/>
      <c r="EU693" s="62"/>
      <c r="EV693" s="62"/>
      <c r="EW693" s="62"/>
      <c r="EX693" s="62"/>
      <c r="EY693" s="62"/>
      <c r="EZ693" s="62"/>
      <c r="FA693" s="62"/>
      <c r="FB693" s="62"/>
      <c r="FC693" s="62"/>
      <c r="FD693" s="62"/>
      <c r="FE693" s="62"/>
      <c r="FF693" s="62"/>
      <c r="FG693" s="62"/>
      <c r="FH693" s="62"/>
      <c r="FI693" s="62"/>
      <c r="FJ693" s="62"/>
      <c r="FK693" s="62"/>
      <c r="FL693" s="62"/>
      <c r="FM693" s="62"/>
      <c r="FN693" s="62"/>
      <c r="FO693" s="62"/>
      <c r="FP693" s="62"/>
      <c r="FQ693" s="62"/>
      <c r="FR693" s="62"/>
      <c r="FS693" s="62"/>
      <c r="FT693" s="62"/>
      <c r="FU693" s="62"/>
      <c r="FV693" s="62"/>
    </row>
    <row r="694" spans="1:178" ht="13.8">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c r="AY694" s="62"/>
      <c r="AZ694" s="62"/>
      <c r="BA694" s="62"/>
      <c r="BB694" s="62"/>
      <c r="BC694" s="62"/>
      <c r="BD694" s="62"/>
      <c r="BE694" s="62"/>
      <c r="BF694" s="62"/>
      <c r="BG694" s="62"/>
      <c r="BH694" s="62"/>
      <c r="BI694" s="62"/>
      <c r="BJ694" s="62"/>
      <c r="BK694" s="62"/>
      <c r="BL694" s="62"/>
      <c r="BM694" s="62"/>
      <c r="BN694" s="62"/>
      <c r="BO694" s="62"/>
      <c r="BP694" s="62"/>
      <c r="BQ694" s="62"/>
      <c r="BR694" s="62"/>
      <c r="BS694" s="62"/>
      <c r="BT694" s="62"/>
      <c r="BU694" s="62"/>
      <c r="BV694" s="62"/>
      <c r="BW694" s="62"/>
      <c r="BX694" s="62"/>
      <c r="BY694" s="62"/>
      <c r="BZ694" s="62"/>
      <c r="CA694" s="62"/>
      <c r="CB694" s="62"/>
      <c r="CC694" s="62"/>
      <c r="CD694" s="62"/>
      <c r="CE694" s="62"/>
      <c r="CF694" s="62"/>
      <c r="CG694" s="62"/>
      <c r="CH694" s="62"/>
      <c r="CI694" s="62"/>
      <c r="CJ694" s="62"/>
      <c r="CK694" s="62"/>
      <c r="CL694" s="62"/>
      <c r="CM694" s="62"/>
      <c r="CN694" s="62"/>
      <c r="CO694" s="62"/>
      <c r="CP694" s="62"/>
      <c r="CQ694" s="62"/>
      <c r="CR694" s="62"/>
      <c r="CS694" s="62"/>
      <c r="CT694" s="62"/>
      <c r="CU694" s="62"/>
      <c r="CV694" s="62"/>
      <c r="CW694" s="62"/>
      <c r="CX694" s="62"/>
      <c r="CY694" s="62"/>
      <c r="CZ694" s="62"/>
      <c r="DA694" s="62"/>
      <c r="DB694" s="62"/>
      <c r="DC694" s="62"/>
      <c r="DD694" s="62"/>
      <c r="DE694" s="62"/>
      <c r="DF694" s="62"/>
      <c r="DG694" s="62"/>
      <c r="DH694" s="62"/>
      <c r="DI694" s="62"/>
      <c r="DJ694" s="62"/>
      <c r="DK694" s="62"/>
      <c r="DL694" s="62"/>
      <c r="DM694" s="62"/>
      <c r="DN694" s="62"/>
      <c r="DO694" s="62"/>
      <c r="DP694" s="62"/>
      <c r="DQ694" s="62"/>
      <c r="DR694" s="62"/>
      <c r="DS694" s="62"/>
      <c r="DT694" s="62"/>
      <c r="DU694" s="62"/>
      <c r="DV694" s="62"/>
      <c r="DW694" s="62"/>
      <c r="DX694" s="62"/>
      <c r="DY694" s="62"/>
      <c r="DZ694" s="62"/>
      <c r="EA694" s="62"/>
      <c r="EB694" s="62"/>
      <c r="EC694" s="62"/>
      <c r="ED694" s="62"/>
      <c r="EE694" s="62"/>
      <c r="EF694" s="62"/>
      <c r="EG694" s="62"/>
      <c r="EH694" s="62"/>
      <c r="EI694" s="62"/>
      <c r="EJ694" s="62"/>
      <c r="EK694" s="62"/>
      <c r="EL694" s="62"/>
      <c r="EM694" s="62"/>
      <c r="EN694" s="62"/>
      <c r="EO694" s="62"/>
      <c r="EP694" s="62"/>
      <c r="EQ694" s="62"/>
      <c r="ER694" s="62"/>
      <c r="ES694" s="62"/>
      <c r="ET694" s="62"/>
      <c r="EU694" s="62"/>
      <c r="EV694" s="62"/>
      <c r="EW694" s="62"/>
      <c r="EX694" s="62"/>
      <c r="EY694" s="62"/>
      <c r="EZ694" s="62"/>
      <c r="FA694" s="62"/>
      <c r="FB694" s="62"/>
      <c r="FC694" s="62"/>
      <c r="FD694" s="62"/>
      <c r="FE694" s="62"/>
      <c r="FF694" s="62"/>
      <c r="FG694" s="62"/>
      <c r="FH694" s="62"/>
      <c r="FI694" s="62"/>
      <c r="FJ694" s="62"/>
      <c r="FK694" s="62"/>
      <c r="FL694" s="62"/>
      <c r="FM694" s="62"/>
      <c r="FN694" s="62"/>
      <c r="FO694" s="62"/>
      <c r="FP694" s="62"/>
      <c r="FQ694" s="62"/>
      <c r="FR694" s="62"/>
      <c r="FS694" s="62"/>
      <c r="FT694" s="62"/>
      <c r="FU694" s="62"/>
      <c r="FV694" s="62"/>
    </row>
    <row r="695" spans="1:178" ht="13.8">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c r="AY695" s="62"/>
      <c r="AZ695" s="62"/>
      <c r="BA695" s="62"/>
      <c r="BB695" s="62"/>
      <c r="BC695" s="62"/>
      <c r="BD695" s="62"/>
      <c r="BE695" s="62"/>
      <c r="BF695" s="62"/>
      <c r="BG695" s="62"/>
      <c r="BH695" s="62"/>
      <c r="BI695" s="62"/>
      <c r="BJ695" s="62"/>
      <c r="BK695" s="62"/>
      <c r="BL695" s="62"/>
      <c r="BM695" s="62"/>
      <c r="BN695" s="62"/>
      <c r="BO695" s="62"/>
      <c r="BP695" s="62"/>
      <c r="BQ695" s="62"/>
      <c r="BR695" s="62"/>
      <c r="BS695" s="62"/>
      <c r="BT695" s="62"/>
      <c r="BU695" s="62"/>
      <c r="BV695" s="62"/>
      <c r="BW695" s="62"/>
      <c r="BX695" s="62"/>
      <c r="BY695" s="62"/>
      <c r="BZ695" s="62"/>
      <c r="CA695" s="62"/>
      <c r="CB695" s="62"/>
      <c r="CC695" s="62"/>
      <c r="CD695" s="62"/>
      <c r="CE695" s="62"/>
      <c r="CF695" s="62"/>
      <c r="CG695" s="62"/>
      <c r="CH695" s="62"/>
      <c r="CI695" s="62"/>
      <c r="CJ695" s="62"/>
      <c r="CK695" s="62"/>
      <c r="CL695" s="62"/>
      <c r="CM695" s="62"/>
      <c r="CN695" s="62"/>
      <c r="CO695" s="62"/>
      <c r="CP695" s="62"/>
      <c r="CQ695" s="62"/>
      <c r="CR695" s="62"/>
      <c r="CS695" s="62"/>
      <c r="CT695" s="62"/>
      <c r="CU695" s="62"/>
      <c r="CV695" s="62"/>
      <c r="CW695" s="62"/>
      <c r="CX695" s="62"/>
      <c r="CY695" s="62"/>
      <c r="CZ695" s="62"/>
      <c r="DA695" s="62"/>
      <c r="DB695" s="62"/>
      <c r="DC695" s="62"/>
      <c r="DD695" s="62"/>
      <c r="DE695" s="62"/>
      <c r="DF695" s="62"/>
      <c r="DG695" s="62"/>
      <c r="DH695" s="62"/>
      <c r="DI695" s="62"/>
      <c r="DJ695" s="62"/>
      <c r="DK695" s="62"/>
      <c r="DL695" s="62"/>
      <c r="DM695" s="62"/>
      <c r="DN695" s="62"/>
      <c r="DO695" s="62"/>
      <c r="DP695" s="62"/>
      <c r="DQ695" s="62"/>
      <c r="DR695" s="62"/>
      <c r="DS695" s="62"/>
      <c r="DT695" s="62"/>
      <c r="DU695" s="62"/>
      <c r="DV695" s="62"/>
      <c r="DW695" s="62"/>
      <c r="DX695" s="62"/>
      <c r="DY695" s="62"/>
      <c r="DZ695" s="62"/>
      <c r="EA695" s="62"/>
      <c r="EB695" s="62"/>
      <c r="EC695" s="62"/>
      <c r="ED695" s="62"/>
      <c r="EE695" s="62"/>
      <c r="EF695" s="62"/>
      <c r="EG695" s="62"/>
      <c r="EH695" s="62"/>
      <c r="EI695" s="62"/>
      <c r="EJ695" s="62"/>
      <c r="EK695" s="62"/>
      <c r="EL695" s="62"/>
      <c r="EM695" s="62"/>
      <c r="EN695" s="62"/>
      <c r="EO695" s="62"/>
      <c r="EP695" s="62"/>
      <c r="EQ695" s="62"/>
      <c r="ER695" s="62"/>
      <c r="ES695" s="62"/>
      <c r="ET695" s="62"/>
      <c r="EU695" s="62"/>
      <c r="EV695" s="62"/>
      <c r="EW695" s="62"/>
      <c r="EX695" s="62"/>
      <c r="EY695" s="62"/>
      <c r="EZ695" s="62"/>
      <c r="FA695" s="62"/>
      <c r="FB695" s="62"/>
      <c r="FC695" s="62"/>
      <c r="FD695" s="62"/>
      <c r="FE695" s="62"/>
      <c r="FF695" s="62"/>
      <c r="FG695" s="62"/>
      <c r="FH695" s="62"/>
      <c r="FI695" s="62"/>
      <c r="FJ695" s="62"/>
      <c r="FK695" s="62"/>
      <c r="FL695" s="62"/>
      <c r="FM695" s="62"/>
      <c r="FN695" s="62"/>
      <c r="FO695" s="62"/>
      <c r="FP695" s="62"/>
      <c r="FQ695" s="62"/>
      <c r="FR695" s="62"/>
      <c r="FS695" s="62"/>
      <c r="FT695" s="62"/>
      <c r="FU695" s="62"/>
      <c r="FV695" s="62"/>
    </row>
    <row r="696" spans="1:178" ht="13.8">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c r="AY696" s="62"/>
      <c r="AZ696" s="62"/>
      <c r="BA696" s="62"/>
      <c r="BB696" s="62"/>
      <c r="BC696" s="62"/>
      <c r="BD696" s="62"/>
      <c r="BE696" s="62"/>
      <c r="BF696" s="62"/>
      <c r="BG696" s="62"/>
      <c r="BH696" s="62"/>
      <c r="BI696" s="62"/>
      <c r="BJ696" s="62"/>
      <c r="BK696" s="62"/>
      <c r="BL696" s="62"/>
      <c r="BM696" s="62"/>
      <c r="BN696" s="62"/>
      <c r="BO696" s="62"/>
      <c r="BP696" s="62"/>
      <c r="BQ696" s="62"/>
      <c r="BR696" s="62"/>
      <c r="BS696" s="62"/>
      <c r="BT696" s="62"/>
      <c r="BU696" s="62"/>
      <c r="BV696" s="62"/>
      <c r="BW696" s="62"/>
      <c r="BX696" s="62"/>
      <c r="BY696" s="62"/>
      <c r="BZ696" s="62"/>
      <c r="CA696" s="62"/>
      <c r="CB696" s="62"/>
      <c r="CC696" s="62"/>
      <c r="CD696" s="62"/>
      <c r="CE696" s="62"/>
      <c r="CF696" s="62"/>
      <c r="CG696" s="62"/>
      <c r="CH696" s="62"/>
      <c r="CI696" s="62"/>
      <c r="CJ696" s="62"/>
      <c r="CK696" s="62"/>
      <c r="CL696" s="62"/>
      <c r="CM696" s="62"/>
      <c r="CN696" s="62"/>
      <c r="CO696" s="62"/>
      <c r="CP696" s="62"/>
      <c r="CQ696" s="62"/>
      <c r="CR696" s="62"/>
      <c r="CS696" s="62"/>
      <c r="CT696" s="62"/>
      <c r="CU696" s="62"/>
      <c r="CV696" s="62"/>
      <c r="CW696" s="62"/>
      <c r="CX696" s="62"/>
      <c r="CY696" s="62"/>
      <c r="CZ696" s="62"/>
      <c r="DA696" s="62"/>
      <c r="DB696" s="62"/>
      <c r="DC696" s="62"/>
      <c r="DD696" s="62"/>
      <c r="DE696" s="62"/>
      <c r="DF696" s="62"/>
      <c r="DG696" s="62"/>
      <c r="DH696" s="62"/>
      <c r="DI696" s="62"/>
      <c r="DJ696" s="62"/>
      <c r="DK696" s="62"/>
      <c r="DL696" s="62"/>
      <c r="DM696" s="62"/>
      <c r="DN696" s="62"/>
      <c r="DO696" s="62"/>
      <c r="DP696" s="62"/>
      <c r="DQ696" s="62"/>
      <c r="DR696" s="62"/>
      <c r="DS696" s="62"/>
      <c r="DT696" s="62"/>
      <c r="DU696" s="62"/>
      <c r="DV696" s="62"/>
      <c r="DW696" s="62"/>
      <c r="DX696" s="62"/>
      <c r="DY696" s="62"/>
      <c r="DZ696" s="62"/>
      <c r="EA696" s="62"/>
      <c r="EB696" s="62"/>
      <c r="EC696" s="62"/>
      <c r="ED696" s="62"/>
      <c r="EE696" s="62"/>
      <c r="EF696" s="62"/>
      <c r="EG696" s="62"/>
      <c r="EH696" s="62"/>
      <c r="EI696" s="62"/>
      <c r="EJ696" s="62"/>
      <c r="EK696" s="62"/>
      <c r="EL696" s="62"/>
      <c r="EM696" s="62"/>
      <c r="EN696" s="62"/>
      <c r="EO696" s="62"/>
      <c r="EP696" s="62"/>
      <c r="EQ696" s="62"/>
      <c r="ER696" s="62"/>
      <c r="ES696" s="62"/>
      <c r="ET696" s="62"/>
      <c r="EU696" s="62"/>
      <c r="EV696" s="62"/>
      <c r="EW696" s="62"/>
      <c r="EX696" s="62"/>
      <c r="EY696" s="62"/>
      <c r="EZ696" s="62"/>
      <c r="FA696" s="62"/>
      <c r="FB696" s="62"/>
      <c r="FC696" s="62"/>
      <c r="FD696" s="62"/>
      <c r="FE696" s="62"/>
      <c r="FF696" s="62"/>
      <c r="FG696" s="62"/>
      <c r="FH696" s="62"/>
      <c r="FI696" s="62"/>
      <c r="FJ696" s="62"/>
      <c r="FK696" s="62"/>
      <c r="FL696" s="62"/>
      <c r="FM696" s="62"/>
      <c r="FN696" s="62"/>
      <c r="FO696" s="62"/>
      <c r="FP696" s="62"/>
      <c r="FQ696" s="62"/>
      <c r="FR696" s="62"/>
      <c r="FS696" s="62"/>
      <c r="FT696" s="62"/>
      <c r="FU696" s="62"/>
      <c r="FV696" s="62"/>
    </row>
    <row r="697" spans="1:178" ht="13.8">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c r="AY697" s="62"/>
      <c r="AZ697" s="62"/>
      <c r="BA697" s="62"/>
      <c r="BB697" s="62"/>
      <c r="BC697" s="62"/>
      <c r="BD697" s="62"/>
      <c r="BE697" s="62"/>
      <c r="BF697" s="62"/>
      <c r="BG697" s="62"/>
      <c r="BH697" s="62"/>
      <c r="BI697" s="62"/>
      <c r="BJ697" s="62"/>
      <c r="BK697" s="62"/>
      <c r="BL697" s="62"/>
      <c r="BM697" s="62"/>
      <c r="BN697" s="62"/>
      <c r="BO697" s="62"/>
      <c r="BP697" s="62"/>
      <c r="BQ697" s="62"/>
      <c r="BR697" s="62"/>
      <c r="BS697" s="62"/>
      <c r="BT697" s="62"/>
      <c r="BU697" s="62"/>
      <c r="BV697" s="62"/>
      <c r="BW697" s="62"/>
      <c r="BX697" s="62"/>
      <c r="BY697" s="62"/>
      <c r="BZ697" s="62"/>
      <c r="CA697" s="62"/>
      <c r="CB697" s="62"/>
      <c r="CC697" s="62"/>
      <c r="CD697" s="62"/>
      <c r="CE697" s="62"/>
      <c r="CF697" s="62"/>
      <c r="CG697" s="62"/>
      <c r="CH697" s="62"/>
      <c r="CI697" s="62"/>
      <c r="CJ697" s="62"/>
      <c r="CK697" s="62"/>
      <c r="CL697" s="62"/>
      <c r="CM697" s="62"/>
      <c r="CN697" s="62"/>
      <c r="CO697" s="62"/>
      <c r="CP697" s="62"/>
      <c r="CQ697" s="62"/>
      <c r="CR697" s="62"/>
      <c r="CS697" s="62"/>
      <c r="CT697" s="62"/>
      <c r="CU697" s="62"/>
      <c r="CV697" s="62"/>
      <c r="CW697" s="62"/>
      <c r="CX697" s="62"/>
      <c r="CY697" s="62"/>
      <c r="CZ697" s="62"/>
      <c r="DA697" s="62"/>
      <c r="DB697" s="62"/>
      <c r="DC697" s="62"/>
      <c r="DD697" s="62"/>
      <c r="DE697" s="62"/>
      <c r="DF697" s="62"/>
      <c r="DG697" s="62"/>
      <c r="DH697" s="62"/>
      <c r="DI697" s="62"/>
      <c r="DJ697" s="62"/>
      <c r="DK697" s="62"/>
      <c r="DL697" s="62"/>
      <c r="DM697" s="62"/>
      <c r="DN697" s="62"/>
      <c r="DO697" s="62"/>
      <c r="DP697" s="62"/>
      <c r="DQ697" s="62"/>
      <c r="DR697" s="62"/>
      <c r="DS697" s="62"/>
      <c r="DT697" s="62"/>
      <c r="DU697" s="62"/>
      <c r="DV697" s="62"/>
      <c r="DW697" s="62"/>
      <c r="DX697" s="62"/>
      <c r="DY697" s="62"/>
      <c r="DZ697" s="62"/>
      <c r="EA697" s="62"/>
      <c r="EB697" s="62"/>
      <c r="EC697" s="62"/>
      <c r="ED697" s="62"/>
      <c r="EE697" s="62"/>
      <c r="EF697" s="62"/>
      <c r="EG697" s="62"/>
      <c r="EH697" s="62"/>
      <c r="EI697" s="62"/>
      <c r="EJ697" s="62"/>
      <c r="EK697" s="62"/>
      <c r="EL697" s="62"/>
      <c r="EM697" s="62"/>
      <c r="EN697" s="62"/>
      <c r="EO697" s="62"/>
      <c r="EP697" s="62"/>
      <c r="EQ697" s="62"/>
      <c r="ER697" s="62"/>
      <c r="ES697" s="62"/>
      <c r="ET697" s="62"/>
      <c r="EU697" s="62"/>
      <c r="EV697" s="62"/>
      <c r="EW697" s="62"/>
      <c r="EX697" s="62"/>
      <c r="EY697" s="62"/>
      <c r="EZ697" s="62"/>
      <c r="FA697" s="62"/>
      <c r="FB697" s="62"/>
      <c r="FC697" s="62"/>
      <c r="FD697" s="62"/>
      <c r="FE697" s="62"/>
      <c r="FF697" s="62"/>
      <c r="FG697" s="62"/>
      <c r="FH697" s="62"/>
      <c r="FI697" s="62"/>
      <c r="FJ697" s="62"/>
      <c r="FK697" s="62"/>
      <c r="FL697" s="62"/>
      <c r="FM697" s="62"/>
      <c r="FN697" s="62"/>
      <c r="FO697" s="62"/>
      <c r="FP697" s="62"/>
      <c r="FQ697" s="62"/>
      <c r="FR697" s="62"/>
      <c r="FS697" s="62"/>
      <c r="FT697" s="62"/>
      <c r="FU697" s="62"/>
      <c r="FV697" s="62"/>
    </row>
    <row r="698" spans="1:178" ht="13.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c r="AY698" s="62"/>
      <c r="AZ698" s="62"/>
      <c r="BA698" s="62"/>
      <c r="BB698" s="62"/>
      <c r="BC698" s="62"/>
      <c r="BD698" s="62"/>
      <c r="BE698" s="62"/>
      <c r="BF698" s="62"/>
      <c r="BG698" s="62"/>
      <c r="BH698" s="62"/>
      <c r="BI698" s="62"/>
      <c r="BJ698" s="62"/>
      <c r="BK698" s="62"/>
      <c r="BL698" s="62"/>
      <c r="BM698" s="62"/>
      <c r="BN698" s="62"/>
      <c r="BO698" s="62"/>
      <c r="BP698" s="62"/>
      <c r="BQ698" s="62"/>
      <c r="BR698" s="62"/>
      <c r="BS698" s="62"/>
      <c r="BT698" s="62"/>
      <c r="BU698" s="62"/>
      <c r="BV698" s="62"/>
      <c r="BW698" s="62"/>
      <c r="BX698" s="62"/>
      <c r="BY698" s="62"/>
      <c r="BZ698" s="62"/>
      <c r="CA698" s="62"/>
      <c r="CB698" s="62"/>
      <c r="CC698" s="62"/>
      <c r="CD698" s="62"/>
      <c r="CE698" s="62"/>
      <c r="CF698" s="62"/>
      <c r="CG698" s="62"/>
      <c r="CH698" s="62"/>
      <c r="CI698" s="62"/>
      <c r="CJ698" s="62"/>
      <c r="CK698" s="62"/>
      <c r="CL698" s="62"/>
      <c r="CM698" s="62"/>
      <c r="CN698" s="62"/>
      <c r="CO698" s="62"/>
      <c r="CP698" s="62"/>
      <c r="CQ698" s="62"/>
      <c r="CR698" s="62"/>
      <c r="CS698" s="62"/>
      <c r="CT698" s="62"/>
      <c r="CU698" s="62"/>
      <c r="CV698" s="62"/>
      <c r="CW698" s="62"/>
      <c r="CX698" s="62"/>
      <c r="CY698" s="62"/>
      <c r="CZ698" s="62"/>
      <c r="DA698" s="62"/>
      <c r="DB698" s="62"/>
      <c r="DC698" s="62"/>
      <c r="DD698" s="62"/>
      <c r="DE698" s="62"/>
      <c r="DF698" s="62"/>
      <c r="DG698" s="62"/>
      <c r="DH698" s="62"/>
      <c r="DI698" s="62"/>
      <c r="DJ698" s="62"/>
      <c r="DK698" s="62"/>
      <c r="DL698" s="62"/>
      <c r="DM698" s="62"/>
      <c r="DN698" s="62"/>
      <c r="DO698" s="62"/>
      <c r="DP698" s="62"/>
      <c r="DQ698" s="62"/>
      <c r="DR698" s="62"/>
      <c r="DS698" s="62"/>
      <c r="DT698" s="62"/>
      <c r="DU698" s="62"/>
      <c r="DV698" s="62"/>
      <c r="DW698" s="62"/>
      <c r="DX698" s="62"/>
      <c r="DY698" s="62"/>
      <c r="DZ698" s="62"/>
      <c r="EA698" s="62"/>
      <c r="EB698" s="62"/>
      <c r="EC698" s="62"/>
      <c r="ED698" s="62"/>
      <c r="EE698" s="62"/>
      <c r="EF698" s="62"/>
      <c r="EG698" s="62"/>
      <c r="EH698" s="62"/>
      <c r="EI698" s="62"/>
      <c r="EJ698" s="62"/>
      <c r="EK698" s="62"/>
      <c r="EL698" s="62"/>
      <c r="EM698" s="62"/>
      <c r="EN698" s="62"/>
      <c r="EO698" s="62"/>
      <c r="EP698" s="62"/>
      <c r="EQ698" s="62"/>
      <c r="ER698" s="62"/>
      <c r="ES698" s="62"/>
      <c r="ET698" s="62"/>
      <c r="EU698" s="62"/>
      <c r="EV698" s="62"/>
      <c r="EW698" s="62"/>
      <c r="EX698" s="62"/>
      <c r="EY698" s="62"/>
      <c r="EZ698" s="62"/>
      <c r="FA698" s="62"/>
      <c r="FB698" s="62"/>
      <c r="FC698" s="62"/>
      <c r="FD698" s="62"/>
      <c r="FE698" s="62"/>
      <c r="FF698" s="62"/>
      <c r="FG698" s="62"/>
      <c r="FH698" s="62"/>
      <c r="FI698" s="62"/>
      <c r="FJ698" s="62"/>
      <c r="FK698" s="62"/>
      <c r="FL698" s="62"/>
      <c r="FM698" s="62"/>
      <c r="FN698" s="62"/>
      <c r="FO698" s="62"/>
      <c r="FP698" s="62"/>
      <c r="FQ698" s="62"/>
      <c r="FR698" s="62"/>
      <c r="FS698" s="62"/>
      <c r="FT698" s="62"/>
      <c r="FU698" s="62"/>
      <c r="FV698" s="62"/>
    </row>
    <row r="699" spans="1:178" ht="13.8">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c r="AY699" s="62"/>
      <c r="AZ699" s="62"/>
      <c r="BA699" s="62"/>
      <c r="BB699" s="62"/>
      <c r="BC699" s="62"/>
      <c r="BD699" s="62"/>
      <c r="BE699" s="62"/>
      <c r="BF699" s="62"/>
      <c r="BG699" s="62"/>
      <c r="BH699" s="62"/>
      <c r="BI699" s="62"/>
      <c r="BJ699" s="62"/>
      <c r="BK699" s="62"/>
      <c r="BL699" s="62"/>
      <c r="BM699" s="62"/>
      <c r="BN699" s="62"/>
      <c r="BO699" s="62"/>
      <c r="BP699" s="62"/>
      <c r="BQ699" s="62"/>
      <c r="BR699" s="62"/>
      <c r="BS699" s="62"/>
      <c r="BT699" s="62"/>
      <c r="BU699" s="62"/>
      <c r="BV699" s="62"/>
      <c r="BW699" s="62"/>
      <c r="BX699" s="62"/>
      <c r="BY699" s="62"/>
      <c r="BZ699" s="62"/>
      <c r="CA699" s="62"/>
      <c r="CB699" s="62"/>
      <c r="CC699" s="62"/>
      <c r="CD699" s="62"/>
      <c r="CE699" s="62"/>
      <c r="CF699" s="62"/>
      <c r="CG699" s="62"/>
      <c r="CH699" s="62"/>
      <c r="CI699" s="62"/>
      <c r="CJ699" s="62"/>
      <c r="CK699" s="62"/>
      <c r="CL699" s="62"/>
      <c r="CM699" s="62"/>
      <c r="CN699" s="62"/>
      <c r="CO699" s="62"/>
      <c r="CP699" s="62"/>
      <c r="CQ699" s="62"/>
      <c r="CR699" s="62"/>
      <c r="CS699" s="62"/>
      <c r="CT699" s="62"/>
      <c r="CU699" s="62"/>
      <c r="CV699" s="62"/>
      <c r="CW699" s="62"/>
      <c r="CX699" s="62"/>
      <c r="CY699" s="62"/>
      <c r="CZ699" s="62"/>
      <c r="DA699" s="62"/>
      <c r="DB699" s="62"/>
      <c r="DC699" s="62"/>
      <c r="DD699" s="62"/>
      <c r="DE699" s="62"/>
      <c r="DF699" s="62"/>
      <c r="DG699" s="62"/>
      <c r="DH699" s="62"/>
      <c r="DI699" s="62"/>
      <c r="DJ699" s="62"/>
      <c r="DK699" s="62"/>
      <c r="DL699" s="62"/>
      <c r="DM699" s="62"/>
      <c r="DN699" s="62"/>
      <c r="DO699" s="62"/>
      <c r="DP699" s="62"/>
      <c r="DQ699" s="62"/>
      <c r="DR699" s="62"/>
      <c r="DS699" s="62"/>
      <c r="DT699" s="62"/>
      <c r="DU699" s="62"/>
      <c r="DV699" s="62"/>
      <c r="DW699" s="62"/>
      <c r="DX699" s="62"/>
      <c r="DY699" s="62"/>
      <c r="DZ699" s="62"/>
      <c r="EA699" s="62"/>
      <c r="EB699" s="62"/>
      <c r="EC699" s="62"/>
      <c r="ED699" s="62"/>
      <c r="EE699" s="62"/>
      <c r="EF699" s="62"/>
      <c r="EG699" s="62"/>
      <c r="EH699" s="62"/>
      <c r="EI699" s="62"/>
      <c r="EJ699" s="62"/>
      <c r="EK699" s="62"/>
      <c r="EL699" s="62"/>
      <c r="EM699" s="62"/>
      <c r="EN699" s="62"/>
      <c r="EO699" s="62"/>
      <c r="EP699" s="62"/>
      <c r="EQ699" s="62"/>
      <c r="ER699" s="62"/>
      <c r="ES699" s="62"/>
      <c r="ET699" s="62"/>
      <c r="EU699" s="62"/>
      <c r="EV699" s="62"/>
      <c r="EW699" s="62"/>
      <c r="EX699" s="62"/>
      <c r="EY699" s="62"/>
      <c r="EZ699" s="62"/>
      <c r="FA699" s="62"/>
      <c r="FB699" s="62"/>
      <c r="FC699" s="62"/>
      <c r="FD699" s="62"/>
      <c r="FE699" s="62"/>
      <c r="FF699" s="62"/>
      <c r="FG699" s="62"/>
      <c r="FH699" s="62"/>
      <c r="FI699" s="62"/>
      <c r="FJ699" s="62"/>
      <c r="FK699" s="62"/>
      <c r="FL699" s="62"/>
      <c r="FM699" s="62"/>
      <c r="FN699" s="62"/>
      <c r="FO699" s="62"/>
      <c r="FP699" s="62"/>
      <c r="FQ699" s="62"/>
      <c r="FR699" s="62"/>
      <c r="FS699" s="62"/>
      <c r="FT699" s="62"/>
      <c r="FU699" s="62"/>
      <c r="FV699" s="62"/>
    </row>
    <row r="700" spans="1:178" ht="13.8">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c r="AY700" s="62"/>
      <c r="AZ700" s="62"/>
      <c r="BA700" s="62"/>
      <c r="BB700" s="62"/>
      <c r="BC700" s="62"/>
      <c r="BD700" s="62"/>
      <c r="BE700" s="62"/>
      <c r="BF700" s="62"/>
      <c r="BG700" s="62"/>
      <c r="BH700" s="62"/>
      <c r="BI700" s="62"/>
      <c r="BJ700" s="62"/>
      <c r="BK700" s="62"/>
      <c r="BL700" s="62"/>
      <c r="BM700" s="62"/>
      <c r="BN700" s="62"/>
      <c r="BO700" s="62"/>
      <c r="BP700" s="62"/>
      <c r="BQ700" s="62"/>
      <c r="BR700" s="62"/>
      <c r="BS700" s="62"/>
      <c r="BT700" s="62"/>
      <c r="BU700" s="62"/>
      <c r="BV700" s="62"/>
      <c r="BW700" s="62"/>
      <c r="BX700" s="62"/>
      <c r="BY700" s="62"/>
      <c r="BZ700" s="62"/>
      <c r="CA700" s="62"/>
      <c r="CB700" s="62"/>
      <c r="CC700" s="62"/>
      <c r="CD700" s="62"/>
      <c r="CE700" s="62"/>
      <c r="CF700" s="62"/>
      <c r="CG700" s="62"/>
      <c r="CH700" s="62"/>
      <c r="CI700" s="62"/>
      <c r="CJ700" s="62"/>
      <c r="CK700" s="62"/>
      <c r="CL700" s="62"/>
      <c r="CM700" s="62"/>
      <c r="CN700" s="62"/>
      <c r="CO700" s="62"/>
      <c r="CP700" s="62"/>
      <c r="CQ700" s="62"/>
      <c r="CR700" s="62"/>
      <c r="CS700" s="62"/>
      <c r="CT700" s="62"/>
      <c r="CU700" s="62"/>
      <c r="CV700" s="62"/>
      <c r="CW700" s="62"/>
      <c r="CX700" s="62"/>
      <c r="CY700" s="62"/>
      <c r="CZ700" s="62"/>
      <c r="DA700" s="62"/>
      <c r="DB700" s="62"/>
      <c r="DC700" s="62"/>
      <c r="DD700" s="62"/>
      <c r="DE700" s="62"/>
      <c r="DF700" s="62"/>
      <c r="DG700" s="62"/>
      <c r="DH700" s="62"/>
      <c r="DI700" s="62"/>
      <c r="DJ700" s="62"/>
      <c r="DK700" s="62"/>
      <c r="DL700" s="62"/>
      <c r="DM700" s="62"/>
      <c r="DN700" s="62"/>
      <c r="DO700" s="62"/>
      <c r="DP700" s="62"/>
      <c r="DQ700" s="62"/>
      <c r="DR700" s="62"/>
      <c r="DS700" s="62"/>
      <c r="DT700" s="62"/>
      <c r="DU700" s="62"/>
      <c r="DV700" s="62"/>
      <c r="DW700" s="62"/>
      <c r="DX700" s="62"/>
      <c r="DY700" s="62"/>
      <c r="DZ700" s="62"/>
      <c r="EA700" s="62"/>
      <c r="EB700" s="62"/>
      <c r="EC700" s="62"/>
      <c r="ED700" s="62"/>
      <c r="EE700" s="62"/>
      <c r="EF700" s="62"/>
      <c r="EG700" s="62"/>
      <c r="EH700" s="62"/>
      <c r="EI700" s="62"/>
      <c r="EJ700" s="62"/>
      <c r="EK700" s="62"/>
      <c r="EL700" s="62"/>
      <c r="EM700" s="62"/>
      <c r="EN700" s="62"/>
      <c r="EO700" s="62"/>
      <c r="EP700" s="62"/>
      <c r="EQ700" s="62"/>
      <c r="ER700" s="62"/>
      <c r="ES700" s="62"/>
      <c r="ET700" s="62"/>
      <c r="EU700" s="62"/>
      <c r="EV700" s="62"/>
      <c r="EW700" s="62"/>
      <c r="EX700" s="62"/>
      <c r="EY700" s="62"/>
      <c r="EZ700" s="62"/>
      <c r="FA700" s="62"/>
      <c r="FB700" s="62"/>
      <c r="FC700" s="62"/>
      <c r="FD700" s="62"/>
      <c r="FE700" s="62"/>
      <c r="FF700" s="62"/>
      <c r="FG700" s="62"/>
      <c r="FH700" s="62"/>
      <c r="FI700" s="62"/>
      <c r="FJ700" s="62"/>
      <c r="FK700" s="62"/>
      <c r="FL700" s="62"/>
      <c r="FM700" s="62"/>
      <c r="FN700" s="62"/>
      <c r="FO700" s="62"/>
      <c r="FP700" s="62"/>
      <c r="FQ700" s="62"/>
      <c r="FR700" s="62"/>
      <c r="FS700" s="62"/>
      <c r="FT700" s="62"/>
      <c r="FU700" s="62"/>
      <c r="FV700" s="62"/>
    </row>
    <row r="701" spans="1:178" ht="13.8">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c r="AY701" s="62"/>
      <c r="AZ701" s="62"/>
      <c r="BA701" s="62"/>
      <c r="BB701" s="62"/>
      <c r="BC701" s="62"/>
      <c r="BD701" s="62"/>
      <c r="BE701" s="62"/>
      <c r="BF701" s="62"/>
      <c r="BG701" s="62"/>
      <c r="BH701" s="62"/>
      <c r="BI701" s="62"/>
      <c r="BJ701" s="62"/>
      <c r="BK701" s="62"/>
      <c r="BL701" s="62"/>
      <c r="BM701" s="62"/>
      <c r="BN701" s="62"/>
      <c r="BO701" s="62"/>
      <c r="BP701" s="62"/>
      <c r="BQ701" s="62"/>
      <c r="BR701" s="62"/>
      <c r="BS701" s="62"/>
      <c r="BT701" s="62"/>
      <c r="BU701" s="62"/>
      <c r="BV701" s="62"/>
      <c r="BW701" s="62"/>
      <c r="BX701" s="62"/>
      <c r="BY701" s="62"/>
      <c r="BZ701" s="62"/>
      <c r="CA701" s="62"/>
      <c r="CB701" s="62"/>
      <c r="CC701" s="62"/>
      <c r="CD701" s="62"/>
      <c r="CE701" s="62"/>
      <c r="CF701" s="62"/>
      <c r="CG701" s="62"/>
      <c r="CH701" s="62"/>
      <c r="CI701" s="62"/>
      <c r="CJ701" s="62"/>
      <c r="CK701" s="62"/>
      <c r="CL701" s="62"/>
      <c r="CM701" s="62"/>
      <c r="CN701" s="62"/>
      <c r="CO701" s="62"/>
      <c r="CP701" s="62"/>
      <c r="CQ701" s="62"/>
      <c r="CR701" s="62"/>
      <c r="CS701" s="62"/>
      <c r="CT701" s="62"/>
      <c r="CU701" s="62"/>
      <c r="CV701" s="62"/>
      <c r="CW701" s="62"/>
      <c r="CX701" s="62"/>
      <c r="CY701" s="62"/>
      <c r="CZ701" s="62"/>
      <c r="DA701" s="62"/>
      <c r="DB701" s="62"/>
      <c r="DC701" s="62"/>
      <c r="DD701" s="62"/>
      <c r="DE701" s="62"/>
      <c r="DF701" s="62"/>
      <c r="DG701" s="62"/>
      <c r="DH701" s="62"/>
      <c r="DI701" s="62"/>
      <c r="DJ701" s="62"/>
      <c r="DK701" s="62"/>
      <c r="DL701" s="62"/>
      <c r="DM701" s="62"/>
      <c r="DN701" s="62"/>
      <c r="DO701" s="62"/>
      <c r="DP701" s="62"/>
      <c r="DQ701" s="62"/>
      <c r="DR701" s="62"/>
      <c r="DS701" s="62"/>
      <c r="DT701" s="62"/>
      <c r="DU701" s="62"/>
      <c r="DV701" s="62"/>
      <c r="DW701" s="62"/>
      <c r="DX701" s="62"/>
      <c r="DY701" s="62"/>
      <c r="DZ701" s="62"/>
      <c r="EA701" s="62"/>
      <c r="EB701" s="62"/>
      <c r="EC701" s="62"/>
      <c r="ED701" s="62"/>
      <c r="EE701" s="62"/>
      <c r="EF701" s="62"/>
      <c r="EG701" s="62"/>
      <c r="EH701" s="62"/>
      <c r="EI701" s="62"/>
      <c r="EJ701" s="62"/>
      <c r="EK701" s="62"/>
      <c r="EL701" s="62"/>
      <c r="EM701" s="62"/>
      <c r="EN701" s="62"/>
      <c r="EO701" s="62"/>
      <c r="EP701" s="62"/>
      <c r="EQ701" s="62"/>
      <c r="ER701" s="62"/>
      <c r="ES701" s="62"/>
      <c r="ET701" s="62"/>
      <c r="EU701" s="62"/>
      <c r="EV701" s="62"/>
      <c r="EW701" s="62"/>
      <c r="EX701" s="62"/>
      <c r="EY701" s="62"/>
      <c r="EZ701" s="62"/>
      <c r="FA701" s="62"/>
      <c r="FB701" s="62"/>
      <c r="FC701" s="62"/>
      <c r="FD701" s="62"/>
      <c r="FE701" s="62"/>
      <c r="FF701" s="62"/>
      <c r="FG701" s="62"/>
      <c r="FH701" s="62"/>
      <c r="FI701" s="62"/>
      <c r="FJ701" s="62"/>
      <c r="FK701" s="62"/>
      <c r="FL701" s="62"/>
      <c r="FM701" s="62"/>
      <c r="FN701" s="62"/>
      <c r="FO701" s="62"/>
      <c r="FP701" s="62"/>
      <c r="FQ701" s="62"/>
      <c r="FR701" s="62"/>
      <c r="FS701" s="62"/>
      <c r="FT701" s="62"/>
      <c r="FU701" s="62"/>
      <c r="FV701" s="62"/>
    </row>
    <row r="702" spans="1:178" ht="13.8">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c r="AY702" s="62"/>
      <c r="AZ702" s="62"/>
      <c r="BA702" s="62"/>
      <c r="BB702" s="62"/>
      <c r="BC702" s="62"/>
      <c r="BD702" s="62"/>
      <c r="BE702" s="62"/>
      <c r="BF702" s="62"/>
      <c r="BG702" s="62"/>
      <c r="BH702" s="62"/>
      <c r="BI702" s="62"/>
      <c r="BJ702" s="62"/>
      <c r="BK702" s="62"/>
      <c r="BL702" s="62"/>
      <c r="BM702" s="62"/>
      <c r="BN702" s="62"/>
      <c r="BO702" s="62"/>
      <c r="BP702" s="62"/>
      <c r="BQ702" s="62"/>
      <c r="BR702" s="62"/>
      <c r="BS702" s="62"/>
      <c r="BT702" s="62"/>
      <c r="BU702" s="62"/>
      <c r="BV702" s="62"/>
      <c r="BW702" s="62"/>
      <c r="BX702" s="62"/>
      <c r="BY702" s="62"/>
      <c r="BZ702" s="62"/>
      <c r="CA702" s="62"/>
      <c r="CB702" s="62"/>
      <c r="CC702" s="62"/>
      <c r="CD702" s="62"/>
      <c r="CE702" s="62"/>
      <c r="CF702" s="62"/>
      <c r="CG702" s="62"/>
      <c r="CH702" s="62"/>
      <c r="CI702" s="62"/>
      <c r="CJ702" s="62"/>
      <c r="CK702" s="62"/>
      <c r="CL702" s="62"/>
      <c r="CM702" s="62"/>
      <c r="CN702" s="62"/>
      <c r="CO702" s="62"/>
      <c r="CP702" s="62"/>
      <c r="CQ702" s="62"/>
      <c r="CR702" s="62"/>
      <c r="CS702" s="62"/>
      <c r="CT702" s="62"/>
      <c r="CU702" s="62"/>
      <c r="CV702" s="62"/>
      <c r="CW702" s="62"/>
      <c r="CX702" s="62"/>
      <c r="CY702" s="62"/>
      <c r="CZ702" s="62"/>
      <c r="DA702" s="62"/>
      <c r="DB702" s="62"/>
      <c r="DC702" s="62"/>
      <c r="DD702" s="62"/>
      <c r="DE702" s="62"/>
      <c r="DF702" s="62"/>
      <c r="DG702" s="62"/>
      <c r="DH702" s="62"/>
      <c r="DI702" s="62"/>
      <c r="DJ702" s="62"/>
      <c r="DK702" s="62"/>
      <c r="DL702" s="62"/>
      <c r="DM702" s="62"/>
      <c r="DN702" s="62"/>
      <c r="DO702" s="62"/>
      <c r="DP702" s="62"/>
      <c r="DQ702" s="62"/>
      <c r="DR702" s="62"/>
      <c r="DS702" s="62"/>
      <c r="DT702" s="62"/>
      <c r="DU702" s="62"/>
      <c r="DV702" s="62"/>
      <c r="DW702" s="62"/>
      <c r="DX702" s="62"/>
      <c r="DY702" s="62"/>
      <c r="DZ702" s="62"/>
      <c r="EA702" s="62"/>
      <c r="EB702" s="62"/>
      <c r="EC702" s="62"/>
      <c r="ED702" s="62"/>
      <c r="EE702" s="62"/>
      <c r="EF702" s="62"/>
      <c r="EG702" s="62"/>
      <c r="EH702" s="62"/>
      <c r="EI702" s="62"/>
      <c r="EJ702" s="62"/>
      <c r="EK702" s="62"/>
      <c r="EL702" s="62"/>
      <c r="EM702" s="62"/>
      <c r="EN702" s="62"/>
      <c r="EO702" s="62"/>
      <c r="EP702" s="62"/>
      <c r="EQ702" s="62"/>
      <c r="ER702" s="62"/>
      <c r="ES702" s="62"/>
      <c r="ET702" s="62"/>
      <c r="EU702" s="62"/>
      <c r="EV702" s="62"/>
      <c r="EW702" s="62"/>
      <c r="EX702" s="62"/>
      <c r="EY702" s="62"/>
      <c r="EZ702" s="62"/>
      <c r="FA702" s="62"/>
      <c r="FB702" s="62"/>
      <c r="FC702" s="62"/>
      <c r="FD702" s="62"/>
      <c r="FE702" s="62"/>
      <c r="FF702" s="62"/>
      <c r="FG702" s="62"/>
      <c r="FH702" s="62"/>
      <c r="FI702" s="62"/>
      <c r="FJ702" s="62"/>
      <c r="FK702" s="62"/>
      <c r="FL702" s="62"/>
      <c r="FM702" s="62"/>
      <c r="FN702" s="62"/>
      <c r="FO702" s="62"/>
      <c r="FP702" s="62"/>
      <c r="FQ702" s="62"/>
      <c r="FR702" s="62"/>
      <c r="FS702" s="62"/>
      <c r="FT702" s="62"/>
      <c r="FU702" s="62"/>
      <c r="FV702" s="62"/>
    </row>
    <row r="703" spans="1:178" ht="13.8">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c r="AY703" s="62"/>
      <c r="AZ703" s="62"/>
      <c r="BA703" s="62"/>
      <c r="BB703" s="62"/>
      <c r="BC703" s="62"/>
      <c r="BD703" s="62"/>
      <c r="BE703" s="62"/>
      <c r="BF703" s="62"/>
      <c r="BG703" s="62"/>
      <c r="BH703" s="62"/>
      <c r="BI703" s="62"/>
      <c r="BJ703" s="62"/>
      <c r="BK703" s="62"/>
      <c r="BL703" s="62"/>
      <c r="BM703" s="62"/>
      <c r="BN703" s="62"/>
      <c r="BO703" s="62"/>
      <c r="BP703" s="62"/>
      <c r="BQ703" s="62"/>
      <c r="BR703" s="62"/>
      <c r="BS703" s="62"/>
      <c r="BT703" s="62"/>
      <c r="BU703" s="62"/>
      <c r="BV703" s="62"/>
      <c r="BW703" s="62"/>
      <c r="BX703" s="62"/>
      <c r="BY703" s="62"/>
      <c r="BZ703" s="62"/>
      <c r="CA703" s="62"/>
      <c r="CB703" s="62"/>
      <c r="CC703" s="62"/>
      <c r="CD703" s="62"/>
      <c r="CE703" s="62"/>
      <c r="CF703" s="62"/>
      <c r="CG703" s="62"/>
      <c r="CH703" s="62"/>
      <c r="CI703" s="62"/>
      <c r="CJ703" s="62"/>
      <c r="CK703" s="62"/>
      <c r="CL703" s="62"/>
      <c r="CM703" s="62"/>
      <c r="CN703" s="62"/>
      <c r="CO703" s="62"/>
      <c r="CP703" s="62"/>
      <c r="CQ703" s="62"/>
      <c r="CR703" s="62"/>
      <c r="CS703" s="62"/>
      <c r="CT703" s="62"/>
      <c r="CU703" s="62"/>
      <c r="CV703" s="62"/>
      <c r="CW703" s="62"/>
      <c r="CX703" s="62"/>
      <c r="CY703" s="62"/>
      <c r="CZ703" s="62"/>
      <c r="DA703" s="62"/>
      <c r="DB703" s="62"/>
      <c r="DC703" s="62"/>
      <c r="DD703" s="62"/>
      <c r="DE703" s="62"/>
      <c r="DF703" s="62"/>
      <c r="DG703" s="62"/>
      <c r="DH703" s="62"/>
      <c r="DI703" s="62"/>
      <c r="DJ703" s="62"/>
      <c r="DK703" s="62"/>
      <c r="DL703" s="62"/>
      <c r="DM703" s="62"/>
      <c r="DN703" s="62"/>
      <c r="DO703" s="62"/>
      <c r="DP703" s="62"/>
      <c r="DQ703" s="62"/>
      <c r="DR703" s="62"/>
      <c r="DS703" s="62"/>
      <c r="DT703" s="62"/>
      <c r="DU703" s="62"/>
      <c r="DV703" s="62"/>
      <c r="DW703" s="62"/>
      <c r="DX703" s="62"/>
      <c r="DY703" s="62"/>
      <c r="DZ703" s="62"/>
      <c r="EA703" s="62"/>
      <c r="EB703" s="62"/>
      <c r="EC703" s="62"/>
      <c r="ED703" s="62"/>
      <c r="EE703" s="62"/>
      <c r="EF703" s="62"/>
      <c r="EG703" s="62"/>
      <c r="EH703" s="62"/>
      <c r="EI703" s="62"/>
      <c r="EJ703" s="62"/>
      <c r="EK703" s="62"/>
      <c r="EL703" s="62"/>
      <c r="EM703" s="62"/>
      <c r="EN703" s="62"/>
      <c r="EO703" s="62"/>
      <c r="EP703" s="62"/>
      <c r="EQ703" s="62"/>
      <c r="ER703" s="62"/>
      <c r="ES703" s="62"/>
      <c r="ET703" s="62"/>
      <c r="EU703" s="62"/>
      <c r="EV703" s="62"/>
      <c r="EW703" s="62"/>
      <c r="EX703" s="62"/>
      <c r="EY703" s="62"/>
      <c r="EZ703" s="62"/>
      <c r="FA703" s="62"/>
      <c r="FB703" s="62"/>
      <c r="FC703" s="62"/>
      <c r="FD703" s="62"/>
      <c r="FE703" s="62"/>
      <c r="FF703" s="62"/>
      <c r="FG703" s="62"/>
      <c r="FH703" s="62"/>
      <c r="FI703" s="62"/>
      <c r="FJ703" s="62"/>
      <c r="FK703" s="62"/>
      <c r="FL703" s="62"/>
      <c r="FM703" s="62"/>
      <c r="FN703" s="62"/>
      <c r="FO703" s="62"/>
      <c r="FP703" s="62"/>
      <c r="FQ703" s="62"/>
      <c r="FR703" s="62"/>
      <c r="FS703" s="62"/>
      <c r="FT703" s="62"/>
      <c r="FU703" s="62"/>
      <c r="FV703" s="62"/>
    </row>
    <row r="704" spans="1:178" ht="13.8">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c r="AY704" s="62"/>
      <c r="AZ704" s="62"/>
      <c r="BA704" s="62"/>
      <c r="BB704" s="62"/>
      <c r="BC704" s="62"/>
      <c r="BD704" s="62"/>
      <c r="BE704" s="62"/>
      <c r="BF704" s="62"/>
      <c r="BG704" s="62"/>
      <c r="BH704" s="62"/>
      <c r="BI704" s="62"/>
      <c r="BJ704" s="62"/>
      <c r="BK704" s="62"/>
      <c r="BL704" s="62"/>
      <c r="BM704" s="62"/>
      <c r="BN704" s="62"/>
      <c r="BO704" s="62"/>
      <c r="BP704" s="62"/>
      <c r="BQ704" s="62"/>
      <c r="BR704" s="62"/>
      <c r="BS704" s="62"/>
      <c r="BT704" s="62"/>
      <c r="BU704" s="62"/>
      <c r="BV704" s="62"/>
      <c r="BW704" s="62"/>
      <c r="BX704" s="62"/>
      <c r="BY704" s="62"/>
      <c r="BZ704" s="62"/>
      <c r="CA704" s="62"/>
      <c r="CB704" s="62"/>
      <c r="CC704" s="62"/>
      <c r="CD704" s="62"/>
      <c r="CE704" s="62"/>
      <c r="CF704" s="62"/>
      <c r="CG704" s="62"/>
      <c r="CH704" s="62"/>
      <c r="CI704" s="62"/>
      <c r="CJ704" s="62"/>
      <c r="CK704" s="62"/>
      <c r="CL704" s="62"/>
      <c r="CM704" s="62"/>
      <c r="CN704" s="62"/>
      <c r="CO704" s="62"/>
      <c r="CP704" s="62"/>
      <c r="CQ704" s="62"/>
      <c r="CR704" s="62"/>
      <c r="CS704" s="62"/>
      <c r="CT704" s="62"/>
      <c r="CU704" s="62"/>
      <c r="CV704" s="62"/>
      <c r="CW704" s="62"/>
      <c r="CX704" s="62"/>
      <c r="CY704" s="62"/>
      <c r="CZ704" s="62"/>
      <c r="DA704" s="62"/>
      <c r="DB704" s="62"/>
      <c r="DC704" s="62"/>
      <c r="DD704" s="62"/>
      <c r="DE704" s="62"/>
      <c r="DF704" s="62"/>
      <c r="DG704" s="62"/>
      <c r="DH704" s="62"/>
      <c r="DI704" s="62"/>
      <c r="DJ704" s="62"/>
      <c r="DK704" s="62"/>
      <c r="DL704" s="62"/>
      <c r="DM704" s="62"/>
      <c r="DN704" s="62"/>
      <c r="DO704" s="62"/>
      <c r="DP704" s="62"/>
      <c r="DQ704" s="62"/>
      <c r="DR704" s="62"/>
      <c r="DS704" s="62"/>
      <c r="DT704" s="62"/>
      <c r="DU704" s="62"/>
      <c r="DV704" s="62"/>
      <c r="DW704" s="62"/>
      <c r="DX704" s="62"/>
      <c r="DY704" s="62"/>
      <c r="DZ704" s="62"/>
      <c r="EA704" s="62"/>
      <c r="EB704" s="62"/>
      <c r="EC704" s="62"/>
      <c r="ED704" s="62"/>
      <c r="EE704" s="62"/>
      <c r="EF704" s="62"/>
      <c r="EG704" s="62"/>
      <c r="EH704" s="62"/>
      <c r="EI704" s="62"/>
      <c r="EJ704" s="62"/>
      <c r="EK704" s="62"/>
      <c r="EL704" s="62"/>
      <c r="EM704" s="62"/>
      <c r="EN704" s="62"/>
      <c r="EO704" s="62"/>
      <c r="EP704" s="62"/>
      <c r="EQ704" s="62"/>
      <c r="ER704" s="62"/>
      <c r="ES704" s="62"/>
      <c r="ET704" s="62"/>
      <c r="EU704" s="62"/>
      <c r="EV704" s="62"/>
      <c r="EW704" s="62"/>
      <c r="EX704" s="62"/>
      <c r="EY704" s="62"/>
      <c r="EZ704" s="62"/>
      <c r="FA704" s="62"/>
      <c r="FB704" s="62"/>
      <c r="FC704" s="62"/>
      <c r="FD704" s="62"/>
      <c r="FE704" s="62"/>
      <c r="FF704" s="62"/>
      <c r="FG704" s="62"/>
      <c r="FH704" s="62"/>
      <c r="FI704" s="62"/>
      <c r="FJ704" s="62"/>
      <c r="FK704" s="62"/>
      <c r="FL704" s="62"/>
      <c r="FM704" s="62"/>
      <c r="FN704" s="62"/>
      <c r="FO704" s="62"/>
      <c r="FP704" s="62"/>
      <c r="FQ704" s="62"/>
      <c r="FR704" s="62"/>
      <c r="FS704" s="62"/>
      <c r="FT704" s="62"/>
      <c r="FU704" s="62"/>
      <c r="FV704" s="62"/>
    </row>
    <row r="705" spans="1:178" ht="13.8">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c r="AY705" s="62"/>
      <c r="AZ705" s="62"/>
      <c r="BA705" s="62"/>
      <c r="BB705" s="62"/>
      <c r="BC705" s="62"/>
      <c r="BD705" s="62"/>
      <c r="BE705" s="62"/>
      <c r="BF705" s="62"/>
      <c r="BG705" s="62"/>
      <c r="BH705" s="62"/>
      <c r="BI705" s="62"/>
      <c r="BJ705" s="62"/>
      <c r="BK705" s="62"/>
      <c r="BL705" s="62"/>
      <c r="BM705" s="62"/>
      <c r="BN705" s="62"/>
      <c r="BO705" s="62"/>
      <c r="BP705" s="62"/>
      <c r="BQ705" s="62"/>
      <c r="BR705" s="62"/>
      <c r="BS705" s="62"/>
      <c r="BT705" s="62"/>
      <c r="BU705" s="62"/>
      <c r="BV705" s="62"/>
      <c r="BW705" s="62"/>
      <c r="BX705" s="62"/>
      <c r="BY705" s="62"/>
      <c r="BZ705" s="62"/>
      <c r="CA705" s="62"/>
      <c r="CB705" s="62"/>
      <c r="CC705" s="62"/>
      <c r="CD705" s="62"/>
      <c r="CE705" s="62"/>
      <c r="CF705" s="62"/>
      <c r="CG705" s="62"/>
      <c r="CH705" s="62"/>
      <c r="CI705" s="62"/>
      <c r="CJ705" s="62"/>
      <c r="CK705" s="62"/>
      <c r="CL705" s="62"/>
      <c r="CM705" s="62"/>
      <c r="CN705" s="62"/>
      <c r="CO705" s="62"/>
      <c r="CP705" s="62"/>
      <c r="CQ705" s="62"/>
      <c r="CR705" s="62"/>
      <c r="CS705" s="62"/>
      <c r="CT705" s="62"/>
      <c r="CU705" s="62"/>
      <c r="CV705" s="62"/>
      <c r="CW705" s="62"/>
      <c r="CX705" s="62"/>
      <c r="CY705" s="62"/>
      <c r="CZ705" s="62"/>
      <c r="DA705" s="62"/>
      <c r="DB705" s="62"/>
      <c r="DC705" s="62"/>
      <c r="DD705" s="62"/>
      <c r="DE705" s="62"/>
      <c r="DF705" s="62"/>
      <c r="DG705" s="62"/>
      <c r="DH705" s="62"/>
      <c r="DI705" s="62"/>
      <c r="DJ705" s="62"/>
      <c r="DK705" s="62"/>
      <c r="DL705" s="62"/>
      <c r="DM705" s="62"/>
      <c r="DN705" s="62"/>
      <c r="DO705" s="62"/>
      <c r="DP705" s="62"/>
      <c r="DQ705" s="62"/>
      <c r="DR705" s="62"/>
      <c r="DS705" s="62"/>
      <c r="DT705" s="62"/>
      <c r="DU705" s="62"/>
      <c r="DV705" s="62"/>
      <c r="DW705" s="62"/>
      <c r="DX705" s="62"/>
      <c r="DY705" s="62"/>
      <c r="DZ705" s="62"/>
      <c r="EA705" s="62"/>
      <c r="EB705" s="62"/>
      <c r="EC705" s="62"/>
      <c r="ED705" s="62"/>
      <c r="EE705" s="62"/>
      <c r="EF705" s="62"/>
      <c r="EG705" s="62"/>
      <c r="EH705" s="62"/>
      <c r="EI705" s="62"/>
      <c r="EJ705" s="62"/>
      <c r="EK705" s="62"/>
      <c r="EL705" s="62"/>
      <c r="EM705" s="62"/>
      <c r="EN705" s="62"/>
      <c r="EO705" s="62"/>
      <c r="EP705" s="62"/>
      <c r="EQ705" s="62"/>
      <c r="ER705" s="62"/>
      <c r="ES705" s="62"/>
      <c r="ET705" s="62"/>
      <c r="EU705" s="62"/>
      <c r="EV705" s="62"/>
      <c r="EW705" s="62"/>
      <c r="EX705" s="62"/>
      <c r="EY705" s="62"/>
      <c r="EZ705" s="62"/>
      <c r="FA705" s="62"/>
      <c r="FB705" s="62"/>
      <c r="FC705" s="62"/>
      <c r="FD705" s="62"/>
      <c r="FE705" s="62"/>
      <c r="FF705" s="62"/>
      <c r="FG705" s="62"/>
      <c r="FH705" s="62"/>
      <c r="FI705" s="62"/>
      <c r="FJ705" s="62"/>
      <c r="FK705" s="62"/>
      <c r="FL705" s="62"/>
      <c r="FM705" s="62"/>
      <c r="FN705" s="62"/>
      <c r="FO705" s="62"/>
      <c r="FP705" s="62"/>
      <c r="FQ705" s="62"/>
      <c r="FR705" s="62"/>
      <c r="FS705" s="62"/>
      <c r="FT705" s="62"/>
      <c r="FU705" s="62"/>
      <c r="FV705" s="62"/>
    </row>
    <row r="706" spans="1:178" ht="13.8">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c r="AY706" s="62"/>
      <c r="AZ706" s="62"/>
      <c r="BA706" s="62"/>
      <c r="BB706" s="62"/>
      <c r="BC706" s="62"/>
      <c r="BD706" s="62"/>
      <c r="BE706" s="62"/>
      <c r="BF706" s="62"/>
      <c r="BG706" s="62"/>
      <c r="BH706" s="62"/>
      <c r="BI706" s="62"/>
      <c r="BJ706" s="62"/>
      <c r="BK706" s="62"/>
      <c r="BL706" s="62"/>
      <c r="BM706" s="62"/>
      <c r="BN706" s="62"/>
      <c r="BO706" s="62"/>
      <c r="BP706" s="62"/>
      <c r="BQ706" s="62"/>
      <c r="BR706" s="62"/>
      <c r="BS706" s="62"/>
      <c r="BT706" s="62"/>
      <c r="BU706" s="62"/>
      <c r="BV706" s="62"/>
      <c r="BW706" s="62"/>
      <c r="BX706" s="62"/>
      <c r="BY706" s="62"/>
      <c r="BZ706" s="62"/>
      <c r="CA706" s="62"/>
      <c r="CB706" s="62"/>
      <c r="CC706" s="62"/>
      <c r="CD706" s="62"/>
      <c r="CE706" s="62"/>
      <c r="CF706" s="62"/>
      <c r="CG706" s="62"/>
      <c r="CH706" s="62"/>
      <c r="CI706" s="62"/>
      <c r="CJ706" s="62"/>
      <c r="CK706" s="62"/>
      <c r="CL706" s="62"/>
      <c r="CM706" s="62"/>
      <c r="CN706" s="62"/>
      <c r="CO706" s="62"/>
      <c r="CP706" s="62"/>
      <c r="CQ706" s="62"/>
      <c r="CR706" s="62"/>
      <c r="CS706" s="62"/>
      <c r="CT706" s="62"/>
      <c r="CU706" s="62"/>
      <c r="CV706" s="62"/>
      <c r="CW706" s="62"/>
      <c r="CX706" s="62"/>
      <c r="CY706" s="62"/>
      <c r="CZ706" s="62"/>
      <c r="DA706" s="62"/>
      <c r="DB706" s="62"/>
      <c r="DC706" s="62"/>
      <c r="DD706" s="62"/>
      <c r="DE706" s="62"/>
      <c r="DF706" s="62"/>
      <c r="DG706" s="62"/>
      <c r="DH706" s="62"/>
      <c r="DI706" s="62"/>
      <c r="DJ706" s="62"/>
      <c r="DK706" s="62"/>
      <c r="DL706" s="62"/>
      <c r="DM706" s="62"/>
      <c r="DN706" s="62"/>
      <c r="DO706" s="62"/>
      <c r="DP706" s="62"/>
      <c r="DQ706" s="62"/>
      <c r="DR706" s="62"/>
      <c r="DS706" s="62"/>
      <c r="DT706" s="62"/>
      <c r="DU706" s="62"/>
      <c r="DV706" s="62"/>
      <c r="DW706" s="62"/>
      <c r="DX706" s="62"/>
      <c r="DY706" s="62"/>
      <c r="DZ706" s="62"/>
      <c r="EA706" s="62"/>
      <c r="EB706" s="62"/>
      <c r="EC706" s="62"/>
      <c r="ED706" s="62"/>
      <c r="EE706" s="62"/>
      <c r="EF706" s="62"/>
      <c r="EG706" s="62"/>
      <c r="EH706" s="62"/>
      <c r="EI706" s="62"/>
      <c r="EJ706" s="62"/>
      <c r="EK706" s="62"/>
      <c r="EL706" s="62"/>
      <c r="EM706" s="62"/>
      <c r="EN706" s="62"/>
      <c r="EO706" s="62"/>
      <c r="EP706" s="62"/>
      <c r="EQ706" s="62"/>
      <c r="ER706" s="62"/>
      <c r="ES706" s="62"/>
      <c r="ET706" s="62"/>
      <c r="EU706" s="62"/>
      <c r="EV706" s="62"/>
      <c r="EW706" s="62"/>
      <c r="EX706" s="62"/>
      <c r="EY706" s="62"/>
      <c r="EZ706" s="62"/>
      <c r="FA706" s="62"/>
      <c r="FB706" s="62"/>
      <c r="FC706" s="62"/>
      <c r="FD706" s="62"/>
      <c r="FE706" s="62"/>
      <c r="FF706" s="62"/>
      <c r="FG706" s="62"/>
      <c r="FH706" s="62"/>
      <c r="FI706" s="62"/>
      <c r="FJ706" s="62"/>
      <c r="FK706" s="62"/>
      <c r="FL706" s="62"/>
      <c r="FM706" s="62"/>
      <c r="FN706" s="62"/>
      <c r="FO706" s="62"/>
      <c r="FP706" s="62"/>
      <c r="FQ706" s="62"/>
      <c r="FR706" s="62"/>
      <c r="FS706" s="62"/>
      <c r="FT706" s="62"/>
      <c r="FU706" s="62"/>
      <c r="FV706" s="62"/>
    </row>
    <row r="707" spans="1:178" ht="13.8">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c r="AY707" s="62"/>
      <c r="AZ707" s="62"/>
      <c r="BA707" s="62"/>
      <c r="BB707" s="62"/>
      <c r="BC707" s="62"/>
      <c r="BD707" s="62"/>
      <c r="BE707" s="62"/>
      <c r="BF707" s="62"/>
      <c r="BG707" s="62"/>
      <c r="BH707" s="62"/>
      <c r="BI707" s="62"/>
      <c r="BJ707" s="62"/>
      <c r="BK707" s="62"/>
      <c r="BL707" s="62"/>
      <c r="BM707" s="62"/>
      <c r="BN707" s="62"/>
      <c r="BO707" s="62"/>
      <c r="BP707" s="62"/>
      <c r="BQ707" s="62"/>
      <c r="BR707" s="62"/>
      <c r="BS707" s="62"/>
      <c r="BT707" s="62"/>
      <c r="BU707" s="62"/>
      <c r="BV707" s="62"/>
      <c r="BW707" s="62"/>
      <c r="BX707" s="62"/>
      <c r="BY707" s="62"/>
      <c r="BZ707" s="62"/>
      <c r="CA707" s="62"/>
      <c r="CB707" s="62"/>
      <c r="CC707" s="62"/>
      <c r="CD707" s="62"/>
      <c r="CE707" s="62"/>
      <c r="CF707" s="62"/>
      <c r="CG707" s="62"/>
      <c r="CH707" s="62"/>
      <c r="CI707" s="62"/>
      <c r="CJ707" s="62"/>
      <c r="CK707" s="62"/>
      <c r="CL707" s="62"/>
      <c r="CM707" s="62"/>
      <c r="CN707" s="62"/>
      <c r="CO707" s="62"/>
      <c r="CP707" s="62"/>
      <c r="CQ707" s="62"/>
      <c r="CR707" s="62"/>
      <c r="CS707" s="62"/>
      <c r="CT707" s="62"/>
      <c r="CU707" s="62"/>
      <c r="CV707" s="62"/>
      <c r="CW707" s="62"/>
      <c r="CX707" s="62"/>
      <c r="CY707" s="62"/>
      <c r="CZ707" s="62"/>
      <c r="DA707" s="62"/>
      <c r="DB707" s="62"/>
      <c r="DC707" s="62"/>
      <c r="DD707" s="62"/>
      <c r="DE707" s="62"/>
      <c r="DF707" s="62"/>
      <c r="DG707" s="62"/>
      <c r="DH707" s="62"/>
      <c r="DI707" s="62"/>
      <c r="DJ707" s="62"/>
      <c r="DK707" s="62"/>
      <c r="DL707" s="62"/>
      <c r="DM707" s="62"/>
      <c r="DN707" s="62"/>
      <c r="DO707" s="62"/>
      <c r="DP707" s="62"/>
      <c r="DQ707" s="62"/>
      <c r="DR707" s="62"/>
      <c r="DS707" s="62"/>
      <c r="DT707" s="62"/>
      <c r="DU707" s="62"/>
      <c r="DV707" s="62"/>
      <c r="DW707" s="62"/>
      <c r="DX707" s="62"/>
      <c r="DY707" s="62"/>
      <c r="DZ707" s="62"/>
      <c r="EA707" s="62"/>
      <c r="EB707" s="62"/>
      <c r="EC707" s="62"/>
      <c r="ED707" s="62"/>
      <c r="EE707" s="62"/>
      <c r="EF707" s="62"/>
      <c r="EG707" s="62"/>
      <c r="EH707" s="62"/>
      <c r="EI707" s="62"/>
      <c r="EJ707" s="62"/>
      <c r="EK707" s="62"/>
      <c r="EL707" s="62"/>
      <c r="EM707" s="62"/>
      <c r="EN707" s="62"/>
      <c r="EO707" s="62"/>
      <c r="EP707" s="62"/>
      <c r="EQ707" s="62"/>
      <c r="ER707" s="62"/>
      <c r="ES707" s="62"/>
      <c r="ET707" s="62"/>
      <c r="EU707" s="62"/>
      <c r="EV707" s="62"/>
      <c r="EW707" s="62"/>
      <c r="EX707" s="62"/>
      <c r="EY707" s="62"/>
      <c r="EZ707" s="62"/>
      <c r="FA707" s="62"/>
      <c r="FB707" s="62"/>
      <c r="FC707" s="62"/>
      <c r="FD707" s="62"/>
      <c r="FE707" s="62"/>
      <c r="FF707" s="62"/>
      <c r="FG707" s="62"/>
      <c r="FH707" s="62"/>
      <c r="FI707" s="62"/>
      <c r="FJ707" s="62"/>
      <c r="FK707" s="62"/>
      <c r="FL707" s="62"/>
      <c r="FM707" s="62"/>
      <c r="FN707" s="62"/>
      <c r="FO707" s="62"/>
      <c r="FP707" s="62"/>
      <c r="FQ707" s="62"/>
      <c r="FR707" s="62"/>
      <c r="FS707" s="62"/>
      <c r="FT707" s="62"/>
      <c r="FU707" s="62"/>
      <c r="FV707" s="62"/>
    </row>
    <row r="708" spans="1:178" ht="13.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c r="AY708" s="62"/>
      <c r="AZ708" s="62"/>
      <c r="BA708" s="62"/>
      <c r="BB708" s="62"/>
      <c r="BC708" s="62"/>
      <c r="BD708" s="62"/>
      <c r="BE708" s="62"/>
      <c r="BF708" s="62"/>
      <c r="BG708" s="62"/>
      <c r="BH708" s="62"/>
      <c r="BI708" s="62"/>
      <c r="BJ708" s="62"/>
      <c r="BK708" s="62"/>
      <c r="BL708" s="62"/>
      <c r="BM708" s="62"/>
      <c r="BN708" s="62"/>
      <c r="BO708" s="62"/>
      <c r="BP708" s="62"/>
      <c r="BQ708" s="62"/>
      <c r="BR708" s="62"/>
      <c r="BS708" s="62"/>
      <c r="BT708" s="62"/>
      <c r="BU708" s="62"/>
      <c r="BV708" s="62"/>
      <c r="BW708" s="62"/>
      <c r="BX708" s="62"/>
      <c r="BY708" s="62"/>
      <c r="BZ708" s="62"/>
      <c r="CA708" s="62"/>
      <c r="CB708" s="62"/>
      <c r="CC708" s="62"/>
      <c r="CD708" s="62"/>
      <c r="CE708" s="62"/>
      <c r="CF708" s="62"/>
      <c r="CG708" s="62"/>
      <c r="CH708" s="62"/>
      <c r="CI708" s="62"/>
      <c r="CJ708" s="62"/>
      <c r="CK708" s="62"/>
      <c r="CL708" s="62"/>
      <c r="CM708" s="62"/>
      <c r="CN708" s="62"/>
      <c r="CO708" s="62"/>
      <c r="CP708" s="62"/>
      <c r="CQ708" s="62"/>
      <c r="CR708" s="62"/>
      <c r="CS708" s="62"/>
      <c r="CT708" s="62"/>
      <c r="CU708" s="62"/>
      <c r="CV708" s="62"/>
      <c r="CW708" s="62"/>
      <c r="CX708" s="62"/>
      <c r="CY708" s="62"/>
      <c r="CZ708" s="62"/>
      <c r="DA708" s="62"/>
      <c r="DB708" s="62"/>
      <c r="DC708" s="62"/>
      <c r="DD708" s="62"/>
      <c r="DE708" s="62"/>
      <c r="DF708" s="62"/>
      <c r="DG708" s="62"/>
      <c r="DH708" s="62"/>
      <c r="DI708" s="62"/>
      <c r="DJ708" s="62"/>
      <c r="DK708" s="62"/>
      <c r="DL708" s="62"/>
      <c r="DM708" s="62"/>
      <c r="DN708" s="62"/>
      <c r="DO708" s="62"/>
      <c r="DP708" s="62"/>
      <c r="DQ708" s="62"/>
      <c r="DR708" s="62"/>
      <c r="DS708" s="62"/>
      <c r="DT708" s="62"/>
      <c r="DU708" s="62"/>
      <c r="DV708" s="62"/>
      <c r="DW708" s="62"/>
      <c r="DX708" s="62"/>
      <c r="DY708" s="62"/>
      <c r="DZ708" s="62"/>
      <c r="EA708" s="62"/>
      <c r="EB708" s="62"/>
      <c r="EC708" s="62"/>
      <c r="ED708" s="62"/>
      <c r="EE708" s="62"/>
      <c r="EF708" s="62"/>
      <c r="EG708" s="62"/>
      <c r="EH708" s="62"/>
      <c r="EI708" s="62"/>
      <c r="EJ708" s="62"/>
      <c r="EK708" s="62"/>
      <c r="EL708" s="62"/>
      <c r="EM708" s="62"/>
      <c r="EN708" s="62"/>
      <c r="EO708" s="62"/>
      <c r="EP708" s="62"/>
      <c r="EQ708" s="62"/>
      <c r="ER708" s="62"/>
      <c r="ES708" s="62"/>
      <c r="ET708" s="62"/>
      <c r="EU708" s="62"/>
      <c r="EV708" s="62"/>
      <c r="EW708" s="62"/>
      <c r="EX708" s="62"/>
      <c r="EY708" s="62"/>
      <c r="EZ708" s="62"/>
      <c r="FA708" s="62"/>
      <c r="FB708" s="62"/>
      <c r="FC708" s="62"/>
      <c r="FD708" s="62"/>
      <c r="FE708" s="62"/>
      <c r="FF708" s="62"/>
      <c r="FG708" s="62"/>
      <c r="FH708" s="62"/>
      <c r="FI708" s="62"/>
      <c r="FJ708" s="62"/>
      <c r="FK708" s="62"/>
      <c r="FL708" s="62"/>
      <c r="FM708" s="62"/>
      <c r="FN708" s="62"/>
      <c r="FO708" s="62"/>
      <c r="FP708" s="62"/>
      <c r="FQ708" s="62"/>
      <c r="FR708" s="62"/>
      <c r="FS708" s="62"/>
      <c r="FT708" s="62"/>
      <c r="FU708" s="62"/>
      <c r="FV708" s="62"/>
    </row>
    <row r="709" spans="1:178" ht="13.8">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c r="AY709" s="62"/>
      <c r="AZ709" s="62"/>
      <c r="BA709" s="62"/>
      <c r="BB709" s="62"/>
      <c r="BC709" s="62"/>
      <c r="BD709" s="62"/>
      <c r="BE709" s="62"/>
      <c r="BF709" s="62"/>
      <c r="BG709" s="62"/>
      <c r="BH709" s="62"/>
      <c r="BI709" s="62"/>
      <c r="BJ709" s="62"/>
      <c r="BK709" s="62"/>
      <c r="BL709" s="62"/>
      <c r="BM709" s="62"/>
      <c r="BN709" s="62"/>
      <c r="BO709" s="62"/>
      <c r="BP709" s="62"/>
      <c r="BQ709" s="62"/>
      <c r="BR709" s="62"/>
      <c r="BS709" s="62"/>
      <c r="BT709" s="62"/>
      <c r="BU709" s="62"/>
      <c r="BV709" s="62"/>
      <c r="BW709" s="62"/>
      <c r="BX709" s="62"/>
      <c r="BY709" s="62"/>
      <c r="BZ709" s="62"/>
      <c r="CA709" s="62"/>
      <c r="CB709" s="62"/>
      <c r="CC709" s="62"/>
      <c r="CD709" s="62"/>
      <c r="CE709" s="62"/>
      <c r="CF709" s="62"/>
      <c r="CG709" s="62"/>
      <c r="CH709" s="62"/>
      <c r="CI709" s="62"/>
      <c r="CJ709" s="62"/>
      <c r="CK709" s="62"/>
      <c r="CL709" s="62"/>
      <c r="CM709" s="62"/>
      <c r="CN709" s="62"/>
      <c r="CO709" s="62"/>
      <c r="CP709" s="62"/>
      <c r="CQ709" s="62"/>
      <c r="CR709" s="62"/>
      <c r="CS709" s="62"/>
      <c r="CT709" s="62"/>
      <c r="CU709" s="62"/>
      <c r="CV709" s="62"/>
      <c r="CW709" s="62"/>
      <c r="CX709" s="62"/>
      <c r="CY709" s="62"/>
      <c r="CZ709" s="62"/>
      <c r="DA709" s="62"/>
      <c r="DB709" s="62"/>
      <c r="DC709" s="62"/>
      <c r="DD709" s="62"/>
      <c r="DE709" s="62"/>
      <c r="DF709" s="62"/>
      <c r="DG709" s="62"/>
      <c r="DH709" s="62"/>
      <c r="DI709" s="62"/>
      <c r="DJ709" s="62"/>
      <c r="DK709" s="62"/>
      <c r="DL709" s="62"/>
      <c r="DM709" s="62"/>
      <c r="DN709" s="62"/>
      <c r="DO709" s="62"/>
      <c r="DP709" s="62"/>
      <c r="DQ709" s="62"/>
      <c r="DR709" s="62"/>
      <c r="DS709" s="62"/>
      <c r="DT709" s="62"/>
      <c r="DU709" s="62"/>
      <c r="DV709" s="62"/>
      <c r="DW709" s="62"/>
      <c r="DX709" s="62"/>
      <c r="DY709" s="62"/>
      <c r="DZ709" s="62"/>
      <c r="EA709" s="62"/>
      <c r="EB709" s="62"/>
      <c r="EC709" s="62"/>
      <c r="ED709" s="62"/>
      <c r="EE709" s="62"/>
      <c r="EF709" s="62"/>
      <c r="EG709" s="62"/>
      <c r="EH709" s="62"/>
      <c r="EI709" s="62"/>
      <c r="EJ709" s="62"/>
      <c r="EK709" s="62"/>
      <c r="EL709" s="62"/>
      <c r="EM709" s="62"/>
      <c r="EN709" s="62"/>
      <c r="EO709" s="62"/>
      <c r="EP709" s="62"/>
      <c r="EQ709" s="62"/>
      <c r="ER709" s="62"/>
      <c r="ES709" s="62"/>
      <c r="ET709" s="62"/>
      <c r="EU709" s="62"/>
      <c r="EV709" s="62"/>
      <c r="EW709" s="62"/>
      <c r="EX709" s="62"/>
      <c r="EY709" s="62"/>
      <c r="EZ709" s="62"/>
      <c r="FA709" s="62"/>
      <c r="FB709" s="62"/>
      <c r="FC709" s="62"/>
      <c r="FD709" s="62"/>
      <c r="FE709" s="62"/>
      <c r="FF709" s="62"/>
      <c r="FG709" s="62"/>
      <c r="FH709" s="62"/>
      <c r="FI709" s="62"/>
      <c r="FJ709" s="62"/>
      <c r="FK709" s="62"/>
      <c r="FL709" s="62"/>
      <c r="FM709" s="62"/>
      <c r="FN709" s="62"/>
      <c r="FO709" s="62"/>
      <c r="FP709" s="62"/>
      <c r="FQ709" s="62"/>
      <c r="FR709" s="62"/>
      <c r="FS709" s="62"/>
      <c r="FT709" s="62"/>
      <c r="FU709" s="62"/>
      <c r="FV709" s="62"/>
    </row>
    <row r="710" spans="1:178" ht="13.8">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c r="AY710" s="62"/>
      <c r="AZ710" s="62"/>
      <c r="BA710" s="62"/>
      <c r="BB710" s="62"/>
      <c r="BC710" s="62"/>
      <c r="BD710" s="62"/>
      <c r="BE710" s="62"/>
      <c r="BF710" s="62"/>
      <c r="BG710" s="62"/>
      <c r="BH710" s="62"/>
      <c r="BI710" s="62"/>
      <c r="BJ710" s="62"/>
      <c r="BK710" s="62"/>
      <c r="BL710" s="62"/>
      <c r="BM710" s="62"/>
      <c r="BN710" s="62"/>
      <c r="BO710" s="62"/>
      <c r="BP710" s="62"/>
      <c r="BQ710" s="62"/>
      <c r="BR710" s="62"/>
      <c r="BS710" s="62"/>
      <c r="BT710" s="62"/>
      <c r="BU710" s="62"/>
      <c r="BV710" s="62"/>
      <c r="BW710" s="62"/>
      <c r="BX710" s="62"/>
      <c r="BY710" s="62"/>
      <c r="BZ710" s="62"/>
      <c r="CA710" s="62"/>
      <c r="CB710" s="62"/>
      <c r="CC710" s="62"/>
      <c r="CD710" s="62"/>
      <c r="CE710" s="62"/>
      <c r="CF710" s="62"/>
      <c r="CG710" s="62"/>
      <c r="CH710" s="62"/>
      <c r="CI710" s="62"/>
      <c r="CJ710" s="62"/>
      <c r="CK710" s="62"/>
      <c r="CL710" s="62"/>
      <c r="CM710" s="62"/>
      <c r="CN710" s="62"/>
      <c r="CO710" s="62"/>
      <c r="CP710" s="62"/>
      <c r="CQ710" s="62"/>
      <c r="CR710" s="62"/>
      <c r="CS710" s="62"/>
      <c r="CT710" s="62"/>
      <c r="CU710" s="62"/>
      <c r="CV710" s="62"/>
      <c r="CW710" s="62"/>
      <c r="CX710" s="62"/>
      <c r="CY710" s="62"/>
      <c r="CZ710" s="62"/>
      <c r="DA710" s="62"/>
      <c r="DB710" s="62"/>
      <c r="DC710" s="62"/>
      <c r="DD710" s="62"/>
      <c r="DE710" s="62"/>
      <c r="DF710" s="62"/>
      <c r="DG710" s="62"/>
      <c r="DH710" s="62"/>
      <c r="DI710" s="62"/>
      <c r="DJ710" s="62"/>
      <c r="DK710" s="62"/>
      <c r="DL710" s="62"/>
      <c r="DM710" s="62"/>
      <c r="DN710" s="62"/>
      <c r="DO710" s="62"/>
      <c r="DP710" s="62"/>
      <c r="DQ710" s="62"/>
      <c r="DR710" s="62"/>
      <c r="DS710" s="62"/>
      <c r="DT710" s="62"/>
      <c r="DU710" s="62"/>
      <c r="DV710" s="62"/>
      <c r="DW710" s="62"/>
      <c r="DX710" s="62"/>
      <c r="DY710" s="62"/>
      <c r="DZ710" s="62"/>
      <c r="EA710" s="62"/>
      <c r="EB710" s="62"/>
      <c r="EC710" s="62"/>
      <c r="ED710" s="62"/>
      <c r="EE710" s="62"/>
      <c r="EF710" s="62"/>
      <c r="EG710" s="62"/>
      <c r="EH710" s="62"/>
      <c r="EI710" s="62"/>
      <c r="EJ710" s="62"/>
      <c r="EK710" s="62"/>
      <c r="EL710" s="62"/>
      <c r="EM710" s="62"/>
      <c r="EN710" s="62"/>
      <c r="EO710" s="62"/>
      <c r="EP710" s="62"/>
      <c r="EQ710" s="62"/>
      <c r="ER710" s="62"/>
      <c r="ES710" s="62"/>
      <c r="ET710" s="62"/>
      <c r="EU710" s="62"/>
      <c r="EV710" s="62"/>
      <c r="EW710" s="62"/>
      <c r="EX710" s="62"/>
      <c r="EY710" s="62"/>
      <c r="EZ710" s="62"/>
      <c r="FA710" s="62"/>
      <c r="FB710" s="62"/>
      <c r="FC710" s="62"/>
      <c r="FD710" s="62"/>
      <c r="FE710" s="62"/>
      <c r="FF710" s="62"/>
      <c r="FG710" s="62"/>
      <c r="FH710" s="62"/>
      <c r="FI710" s="62"/>
      <c r="FJ710" s="62"/>
      <c r="FK710" s="62"/>
      <c r="FL710" s="62"/>
      <c r="FM710" s="62"/>
      <c r="FN710" s="62"/>
      <c r="FO710" s="62"/>
      <c r="FP710" s="62"/>
      <c r="FQ710" s="62"/>
      <c r="FR710" s="62"/>
      <c r="FS710" s="62"/>
      <c r="FT710" s="62"/>
      <c r="FU710" s="62"/>
      <c r="FV710" s="62"/>
    </row>
    <row r="711" spans="1:178" ht="13.8">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c r="AY711" s="62"/>
      <c r="AZ711" s="62"/>
      <c r="BA711" s="62"/>
      <c r="BB711" s="62"/>
      <c r="BC711" s="62"/>
      <c r="BD711" s="62"/>
      <c r="BE711" s="62"/>
      <c r="BF711" s="62"/>
      <c r="BG711" s="62"/>
      <c r="BH711" s="62"/>
      <c r="BI711" s="62"/>
      <c r="BJ711" s="62"/>
      <c r="BK711" s="62"/>
      <c r="BL711" s="62"/>
      <c r="BM711" s="62"/>
      <c r="BN711" s="62"/>
      <c r="BO711" s="62"/>
      <c r="BP711" s="62"/>
      <c r="BQ711" s="62"/>
      <c r="BR711" s="62"/>
      <c r="BS711" s="62"/>
      <c r="BT711" s="62"/>
      <c r="BU711" s="62"/>
      <c r="BV711" s="62"/>
      <c r="BW711" s="62"/>
      <c r="BX711" s="62"/>
      <c r="BY711" s="62"/>
      <c r="BZ711" s="62"/>
      <c r="CA711" s="62"/>
      <c r="CB711" s="62"/>
      <c r="CC711" s="62"/>
      <c r="CD711" s="62"/>
      <c r="CE711" s="62"/>
      <c r="CF711" s="62"/>
      <c r="CG711" s="62"/>
      <c r="CH711" s="62"/>
      <c r="CI711" s="62"/>
      <c r="CJ711" s="62"/>
      <c r="CK711" s="62"/>
      <c r="CL711" s="62"/>
      <c r="CM711" s="62"/>
      <c r="CN711" s="62"/>
      <c r="CO711" s="62"/>
      <c r="CP711" s="62"/>
      <c r="CQ711" s="62"/>
      <c r="CR711" s="62"/>
      <c r="CS711" s="62"/>
      <c r="CT711" s="62"/>
      <c r="CU711" s="62"/>
      <c r="CV711" s="62"/>
      <c r="CW711" s="62"/>
      <c r="CX711" s="62"/>
      <c r="CY711" s="62"/>
      <c r="CZ711" s="62"/>
      <c r="DA711" s="62"/>
      <c r="DB711" s="62"/>
      <c r="DC711" s="62"/>
      <c r="DD711" s="62"/>
      <c r="DE711" s="62"/>
      <c r="DF711" s="62"/>
      <c r="DG711" s="62"/>
      <c r="DH711" s="62"/>
      <c r="DI711" s="62"/>
      <c r="DJ711" s="62"/>
      <c r="DK711" s="62"/>
      <c r="DL711" s="62"/>
      <c r="DM711" s="62"/>
      <c r="DN711" s="62"/>
      <c r="DO711" s="62"/>
      <c r="DP711" s="62"/>
      <c r="DQ711" s="62"/>
      <c r="DR711" s="62"/>
      <c r="DS711" s="62"/>
      <c r="DT711" s="62"/>
      <c r="DU711" s="62"/>
      <c r="DV711" s="62"/>
      <c r="DW711" s="62"/>
      <c r="DX711" s="62"/>
      <c r="DY711" s="62"/>
      <c r="DZ711" s="62"/>
      <c r="EA711" s="62"/>
      <c r="EB711" s="62"/>
      <c r="EC711" s="62"/>
      <c r="ED711" s="62"/>
      <c r="EE711" s="62"/>
      <c r="EF711" s="62"/>
      <c r="EG711" s="62"/>
      <c r="EH711" s="62"/>
      <c r="EI711" s="62"/>
      <c r="EJ711" s="62"/>
      <c r="EK711" s="62"/>
      <c r="EL711" s="62"/>
      <c r="EM711" s="62"/>
      <c r="EN711" s="62"/>
      <c r="EO711" s="62"/>
      <c r="EP711" s="62"/>
      <c r="EQ711" s="62"/>
      <c r="ER711" s="62"/>
      <c r="ES711" s="62"/>
      <c r="ET711" s="62"/>
      <c r="EU711" s="62"/>
      <c r="EV711" s="62"/>
      <c r="EW711" s="62"/>
      <c r="EX711" s="62"/>
      <c r="EY711" s="62"/>
      <c r="EZ711" s="62"/>
      <c r="FA711" s="62"/>
      <c r="FB711" s="62"/>
      <c r="FC711" s="62"/>
      <c r="FD711" s="62"/>
      <c r="FE711" s="62"/>
      <c r="FF711" s="62"/>
      <c r="FG711" s="62"/>
      <c r="FH711" s="62"/>
      <c r="FI711" s="62"/>
      <c r="FJ711" s="62"/>
      <c r="FK711" s="62"/>
      <c r="FL711" s="62"/>
      <c r="FM711" s="62"/>
      <c r="FN711" s="62"/>
      <c r="FO711" s="62"/>
      <c r="FP711" s="62"/>
      <c r="FQ711" s="62"/>
      <c r="FR711" s="62"/>
      <c r="FS711" s="62"/>
      <c r="FT711" s="62"/>
      <c r="FU711" s="62"/>
      <c r="FV711" s="62"/>
    </row>
    <row r="712" spans="1:178" ht="13.8">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c r="AY712" s="62"/>
      <c r="AZ712" s="62"/>
      <c r="BA712" s="62"/>
      <c r="BB712" s="62"/>
      <c r="BC712" s="62"/>
      <c r="BD712" s="62"/>
      <c r="BE712" s="62"/>
      <c r="BF712" s="62"/>
      <c r="BG712" s="62"/>
      <c r="BH712" s="62"/>
      <c r="BI712" s="62"/>
      <c r="BJ712" s="62"/>
      <c r="BK712" s="62"/>
      <c r="BL712" s="62"/>
      <c r="BM712" s="62"/>
      <c r="BN712" s="62"/>
      <c r="BO712" s="62"/>
      <c r="BP712" s="62"/>
      <c r="BQ712" s="62"/>
      <c r="BR712" s="62"/>
      <c r="BS712" s="62"/>
      <c r="BT712" s="62"/>
      <c r="BU712" s="62"/>
      <c r="BV712" s="62"/>
      <c r="BW712" s="62"/>
      <c r="BX712" s="62"/>
      <c r="BY712" s="62"/>
      <c r="BZ712" s="62"/>
      <c r="CA712" s="62"/>
      <c r="CB712" s="62"/>
      <c r="CC712" s="62"/>
      <c r="CD712" s="62"/>
      <c r="CE712" s="62"/>
      <c r="CF712" s="62"/>
      <c r="CG712" s="62"/>
      <c r="CH712" s="62"/>
      <c r="CI712" s="62"/>
      <c r="CJ712" s="62"/>
      <c r="CK712" s="62"/>
      <c r="CL712" s="62"/>
      <c r="CM712" s="62"/>
      <c r="CN712" s="62"/>
      <c r="CO712" s="62"/>
      <c r="CP712" s="62"/>
      <c r="CQ712" s="62"/>
      <c r="CR712" s="62"/>
      <c r="CS712" s="62"/>
      <c r="CT712" s="62"/>
      <c r="CU712" s="62"/>
      <c r="CV712" s="62"/>
      <c r="CW712" s="62"/>
      <c r="CX712" s="62"/>
      <c r="CY712" s="62"/>
      <c r="CZ712" s="62"/>
      <c r="DA712" s="62"/>
      <c r="DB712" s="62"/>
      <c r="DC712" s="62"/>
      <c r="DD712" s="62"/>
      <c r="DE712" s="62"/>
      <c r="DF712" s="62"/>
      <c r="DG712" s="62"/>
      <c r="DH712" s="62"/>
      <c r="DI712" s="62"/>
      <c r="DJ712" s="62"/>
      <c r="DK712" s="62"/>
      <c r="DL712" s="62"/>
      <c r="DM712" s="62"/>
      <c r="DN712" s="62"/>
      <c r="DO712" s="62"/>
      <c r="DP712" s="62"/>
      <c r="DQ712" s="62"/>
      <c r="DR712" s="62"/>
      <c r="DS712" s="62"/>
      <c r="DT712" s="62"/>
      <c r="DU712" s="62"/>
      <c r="DV712" s="62"/>
      <c r="DW712" s="62"/>
      <c r="DX712" s="62"/>
      <c r="DY712" s="62"/>
      <c r="DZ712" s="62"/>
      <c r="EA712" s="62"/>
      <c r="EB712" s="62"/>
      <c r="EC712" s="62"/>
      <c r="ED712" s="62"/>
      <c r="EE712" s="62"/>
      <c r="EF712" s="62"/>
      <c r="EG712" s="62"/>
      <c r="EH712" s="62"/>
      <c r="EI712" s="62"/>
      <c r="EJ712" s="62"/>
      <c r="EK712" s="62"/>
      <c r="EL712" s="62"/>
      <c r="EM712" s="62"/>
      <c r="EN712" s="62"/>
      <c r="EO712" s="62"/>
      <c r="EP712" s="62"/>
      <c r="EQ712" s="62"/>
      <c r="ER712" s="62"/>
      <c r="ES712" s="62"/>
      <c r="ET712" s="62"/>
      <c r="EU712" s="62"/>
      <c r="EV712" s="62"/>
      <c r="EW712" s="62"/>
      <c r="EX712" s="62"/>
      <c r="EY712" s="62"/>
      <c r="EZ712" s="62"/>
      <c r="FA712" s="62"/>
      <c r="FB712" s="62"/>
      <c r="FC712" s="62"/>
      <c r="FD712" s="62"/>
      <c r="FE712" s="62"/>
      <c r="FF712" s="62"/>
      <c r="FG712" s="62"/>
      <c r="FH712" s="62"/>
      <c r="FI712" s="62"/>
      <c r="FJ712" s="62"/>
      <c r="FK712" s="62"/>
      <c r="FL712" s="62"/>
      <c r="FM712" s="62"/>
      <c r="FN712" s="62"/>
      <c r="FO712" s="62"/>
      <c r="FP712" s="62"/>
      <c r="FQ712" s="62"/>
      <c r="FR712" s="62"/>
      <c r="FS712" s="62"/>
      <c r="FT712" s="62"/>
      <c r="FU712" s="62"/>
      <c r="FV712" s="62"/>
    </row>
    <row r="713" spans="1:178" ht="13.8">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c r="AY713" s="62"/>
      <c r="AZ713" s="62"/>
      <c r="BA713" s="62"/>
      <c r="BB713" s="62"/>
      <c r="BC713" s="62"/>
      <c r="BD713" s="62"/>
      <c r="BE713" s="62"/>
      <c r="BF713" s="62"/>
      <c r="BG713" s="62"/>
      <c r="BH713" s="62"/>
      <c r="BI713" s="62"/>
      <c r="BJ713" s="62"/>
      <c r="BK713" s="62"/>
      <c r="BL713" s="62"/>
      <c r="BM713" s="62"/>
      <c r="BN713" s="62"/>
      <c r="BO713" s="62"/>
      <c r="BP713" s="62"/>
      <c r="BQ713" s="62"/>
      <c r="BR713" s="62"/>
      <c r="BS713" s="62"/>
      <c r="BT713" s="62"/>
      <c r="BU713" s="62"/>
      <c r="BV713" s="62"/>
      <c r="BW713" s="62"/>
      <c r="BX713" s="62"/>
      <c r="BY713" s="62"/>
      <c r="BZ713" s="62"/>
      <c r="CA713" s="62"/>
      <c r="CB713" s="62"/>
      <c r="CC713" s="62"/>
      <c r="CD713" s="62"/>
      <c r="CE713" s="62"/>
      <c r="CF713" s="62"/>
      <c r="CG713" s="62"/>
      <c r="CH713" s="62"/>
      <c r="CI713" s="62"/>
      <c r="CJ713" s="62"/>
      <c r="CK713" s="62"/>
      <c r="CL713" s="62"/>
      <c r="CM713" s="62"/>
      <c r="CN713" s="62"/>
      <c r="CO713" s="62"/>
      <c r="CP713" s="62"/>
      <c r="CQ713" s="62"/>
      <c r="CR713" s="62"/>
      <c r="CS713" s="62"/>
      <c r="CT713" s="62"/>
      <c r="CU713" s="62"/>
      <c r="CV713" s="62"/>
      <c r="CW713" s="62"/>
      <c r="CX713" s="62"/>
      <c r="CY713" s="62"/>
      <c r="CZ713" s="62"/>
      <c r="DA713" s="62"/>
      <c r="DB713" s="62"/>
      <c r="DC713" s="62"/>
      <c r="DD713" s="62"/>
      <c r="DE713" s="62"/>
      <c r="DF713" s="62"/>
      <c r="DG713" s="62"/>
      <c r="DH713" s="62"/>
      <c r="DI713" s="62"/>
      <c r="DJ713" s="62"/>
      <c r="DK713" s="62"/>
      <c r="DL713" s="62"/>
      <c r="DM713" s="62"/>
      <c r="DN713" s="62"/>
      <c r="DO713" s="62"/>
      <c r="DP713" s="62"/>
      <c r="DQ713" s="62"/>
      <c r="DR713" s="62"/>
      <c r="DS713" s="62"/>
      <c r="DT713" s="62"/>
      <c r="DU713" s="62"/>
      <c r="DV713" s="62"/>
      <c r="DW713" s="62"/>
      <c r="DX713" s="62"/>
      <c r="DY713" s="62"/>
      <c r="DZ713" s="62"/>
      <c r="EA713" s="62"/>
      <c r="EB713" s="62"/>
      <c r="EC713" s="62"/>
      <c r="ED713" s="62"/>
      <c r="EE713" s="62"/>
      <c r="EF713" s="62"/>
      <c r="EG713" s="62"/>
      <c r="EH713" s="62"/>
      <c r="EI713" s="62"/>
      <c r="EJ713" s="62"/>
      <c r="EK713" s="62"/>
      <c r="EL713" s="62"/>
      <c r="EM713" s="62"/>
      <c r="EN713" s="62"/>
      <c r="EO713" s="62"/>
      <c r="EP713" s="62"/>
      <c r="EQ713" s="62"/>
      <c r="ER713" s="62"/>
      <c r="ES713" s="62"/>
      <c r="ET713" s="62"/>
      <c r="EU713" s="62"/>
      <c r="EV713" s="62"/>
      <c r="EW713" s="62"/>
      <c r="EX713" s="62"/>
      <c r="EY713" s="62"/>
      <c r="EZ713" s="62"/>
      <c r="FA713" s="62"/>
      <c r="FB713" s="62"/>
      <c r="FC713" s="62"/>
      <c r="FD713" s="62"/>
      <c r="FE713" s="62"/>
      <c r="FF713" s="62"/>
      <c r="FG713" s="62"/>
      <c r="FH713" s="62"/>
      <c r="FI713" s="62"/>
      <c r="FJ713" s="62"/>
      <c r="FK713" s="62"/>
      <c r="FL713" s="62"/>
      <c r="FM713" s="62"/>
      <c r="FN713" s="62"/>
      <c r="FO713" s="62"/>
      <c r="FP713" s="62"/>
      <c r="FQ713" s="62"/>
      <c r="FR713" s="62"/>
      <c r="FS713" s="62"/>
      <c r="FT713" s="62"/>
      <c r="FU713" s="62"/>
      <c r="FV713" s="62"/>
    </row>
    <row r="714" spans="1:178" ht="13.8">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c r="AY714" s="62"/>
      <c r="AZ714" s="62"/>
      <c r="BA714" s="62"/>
      <c r="BB714" s="62"/>
      <c r="BC714" s="62"/>
      <c r="BD714" s="62"/>
      <c r="BE714" s="62"/>
      <c r="BF714" s="62"/>
      <c r="BG714" s="62"/>
      <c r="BH714" s="62"/>
      <c r="BI714" s="62"/>
      <c r="BJ714" s="62"/>
      <c r="BK714" s="62"/>
      <c r="BL714" s="62"/>
      <c r="BM714" s="62"/>
      <c r="BN714" s="62"/>
      <c r="BO714" s="62"/>
      <c r="BP714" s="62"/>
      <c r="BQ714" s="62"/>
      <c r="BR714" s="62"/>
      <c r="BS714" s="62"/>
      <c r="BT714" s="62"/>
      <c r="BU714" s="62"/>
      <c r="BV714" s="62"/>
      <c r="BW714" s="62"/>
      <c r="BX714" s="62"/>
      <c r="BY714" s="62"/>
      <c r="BZ714" s="62"/>
      <c r="CA714" s="62"/>
      <c r="CB714" s="62"/>
      <c r="CC714" s="62"/>
      <c r="CD714" s="62"/>
      <c r="CE714" s="62"/>
      <c r="CF714" s="62"/>
      <c r="CG714" s="62"/>
      <c r="CH714" s="62"/>
      <c r="CI714" s="62"/>
      <c r="CJ714" s="62"/>
      <c r="CK714" s="62"/>
      <c r="CL714" s="62"/>
      <c r="CM714" s="62"/>
      <c r="CN714" s="62"/>
      <c r="CO714" s="62"/>
      <c r="CP714" s="62"/>
      <c r="CQ714" s="62"/>
      <c r="CR714" s="62"/>
      <c r="CS714" s="62"/>
      <c r="CT714" s="62"/>
      <c r="CU714" s="62"/>
      <c r="CV714" s="62"/>
      <c r="CW714" s="62"/>
      <c r="CX714" s="62"/>
      <c r="CY714" s="62"/>
      <c r="CZ714" s="62"/>
      <c r="DA714" s="62"/>
      <c r="DB714" s="62"/>
      <c r="DC714" s="62"/>
      <c r="DD714" s="62"/>
      <c r="DE714" s="62"/>
      <c r="DF714" s="62"/>
      <c r="DG714" s="62"/>
      <c r="DH714" s="62"/>
      <c r="DI714" s="62"/>
      <c r="DJ714" s="62"/>
      <c r="DK714" s="62"/>
      <c r="DL714" s="62"/>
      <c r="DM714" s="62"/>
      <c r="DN714" s="62"/>
      <c r="DO714" s="62"/>
      <c r="DP714" s="62"/>
      <c r="DQ714" s="62"/>
      <c r="DR714" s="62"/>
      <c r="DS714" s="62"/>
      <c r="DT714" s="62"/>
      <c r="DU714" s="62"/>
      <c r="DV714" s="62"/>
      <c r="DW714" s="62"/>
      <c r="DX714" s="62"/>
      <c r="DY714" s="62"/>
      <c r="DZ714" s="62"/>
      <c r="EA714" s="62"/>
      <c r="EB714" s="62"/>
      <c r="EC714" s="62"/>
      <c r="ED714" s="62"/>
      <c r="EE714" s="62"/>
      <c r="EF714" s="62"/>
      <c r="EG714" s="62"/>
      <c r="EH714" s="62"/>
      <c r="EI714" s="62"/>
      <c r="EJ714" s="62"/>
      <c r="EK714" s="62"/>
      <c r="EL714" s="62"/>
      <c r="EM714" s="62"/>
      <c r="EN714" s="62"/>
      <c r="EO714" s="62"/>
      <c r="EP714" s="62"/>
      <c r="EQ714" s="62"/>
      <c r="ER714" s="62"/>
      <c r="ES714" s="62"/>
      <c r="ET714" s="62"/>
      <c r="EU714" s="62"/>
      <c r="EV714" s="62"/>
      <c r="EW714" s="62"/>
      <c r="EX714" s="62"/>
      <c r="EY714" s="62"/>
      <c r="EZ714" s="62"/>
      <c r="FA714" s="62"/>
      <c r="FB714" s="62"/>
      <c r="FC714" s="62"/>
      <c r="FD714" s="62"/>
      <c r="FE714" s="62"/>
      <c r="FF714" s="62"/>
      <c r="FG714" s="62"/>
      <c r="FH714" s="62"/>
      <c r="FI714" s="62"/>
      <c r="FJ714" s="62"/>
      <c r="FK714" s="62"/>
      <c r="FL714" s="62"/>
      <c r="FM714" s="62"/>
      <c r="FN714" s="62"/>
      <c r="FO714" s="62"/>
      <c r="FP714" s="62"/>
      <c r="FQ714" s="62"/>
      <c r="FR714" s="62"/>
      <c r="FS714" s="62"/>
      <c r="FT714" s="62"/>
      <c r="FU714" s="62"/>
      <c r="FV714" s="62"/>
    </row>
    <row r="715" spans="1:178" ht="13.8">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c r="AY715" s="62"/>
      <c r="AZ715" s="62"/>
      <c r="BA715" s="62"/>
      <c r="BB715" s="62"/>
      <c r="BC715" s="62"/>
      <c r="BD715" s="62"/>
      <c r="BE715" s="62"/>
      <c r="BF715" s="62"/>
      <c r="BG715" s="62"/>
      <c r="BH715" s="62"/>
      <c r="BI715" s="62"/>
      <c r="BJ715" s="62"/>
      <c r="BK715" s="62"/>
      <c r="BL715" s="62"/>
      <c r="BM715" s="62"/>
      <c r="BN715" s="62"/>
      <c r="BO715" s="62"/>
      <c r="BP715" s="62"/>
      <c r="BQ715" s="62"/>
      <c r="BR715" s="62"/>
      <c r="BS715" s="62"/>
      <c r="BT715" s="62"/>
      <c r="BU715" s="62"/>
      <c r="BV715" s="62"/>
      <c r="BW715" s="62"/>
      <c r="BX715" s="62"/>
      <c r="BY715" s="62"/>
      <c r="BZ715" s="62"/>
      <c r="CA715" s="62"/>
      <c r="CB715" s="62"/>
      <c r="CC715" s="62"/>
      <c r="CD715" s="62"/>
      <c r="CE715" s="62"/>
      <c r="CF715" s="62"/>
      <c r="CG715" s="62"/>
      <c r="CH715" s="62"/>
      <c r="CI715" s="62"/>
      <c r="CJ715" s="62"/>
      <c r="CK715" s="62"/>
      <c r="CL715" s="62"/>
      <c r="CM715" s="62"/>
      <c r="CN715" s="62"/>
      <c r="CO715" s="62"/>
      <c r="CP715" s="62"/>
      <c r="CQ715" s="62"/>
      <c r="CR715" s="62"/>
      <c r="CS715" s="62"/>
      <c r="CT715" s="62"/>
      <c r="CU715" s="62"/>
      <c r="CV715" s="62"/>
      <c r="CW715" s="62"/>
      <c r="CX715" s="62"/>
      <c r="CY715" s="62"/>
      <c r="CZ715" s="62"/>
      <c r="DA715" s="62"/>
      <c r="DB715" s="62"/>
      <c r="DC715" s="62"/>
      <c r="DD715" s="62"/>
      <c r="DE715" s="62"/>
      <c r="DF715" s="62"/>
      <c r="DG715" s="62"/>
      <c r="DH715" s="62"/>
      <c r="DI715" s="62"/>
      <c r="DJ715" s="62"/>
      <c r="DK715" s="62"/>
      <c r="DL715" s="62"/>
      <c r="DM715" s="62"/>
      <c r="DN715" s="62"/>
      <c r="DO715" s="62"/>
      <c r="DP715" s="62"/>
      <c r="DQ715" s="62"/>
      <c r="DR715" s="62"/>
      <c r="DS715" s="62"/>
      <c r="DT715" s="62"/>
      <c r="DU715" s="62"/>
      <c r="DV715" s="62"/>
      <c r="DW715" s="62"/>
      <c r="DX715" s="62"/>
      <c r="DY715" s="62"/>
      <c r="DZ715" s="62"/>
      <c r="EA715" s="62"/>
      <c r="EB715" s="62"/>
      <c r="EC715" s="62"/>
      <c r="ED715" s="62"/>
      <c r="EE715" s="62"/>
      <c r="EF715" s="62"/>
      <c r="EG715" s="62"/>
      <c r="EH715" s="62"/>
      <c r="EI715" s="62"/>
      <c r="EJ715" s="62"/>
      <c r="EK715" s="62"/>
      <c r="EL715" s="62"/>
      <c r="EM715" s="62"/>
      <c r="EN715" s="62"/>
      <c r="EO715" s="62"/>
      <c r="EP715" s="62"/>
      <c r="EQ715" s="62"/>
      <c r="ER715" s="62"/>
      <c r="ES715" s="62"/>
      <c r="ET715" s="62"/>
      <c r="EU715" s="62"/>
      <c r="EV715" s="62"/>
      <c r="EW715" s="62"/>
      <c r="EX715" s="62"/>
      <c r="EY715" s="62"/>
      <c r="EZ715" s="62"/>
      <c r="FA715" s="62"/>
      <c r="FB715" s="62"/>
      <c r="FC715" s="62"/>
      <c r="FD715" s="62"/>
      <c r="FE715" s="62"/>
      <c r="FF715" s="62"/>
      <c r="FG715" s="62"/>
      <c r="FH715" s="62"/>
      <c r="FI715" s="62"/>
      <c r="FJ715" s="62"/>
      <c r="FK715" s="62"/>
      <c r="FL715" s="62"/>
      <c r="FM715" s="62"/>
      <c r="FN715" s="62"/>
      <c r="FO715" s="62"/>
      <c r="FP715" s="62"/>
      <c r="FQ715" s="62"/>
      <c r="FR715" s="62"/>
      <c r="FS715" s="62"/>
      <c r="FT715" s="62"/>
      <c r="FU715" s="62"/>
      <c r="FV715" s="62"/>
    </row>
    <row r="716" spans="1:178" ht="13.8">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c r="AY716" s="62"/>
      <c r="AZ716" s="62"/>
      <c r="BA716" s="62"/>
      <c r="BB716" s="62"/>
      <c r="BC716" s="62"/>
      <c r="BD716" s="62"/>
      <c r="BE716" s="62"/>
      <c r="BF716" s="62"/>
      <c r="BG716" s="62"/>
      <c r="BH716" s="62"/>
      <c r="BI716" s="62"/>
      <c r="BJ716" s="62"/>
      <c r="BK716" s="62"/>
      <c r="BL716" s="62"/>
      <c r="BM716" s="62"/>
      <c r="BN716" s="62"/>
      <c r="BO716" s="62"/>
      <c r="BP716" s="62"/>
      <c r="BQ716" s="62"/>
      <c r="BR716" s="62"/>
      <c r="BS716" s="62"/>
      <c r="BT716" s="62"/>
      <c r="BU716" s="62"/>
      <c r="BV716" s="62"/>
      <c r="BW716" s="62"/>
      <c r="BX716" s="62"/>
      <c r="BY716" s="62"/>
      <c r="BZ716" s="62"/>
      <c r="CA716" s="62"/>
      <c r="CB716" s="62"/>
      <c r="CC716" s="62"/>
      <c r="CD716" s="62"/>
      <c r="CE716" s="62"/>
      <c r="CF716" s="62"/>
      <c r="CG716" s="62"/>
      <c r="CH716" s="62"/>
      <c r="CI716" s="62"/>
      <c r="CJ716" s="62"/>
      <c r="CK716" s="62"/>
      <c r="CL716" s="62"/>
      <c r="CM716" s="62"/>
      <c r="CN716" s="62"/>
      <c r="CO716" s="62"/>
      <c r="CP716" s="62"/>
      <c r="CQ716" s="62"/>
      <c r="CR716" s="62"/>
      <c r="CS716" s="62"/>
      <c r="CT716" s="62"/>
      <c r="CU716" s="62"/>
      <c r="CV716" s="62"/>
      <c r="CW716" s="62"/>
      <c r="CX716" s="62"/>
      <c r="CY716" s="62"/>
      <c r="CZ716" s="62"/>
      <c r="DA716" s="62"/>
      <c r="DB716" s="62"/>
      <c r="DC716" s="62"/>
      <c r="DD716" s="62"/>
      <c r="DE716" s="62"/>
      <c r="DF716" s="62"/>
      <c r="DG716" s="62"/>
      <c r="DH716" s="62"/>
      <c r="DI716" s="62"/>
      <c r="DJ716" s="62"/>
      <c r="DK716" s="62"/>
      <c r="DL716" s="62"/>
      <c r="DM716" s="62"/>
      <c r="DN716" s="62"/>
      <c r="DO716" s="62"/>
      <c r="DP716" s="62"/>
      <c r="DQ716" s="62"/>
      <c r="DR716" s="62"/>
      <c r="DS716" s="62"/>
      <c r="DT716" s="62"/>
      <c r="DU716" s="62"/>
      <c r="DV716" s="62"/>
      <c r="DW716" s="62"/>
      <c r="DX716" s="62"/>
      <c r="DY716" s="62"/>
      <c r="DZ716" s="62"/>
      <c r="EA716" s="62"/>
      <c r="EB716" s="62"/>
      <c r="EC716" s="62"/>
      <c r="ED716" s="62"/>
      <c r="EE716" s="62"/>
      <c r="EF716" s="62"/>
      <c r="EG716" s="62"/>
      <c r="EH716" s="62"/>
      <c r="EI716" s="62"/>
      <c r="EJ716" s="62"/>
      <c r="EK716" s="62"/>
      <c r="EL716" s="62"/>
      <c r="EM716" s="62"/>
      <c r="EN716" s="62"/>
      <c r="EO716" s="62"/>
      <c r="EP716" s="62"/>
      <c r="EQ716" s="62"/>
      <c r="ER716" s="62"/>
      <c r="ES716" s="62"/>
      <c r="ET716" s="62"/>
      <c r="EU716" s="62"/>
      <c r="EV716" s="62"/>
      <c r="EW716" s="62"/>
      <c r="EX716" s="62"/>
      <c r="EY716" s="62"/>
      <c r="EZ716" s="62"/>
      <c r="FA716" s="62"/>
      <c r="FB716" s="62"/>
      <c r="FC716" s="62"/>
      <c r="FD716" s="62"/>
      <c r="FE716" s="62"/>
      <c r="FF716" s="62"/>
      <c r="FG716" s="62"/>
      <c r="FH716" s="62"/>
      <c r="FI716" s="62"/>
      <c r="FJ716" s="62"/>
      <c r="FK716" s="62"/>
      <c r="FL716" s="62"/>
      <c r="FM716" s="62"/>
      <c r="FN716" s="62"/>
      <c r="FO716" s="62"/>
      <c r="FP716" s="62"/>
      <c r="FQ716" s="62"/>
      <c r="FR716" s="62"/>
      <c r="FS716" s="62"/>
      <c r="FT716" s="62"/>
      <c r="FU716" s="62"/>
      <c r="FV716" s="62"/>
    </row>
    <row r="717" spans="1:178" ht="13.8">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c r="AY717" s="62"/>
      <c r="AZ717" s="62"/>
      <c r="BA717" s="62"/>
      <c r="BB717" s="62"/>
      <c r="BC717" s="62"/>
      <c r="BD717" s="62"/>
      <c r="BE717" s="62"/>
      <c r="BF717" s="62"/>
      <c r="BG717" s="62"/>
      <c r="BH717" s="62"/>
      <c r="BI717" s="62"/>
      <c r="BJ717" s="62"/>
      <c r="BK717" s="62"/>
      <c r="BL717" s="62"/>
      <c r="BM717" s="62"/>
      <c r="BN717" s="62"/>
      <c r="BO717" s="62"/>
      <c r="BP717" s="62"/>
      <c r="BQ717" s="62"/>
      <c r="BR717" s="62"/>
      <c r="BS717" s="62"/>
      <c r="BT717" s="62"/>
      <c r="BU717" s="62"/>
      <c r="BV717" s="62"/>
      <c r="BW717" s="62"/>
      <c r="BX717" s="62"/>
      <c r="BY717" s="62"/>
      <c r="BZ717" s="62"/>
      <c r="CA717" s="62"/>
      <c r="CB717" s="62"/>
      <c r="CC717" s="62"/>
      <c r="CD717" s="62"/>
      <c r="CE717" s="62"/>
      <c r="CF717" s="62"/>
      <c r="CG717" s="62"/>
      <c r="CH717" s="62"/>
      <c r="CI717" s="62"/>
      <c r="CJ717" s="62"/>
      <c r="CK717" s="62"/>
      <c r="CL717" s="62"/>
      <c r="CM717" s="62"/>
      <c r="CN717" s="62"/>
      <c r="CO717" s="62"/>
      <c r="CP717" s="62"/>
      <c r="CQ717" s="62"/>
      <c r="CR717" s="62"/>
      <c r="CS717" s="62"/>
      <c r="CT717" s="62"/>
      <c r="CU717" s="62"/>
      <c r="CV717" s="62"/>
      <c r="CW717" s="62"/>
      <c r="CX717" s="62"/>
      <c r="CY717" s="62"/>
      <c r="CZ717" s="62"/>
      <c r="DA717" s="62"/>
      <c r="DB717" s="62"/>
      <c r="DC717" s="62"/>
      <c r="DD717" s="62"/>
      <c r="DE717" s="62"/>
      <c r="DF717" s="62"/>
      <c r="DG717" s="62"/>
      <c r="DH717" s="62"/>
      <c r="DI717" s="62"/>
      <c r="DJ717" s="62"/>
      <c r="DK717" s="62"/>
      <c r="DL717" s="62"/>
      <c r="DM717" s="62"/>
      <c r="DN717" s="62"/>
      <c r="DO717" s="62"/>
      <c r="DP717" s="62"/>
      <c r="DQ717" s="62"/>
      <c r="DR717" s="62"/>
      <c r="DS717" s="62"/>
      <c r="DT717" s="62"/>
      <c r="DU717" s="62"/>
      <c r="DV717" s="62"/>
      <c r="DW717" s="62"/>
      <c r="DX717" s="62"/>
      <c r="DY717" s="62"/>
      <c r="DZ717" s="62"/>
      <c r="EA717" s="62"/>
      <c r="EB717" s="62"/>
      <c r="EC717" s="62"/>
      <c r="ED717" s="62"/>
      <c r="EE717" s="62"/>
      <c r="EF717" s="62"/>
      <c r="EG717" s="62"/>
      <c r="EH717" s="62"/>
      <c r="EI717" s="62"/>
      <c r="EJ717" s="62"/>
      <c r="EK717" s="62"/>
      <c r="EL717" s="62"/>
      <c r="EM717" s="62"/>
      <c r="EN717" s="62"/>
      <c r="EO717" s="62"/>
      <c r="EP717" s="62"/>
      <c r="EQ717" s="62"/>
      <c r="ER717" s="62"/>
      <c r="ES717" s="62"/>
      <c r="ET717" s="62"/>
      <c r="EU717" s="62"/>
      <c r="EV717" s="62"/>
      <c r="EW717" s="62"/>
      <c r="EX717" s="62"/>
      <c r="EY717" s="62"/>
      <c r="EZ717" s="62"/>
      <c r="FA717" s="62"/>
      <c r="FB717" s="62"/>
      <c r="FC717" s="62"/>
      <c r="FD717" s="62"/>
      <c r="FE717" s="62"/>
      <c r="FF717" s="62"/>
      <c r="FG717" s="62"/>
      <c r="FH717" s="62"/>
      <c r="FI717" s="62"/>
      <c r="FJ717" s="62"/>
      <c r="FK717" s="62"/>
      <c r="FL717" s="62"/>
      <c r="FM717" s="62"/>
      <c r="FN717" s="62"/>
      <c r="FO717" s="62"/>
      <c r="FP717" s="62"/>
      <c r="FQ717" s="62"/>
      <c r="FR717" s="62"/>
      <c r="FS717" s="62"/>
      <c r="FT717" s="62"/>
      <c r="FU717" s="62"/>
      <c r="FV717" s="62"/>
    </row>
    <row r="718" spans="1:178" ht="13.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c r="AY718" s="62"/>
      <c r="AZ718" s="62"/>
      <c r="BA718" s="62"/>
      <c r="BB718" s="62"/>
      <c r="BC718" s="62"/>
      <c r="BD718" s="62"/>
      <c r="BE718" s="62"/>
      <c r="BF718" s="62"/>
      <c r="BG718" s="62"/>
      <c r="BH718" s="62"/>
      <c r="BI718" s="62"/>
      <c r="BJ718" s="62"/>
      <c r="BK718" s="62"/>
      <c r="BL718" s="62"/>
      <c r="BM718" s="62"/>
      <c r="BN718" s="62"/>
      <c r="BO718" s="62"/>
      <c r="BP718" s="62"/>
      <c r="BQ718" s="62"/>
      <c r="BR718" s="62"/>
      <c r="BS718" s="62"/>
      <c r="BT718" s="62"/>
      <c r="BU718" s="62"/>
      <c r="BV718" s="62"/>
      <c r="BW718" s="62"/>
      <c r="BX718" s="62"/>
      <c r="BY718" s="62"/>
      <c r="BZ718" s="62"/>
      <c r="CA718" s="62"/>
      <c r="CB718" s="62"/>
      <c r="CC718" s="62"/>
      <c r="CD718" s="62"/>
      <c r="CE718" s="62"/>
      <c r="CF718" s="62"/>
      <c r="CG718" s="62"/>
      <c r="CH718" s="62"/>
      <c r="CI718" s="62"/>
      <c r="CJ718" s="62"/>
      <c r="CK718" s="62"/>
      <c r="CL718" s="62"/>
      <c r="CM718" s="62"/>
      <c r="CN718" s="62"/>
      <c r="CO718" s="62"/>
      <c r="CP718" s="62"/>
      <c r="CQ718" s="62"/>
      <c r="CR718" s="62"/>
      <c r="CS718" s="62"/>
      <c r="CT718" s="62"/>
      <c r="CU718" s="62"/>
      <c r="CV718" s="62"/>
      <c r="CW718" s="62"/>
      <c r="CX718" s="62"/>
      <c r="CY718" s="62"/>
      <c r="CZ718" s="62"/>
      <c r="DA718" s="62"/>
      <c r="DB718" s="62"/>
      <c r="DC718" s="62"/>
      <c r="DD718" s="62"/>
      <c r="DE718" s="62"/>
      <c r="DF718" s="62"/>
      <c r="DG718" s="62"/>
      <c r="DH718" s="62"/>
      <c r="DI718" s="62"/>
      <c r="DJ718" s="62"/>
      <c r="DK718" s="62"/>
      <c r="DL718" s="62"/>
      <c r="DM718" s="62"/>
      <c r="DN718" s="62"/>
      <c r="DO718" s="62"/>
      <c r="DP718" s="62"/>
      <c r="DQ718" s="62"/>
      <c r="DR718" s="62"/>
      <c r="DS718" s="62"/>
      <c r="DT718" s="62"/>
      <c r="DU718" s="62"/>
      <c r="DV718" s="62"/>
      <c r="DW718" s="62"/>
      <c r="DX718" s="62"/>
      <c r="DY718" s="62"/>
      <c r="DZ718" s="62"/>
      <c r="EA718" s="62"/>
      <c r="EB718" s="62"/>
      <c r="EC718" s="62"/>
      <c r="ED718" s="62"/>
      <c r="EE718" s="62"/>
      <c r="EF718" s="62"/>
      <c r="EG718" s="62"/>
      <c r="EH718" s="62"/>
      <c r="EI718" s="62"/>
      <c r="EJ718" s="62"/>
      <c r="EK718" s="62"/>
      <c r="EL718" s="62"/>
      <c r="EM718" s="62"/>
      <c r="EN718" s="62"/>
      <c r="EO718" s="62"/>
      <c r="EP718" s="62"/>
      <c r="EQ718" s="62"/>
      <c r="ER718" s="62"/>
      <c r="ES718" s="62"/>
      <c r="ET718" s="62"/>
      <c r="EU718" s="62"/>
      <c r="EV718" s="62"/>
      <c r="EW718" s="62"/>
      <c r="EX718" s="62"/>
      <c r="EY718" s="62"/>
      <c r="EZ718" s="62"/>
      <c r="FA718" s="62"/>
      <c r="FB718" s="62"/>
      <c r="FC718" s="62"/>
      <c r="FD718" s="62"/>
      <c r="FE718" s="62"/>
      <c r="FF718" s="62"/>
      <c r="FG718" s="62"/>
      <c r="FH718" s="62"/>
      <c r="FI718" s="62"/>
      <c r="FJ718" s="62"/>
      <c r="FK718" s="62"/>
      <c r="FL718" s="62"/>
      <c r="FM718" s="62"/>
      <c r="FN718" s="62"/>
      <c r="FO718" s="62"/>
      <c r="FP718" s="62"/>
      <c r="FQ718" s="62"/>
      <c r="FR718" s="62"/>
      <c r="FS718" s="62"/>
      <c r="FT718" s="62"/>
      <c r="FU718" s="62"/>
      <c r="FV718" s="62"/>
    </row>
    <row r="719" spans="1:178" ht="13.8">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c r="AY719" s="62"/>
      <c r="AZ719" s="62"/>
      <c r="BA719" s="62"/>
      <c r="BB719" s="62"/>
      <c r="BC719" s="62"/>
      <c r="BD719" s="62"/>
      <c r="BE719" s="62"/>
      <c r="BF719" s="62"/>
      <c r="BG719" s="62"/>
      <c r="BH719" s="62"/>
      <c r="BI719" s="62"/>
      <c r="BJ719" s="62"/>
      <c r="BK719" s="62"/>
      <c r="BL719" s="62"/>
      <c r="BM719" s="62"/>
      <c r="BN719" s="62"/>
      <c r="BO719" s="62"/>
      <c r="BP719" s="62"/>
      <c r="BQ719" s="62"/>
      <c r="BR719" s="62"/>
      <c r="BS719" s="62"/>
      <c r="BT719" s="62"/>
      <c r="BU719" s="62"/>
      <c r="BV719" s="62"/>
      <c r="BW719" s="62"/>
      <c r="BX719" s="62"/>
      <c r="BY719" s="62"/>
      <c r="BZ719" s="62"/>
      <c r="CA719" s="62"/>
      <c r="CB719" s="62"/>
      <c r="CC719" s="62"/>
      <c r="CD719" s="62"/>
      <c r="CE719" s="62"/>
      <c r="CF719" s="62"/>
      <c r="CG719" s="62"/>
      <c r="CH719" s="62"/>
      <c r="CI719" s="62"/>
      <c r="CJ719" s="62"/>
      <c r="CK719" s="62"/>
      <c r="CL719" s="62"/>
      <c r="CM719" s="62"/>
      <c r="CN719" s="62"/>
      <c r="CO719" s="62"/>
      <c r="CP719" s="62"/>
      <c r="CQ719" s="62"/>
      <c r="CR719" s="62"/>
      <c r="CS719" s="62"/>
      <c r="CT719" s="62"/>
      <c r="CU719" s="62"/>
      <c r="CV719" s="62"/>
      <c r="CW719" s="62"/>
      <c r="CX719" s="62"/>
      <c r="CY719" s="62"/>
      <c r="CZ719" s="62"/>
      <c r="DA719" s="62"/>
      <c r="DB719" s="62"/>
      <c r="DC719" s="62"/>
      <c r="DD719" s="62"/>
      <c r="DE719" s="62"/>
      <c r="DF719" s="62"/>
      <c r="DG719" s="62"/>
      <c r="DH719" s="62"/>
      <c r="DI719" s="62"/>
      <c r="DJ719" s="62"/>
      <c r="DK719" s="62"/>
      <c r="DL719" s="62"/>
      <c r="DM719" s="62"/>
      <c r="DN719" s="62"/>
      <c r="DO719" s="62"/>
      <c r="DP719" s="62"/>
      <c r="DQ719" s="62"/>
      <c r="DR719" s="62"/>
      <c r="DS719" s="62"/>
      <c r="DT719" s="62"/>
      <c r="DU719" s="62"/>
      <c r="DV719" s="62"/>
      <c r="DW719" s="62"/>
      <c r="DX719" s="62"/>
      <c r="DY719" s="62"/>
      <c r="DZ719" s="62"/>
      <c r="EA719" s="62"/>
      <c r="EB719" s="62"/>
      <c r="EC719" s="62"/>
      <c r="ED719" s="62"/>
      <c r="EE719" s="62"/>
      <c r="EF719" s="62"/>
      <c r="EG719" s="62"/>
      <c r="EH719" s="62"/>
      <c r="EI719" s="62"/>
      <c r="EJ719" s="62"/>
      <c r="EK719" s="62"/>
      <c r="EL719" s="62"/>
      <c r="EM719" s="62"/>
      <c r="EN719" s="62"/>
      <c r="EO719" s="62"/>
      <c r="EP719" s="62"/>
      <c r="EQ719" s="62"/>
      <c r="ER719" s="62"/>
      <c r="ES719" s="62"/>
      <c r="ET719" s="62"/>
      <c r="EU719" s="62"/>
      <c r="EV719" s="62"/>
      <c r="EW719" s="62"/>
      <c r="EX719" s="62"/>
      <c r="EY719" s="62"/>
      <c r="EZ719" s="62"/>
      <c r="FA719" s="62"/>
      <c r="FB719" s="62"/>
      <c r="FC719" s="62"/>
      <c r="FD719" s="62"/>
      <c r="FE719" s="62"/>
      <c r="FF719" s="62"/>
      <c r="FG719" s="62"/>
      <c r="FH719" s="62"/>
      <c r="FI719" s="62"/>
      <c r="FJ719" s="62"/>
      <c r="FK719" s="62"/>
      <c r="FL719" s="62"/>
      <c r="FM719" s="62"/>
      <c r="FN719" s="62"/>
      <c r="FO719" s="62"/>
      <c r="FP719" s="62"/>
      <c r="FQ719" s="62"/>
      <c r="FR719" s="62"/>
      <c r="FS719" s="62"/>
      <c r="FT719" s="62"/>
      <c r="FU719" s="62"/>
      <c r="FV719" s="62"/>
    </row>
    <row r="720" spans="1:178" ht="13.8">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c r="AY720" s="62"/>
      <c r="AZ720" s="62"/>
      <c r="BA720" s="62"/>
      <c r="BB720" s="62"/>
      <c r="BC720" s="62"/>
      <c r="BD720" s="62"/>
      <c r="BE720" s="62"/>
      <c r="BF720" s="62"/>
      <c r="BG720" s="62"/>
      <c r="BH720" s="62"/>
      <c r="BI720" s="62"/>
      <c r="BJ720" s="62"/>
      <c r="BK720" s="62"/>
      <c r="BL720" s="62"/>
      <c r="BM720" s="62"/>
      <c r="BN720" s="62"/>
      <c r="BO720" s="62"/>
      <c r="BP720" s="62"/>
      <c r="BQ720" s="62"/>
      <c r="BR720" s="62"/>
      <c r="BS720" s="62"/>
      <c r="BT720" s="62"/>
      <c r="BU720" s="62"/>
      <c r="BV720" s="62"/>
      <c r="BW720" s="62"/>
      <c r="BX720" s="62"/>
      <c r="BY720" s="62"/>
      <c r="BZ720" s="62"/>
      <c r="CA720" s="62"/>
      <c r="CB720" s="62"/>
      <c r="CC720" s="62"/>
      <c r="CD720" s="62"/>
      <c r="CE720" s="62"/>
      <c r="CF720" s="62"/>
      <c r="CG720" s="62"/>
      <c r="CH720" s="62"/>
      <c r="CI720" s="62"/>
      <c r="CJ720" s="62"/>
      <c r="CK720" s="62"/>
      <c r="CL720" s="62"/>
      <c r="CM720" s="62"/>
      <c r="CN720" s="62"/>
      <c r="CO720" s="62"/>
      <c r="CP720" s="62"/>
      <c r="CQ720" s="62"/>
      <c r="CR720" s="62"/>
      <c r="CS720" s="62"/>
      <c r="CT720" s="62"/>
      <c r="CU720" s="62"/>
      <c r="CV720" s="62"/>
      <c r="CW720" s="62"/>
      <c r="CX720" s="62"/>
      <c r="CY720" s="62"/>
      <c r="CZ720" s="62"/>
      <c r="DA720" s="62"/>
      <c r="DB720" s="62"/>
      <c r="DC720" s="62"/>
      <c r="DD720" s="62"/>
      <c r="DE720" s="62"/>
      <c r="DF720" s="62"/>
      <c r="DG720" s="62"/>
      <c r="DH720" s="62"/>
      <c r="DI720" s="62"/>
      <c r="DJ720" s="62"/>
      <c r="DK720" s="62"/>
      <c r="DL720" s="62"/>
      <c r="DM720" s="62"/>
      <c r="DN720" s="62"/>
      <c r="DO720" s="62"/>
      <c r="DP720" s="62"/>
      <c r="DQ720" s="62"/>
      <c r="DR720" s="62"/>
      <c r="DS720" s="62"/>
      <c r="DT720" s="62"/>
      <c r="DU720" s="62"/>
      <c r="DV720" s="62"/>
      <c r="DW720" s="62"/>
      <c r="DX720" s="62"/>
      <c r="DY720" s="62"/>
      <c r="DZ720" s="62"/>
      <c r="EA720" s="62"/>
      <c r="EB720" s="62"/>
      <c r="EC720" s="62"/>
      <c r="ED720" s="62"/>
      <c r="EE720" s="62"/>
      <c r="EF720" s="62"/>
      <c r="EG720" s="62"/>
      <c r="EH720" s="62"/>
      <c r="EI720" s="62"/>
      <c r="EJ720" s="62"/>
      <c r="EK720" s="62"/>
      <c r="EL720" s="62"/>
      <c r="EM720" s="62"/>
      <c r="EN720" s="62"/>
      <c r="EO720" s="62"/>
      <c r="EP720" s="62"/>
      <c r="EQ720" s="62"/>
      <c r="ER720" s="62"/>
      <c r="ES720" s="62"/>
      <c r="ET720" s="62"/>
      <c r="EU720" s="62"/>
      <c r="EV720" s="62"/>
      <c r="EW720" s="62"/>
      <c r="EX720" s="62"/>
      <c r="EY720" s="62"/>
      <c r="EZ720" s="62"/>
      <c r="FA720" s="62"/>
      <c r="FB720" s="62"/>
      <c r="FC720" s="62"/>
      <c r="FD720" s="62"/>
      <c r="FE720" s="62"/>
      <c r="FF720" s="62"/>
      <c r="FG720" s="62"/>
      <c r="FH720" s="62"/>
      <c r="FI720" s="62"/>
      <c r="FJ720" s="62"/>
      <c r="FK720" s="62"/>
      <c r="FL720" s="62"/>
      <c r="FM720" s="62"/>
      <c r="FN720" s="62"/>
      <c r="FO720" s="62"/>
      <c r="FP720" s="62"/>
      <c r="FQ720" s="62"/>
      <c r="FR720" s="62"/>
      <c r="FS720" s="62"/>
      <c r="FT720" s="62"/>
      <c r="FU720" s="62"/>
      <c r="FV720" s="62"/>
    </row>
    <row r="721" spans="1:178" ht="13.8">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c r="AY721" s="62"/>
      <c r="AZ721" s="62"/>
      <c r="BA721" s="62"/>
      <c r="BB721" s="62"/>
      <c r="BC721" s="62"/>
      <c r="BD721" s="62"/>
      <c r="BE721" s="62"/>
      <c r="BF721" s="62"/>
      <c r="BG721" s="62"/>
      <c r="BH721" s="62"/>
      <c r="BI721" s="62"/>
      <c r="BJ721" s="62"/>
      <c r="BK721" s="62"/>
      <c r="BL721" s="62"/>
      <c r="BM721" s="62"/>
      <c r="BN721" s="62"/>
      <c r="BO721" s="62"/>
      <c r="BP721" s="62"/>
      <c r="BQ721" s="62"/>
      <c r="BR721" s="62"/>
      <c r="BS721" s="62"/>
      <c r="BT721" s="62"/>
      <c r="BU721" s="62"/>
      <c r="BV721" s="62"/>
      <c r="BW721" s="62"/>
      <c r="BX721" s="62"/>
      <c r="BY721" s="62"/>
      <c r="BZ721" s="62"/>
      <c r="CA721" s="62"/>
      <c r="CB721" s="62"/>
      <c r="CC721" s="62"/>
      <c r="CD721" s="62"/>
      <c r="CE721" s="62"/>
      <c r="CF721" s="62"/>
      <c r="CG721" s="62"/>
      <c r="CH721" s="62"/>
      <c r="CI721" s="62"/>
      <c r="CJ721" s="62"/>
      <c r="CK721" s="62"/>
      <c r="CL721" s="62"/>
      <c r="CM721" s="62"/>
      <c r="CN721" s="62"/>
      <c r="CO721" s="62"/>
      <c r="CP721" s="62"/>
      <c r="CQ721" s="62"/>
      <c r="CR721" s="62"/>
      <c r="CS721" s="62"/>
      <c r="CT721" s="62"/>
      <c r="CU721" s="62"/>
      <c r="CV721" s="62"/>
      <c r="CW721" s="62"/>
      <c r="CX721" s="62"/>
      <c r="CY721" s="62"/>
      <c r="CZ721" s="62"/>
      <c r="DA721" s="62"/>
      <c r="DB721" s="62"/>
      <c r="DC721" s="62"/>
      <c r="DD721" s="62"/>
      <c r="DE721" s="62"/>
      <c r="DF721" s="62"/>
      <c r="DG721" s="62"/>
      <c r="DH721" s="62"/>
      <c r="DI721" s="62"/>
      <c r="DJ721" s="62"/>
      <c r="DK721" s="62"/>
      <c r="DL721" s="62"/>
      <c r="DM721" s="62"/>
      <c r="DN721" s="62"/>
      <c r="DO721" s="62"/>
      <c r="DP721" s="62"/>
      <c r="DQ721" s="62"/>
      <c r="DR721" s="62"/>
      <c r="DS721" s="62"/>
      <c r="DT721" s="62"/>
      <c r="DU721" s="62"/>
      <c r="DV721" s="62"/>
      <c r="DW721" s="62"/>
      <c r="DX721" s="62"/>
      <c r="DY721" s="62"/>
      <c r="DZ721" s="62"/>
      <c r="EA721" s="62"/>
      <c r="EB721" s="62"/>
      <c r="EC721" s="62"/>
      <c r="ED721" s="62"/>
      <c r="EE721" s="62"/>
      <c r="EF721" s="62"/>
      <c r="EG721" s="62"/>
      <c r="EH721" s="62"/>
      <c r="EI721" s="62"/>
      <c r="EJ721" s="62"/>
      <c r="EK721" s="62"/>
      <c r="EL721" s="62"/>
      <c r="EM721" s="62"/>
      <c r="EN721" s="62"/>
      <c r="EO721" s="62"/>
      <c r="EP721" s="62"/>
      <c r="EQ721" s="62"/>
      <c r="ER721" s="62"/>
      <c r="ES721" s="62"/>
      <c r="ET721" s="62"/>
      <c r="EU721" s="62"/>
      <c r="EV721" s="62"/>
      <c r="EW721" s="62"/>
      <c r="EX721" s="62"/>
      <c r="EY721" s="62"/>
      <c r="EZ721" s="62"/>
      <c r="FA721" s="62"/>
      <c r="FB721" s="62"/>
      <c r="FC721" s="62"/>
      <c r="FD721" s="62"/>
      <c r="FE721" s="62"/>
      <c r="FF721" s="62"/>
      <c r="FG721" s="62"/>
      <c r="FH721" s="62"/>
      <c r="FI721" s="62"/>
      <c r="FJ721" s="62"/>
      <c r="FK721" s="62"/>
      <c r="FL721" s="62"/>
      <c r="FM721" s="62"/>
      <c r="FN721" s="62"/>
      <c r="FO721" s="62"/>
      <c r="FP721" s="62"/>
      <c r="FQ721" s="62"/>
      <c r="FR721" s="62"/>
      <c r="FS721" s="62"/>
      <c r="FT721" s="62"/>
      <c r="FU721" s="62"/>
      <c r="FV721" s="62"/>
    </row>
    <row r="722" spans="1:178" ht="13.8">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62"/>
      <c r="AZ722" s="62"/>
      <c r="BA722" s="62"/>
      <c r="BB722" s="62"/>
      <c r="BC722" s="62"/>
      <c r="BD722" s="62"/>
      <c r="BE722" s="62"/>
      <c r="BF722" s="62"/>
      <c r="BG722" s="62"/>
      <c r="BH722" s="62"/>
      <c r="BI722" s="62"/>
      <c r="BJ722" s="62"/>
      <c r="BK722" s="62"/>
      <c r="BL722" s="62"/>
      <c r="BM722" s="62"/>
      <c r="BN722" s="62"/>
      <c r="BO722" s="62"/>
      <c r="BP722" s="62"/>
      <c r="BQ722" s="62"/>
      <c r="BR722" s="62"/>
      <c r="BS722" s="62"/>
      <c r="BT722" s="62"/>
      <c r="BU722" s="62"/>
      <c r="BV722" s="62"/>
      <c r="BW722" s="62"/>
      <c r="BX722" s="62"/>
      <c r="BY722" s="62"/>
      <c r="BZ722" s="62"/>
      <c r="CA722" s="62"/>
      <c r="CB722" s="62"/>
      <c r="CC722" s="62"/>
      <c r="CD722" s="62"/>
      <c r="CE722" s="62"/>
      <c r="CF722" s="62"/>
      <c r="CG722" s="62"/>
      <c r="CH722" s="62"/>
      <c r="CI722" s="62"/>
      <c r="CJ722" s="62"/>
      <c r="CK722" s="62"/>
      <c r="CL722" s="62"/>
      <c r="CM722" s="62"/>
      <c r="CN722" s="62"/>
      <c r="CO722" s="62"/>
      <c r="CP722" s="62"/>
      <c r="CQ722" s="62"/>
      <c r="CR722" s="62"/>
      <c r="CS722" s="62"/>
      <c r="CT722" s="62"/>
      <c r="CU722" s="62"/>
      <c r="CV722" s="62"/>
      <c r="CW722" s="62"/>
      <c r="CX722" s="62"/>
      <c r="CY722" s="62"/>
      <c r="CZ722" s="62"/>
      <c r="DA722" s="62"/>
      <c r="DB722" s="62"/>
      <c r="DC722" s="62"/>
      <c r="DD722" s="62"/>
      <c r="DE722" s="62"/>
      <c r="DF722" s="62"/>
      <c r="DG722" s="62"/>
      <c r="DH722" s="62"/>
      <c r="DI722" s="62"/>
      <c r="DJ722" s="62"/>
      <c r="DK722" s="62"/>
      <c r="DL722" s="62"/>
      <c r="DM722" s="62"/>
      <c r="DN722" s="62"/>
      <c r="DO722" s="62"/>
      <c r="DP722" s="62"/>
      <c r="DQ722" s="62"/>
      <c r="DR722" s="62"/>
      <c r="DS722" s="62"/>
      <c r="DT722" s="62"/>
      <c r="DU722" s="62"/>
      <c r="DV722" s="62"/>
      <c r="DW722" s="62"/>
      <c r="DX722" s="62"/>
      <c r="DY722" s="62"/>
      <c r="DZ722" s="62"/>
      <c r="EA722" s="62"/>
      <c r="EB722" s="62"/>
      <c r="EC722" s="62"/>
      <c r="ED722" s="62"/>
      <c r="EE722" s="62"/>
      <c r="EF722" s="62"/>
      <c r="EG722" s="62"/>
      <c r="EH722" s="62"/>
      <c r="EI722" s="62"/>
      <c r="EJ722" s="62"/>
      <c r="EK722" s="62"/>
      <c r="EL722" s="62"/>
      <c r="EM722" s="62"/>
      <c r="EN722" s="62"/>
      <c r="EO722" s="62"/>
      <c r="EP722" s="62"/>
      <c r="EQ722" s="62"/>
      <c r="ER722" s="62"/>
      <c r="ES722" s="62"/>
      <c r="ET722" s="62"/>
      <c r="EU722" s="62"/>
      <c r="EV722" s="62"/>
      <c r="EW722" s="62"/>
      <c r="EX722" s="62"/>
      <c r="EY722" s="62"/>
      <c r="EZ722" s="62"/>
      <c r="FA722" s="62"/>
      <c r="FB722" s="62"/>
      <c r="FC722" s="62"/>
      <c r="FD722" s="62"/>
      <c r="FE722" s="62"/>
      <c r="FF722" s="62"/>
      <c r="FG722" s="62"/>
      <c r="FH722" s="62"/>
      <c r="FI722" s="62"/>
      <c r="FJ722" s="62"/>
      <c r="FK722" s="62"/>
      <c r="FL722" s="62"/>
      <c r="FM722" s="62"/>
      <c r="FN722" s="62"/>
      <c r="FO722" s="62"/>
      <c r="FP722" s="62"/>
      <c r="FQ722" s="62"/>
      <c r="FR722" s="62"/>
      <c r="FS722" s="62"/>
      <c r="FT722" s="62"/>
      <c r="FU722" s="62"/>
      <c r="FV722" s="62"/>
    </row>
    <row r="723" spans="1:178" ht="13.8">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c r="AY723" s="62"/>
      <c r="AZ723" s="62"/>
      <c r="BA723" s="62"/>
      <c r="BB723" s="62"/>
      <c r="BC723" s="62"/>
      <c r="BD723" s="62"/>
      <c r="BE723" s="62"/>
      <c r="BF723" s="62"/>
      <c r="BG723" s="62"/>
      <c r="BH723" s="62"/>
      <c r="BI723" s="62"/>
      <c r="BJ723" s="62"/>
      <c r="BK723" s="62"/>
      <c r="BL723" s="62"/>
      <c r="BM723" s="62"/>
      <c r="BN723" s="62"/>
      <c r="BO723" s="62"/>
      <c r="BP723" s="62"/>
      <c r="BQ723" s="62"/>
      <c r="BR723" s="62"/>
      <c r="BS723" s="62"/>
      <c r="BT723" s="62"/>
      <c r="BU723" s="62"/>
      <c r="BV723" s="62"/>
      <c r="BW723" s="62"/>
      <c r="BX723" s="62"/>
      <c r="BY723" s="62"/>
      <c r="BZ723" s="62"/>
      <c r="CA723" s="62"/>
      <c r="CB723" s="62"/>
      <c r="CC723" s="62"/>
      <c r="CD723" s="62"/>
      <c r="CE723" s="62"/>
      <c r="CF723" s="62"/>
      <c r="CG723" s="62"/>
      <c r="CH723" s="62"/>
      <c r="CI723" s="62"/>
      <c r="CJ723" s="62"/>
      <c r="CK723" s="62"/>
      <c r="CL723" s="62"/>
      <c r="CM723" s="62"/>
      <c r="CN723" s="62"/>
      <c r="CO723" s="62"/>
      <c r="CP723" s="62"/>
      <c r="CQ723" s="62"/>
      <c r="CR723" s="62"/>
      <c r="CS723" s="62"/>
      <c r="CT723" s="62"/>
      <c r="CU723" s="62"/>
      <c r="CV723" s="62"/>
      <c r="CW723" s="62"/>
      <c r="CX723" s="62"/>
      <c r="CY723" s="62"/>
      <c r="CZ723" s="62"/>
      <c r="DA723" s="62"/>
      <c r="DB723" s="62"/>
      <c r="DC723" s="62"/>
      <c r="DD723" s="62"/>
      <c r="DE723" s="62"/>
      <c r="DF723" s="62"/>
      <c r="DG723" s="62"/>
      <c r="DH723" s="62"/>
      <c r="DI723" s="62"/>
      <c r="DJ723" s="62"/>
      <c r="DK723" s="62"/>
      <c r="DL723" s="62"/>
      <c r="DM723" s="62"/>
      <c r="DN723" s="62"/>
      <c r="DO723" s="62"/>
      <c r="DP723" s="62"/>
      <c r="DQ723" s="62"/>
      <c r="DR723" s="62"/>
      <c r="DS723" s="62"/>
      <c r="DT723" s="62"/>
      <c r="DU723" s="62"/>
      <c r="DV723" s="62"/>
      <c r="DW723" s="62"/>
      <c r="DX723" s="62"/>
      <c r="DY723" s="62"/>
      <c r="DZ723" s="62"/>
      <c r="EA723" s="62"/>
      <c r="EB723" s="62"/>
      <c r="EC723" s="62"/>
      <c r="ED723" s="62"/>
      <c r="EE723" s="62"/>
      <c r="EF723" s="62"/>
      <c r="EG723" s="62"/>
      <c r="EH723" s="62"/>
      <c r="EI723" s="62"/>
      <c r="EJ723" s="62"/>
      <c r="EK723" s="62"/>
      <c r="EL723" s="62"/>
      <c r="EM723" s="62"/>
      <c r="EN723" s="62"/>
      <c r="EO723" s="62"/>
      <c r="EP723" s="62"/>
      <c r="EQ723" s="62"/>
      <c r="ER723" s="62"/>
      <c r="ES723" s="62"/>
      <c r="ET723" s="62"/>
      <c r="EU723" s="62"/>
      <c r="EV723" s="62"/>
      <c r="EW723" s="62"/>
      <c r="EX723" s="62"/>
      <c r="EY723" s="62"/>
      <c r="EZ723" s="62"/>
      <c r="FA723" s="62"/>
      <c r="FB723" s="62"/>
      <c r="FC723" s="62"/>
      <c r="FD723" s="62"/>
      <c r="FE723" s="62"/>
      <c r="FF723" s="62"/>
      <c r="FG723" s="62"/>
      <c r="FH723" s="62"/>
      <c r="FI723" s="62"/>
      <c r="FJ723" s="62"/>
      <c r="FK723" s="62"/>
      <c r="FL723" s="62"/>
      <c r="FM723" s="62"/>
      <c r="FN723" s="62"/>
      <c r="FO723" s="62"/>
      <c r="FP723" s="62"/>
      <c r="FQ723" s="62"/>
      <c r="FR723" s="62"/>
      <c r="FS723" s="62"/>
      <c r="FT723" s="62"/>
      <c r="FU723" s="62"/>
      <c r="FV723" s="62"/>
    </row>
    <row r="724" spans="1:178" ht="13.8">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c r="AY724" s="62"/>
      <c r="AZ724" s="62"/>
      <c r="BA724" s="62"/>
      <c r="BB724" s="62"/>
      <c r="BC724" s="62"/>
      <c r="BD724" s="62"/>
      <c r="BE724" s="62"/>
      <c r="BF724" s="62"/>
      <c r="BG724" s="62"/>
      <c r="BH724" s="62"/>
      <c r="BI724" s="62"/>
      <c r="BJ724" s="62"/>
      <c r="BK724" s="62"/>
      <c r="BL724" s="62"/>
      <c r="BM724" s="62"/>
      <c r="BN724" s="62"/>
      <c r="BO724" s="62"/>
      <c r="BP724" s="62"/>
      <c r="BQ724" s="62"/>
      <c r="BR724" s="62"/>
      <c r="BS724" s="62"/>
      <c r="BT724" s="62"/>
      <c r="BU724" s="62"/>
      <c r="BV724" s="62"/>
      <c r="BW724" s="62"/>
      <c r="BX724" s="62"/>
      <c r="BY724" s="62"/>
      <c r="BZ724" s="62"/>
      <c r="CA724" s="62"/>
      <c r="CB724" s="62"/>
      <c r="CC724" s="62"/>
      <c r="CD724" s="62"/>
      <c r="CE724" s="62"/>
      <c r="CF724" s="62"/>
      <c r="CG724" s="62"/>
      <c r="CH724" s="62"/>
      <c r="CI724" s="62"/>
      <c r="CJ724" s="62"/>
      <c r="CK724" s="62"/>
      <c r="CL724" s="62"/>
      <c r="CM724" s="62"/>
      <c r="CN724" s="62"/>
      <c r="CO724" s="62"/>
      <c r="CP724" s="62"/>
      <c r="CQ724" s="62"/>
      <c r="CR724" s="62"/>
      <c r="CS724" s="62"/>
      <c r="CT724" s="62"/>
      <c r="CU724" s="62"/>
      <c r="CV724" s="62"/>
      <c r="CW724" s="62"/>
      <c r="CX724" s="62"/>
      <c r="CY724" s="62"/>
      <c r="CZ724" s="62"/>
      <c r="DA724" s="62"/>
      <c r="DB724" s="62"/>
      <c r="DC724" s="62"/>
      <c r="DD724" s="62"/>
      <c r="DE724" s="62"/>
      <c r="DF724" s="62"/>
      <c r="DG724" s="62"/>
      <c r="DH724" s="62"/>
      <c r="DI724" s="62"/>
      <c r="DJ724" s="62"/>
      <c r="DK724" s="62"/>
      <c r="DL724" s="62"/>
      <c r="DM724" s="62"/>
      <c r="DN724" s="62"/>
      <c r="DO724" s="62"/>
      <c r="DP724" s="62"/>
      <c r="DQ724" s="62"/>
      <c r="DR724" s="62"/>
      <c r="DS724" s="62"/>
      <c r="DT724" s="62"/>
      <c r="DU724" s="62"/>
      <c r="DV724" s="62"/>
      <c r="DW724" s="62"/>
      <c r="DX724" s="62"/>
      <c r="DY724" s="62"/>
      <c r="DZ724" s="62"/>
      <c r="EA724" s="62"/>
      <c r="EB724" s="62"/>
      <c r="EC724" s="62"/>
      <c r="ED724" s="62"/>
      <c r="EE724" s="62"/>
      <c r="EF724" s="62"/>
      <c r="EG724" s="62"/>
      <c r="EH724" s="62"/>
      <c r="EI724" s="62"/>
      <c r="EJ724" s="62"/>
      <c r="EK724" s="62"/>
      <c r="EL724" s="62"/>
      <c r="EM724" s="62"/>
      <c r="EN724" s="62"/>
      <c r="EO724" s="62"/>
      <c r="EP724" s="62"/>
      <c r="EQ724" s="62"/>
      <c r="ER724" s="62"/>
      <c r="ES724" s="62"/>
      <c r="ET724" s="62"/>
      <c r="EU724" s="62"/>
      <c r="EV724" s="62"/>
      <c r="EW724" s="62"/>
      <c r="EX724" s="62"/>
      <c r="EY724" s="62"/>
      <c r="EZ724" s="62"/>
      <c r="FA724" s="62"/>
      <c r="FB724" s="62"/>
      <c r="FC724" s="62"/>
      <c r="FD724" s="62"/>
      <c r="FE724" s="62"/>
      <c r="FF724" s="62"/>
      <c r="FG724" s="62"/>
      <c r="FH724" s="62"/>
      <c r="FI724" s="62"/>
      <c r="FJ724" s="62"/>
      <c r="FK724" s="62"/>
      <c r="FL724" s="62"/>
      <c r="FM724" s="62"/>
      <c r="FN724" s="62"/>
      <c r="FO724" s="62"/>
      <c r="FP724" s="62"/>
      <c r="FQ724" s="62"/>
      <c r="FR724" s="62"/>
      <c r="FS724" s="62"/>
      <c r="FT724" s="62"/>
      <c r="FU724" s="62"/>
      <c r="FV724" s="62"/>
    </row>
    <row r="725" spans="1:178" ht="13.8">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c r="AY725" s="62"/>
      <c r="AZ725" s="62"/>
      <c r="BA725" s="62"/>
      <c r="BB725" s="62"/>
      <c r="BC725" s="62"/>
      <c r="BD725" s="62"/>
      <c r="BE725" s="62"/>
      <c r="BF725" s="62"/>
      <c r="BG725" s="62"/>
      <c r="BH725" s="62"/>
      <c r="BI725" s="62"/>
      <c r="BJ725" s="62"/>
      <c r="BK725" s="62"/>
      <c r="BL725" s="62"/>
      <c r="BM725" s="62"/>
      <c r="BN725" s="62"/>
      <c r="BO725" s="62"/>
      <c r="BP725" s="62"/>
      <c r="BQ725" s="62"/>
      <c r="BR725" s="62"/>
      <c r="BS725" s="62"/>
      <c r="BT725" s="62"/>
      <c r="BU725" s="62"/>
      <c r="BV725" s="62"/>
      <c r="BW725" s="62"/>
      <c r="BX725" s="62"/>
      <c r="BY725" s="62"/>
      <c r="BZ725" s="62"/>
      <c r="CA725" s="62"/>
      <c r="CB725" s="62"/>
      <c r="CC725" s="62"/>
      <c r="CD725" s="62"/>
      <c r="CE725" s="62"/>
      <c r="CF725" s="62"/>
      <c r="CG725" s="62"/>
      <c r="CH725" s="62"/>
      <c r="CI725" s="62"/>
      <c r="CJ725" s="62"/>
      <c r="CK725" s="62"/>
      <c r="CL725" s="62"/>
      <c r="CM725" s="62"/>
      <c r="CN725" s="62"/>
      <c r="CO725" s="62"/>
      <c r="CP725" s="62"/>
      <c r="CQ725" s="62"/>
      <c r="CR725" s="62"/>
      <c r="CS725" s="62"/>
      <c r="CT725" s="62"/>
      <c r="CU725" s="62"/>
      <c r="CV725" s="62"/>
      <c r="CW725" s="62"/>
      <c r="CX725" s="62"/>
      <c r="CY725" s="62"/>
      <c r="CZ725" s="62"/>
      <c r="DA725" s="62"/>
      <c r="DB725" s="62"/>
      <c r="DC725" s="62"/>
      <c r="DD725" s="62"/>
      <c r="DE725" s="62"/>
      <c r="DF725" s="62"/>
      <c r="DG725" s="62"/>
      <c r="DH725" s="62"/>
      <c r="DI725" s="62"/>
      <c r="DJ725" s="62"/>
      <c r="DK725" s="62"/>
      <c r="DL725" s="62"/>
      <c r="DM725" s="62"/>
      <c r="DN725" s="62"/>
      <c r="DO725" s="62"/>
      <c r="DP725" s="62"/>
      <c r="DQ725" s="62"/>
      <c r="DR725" s="62"/>
      <c r="DS725" s="62"/>
      <c r="DT725" s="62"/>
      <c r="DU725" s="62"/>
      <c r="DV725" s="62"/>
      <c r="DW725" s="62"/>
      <c r="DX725" s="62"/>
      <c r="DY725" s="62"/>
      <c r="DZ725" s="62"/>
      <c r="EA725" s="62"/>
      <c r="EB725" s="62"/>
      <c r="EC725" s="62"/>
      <c r="ED725" s="62"/>
      <c r="EE725" s="62"/>
      <c r="EF725" s="62"/>
      <c r="EG725" s="62"/>
      <c r="EH725" s="62"/>
      <c r="EI725" s="62"/>
      <c r="EJ725" s="62"/>
      <c r="EK725" s="62"/>
      <c r="EL725" s="62"/>
      <c r="EM725" s="62"/>
      <c r="EN725" s="62"/>
      <c r="EO725" s="62"/>
      <c r="EP725" s="62"/>
      <c r="EQ725" s="62"/>
      <c r="ER725" s="62"/>
      <c r="ES725" s="62"/>
      <c r="ET725" s="62"/>
      <c r="EU725" s="62"/>
      <c r="EV725" s="62"/>
      <c r="EW725" s="62"/>
      <c r="EX725" s="62"/>
      <c r="EY725" s="62"/>
      <c r="EZ725" s="62"/>
      <c r="FA725" s="62"/>
      <c r="FB725" s="62"/>
      <c r="FC725" s="62"/>
      <c r="FD725" s="62"/>
      <c r="FE725" s="62"/>
      <c r="FF725" s="62"/>
      <c r="FG725" s="62"/>
      <c r="FH725" s="62"/>
      <c r="FI725" s="62"/>
      <c r="FJ725" s="62"/>
      <c r="FK725" s="62"/>
      <c r="FL725" s="62"/>
      <c r="FM725" s="62"/>
      <c r="FN725" s="62"/>
      <c r="FO725" s="62"/>
      <c r="FP725" s="62"/>
      <c r="FQ725" s="62"/>
      <c r="FR725" s="62"/>
      <c r="FS725" s="62"/>
      <c r="FT725" s="62"/>
      <c r="FU725" s="62"/>
      <c r="FV725" s="62"/>
    </row>
    <row r="726" spans="1:178" ht="13.8">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c r="AY726" s="62"/>
      <c r="AZ726" s="62"/>
      <c r="BA726" s="62"/>
      <c r="BB726" s="62"/>
      <c r="BC726" s="62"/>
      <c r="BD726" s="62"/>
      <c r="BE726" s="62"/>
      <c r="BF726" s="62"/>
      <c r="BG726" s="62"/>
      <c r="BH726" s="62"/>
      <c r="BI726" s="62"/>
      <c r="BJ726" s="62"/>
      <c r="BK726" s="62"/>
      <c r="BL726" s="62"/>
      <c r="BM726" s="62"/>
      <c r="BN726" s="62"/>
      <c r="BO726" s="62"/>
      <c r="BP726" s="62"/>
      <c r="BQ726" s="62"/>
      <c r="BR726" s="62"/>
      <c r="BS726" s="62"/>
      <c r="BT726" s="62"/>
      <c r="BU726" s="62"/>
      <c r="BV726" s="62"/>
      <c r="BW726" s="62"/>
      <c r="BX726" s="62"/>
      <c r="BY726" s="62"/>
      <c r="BZ726" s="62"/>
      <c r="CA726" s="62"/>
      <c r="CB726" s="62"/>
      <c r="CC726" s="62"/>
      <c r="CD726" s="62"/>
      <c r="CE726" s="62"/>
      <c r="CF726" s="62"/>
      <c r="CG726" s="62"/>
      <c r="CH726" s="62"/>
      <c r="CI726" s="62"/>
      <c r="CJ726" s="62"/>
      <c r="CK726" s="62"/>
      <c r="CL726" s="62"/>
      <c r="CM726" s="62"/>
      <c r="CN726" s="62"/>
      <c r="CO726" s="62"/>
      <c r="CP726" s="62"/>
      <c r="CQ726" s="62"/>
      <c r="CR726" s="62"/>
      <c r="CS726" s="62"/>
      <c r="CT726" s="62"/>
      <c r="CU726" s="62"/>
      <c r="CV726" s="62"/>
      <c r="CW726" s="62"/>
      <c r="CX726" s="62"/>
      <c r="CY726" s="62"/>
      <c r="CZ726" s="62"/>
      <c r="DA726" s="62"/>
      <c r="DB726" s="62"/>
      <c r="DC726" s="62"/>
      <c r="DD726" s="62"/>
      <c r="DE726" s="62"/>
      <c r="DF726" s="62"/>
      <c r="DG726" s="62"/>
      <c r="DH726" s="62"/>
      <c r="DI726" s="62"/>
      <c r="DJ726" s="62"/>
      <c r="DK726" s="62"/>
      <c r="DL726" s="62"/>
      <c r="DM726" s="62"/>
      <c r="DN726" s="62"/>
      <c r="DO726" s="62"/>
      <c r="DP726" s="62"/>
      <c r="DQ726" s="62"/>
      <c r="DR726" s="62"/>
      <c r="DS726" s="62"/>
      <c r="DT726" s="62"/>
      <c r="DU726" s="62"/>
      <c r="DV726" s="62"/>
      <c r="DW726" s="62"/>
      <c r="DX726" s="62"/>
      <c r="DY726" s="62"/>
      <c r="DZ726" s="62"/>
      <c r="EA726" s="62"/>
      <c r="EB726" s="62"/>
      <c r="EC726" s="62"/>
      <c r="ED726" s="62"/>
      <c r="EE726" s="62"/>
      <c r="EF726" s="62"/>
      <c r="EG726" s="62"/>
      <c r="EH726" s="62"/>
      <c r="EI726" s="62"/>
      <c r="EJ726" s="62"/>
      <c r="EK726" s="62"/>
      <c r="EL726" s="62"/>
      <c r="EM726" s="62"/>
      <c r="EN726" s="62"/>
      <c r="EO726" s="62"/>
      <c r="EP726" s="62"/>
      <c r="EQ726" s="62"/>
      <c r="ER726" s="62"/>
      <c r="ES726" s="62"/>
      <c r="ET726" s="62"/>
      <c r="EU726" s="62"/>
      <c r="EV726" s="62"/>
      <c r="EW726" s="62"/>
      <c r="EX726" s="62"/>
      <c r="EY726" s="62"/>
      <c r="EZ726" s="62"/>
      <c r="FA726" s="62"/>
      <c r="FB726" s="62"/>
      <c r="FC726" s="62"/>
      <c r="FD726" s="62"/>
      <c r="FE726" s="62"/>
      <c r="FF726" s="62"/>
      <c r="FG726" s="62"/>
      <c r="FH726" s="62"/>
      <c r="FI726" s="62"/>
      <c r="FJ726" s="62"/>
      <c r="FK726" s="62"/>
      <c r="FL726" s="62"/>
      <c r="FM726" s="62"/>
      <c r="FN726" s="62"/>
      <c r="FO726" s="62"/>
      <c r="FP726" s="62"/>
      <c r="FQ726" s="62"/>
      <c r="FR726" s="62"/>
      <c r="FS726" s="62"/>
      <c r="FT726" s="62"/>
      <c r="FU726" s="62"/>
      <c r="FV726" s="62"/>
    </row>
    <row r="727" spans="1:178" ht="13.8">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c r="AY727" s="62"/>
      <c r="AZ727" s="62"/>
      <c r="BA727" s="62"/>
      <c r="BB727" s="62"/>
      <c r="BC727" s="62"/>
      <c r="BD727" s="62"/>
      <c r="BE727" s="62"/>
      <c r="BF727" s="62"/>
      <c r="BG727" s="62"/>
      <c r="BH727" s="62"/>
      <c r="BI727" s="62"/>
      <c r="BJ727" s="62"/>
      <c r="BK727" s="62"/>
      <c r="BL727" s="62"/>
      <c r="BM727" s="62"/>
      <c r="BN727" s="62"/>
      <c r="BO727" s="62"/>
      <c r="BP727" s="62"/>
      <c r="BQ727" s="62"/>
      <c r="BR727" s="62"/>
      <c r="BS727" s="62"/>
      <c r="BT727" s="62"/>
      <c r="BU727" s="62"/>
      <c r="BV727" s="62"/>
      <c r="BW727" s="62"/>
      <c r="BX727" s="62"/>
      <c r="BY727" s="62"/>
      <c r="BZ727" s="62"/>
      <c r="CA727" s="62"/>
      <c r="CB727" s="62"/>
      <c r="CC727" s="62"/>
      <c r="CD727" s="62"/>
      <c r="CE727" s="62"/>
      <c r="CF727" s="62"/>
      <c r="CG727" s="62"/>
      <c r="CH727" s="62"/>
      <c r="CI727" s="62"/>
      <c r="CJ727" s="62"/>
      <c r="CK727" s="62"/>
      <c r="CL727" s="62"/>
      <c r="CM727" s="62"/>
      <c r="CN727" s="62"/>
      <c r="CO727" s="62"/>
      <c r="CP727" s="62"/>
      <c r="CQ727" s="62"/>
      <c r="CR727" s="62"/>
      <c r="CS727" s="62"/>
      <c r="CT727" s="62"/>
      <c r="CU727" s="62"/>
      <c r="CV727" s="62"/>
      <c r="CW727" s="62"/>
      <c r="CX727" s="62"/>
      <c r="CY727" s="62"/>
      <c r="CZ727" s="62"/>
      <c r="DA727" s="62"/>
      <c r="DB727" s="62"/>
      <c r="DC727" s="62"/>
      <c r="DD727" s="62"/>
      <c r="DE727" s="62"/>
      <c r="DF727" s="62"/>
      <c r="DG727" s="62"/>
      <c r="DH727" s="62"/>
      <c r="DI727" s="62"/>
      <c r="DJ727" s="62"/>
      <c r="DK727" s="62"/>
      <c r="DL727" s="62"/>
      <c r="DM727" s="62"/>
      <c r="DN727" s="62"/>
      <c r="DO727" s="62"/>
      <c r="DP727" s="62"/>
      <c r="DQ727" s="62"/>
      <c r="DR727" s="62"/>
      <c r="DS727" s="62"/>
      <c r="DT727" s="62"/>
      <c r="DU727" s="62"/>
      <c r="DV727" s="62"/>
      <c r="DW727" s="62"/>
      <c r="DX727" s="62"/>
      <c r="DY727" s="62"/>
      <c r="DZ727" s="62"/>
      <c r="EA727" s="62"/>
      <c r="EB727" s="62"/>
      <c r="EC727" s="62"/>
      <c r="ED727" s="62"/>
      <c r="EE727" s="62"/>
      <c r="EF727" s="62"/>
      <c r="EG727" s="62"/>
      <c r="EH727" s="62"/>
      <c r="EI727" s="62"/>
      <c r="EJ727" s="62"/>
      <c r="EK727" s="62"/>
      <c r="EL727" s="62"/>
      <c r="EM727" s="62"/>
      <c r="EN727" s="62"/>
      <c r="EO727" s="62"/>
      <c r="EP727" s="62"/>
      <c r="EQ727" s="62"/>
      <c r="ER727" s="62"/>
      <c r="ES727" s="62"/>
      <c r="ET727" s="62"/>
      <c r="EU727" s="62"/>
      <c r="EV727" s="62"/>
      <c r="EW727" s="62"/>
      <c r="EX727" s="62"/>
      <c r="EY727" s="62"/>
      <c r="EZ727" s="62"/>
      <c r="FA727" s="62"/>
      <c r="FB727" s="62"/>
      <c r="FC727" s="62"/>
      <c r="FD727" s="62"/>
      <c r="FE727" s="62"/>
      <c r="FF727" s="62"/>
      <c r="FG727" s="62"/>
      <c r="FH727" s="62"/>
      <c r="FI727" s="62"/>
      <c r="FJ727" s="62"/>
      <c r="FK727" s="62"/>
      <c r="FL727" s="62"/>
      <c r="FM727" s="62"/>
      <c r="FN727" s="62"/>
      <c r="FO727" s="62"/>
      <c r="FP727" s="62"/>
      <c r="FQ727" s="62"/>
      <c r="FR727" s="62"/>
      <c r="FS727" s="62"/>
      <c r="FT727" s="62"/>
      <c r="FU727" s="62"/>
      <c r="FV727" s="62"/>
    </row>
    <row r="728" spans="1:178" ht="13.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c r="AY728" s="62"/>
      <c r="AZ728" s="62"/>
      <c r="BA728" s="62"/>
      <c r="BB728" s="62"/>
      <c r="BC728" s="62"/>
      <c r="BD728" s="62"/>
      <c r="BE728" s="62"/>
      <c r="BF728" s="62"/>
      <c r="BG728" s="62"/>
      <c r="BH728" s="62"/>
      <c r="BI728" s="62"/>
      <c r="BJ728" s="62"/>
      <c r="BK728" s="62"/>
      <c r="BL728" s="62"/>
      <c r="BM728" s="62"/>
      <c r="BN728" s="62"/>
      <c r="BO728" s="62"/>
      <c r="BP728" s="62"/>
      <c r="BQ728" s="62"/>
      <c r="BR728" s="62"/>
      <c r="BS728" s="62"/>
      <c r="BT728" s="62"/>
      <c r="BU728" s="62"/>
      <c r="BV728" s="62"/>
      <c r="BW728" s="62"/>
      <c r="BX728" s="62"/>
      <c r="BY728" s="62"/>
      <c r="BZ728" s="62"/>
      <c r="CA728" s="62"/>
      <c r="CB728" s="62"/>
      <c r="CC728" s="62"/>
      <c r="CD728" s="62"/>
      <c r="CE728" s="62"/>
      <c r="CF728" s="62"/>
      <c r="CG728" s="62"/>
      <c r="CH728" s="62"/>
      <c r="CI728" s="62"/>
      <c r="CJ728" s="62"/>
      <c r="CK728" s="62"/>
      <c r="CL728" s="62"/>
      <c r="CM728" s="62"/>
      <c r="CN728" s="62"/>
      <c r="CO728" s="62"/>
      <c r="CP728" s="62"/>
      <c r="CQ728" s="62"/>
      <c r="CR728" s="62"/>
      <c r="CS728" s="62"/>
      <c r="CT728" s="62"/>
      <c r="CU728" s="62"/>
      <c r="CV728" s="62"/>
      <c r="CW728" s="62"/>
      <c r="CX728" s="62"/>
      <c r="CY728" s="62"/>
      <c r="CZ728" s="62"/>
      <c r="DA728" s="62"/>
      <c r="DB728" s="62"/>
      <c r="DC728" s="62"/>
      <c r="DD728" s="62"/>
      <c r="DE728" s="62"/>
      <c r="DF728" s="62"/>
      <c r="DG728" s="62"/>
      <c r="DH728" s="62"/>
      <c r="DI728" s="62"/>
      <c r="DJ728" s="62"/>
      <c r="DK728" s="62"/>
      <c r="DL728" s="62"/>
      <c r="DM728" s="62"/>
      <c r="DN728" s="62"/>
      <c r="DO728" s="62"/>
      <c r="DP728" s="62"/>
      <c r="DQ728" s="62"/>
      <c r="DR728" s="62"/>
      <c r="DS728" s="62"/>
      <c r="DT728" s="62"/>
      <c r="DU728" s="62"/>
      <c r="DV728" s="62"/>
      <c r="DW728" s="62"/>
      <c r="DX728" s="62"/>
      <c r="DY728" s="62"/>
      <c r="DZ728" s="62"/>
      <c r="EA728" s="62"/>
      <c r="EB728" s="62"/>
      <c r="EC728" s="62"/>
      <c r="ED728" s="62"/>
      <c r="EE728" s="62"/>
      <c r="EF728" s="62"/>
      <c r="EG728" s="62"/>
      <c r="EH728" s="62"/>
      <c r="EI728" s="62"/>
      <c r="EJ728" s="62"/>
      <c r="EK728" s="62"/>
      <c r="EL728" s="62"/>
      <c r="EM728" s="62"/>
      <c r="EN728" s="62"/>
      <c r="EO728" s="62"/>
      <c r="EP728" s="62"/>
      <c r="EQ728" s="62"/>
      <c r="ER728" s="62"/>
      <c r="ES728" s="62"/>
      <c r="ET728" s="62"/>
      <c r="EU728" s="62"/>
      <c r="EV728" s="62"/>
      <c r="EW728" s="62"/>
      <c r="EX728" s="62"/>
      <c r="EY728" s="62"/>
      <c r="EZ728" s="62"/>
      <c r="FA728" s="62"/>
      <c r="FB728" s="62"/>
      <c r="FC728" s="62"/>
      <c r="FD728" s="62"/>
      <c r="FE728" s="62"/>
      <c r="FF728" s="62"/>
      <c r="FG728" s="62"/>
      <c r="FH728" s="62"/>
      <c r="FI728" s="62"/>
      <c r="FJ728" s="62"/>
      <c r="FK728" s="62"/>
      <c r="FL728" s="62"/>
      <c r="FM728" s="62"/>
      <c r="FN728" s="62"/>
      <c r="FO728" s="62"/>
      <c r="FP728" s="62"/>
      <c r="FQ728" s="62"/>
      <c r="FR728" s="62"/>
      <c r="FS728" s="62"/>
      <c r="FT728" s="62"/>
      <c r="FU728" s="62"/>
      <c r="FV728" s="62"/>
    </row>
    <row r="729" spans="1:178" ht="13.8">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c r="AY729" s="62"/>
      <c r="AZ729" s="62"/>
      <c r="BA729" s="62"/>
      <c r="BB729" s="62"/>
      <c r="BC729" s="62"/>
      <c r="BD729" s="62"/>
      <c r="BE729" s="62"/>
      <c r="BF729" s="62"/>
      <c r="BG729" s="62"/>
      <c r="BH729" s="62"/>
      <c r="BI729" s="62"/>
      <c r="BJ729" s="62"/>
      <c r="BK729" s="62"/>
      <c r="BL729" s="62"/>
      <c r="BM729" s="62"/>
      <c r="BN729" s="62"/>
      <c r="BO729" s="62"/>
      <c r="BP729" s="62"/>
      <c r="BQ729" s="62"/>
      <c r="BR729" s="62"/>
      <c r="BS729" s="62"/>
      <c r="BT729" s="62"/>
      <c r="BU729" s="62"/>
      <c r="BV729" s="62"/>
      <c r="BW729" s="62"/>
      <c r="BX729" s="62"/>
      <c r="BY729" s="62"/>
      <c r="BZ729" s="62"/>
      <c r="CA729" s="62"/>
      <c r="CB729" s="62"/>
      <c r="CC729" s="62"/>
      <c r="CD729" s="62"/>
      <c r="CE729" s="62"/>
      <c r="CF729" s="62"/>
      <c r="CG729" s="62"/>
      <c r="CH729" s="62"/>
      <c r="CI729" s="62"/>
      <c r="CJ729" s="62"/>
      <c r="CK729" s="62"/>
      <c r="CL729" s="62"/>
      <c r="CM729" s="62"/>
      <c r="CN729" s="62"/>
      <c r="CO729" s="62"/>
      <c r="CP729" s="62"/>
      <c r="CQ729" s="62"/>
      <c r="CR729" s="62"/>
      <c r="CS729" s="62"/>
      <c r="CT729" s="62"/>
      <c r="CU729" s="62"/>
      <c r="CV729" s="62"/>
      <c r="CW729" s="62"/>
      <c r="CX729" s="62"/>
      <c r="CY729" s="62"/>
      <c r="CZ729" s="62"/>
      <c r="DA729" s="62"/>
      <c r="DB729" s="62"/>
      <c r="DC729" s="62"/>
      <c r="DD729" s="62"/>
      <c r="DE729" s="62"/>
      <c r="DF729" s="62"/>
      <c r="DG729" s="62"/>
      <c r="DH729" s="62"/>
      <c r="DI729" s="62"/>
      <c r="DJ729" s="62"/>
      <c r="DK729" s="62"/>
      <c r="DL729" s="62"/>
      <c r="DM729" s="62"/>
      <c r="DN729" s="62"/>
      <c r="DO729" s="62"/>
      <c r="DP729" s="62"/>
      <c r="DQ729" s="62"/>
      <c r="DR729" s="62"/>
      <c r="DS729" s="62"/>
      <c r="DT729" s="62"/>
      <c r="DU729" s="62"/>
      <c r="DV729" s="62"/>
      <c r="DW729" s="62"/>
      <c r="DX729" s="62"/>
      <c r="DY729" s="62"/>
      <c r="DZ729" s="62"/>
      <c r="EA729" s="62"/>
      <c r="EB729" s="62"/>
      <c r="EC729" s="62"/>
      <c r="ED729" s="62"/>
      <c r="EE729" s="62"/>
      <c r="EF729" s="62"/>
      <c r="EG729" s="62"/>
      <c r="EH729" s="62"/>
      <c r="EI729" s="62"/>
      <c r="EJ729" s="62"/>
      <c r="EK729" s="62"/>
      <c r="EL729" s="62"/>
      <c r="EM729" s="62"/>
      <c r="EN729" s="62"/>
      <c r="EO729" s="62"/>
      <c r="EP729" s="62"/>
      <c r="EQ729" s="62"/>
      <c r="ER729" s="62"/>
      <c r="ES729" s="62"/>
      <c r="ET729" s="62"/>
      <c r="EU729" s="62"/>
      <c r="EV729" s="62"/>
      <c r="EW729" s="62"/>
      <c r="EX729" s="62"/>
      <c r="EY729" s="62"/>
      <c r="EZ729" s="62"/>
      <c r="FA729" s="62"/>
      <c r="FB729" s="62"/>
      <c r="FC729" s="62"/>
      <c r="FD729" s="62"/>
      <c r="FE729" s="62"/>
      <c r="FF729" s="62"/>
      <c r="FG729" s="62"/>
      <c r="FH729" s="62"/>
      <c r="FI729" s="62"/>
      <c r="FJ729" s="62"/>
      <c r="FK729" s="62"/>
      <c r="FL729" s="62"/>
      <c r="FM729" s="62"/>
      <c r="FN729" s="62"/>
      <c r="FO729" s="62"/>
      <c r="FP729" s="62"/>
      <c r="FQ729" s="62"/>
      <c r="FR729" s="62"/>
      <c r="FS729" s="62"/>
      <c r="FT729" s="62"/>
      <c r="FU729" s="62"/>
      <c r="FV729" s="62"/>
    </row>
    <row r="730" spans="1:178" ht="13.8">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c r="AY730" s="62"/>
      <c r="AZ730" s="62"/>
      <c r="BA730" s="62"/>
      <c r="BB730" s="62"/>
      <c r="BC730" s="62"/>
      <c r="BD730" s="62"/>
      <c r="BE730" s="62"/>
      <c r="BF730" s="62"/>
      <c r="BG730" s="62"/>
      <c r="BH730" s="62"/>
      <c r="BI730" s="62"/>
      <c r="BJ730" s="62"/>
      <c r="BK730" s="62"/>
      <c r="BL730" s="62"/>
      <c r="BM730" s="62"/>
      <c r="BN730" s="62"/>
      <c r="BO730" s="62"/>
      <c r="BP730" s="62"/>
      <c r="BQ730" s="62"/>
      <c r="BR730" s="62"/>
      <c r="BS730" s="62"/>
      <c r="BT730" s="62"/>
      <c r="BU730" s="62"/>
      <c r="BV730" s="62"/>
      <c r="BW730" s="62"/>
      <c r="BX730" s="62"/>
      <c r="BY730" s="62"/>
      <c r="BZ730" s="62"/>
      <c r="CA730" s="62"/>
      <c r="CB730" s="62"/>
      <c r="CC730" s="62"/>
      <c r="CD730" s="62"/>
      <c r="CE730" s="62"/>
      <c r="CF730" s="62"/>
      <c r="CG730" s="62"/>
      <c r="CH730" s="62"/>
      <c r="CI730" s="62"/>
      <c r="CJ730" s="62"/>
      <c r="CK730" s="62"/>
      <c r="CL730" s="62"/>
      <c r="CM730" s="62"/>
      <c r="CN730" s="62"/>
      <c r="CO730" s="62"/>
      <c r="CP730" s="62"/>
      <c r="CQ730" s="62"/>
      <c r="CR730" s="62"/>
      <c r="CS730" s="62"/>
      <c r="CT730" s="62"/>
      <c r="CU730" s="62"/>
      <c r="CV730" s="62"/>
      <c r="CW730" s="62"/>
      <c r="CX730" s="62"/>
      <c r="CY730" s="62"/>
      <c r="CZ730" s="62"/>
      <c r="DA730" s="62"/>
      <c r="DB730" s="62"/>
      <c r="DC730" s="62"/>
      <c r="DD730" s="62"/>
      <c r="DE730" s="62"/>
      <c r="DF730" s="62"/>
      <c r="DG730" s="62"/>
      <c r="DH730" s="62"/>
      <c r="DI730" s="62"/>
      <c r="DJ730" s="62"/>
      <c r="DK730" s="62"/>
      <c r="DL730" s="62"/>
      <c r="DM730" s="62"/>
      <c r="DN730" s="62"/>
      <c r="DO730" s="62"/>
      <c r="DP730" s="62"/>
      <c r="DQ730" s="62"/>
      <c r="DR730" s="62"/>
      <c r="DS730" s="62"/>
      <c r="DT730" s="62"/>
      <c r="DU730" s="62"/>
      <c r="DV730" s="62"/>
      <c r="DW730" s="62"/>
      <c r="DX730" s="62"/>
      <c r="DY730" s="62"/>
      <c r="DZ730" s="62"/>
      <c r="EA730" s="62"/>
      <c r="EB730" s="62"/>
      <c r="EC730" s="62"/>
      <c r="ED730" s="62"/>
      <c r="EE730" s="62"/>
      <c r="EF730" s="62"/>
      <c r="EG730" s="62"/>
      <c r="EH730" s="62"/>
      <c r="EI730" s="62"/>
      <c r="EJ730" s="62"/>
      <c r="EK730" s="62"/>
      <c r="EL730" s="62"/>
      <c r="EM730" s="62"/>
      <c r="EN730" s="62"/>
      <c r="EO730" s="62"/>
      <c r="EP730" s="62"/>
      <c r="EQ730" s="62"/>
      <c r="ER730" s="62"/>
      <c r="ES730" s="62"/>
      <c r="ET730" s="62"/>
      <c r="EU730" s="62"/>
      <c r="EV730" s="62"/>
      <c r="EW730" s="62"/>
      <c r="EX730" s="62"/>
      <c r="EY730" s="62"/>
      <c r="EZ730" s="62"/>
      <c r="FA730" s="62"/>
      <c r="FB730" s="62"/>
      <c r="FC730" s="62"/>
      <c r="FD730" s="62"/>
      <c r="FE730" s="62"/>
      <c r="FF730" s="62"/>
      <c r="FG730" s="62"/>
      <c r="FH730" s="62"/>
      <c r="FI730" s="62"/>
      <c r="FJ730" s="62"/>
      <c r="FK730" s="62"/>
      <c r="FL730" s="62"/>
      <c r="FM730" s="62"/>
      <c r="FN730" s="62"/>
      <c r="FO730" s="62"/>
      <c r="FP730" s="62"/>
      <c r="FQ730" s="62"/>
      <c r="FR730" s="62"/>
      <c r="FS730" s="62"/>
      <c r="FT730" s="62"/>
      <c r="FU730" s="62"/>
      <c r="FV730" s="62"/>
    </row>
    <row r="731" spans="1:178" ht="13.8">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c r="AY731" s="62"/>
      <c r="AZ731" s="62"/>
      <c r="BA731" s="62"/>
      <c r="BB731" s="62"/>
      <c r="BC731" s="62"/>
      <c r="BD731" s="62"/>
      <c r="BE731" s="62"/>
      <c r="BF731" s="62"/>
      <c r="BG731" s="62"/>
      <c r="BH731" s="62"/>
      <c r="BI731" s="62"/>
      <c r="BJ731" s="62"/>
      <c r="BK731" s="62"/>
      <c r="BL731" s="62"/>
      <c r="BM731" s="62"/>
      <c r="BN731" s="62"/>
      <c r="BO731" s="62"/>
      <c r="BP731" s="62"/>
      <c r="BQ731" s="62"/>
      <c r="BR731" s="62"/>
      <c r="BS731" s="62"/>
      <c r="BT731" s="62"/>
      <c r="BU731" s="62"/>
      <c r="BV731" s="62"/>
      <c r="BW731" s="62"/>
      <c r="BX731" s="62"/>
      <c r="BY731" s="62"/>
      <c r="BZ731" s="62"/>
      <c r="CA731" s="62"/>
      <c r="CB731" s="62"/>
      <c r="CC731" s="62"/>
      <c r="CD731" s="62"/>
      <c r="CE731" s="62"/>
      <c r="CF731" s="62"/>
      <c r="CG731" s="62"/>
      <c r="CH731" s="62"/>
      <c r="CI731" s="62"/>
      <c r="CJ731" s="62"/>
      <c r="CK731" s="62"/>
      <c r="CL731" s="62"/>
      <c r="CM731" s="62"/>
      <c r="CN731" s="62"/>
      <c r="CO731" s="62"/>
      <c r="CP731" s="62"/>
      <c r="CQ731" s="62"/>
      <c r="CR731" s="62"/>
      <c r="CS731" s="62"/>
      <c r="CT731" s="62"/>
      <c r="CU731" s="62"/>
      <c r="CV731" s="62"/>
      <c r="CW731" s="62"/>
      <c r="CX731" s="62"/>
      <c r="CY731" s="62"/>
      <c r="CZ731" s="62"/>
      <c r="DA731" s="62"/>
      <c r="DB731" s="62"/>
      <c r="DC731" s="62"/>
      <c r="DD731" s="62"/>
      <c r="DE731" s="62"/>
      <c r="DF731" s="62"/>
      <c r="DG731" s="62"/>
      <c r="DH731" s="62"/>
      <c r="DI731" s="62"/>
      <c r="DJ731" s="62"/>
      <c r="DK731" s="62"/>
      <c r="DL731" s="62"/>
      <c r="DM731" s="62"/>
      <c r="DN731" s="62"/>
      <c r="DO731" s="62"/>
      <c r="DP731" s="62"/>
      <c r="DQ731" s="62"/>
      <c r="DR731" s="62"/>
      <c r="DS731" s="62"/>
      <c r="DT731" s="62"/>
      <c r="DU731" s="62"/>
      <c r="DV731" s="62"/>
      <c r="DW731" s="62"/>
      <c r="DX731" s="62"/>
      <c r="DY731" s="62"/>
      <c r="DZ731" s="62"/>
      <c r="EA731" s="62"/>
      <c r="EB731" s="62"/>
      <c r="EC731" s="62"/>
      <c r="ED731" s="62"/>
      <c r="EE731" s="62"/>
      <c r="EF731" s="62"/>
      <c r="EG731" s="62"/>
      <c r="EH731" s="62"/>
      <c r="EI731" s="62"/>
      <c r="EJ731" s="62"/>
      <c r="EK731" s="62"/>
      <c r="EL731" s="62"/>
      <c r="EM731" s="62"/>
      <c r="EN731" s="62"/>
      <c r="EO731" s="62"/>
      <c r="EP731" s="62"/>
      <c r="EQ731" s="62"/>
      <c r="ER731" s="62"/>
      <c r="ES731" s="62"/>
      <c r="ET731" s="62"/>
      <c r="EU731" s="62"/>
      <c r="EV731" s="62"/>
      <c r="EW731" s="62"/>
      <c r="EX731" s="62"/>
      <c r="EY731" s="62"/>
      <c r="EZ731" s="62"/>
      <c r="FA731" s="62"/>
      <c r="FB731" s="62"/>
      <c r="FC731" s="62"/>
      <c r="FD731" s="62"/>
      <c r="FE731" s="62"/>
      <c r="FF731" s="62"/>
      <c r="FG731" s="62"/>
      <c r="FH731" s="62"/>
      <c r="FI731" s="62"/>
      <c r="FJ731" s="62"/>
      <c r="FK731" s="62"/>
      <c r="FL731" s="62"/>
      <c r="FM731" s="62"/>
      <c r="FN731" s="62"/>
      <c r="FO731" s="62"/>
      <c r="FP731" s="62"/>
      <c r="FQ731" s="62"/>
      <c r="FR731" s="62"/>
      <c r="FS731" s="62"/>
      <c r="FT731" s="62"/>
      <c r="FU731" s="62"/>
      <c r="FV731" s="62"/>
    </row>
    <row r="732" spans="1:178" ht="13.8">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c r="AY732" s="62"/>
      <c r="AZ732" s="62"/>
      <c r="BA732" s="62"/>
      <c r="BB732" s="62"/>
      <c r="BC732" s="62"/>
      <c r="BD732" s="62"/>
      <c r="BE732" s="62"/>
      <c r="BF732" s="62"/>
      <c r="BG732" s="62"/>
      <c r="BH732" s="62"/>
      <c r="BI732" s="62"/>
      <c r="BJ732" s="62"/>
      <c r="BK732" s="62"/>
      <c r="BL732" s="62"/>
      <c r="BM732" s="62"/>
      <c r="BN732" s="62"/>
      <c r="BO732" s="62"/>
      <c r="BP732" s="62"/>
      <c r="BQ732" s="62"/>
      <c r="BR732" s="62"/>
      <c r="BS732" s="62"/>
      <c r="BT732" s="62"/>
      <c r="BU732" s="62"/>
      <c r="BV732" s="62"/>
      <c r="BW732" s="62"/>
      <c r="BX732" s="62"/>
      <c r="BY732" s="62"/>
      <c r="BZ732" s="62"/>
      <c r="CA732" s="62"/>
      <c r="CB732" s="62"/>
      <c r="CC732" s="62"/>
      <c r="CD732" s="62"/>
      <c r="CE732" s="62"/>
      <c r="CF732" s="62"/>
      <c r="CG732" s="62"/>
      <c r="CH732" s="62"/>
      <c r="CI732" s="62"/>
      <c r="CJ732" s="62"/>
      <c r="CK732" s="62"/>
      <c r="CL732" s="62"/>
      <c r="CM732" s="62"/>
      <c r="CN732" s="62"/>
      <c r="CO732" s="62"/>
      <c r="CP732" s="62"/>
      <c r="CQ732" s="62"/>
      <c r="CR732" s="62"/>
      <c r="CS732" s="62"/>
      <c r="CT732" s="62"/>
      <c r="CU732" s="62"/>
      <c r="CV732" s="62"/>
      <c r="CW732" s="62"/>
      <c r="CX732" s="62"/>
      <c r="CY732" s="62"/>
      <c r="CZ732" s="62"/>
      <c r="DA732" s="62"/>
      <c r="DB732" s="62"/>
      <c r="DC732" s="62"/>
      <c r="DD732" s="62"/>
      <c r="DE732" s="62"/>
      <c r="DF732" s="62"/>
      <c r="DG732" s="62"/>
      <c r="DH732" s="62"/>
      <c r="DI732" s="62"/>
      <c r="DJ732" s="62"/>
      <c r="DK732" s="62"/>
      <c r="DL732" s="62"/>
      <c r="DM732" s="62"/>
      <c r="DN732" s="62"/>
      <c r="DO732" s="62"/>
      <c r="DP732" s="62"/>
      <c r="DQ732" s="62"/>
      <c r="DR732" s="62"/>
      <c r="DS732" s="62"/>
      <c r="DT732" s="62"/>
      <c r="DU732" s="62"/>
      <c r="DV732" s="62"/>
      <c r="DW732" s="62"/>
      <c r="DX732" s="62"/>
      <c r="DY732" s="62"/>
      <c r="DZ732" s="62"/>
      <c r="EA732" s="62"/>
      <c r="EB732" s="62"/>
      <c r="EC732" s="62"/>
      <c r="ED732" s="62"/>
      <c r="EE732" s="62"/>
      <c r="EF732" s="62"/>
      <c r="EG732" s="62"/>
      <c r="EH732" s="62"/>
      <c r="EI732" s="62"/>
      <c r="EJ732" s="62"/>
      <c r="EK732" s="62"/>
      <c r="EL732" s="62"/>
      <c r="EM732" s="62"/>
      <c r="EN732" s="62"/>
      <c r="EO732" s="62"/>
      <c r="EP732" s="62"/>
      <c r="EQ732" s="62"/>
      <c r="ER732" s="62"/>
      <c r="ES732" s="62"/>
      <c r="ET732" s="62"/>
      <c r="EU732" s="62"/>
      <c r="EV732" s="62"/>
      <c r="EW732" s="62"/>
      <c r="EX732" s="62"/>
      <c r="EY732" s="62"/>
      <c r="EZ732" s="62"/>
      <c r="FA732" s="62"/>
      <c r="FB732" s="62"/>
      <c r="FC732" s="62"/>
      <c r="FD732" s="62"/>
      <c r="FE732" s="62"/>
      <c r="FF732" s="62"/>
      <c r="FG732" s="62"/>
      <c r="FH732" s="62"/>
      <c r="FI732" s="62"/>
      <c r="FJ732" s="62"/>
      <c r="FK732" s="62"/>
      <c r="FL732" s="62"/>
      <c r="FM732" s="62"/>
      <c r="FN732" s="62"/>
      <c r="FO732" s="62"/>
      <c r="FP732" s="62"/>
      <c r="FQ732" s="62"/>
      <c r="FR732" s="62"/>
      <c r="FS732" s="62"/>
      <c r="FT732" s="62"/>
      <c r="FU732" s="62"/>
      <c r="FV732" s="62"/>
    </row>
    <row r="733" spans="1:178" ht="13.8">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c r="AY733" s="62"/>
      <c r="AZ733" s="62"/>
      <c r="BA733" s="62"/>
      <c r="BB733" s="62"/>
      <c r="BC733" s="62"/>
      <c r="BD733" s="62"/>
      <c r="BE733" s="62"/>
      <c r="BF733" s="62"/>
      <c r="BG733" s="62"/>
      <c r="BH733" s="62"/>
      <c r="BI733" s="62"/>
      <c r="BJ733" s="62"/>
      <c r="BK733" s="62"/>
      <c r="BL733" s="62"/>
      <c r="BM733" s="62"/>
      <c r="BN733" s="62"/>
      <c r="BO733" s="62"/>
      <c r="BP733" s="62"/>
      <c r="BQ733" s="62"/>
      <c r="BR733" s="62"/>
      <c r="BS733" s="62"/>
      <c r="BT733" s="62"/>
      <c r="BU733" s="62"/>
      <c r="BV733" s="62"/>
      <c r="BW733" s="62"/>
      <c r="BX733" s="62"/>
      <c r="BY733" s="62"/>
      <c r="BZ733" s="62"/>
      <c r="CA733" s="62"/>
      <c r="CB733" s="62"/>
      <c r="CC733" s="62"/>
      <c r="CD733" s="62"/>
      <c r="CE733" s="62"/>
      <c r="CF733" s="62"/>
      <c r="CG733" s="62"/>
      <c r="CH733" s="62"/>
      <c r="CI733" s="62"/>
      <c r="CJ733" s="62"/>
      <c r="CK733" s="62"/>
      <c r="CL733" s="62"/>
      <c r="CM733" s="62"/>
      <c r="CN733" s="62"/>
      <c r="CO733" s="62"/>
      <c r="CP733" s="62"/>
      <c r="CQ733" s="62"/>
      <c r="CR733" s="62"/>
      <c r="CS733" s="62"/>
      <c r="CT733" s="62"/>
      <c r="CU733" s="62"/>
      <c r="CV733" s="62"/>
      <c r="CW733" s="62"/>
      <c r="CX733" s="62"/>
      <c r="CY733" s="62"/>
      <c r="CZ733" s="62"/>
      <c r="DA733" s="62"/>
      <c r="DB733" s="62"/>
      <c r="DC733" s="62"/>
      <c r="DD733" s="62"/>
      <c r="DE733" s="62"/>
      <c r="DF733" s="62"/>
      <c r="DG733" s="62"/>
      <c r="DH733" s="62"/>
      <c r="DI733" s="62"/>
      <c r="DJ733" s="62"/>
      <c r="DK733" s="62"/>
      <c r="DL733" s="62"/>
      <c r="DM733" s="62"/>
      <c r="DN733" s="62"/>
      <c r="DO733" s="62"/>
      <c r="DP733" s="62"/>
      <c r="DQ733" s="62"/>
      <c r="DR733" s="62"/>
      <c r="DS733" s="62"/>
      <c r="DT733" s="62"/>
      <c r="DU733" s="62"/>
      <c r="DV733" s="62"/>
      <c r="DW733" s="62"/>
      <c r="DX733" s="62"/>
      <c r="DY733" s="62"/>
      <c r="DZ733" s="62"/>
      <c r="EA733" s="62"/>
      <c r="EB733" s="62"/>
      <c r="EC733" s="62"/>
      <c r="ED733" s="62"/>
      <c r="EE733" s="62"/>
      <c r="EF733" s="62"/>
      <c r="EG733" s="62"/>
      <c r="EH733" s="62"/>
      <c r="EI733" s="62"/>
      <c r="EJ733" s="62"/>
      <c r="EK733" s="62"/>
      <c r="EL733" s="62"/>
      <c r="EM733" s="62"/>
      <c r="EN733" s="62"/>
      <c r="EO733" s="62"/>
      <c r="EP733" s="62"/>
      <c r="EQ733" s="62"/>
      <c r="ER733" s="62"/>
      <c r="ES733" s="62"/>
      <c r="ET733" s="62"/>
      <c r="EU733" s="62"/>
      <c r="EV733" s="62"/>
      <c r="EW733" s="62"/>
      <c r="EX733" s="62"/>
      <c r="EY733" s="62"/>
      <c r="EZ733" s="62"/>
      <c r="FA733" s="62"/>
      <c r="FB733" s="62"/>
      <c r="FC733" s="62"/>
      <c r="FD733" s="62"/>
      <c r="FE733" s="62"/>
      <c r="FF733" s="62"/>
      <c r="FG733" s="62"/>
      <c r="FH733" s="62"/>
      <c r="FI733" s="62"/>
      <c r="FJ733" s="62"/>
      <c r="FK733" s="62"/>
      <c r="FL733" s="62"/>
      <c r="FM733" s="62"/>
      <c r="FN733" s="62"/>
      <c r="FO733" s="62"/>
      <c r="FP733" s="62"/>
      <c r="FQ733" s="62"/>
      <c r="FR733" s="62"/>
      <c r="FS733" s="62"/>
      <c r="FT733" s="62"/>
      <c r="FU733" s="62"/>
      <c r="FV733" s="62"/>
    </row>
    <row r="734" spans="1:178" ht="13.8">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c r="AY734" s="62"/>
      <c r="AZ734" s="62"/>
      <c r="BA734" s="62"/>
      <c r="BB734" s="62"/>
      <c r="BC734" s="62"/>
      <c r="BD734" s="62"/>
      <c r="BE734" s="62"/>
      <c r="BF734" s="62"/>
      <c r="BG734" s="62"/>
      <c r="BH734" s="62"/>
      <c r="BI734" s="62"/>
      <c r="BJ734" s="62"/>
      <c r="BK734" s="62"/>
      <c r="BL734" s="62"/>
      <c r="BM734" s="62"/>
      <c r="BN734" s="62"/>
      <c r="BO734" s="62"/>
      <c r="BP734" s="62"/>
      <c r="BQ734" s="62"/>
      <c r="BR734" s="62"/>
      <c r="BS734" s="62"/>
      <c r="BT734" s="62"/>
      <c r="BU734" s="62"/>
      <c r="BV734" s="62"/>
      <c r="BW734" s="62"/>
      <c r="BX734" s="62"/>
      <c r="BY734" s="62"/>
      <c r="BZ734" s="62"/>
      <c r="CA734" s="62"/>
      <c r="CB734" s="62"/>
      <c r="CC734" s="62"/>
      <c r="CD734" s="62"/>
      <c r="CE734" s="62"/>
      <c r="CF734" s="62"/>
      <c r="CG734" s="62"/>
      <c r="CH734" s="62"/>
      <c r="CI734" s="62"/>
      <c r="CJ734" s="62"/>
      <c r="CK734" s="62"/>
      <c r="CL734" s="62"/>
      <c r="CM734" s="62"/>
      <c r="CN734" s="62"/>
      <c r="CO734" s="62"/>
      <c r="CP734" s="62"/>
      <c r="CQ734" s="62"/>
      <c r="CR734" s="62"/>
      <c r="CS734" s="62"/>
      <c r="CT734" s="62"/>
      <c r="CU734" s="62"/>
      <c r="CV734" s="62"/>
      <c r="CW734" s="62"/>
      <c r="CX734" s="62"/>
      <c r="CY734" s="62"/>
      <c r="CZ734" s="62"/>
      <c r="DA734" s="62"/>
      <c r="DB734" s="62"/>
      <c r="DC734" s="62"/>
      <c r="DD734" s="62"/>
      <c r="DE734" s="62"/>
      <c r="DF734" s="62"/>
      <c r="DG734" s="62"/>
      <c r="DH734" s="62"/>
      <c r="DI734" s="62"/>
      <c r="DJ734" s="62"/>
      <c r="DK734" s="62"/>
      <c r="DL734" s="62"/>
      <c r="DM734" s="62"/>
      <c r="DN734" s="62"/>
      <c r="DO734" s="62"/>
      <c r="DP734" s="62"/>
      <c r="DQ734" s="62"/>
      <c r="DR734" s="62"/>
      <c r="DS734" s="62"/>
      <c r="DT734" s="62"/>
      <c r="DU734" s="62"/>
      <c r="DV734" s="62"/>
      <c r="DW734" s="62"/>
      <c r="DX734" s="62"/>
      <c r="DY734" s="62"/>
      <c r="DZ734" s="62"/>
      <c r="EA734" s="62"/>
      <c r="EB734" s="62"/>
      <c r="EC734" s="62"/>
      <c r="ED734" s="62"/>
      <c r="EE734" s="62"/>
      <c r="EF734" s="62"/>
      <c r="EG734" s="62"/>
      <c r="EH734" s="62"/>
      <c r="EI734" s="62"/>
      <c r="EJ734" s="62"/>
      <c r="EK734" s="62"/>
      <c r="EL734" s="62"/>
      <c r="EM734" s="62"/>
      <c r="EN734" s="62"/>
      <c r="EO734" s="62"/>
      <c r="EP734" s="62"/>
      <c r="EQ734" s="62"/>
      <c r="ER734" s="62"/>
      <c r="ES734" s="62"/>
      <c r="ET734" s="62"/>
      <c r="EU734" s="62"/>
      <c r="EV734" s="62"/>
      <c r="EW734" s="62"/>
      <c r="EX734" s="62"/>
      <c r="EY734" s="62"/>
      <c r="EZ734" s="62"/>
      <c r="FA734" s="62"/>
      <c r="FB734" s="62"/>
      <c r="FC734" s="62"/>
      <c r="FD734" s="62"/>
      <c r="FE734" s="62"/>
      <c r="FF734" s="62"/>
      <c r="FG734" s="62"/>
      <c r="FH734" s="62"/>
      <c r="FI734" s="62"/>
      <c r="FJ734" s="62"/>
      <c r="FK734" s="62"/>
      <c r="FL734" s="62"/>
      <c r="FM734" s="62"/>
      <c r="FN734" s="62"/>
      <c r="FO734" s="62"/>
      <c r="FP734" s="62"/>
      <c r="FQ734" s="62"/>
      <c r="FR734" s="62"/>
      <c r="FS734" s="62"/>
      <c r="FT734" s="62"/>
      <c r="FU734" s="62"/>
      <c r="FV734" s="62"/>
    </row>
    <row r="735" spans="1:178" ht="13.8">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c r="AY735" s="62"/>
      <c r="AZ735" s="62"/>
      <c r="BA735" s="62"/>
      <c r="BB735" s="62"/>
      <c r="BC735" s="62"/>
      <c r="BD735" s="62"/>
      <c r="BE735" s="62"/>
      <c r="BF735" s="62"/>
      <c r="BG735" s="62"/>
      <c r="BH735" s="62"/>
      <c r="BI735" s="62"/>
      <c r="BJ735" s="62"/>
      <c r="BK735" s="62"/>
      <c r="BL735" s="62"/>
      <c r="BM735" s="62"/>
      <c r="BN735" s="62"/>
      <c r="BO735" s="62"/>
      <c r="BP735" s="62"/>
      <c r="BQ735" s="62"/>
      <c r="BR735" s="62"/>
      <c r="BS735" s="62"/>
      <c r="BT735" s="62"/>
      <c r="BU735" s="62"/>
      <c r="BV735" s="62"/>
      <c r="BW735" s="62"/>
      <c r="BX735" s="62"/>
      <c r="BY735" s="62"/>
      <c r="BZ735" s="62"/>
      <c r="CA735" s="62"/>
      <c r="CB735" s="62"/>
      <c r="CC735" s="62"/>
      <c r="CD735" s="62"/>
      <c r="CE735" s="62"/>
      <c r="CF735" s="62"/>
      <c r="CG735" s="62"/>
      <c r="CH735" s="62"/>
      <c r="CI735" s="62"/>
      <c r="CJ735" s="62"/>
      <c r="CK735" s="62"/>
      <c r="CL735" s="62"/>
      <c r="CM735" s="62"/>
      <c r="CN735" s="62"/>
      <c r="CO735" s="62"/>
      <c r="CP735" s="62"/>
      <c r="CQ735" s="62"/>
      <c r="CR735" s="62"/>
      <c r="CS735" s="62"/>
      <c r="CT735" s="62"/>
      <c r="CU735" s="62"/>
      <c r="CV735" s="62"/>
      <c r="CW735" s="62"/>
      <c r="CX735" s="62"/>
      <c r="CY735" s="62"/>
      <c r="CZ735" s="62"/>
      <c r="DA735" s="62"/>
      <c r="DB735" s="62"/>
      <c r="DC735" s="62"/>
      <c r="DD735" s="62"/>
      <c r="DE735" s="62"/>
      <c r="DF735" s="62"/>
      <c r="DG735" s="62"/>
      <c r="DH735" s="62"/>
      <c r="DI735" s="62"/>
      <c r="DJ735" s="62"/>
      <c r="DK735" s="62"/>
      <c r="DL735" s="62"/>
      <c r="DM735" s="62"/>
      <c r="DN735" s="62"/>
      <c r="DO735" s="62"/>
      <c r="DP735" s="62"/>
      <c r="DQ735" s="62"/>
      <c r="DR735" s="62"/>
      <c r="DS735" s="62"/>
      <c r="DT735" s="62"/>
      <c r="DU735" s="62"/>
      <c r="DV735" s="62"/>
      <c r="DW735" s="62"/>
      <c r="DX735" s="62"/>
      <c r="DY735" s="62"/>
      <c r="DZ735" s="62"/>
      <c r="EA735" s="62"/>
      <c r="EB735" s="62"/>
      <c r="EC735" s="62"/>
      <c r="ED735" s="62"/>
      <c r="EE735" s="62"/>
      <c r="EF735" s="62"/>
      <c r="EG735" s="62"/>
      <c r="EH735" s="62"/>
      <c r="EI735" s="62"/>
      <c r="EJ735" s="62"/>
      <c r="EK735" s="62"/>
      <c r="EL735" s="62"/>
      <c r="EM735" s="62"/>
      <c r="EN735" s="62"/>
      <c r="EO735" s="62"/>
      <c r="EP735" s="62"/>
      <c r="EQ735" s="62"/>
      <c r="ER735" s="62"/>
      <c r="ES735" s="62"/>
      <c r="ET735" s="62"/>
      <c r="EU735" s="62"/>
      <c r="EV735" s="62"/>
      <c r="EW735" s="62"/>
      <c r="EX735" s="62"/>
      <c r="EY735" s="62"/>
      <c r="EZ735" s="62"/>
      <c r="FA735" s="62"/>
      <c r="FB735" s="62"/>
      <c r="FC735" s="62"/>
      <c r="FD735" s="62"/>
      <c r="FE735" s="62"/>
      <c r="FF735" s="62"/>
      <c r="FG735" s="62"/>
      <c r="FH735" s="62"/>
      <c r="FI735" s="62"/>
      <c r="FJ735" s="62"/>
      <c r="FK735" s="62"/>
      <c r="FL735" s="62"/>
      <c r="FM735" s="62"/>
      <c r="FN735" s="62"/>
      <c r="FO735" s="62"/>
      <c r="FP735" s="62"/>
      <c r="FQ735" s="62"/>
      <c r="FR735" s="62"/>
      <c r="FS735" s="62"/>
      <c r="FT735" s="62"/>
      <c r="FU735" s="62"/>
      <c r="FV735" s="62"/>
    </row>
    <row r="736" spans="1:178" ht="13.8">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c r="AY736" s="62"/>
      <c r="AZ736" s="62"/>
      <c r="BA736" s="62"/>
      <c r="BB736" s="62"/>
      <c r="BC736" s="62"/>
      <c r="BD736" s="62"/>
      <c r="BE736" s="62"/>
      <c r="BF736" s="62"/>
      <c r="BG736" s="62"/>
      <c r="BH736" s="62"/>
      <c r="BI736" s="62"/>
      <c r="BJ736" s="62"/>
      <c r="BK736" s="62"/>
      <c r="BL736" s="62"/>
      <c r="BM736" s="62"/>
      <c r="BN736" s="62"/>
      <c r="BO736" s="62"/>
      <c r="BP736" s="62"/>
      <c r="BQ736" s="62"/>
      <c r="BR736" s="62"/>
      <c r="BS736" s="62"/>
      <c r="BT736" s="62"/>
      <c r="BU736" s="62"/>
      <c r="BV736" s="62"/>
      <c r="BW736" s="62"/>
      <c r="BX736" s="62"/>
      <c r="BY736" s="62"/>
      <c r="BZ736" s="62"/>
      <c r="CA736" s="62"/>
      <c r="CB736" s="62"/>
      <c r="CC736" s="62"/>
      <c r="CD736" s="62"/>
      <c r="CE736" s="62"/>
      <c r="CF736" s="62"/>
      <c r="CG736" s="62"/>
      <c r="CH736" s="62"/>
      <c r="CI736" s="62"/>
      <c r="CJ736" s="62"/>
      <c r="CK736" s="62"/>
      <c r="CL736" s="62"/>
      <c r="CM736" s="62"/>
      <c r="CN736" s="62"/>
      <c r="CO736" s="62"/>
      <c r="CP736" s="62"/>
      <c r="CQ736" s="62"/>
      <c r="CR736" s="62"/>
      <c r="CS736" s="62"/>
      <c r="CT736" s="62"/>
      <c r="CU736" s="62"/>
      <c r="CV736" s="62"/>
      <c r="CW736" s="62"/>
      <c r="CX736" s="62"/>
      <c r="CY736" s="62"/>
      <c r="CZ736" s="62"/>
      <c r="DA736" s="62"/>
      <c r="DB736" s="62"/>
      <c r="DC736" s="62"/>
      <c r="DD736" s="62"/>
      <c r="DE736" s="62"/>
      <c r="DF736" s="62"/>
      <c r="DG736" s="62"/>
      <c r="DH736" s="62"/>
      <c r="DI736" s="62"/>
      <c r="DJ736" s="62"/>
      <c r="DK736" s="62"/>
      <c r="DL736" s="62"/>
      <c r="DM736" s="62"/>
      <c r="DN736" s="62"/>
      <c r="DO736" s="62"/>
      <c r="DP736" s="62"/>
      <c r="DQ736" s="62"/>
      <c r="DR736" s="62"/>
      <c r="DS736" s="62"/>
      <c r="DT736" s="62"/>
      <c r="DU736" s="62"/>
      <c r="DV736" s="62"/>
      <c r="DW736" s="62"/>
      <c r="DX736" s="62"/>
      <c r="DY736" s="62"/>
      <c r="DZ736" s="62"/>
      <c r="EA736" s="62"/>
      <c r="EB736" s="62"/>
      <c r="EC736" s="62"/>
      <c r="ED736" s="62"/>
      <c r="EE736" s="62"/>
      <c r="EF736" s="62"/>
      <c r="EG736" s="62"/>
      <c r="EH736" s="62"/>
      <c r="EI736" s="62"/>
      <c r="EJ736" s="62"/>
      <c r="EK736" s="62"/>
      <c r="EL736" s="62"/>
      <c r="EM736" s="62"/>
      <c r="EN736" s="62"/>
      <c r="EO736" s="62"/>
      <c r="EP736" s="62"/>
      <c r="EQ736" s="62"/>
      <c r="ER736" s="62"/>
      <c r="ES736" s="62"/>
      <c r="ET736" s="62"/>
      <c r="EU736" s="62"/>
      <c r="EV736" s="62"/>
      <c r="EW736" s="62"/>
      <c r="EX736" s="62"/>
      <c r="EY736" s="62"/>
      <c r="EZ736" s="62"/>
      <c r="FA736" s="62"/>
      <c r="FB736" s="62"/>
      <c r="FC736" s="62"/>
      <c r="FD736" s="62"/>
      <c r="FE736" s="62"/>
      <c r="FF736" s="62"/>
      <c r="FG736" s="62"/>
      <c r="FH736" s="62"/>
      <c r="FI736" s="62"/>
      <c r="FJ736" s="62"/>
      <c r="FK736" s="62"/>
      <c r="FL736" s="62"/>
      <c r="FM736" s="62"/>
      <c r="FN736" s="62"/>
      <c r="FO736" s="62"/>
      <c r="FP736" s="62"/>
      <c r="FQ736" s="62"/>
      <c r="FR736" s="62"/>
      <c r="FS736" s="62"/>
      <c r="FT736" s="62"/>
      <c r="FU736" s="62"/>
      <c r="FV736" s="62"/>
    </row>
    <row r="737" spans="1:178" ht="13.8">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c r="AY737" s="62"/>
      <c r="AZ737" s="62"/>
      <c r="BA737" s="62"/>
      <c r="BB737" s="62"/>
      <c r="BC737" s="62"/>
      <c r="BD737" s="62"/>
      <c r="BE737" s="62"/>
      <c r="BF737" s="62"/>
      <c r="BG737" s="62"/>
      <c r="BH737" s="62"/>
      <c r="BI737" s="62"/>
      <c r="BJ737" s="62"/>
      <c r="BK737" s="62"/>
      <c r="BL737" s="62"/>
      <c r="BM737" s="62"/>
      <c r="BN737" s="62"/>
      <c r="BO737" s="62"/>
      <c r="BP737" s="62"/>
      <c r="BQ737" s="62"/>
      <c r="BR737" s="62"/>
      <c r="BS737" s="62"/>
      <c r="BT737" s="62"/>
      <c r="BU737" s="62"/>
      <c r="BV737" s="62"/>
      <c r="BW737" s="62"/>
      <c r="BX737" s="62"/>
      <c r="BY737" s="62"/>
      <c r="BZ737" s="62"/>
      <c r="CA737" s="62"/>
      <c r="CB737" s="62"/>
      <c r="CC737" s="62"/>
      <c r="CD737" s="62"/>
      <c r="CE737" s="62"/>
      <c r="CF737" s="62"/>
      <c r="CG737" s="62"/>
      <c r="CH737" s="62"/>
      <c r="CI737" s="62"/>
      <c r="CJ737" s="62"/>
      <c r="CK737" s="62"/>
      <c r="CL737" s="62"/>
      <c r="CM737" s="62"/>
      <c r="CN737" s="62"/>
      <c r="CO737" s="62"/>
      <c r="CP737" s="62"/>
      <c r="CQ737" s="62"/>
      <c r="CR737" s="62"/>
      <c r="CS737" s="62"/>
      <c r="CT737" s="62"/>
      <c r="CU737" s="62"/>
      <c r="CV737" s="62"/>
      <c r="CW737" s="62"/>
      <c r="CX737" s="62"/>
      <c r="CY737" s="62"/>
      <c r="CZ737" s="62"/>
      <c r="DA737" s="62"/>
      <c r="DB737" s="62"/>
      <c r="DC737" s="62"/>
      <c r="DD737" s="62"/>
      <c r="DE737" s="62"/>
      <c r="DF737" s="62"/>
      <c r="DG737" s="62"/>
      <c r="DH737" s="62"/>
      <c r="DI737" s="62"/>
      <c r="DJ737" s="62"/>
      <c r="DK737" s="62"/>
      <c r="DL737" s="62"/>
      <c r="DM737" s="62"/>
      <c r="DN737" s="62"/>
      <c r="DO737" s="62"/>
      <c r="DP737" s="62"/>
      <c r="DQ737" s="62"/>
      <c r="DR737" s="62"/>
      <c r="DS737" s="62"/>
      <c r="DT737" s="62"/>
      <c r="DU737" s="62"/>
      <c r="DV737" s="62"/>
      <c r="DW737" s="62"/>
      <c r="DX737" s="62"/>
      <c r="DY737" s="62"/>
      <c r="DZ737" s="62"/>
      <c r="EA737" s="62"/>
      <c r="EB737" s="62"/>
      <c r="EC737" s="62"/>
      <c r="ED737" s="62"/>
      <c r="EE737" s="62"/>
      <c r="EF737" s="62"/>
      <c r="EG737" s="62"/>
      <c r="EH737" s="62"/>
      <c r="EI737" s="62"/>
      <c r="EJ737" s="62"/>
      <c r="EK737" s="62"/>
      <c r="EL737" s="62"/>
      <c r="EM737" s="62"/>
      <c r="EN737" s="62"/>
      <c r="EO737" s="62"/>
      <c r="EP737" s="62"/>
      <c r="EQ737" s="62"/>
      <c r="ER737" s="62"/>
      <c r="ES737" s="62"/>
      <c r="ET737" s="62"/>
      <c r="EU737" s="62"/>
      <c r="EV737" s="62"/>
      <c r="EW737" s="62"/>
      <c r="EX737" s="62"/>
      <c r="EY737" s="62"/>
      <c r="EZ737" s="62"/>
      <c r="FA737" s="62"/>
      <c r="FB737" s="62"/>
      <c r="FC737" s="62"/>
      <c r="FD737" s="62"/>
      <c r="FE737" s="62"/>
      <c r="FF737" s="62"/>
      <c r="FG737" s="62"/>
      <c r="FH737" s="62"/>
      <c r="FI737" s="62"/>
      <c r="FJ737" s="62"/>
      <c r="FK737" s="62"/>
      <c r="FL737" s="62"/>
      <c r="FM737" s="62"/>
      <c r="FN737" s="62"/>
      <c r="FO737" s="62"/>
      <c r="FP737" s="62"/>
      <c r="FQ737" s="62"/>
      <c r="FR737" s="62"/>
      <c r="FS737" s="62"/>
      <c r="FT737" s="62"/>
      <c r="FU737" s="62"/>
      <c r="FV737" s="62"/>
    </row>
    <row r="738" spans="1:178" ht="1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c r="AY738" s="62"/>
      <c r="AZ738" s="62"/>
      <c r="BA738" s="62"/>
      <c r="BB738" s="62"/>
      <c r="BC738" s="62"/>
      <c r="BD738" s="62"/>
      <c r="BE738" s="62"/>
      <c r="BF738" s="62"/>
      <c r="BG738" s="62"/>
      <c r="BH738" s="62"/>
      <c r="BI738" s="62"/>
      <c r="BJ738" s="62"/>
      <c r="BK738" s="62"/>
      <c r="BL738" s="62"/>
      <c r="BM738" s="62"/>
      <c r="BN738" s="62"/>
      <c r="BO738" s="62"/>
      <c r="BP738" s="62"/>
      <c r="BQ738" s="62"/>
      <c r="BR738" s="62"/>
      <c r="BS738" s="62"/>
      <c r="BT738" s="62"/>
      <c r="BU738" s="62"/>
      <c r="BV738" s="62"/>
      <c r="BW738" s="62"/>
      <c r="BX738" s="62"/>
      <c r="BY738" s="62"/>
      <c r="BZ738" s="62"/>
      <c r="CA738" s="62"/>
      <c r="CB738" s="62"/>
      <c r="CC738" s="62"/>
      <c r="CD738" s="62"/>
      <c r="CE738" s="62"/>
      <c r="CF738" s="62"/>
      <c r="CG738" s="62"/>
      <c r="CH738" s="62"/>
      <c r="CI738" s="62"/>
      <c r="CJ738" s="62"/>
      <c r="CK738" s="62"/>
      <c r="CL738" s="62"/>
      <c r="CM738" s="62"/>
      <c r="CN738" s="62"/>
      <c r="CO738" s="62"/>
      <c r="CP738" s="62"/>
      <c r="CQ738" s="62"/>
      <c r="CR738" s="62"/>
      <c r="CS738" s="62"/>
      <c r="CT738" s="62"/>
      <c r="CU738" s="62"/>
      <c r="CV738" s="62"/>
      <c r="CW738" s="62"/>
      <c r="CX738" s="62"/>
      <c r="CY738" s="62"/>
      <c r="CZ738" s="62"/>
      <c r="DA738" s="62"/>
      <c r="DB738" s="62"/>
      <c r="DC738" s="62"/>
      <c r="DD738" s="62"/>
      <c r="DE738" s="62"/>
      <c r="DF738" s="62"/>
      <c r="DG738" s="62"/>
      <c r="DH738" s="62"/>
      <c r="DI738" s="62"/>
      <c r="DJ738" s="62"/>
      <c r="DK738" s="62"/>
      <c r="DL738" s="62"/>
      <c r="DM738" s="62"/>
      <c r="DN738" s="62"/>
      <c r="DO738" s="62"/>
      <c r="DP738" s="62"/>
      <c r="DQ738" s="62"/>
      <c r="DR738" s="62"/>
      <c r="DS738" s="62"/>
      <c r="DT738" s="62"/>
      <c r="DU738" s="62"/>
      <c r="DV738" s="62"/>
      <c r="DW738" s="62"/>
      <c r="DX738" s="62"/>
      <c r="DY738" s="62"/>
      <c r="DZ738" s="62"/>
      <c r="EA738" s="62"/>
      <c r="EB738" s="62"/>
      <c r="EC738" s="62"/>
      <c r="ED738" s="62"/>
      <c r="EE738" s="62"/>
      <c r="EF738" s="62"/>
      <c r="EG738" s="62"/>
      <c r="EH738" s="62"/>
      <c r="EI738" s="62"/>
      <c r="EJ738" s="62"/>
      <c r="EK738" s="62"/>
      <c r="EL738" s="62"/>
      <c r="EM738" s="62"/>
      <c r="EN738" s="62"/>
      <c r="EO738" s="62"/>
      <c r="EP738" s="62"/>
      <c r="EQ738" s="62"/>
      <c r="ER738" s="62"/>
      <c r="ES738" s="62"/>
      <c r="ET738" s="62"/>
      <c r="EU738" s="62"/>
      <c r="EV738" s="62"/>
      <c r="EW738" s="62"/>
      <c r="EX738" s="62"/>
      <c r="EY738" s="62"/>
      <c r="EZ738" s="62"/>
      <c r="FA738" s="62"/>
      <c r="FB738" s="62"/>
      <c r="FC738" s="62"/>
      <c r="FD738" s="62"/>
      <c r="FE738" s="62"/>
      <c r="FF738" s="62"/>
      <c r="FG738" s="62"/>
      <c r="FH738" s="62"/>
      <c r="FI738" s="62"/>
      <c r="FJ738" s="62"/>
      <c r="FK738" s="62"/>
      <c r="FL738" s="62"/>
      <c r="FM738" s="62"/>
      <c r="FN738" s="62"/>
      <c r="FO738" s="62"/>
      <c r="FP738" s="62"/>
      <c r="FQ738" s="62"/>
      <c r="FR738" s="62"/>
      <c r="FS738" s="62"/>
      <c r="FT738" s="62"/>
      <c r="FU738" s="62"/>
      <c r="FV738" s="62"/>
    </row>
    <row r="739" spans="1:178" ht="13.8">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c r="AY739" s="62"/>
      <c r="AZ739" s="62"/>
      <c r="BA739" s="62"/>
      <c r="BB739" s="62"/>
      <c r="BC739" s="62"/>
      <c r="BD739" s="62"/>
      <c r="BE739" s="62"/>
      <c r="BF739" s="62"/>
      <c r="BG739" s="62"/>
      <c r="BH739" s="62"/>
      <c r="BI739" s="62"/>
      <c r="BJ739" s="62"/>
      <c r="BK739" s="62"/>
      <c r="BL739" s="62"/>
      <c r="BM739" s="62"/>
      <c r="BN739" s="62"/>
      <c r="BO739" s="62"/>
      <c r="BP739" s="62"/>
      <c r="BQ739" s="62"/>
      <c r="BR739" s="62"/>
      <c r="BS739" s="62"/>
      <c r="BT739" s="62"/>
      <c r="BU739" s="62"/>
      <c r="BV739" s="62"/>
      <c r="BW739" s="62"/>
      <c r="BX739" s="62"/>
      <c r="BY739" s="62"/>
      <c r="BZ739" s="62"/>
      <c r="CA739" s="62"/>
      <c r="CB739" s="62"/>
      <c r="CC739" s="62"/>
      <c r="CD739" s="62"/>
      <c r="CE739" s="62"/>
      <c r="CF739" s="62"/>
      <c r="CG739" s="62"/>
      <c r="CH739" s="62"/>
      <c r="CI739" s="62"/>
      <c r="CJ739" s="62"/>
      <c r="CK739" s="62"/>
      <c r="CL739" s="62"/>
      <c r="CM739" s="62"/>
      <c r="CN739" s="62"/>
      <c r="CO739" s="62"/>
      <c r="CP739" s="62"/>
      <c r="CQ739" s="62"/>
      <c r="CR739" s="62"/>
      <c r="CS739" s="62"/>
      <c r="CT739" s="62"/>
      <c r="CU739" s="62"/>
      <c r="CV739" s="62"/>
      <c r="CW739" s="62"/>
      <c r="CX739" s="62"/>
      <c r="CY739" s="62"/>
      <c r="CZ739" s="62"/>
      <c r="DA739" s="62"/>
      <c r="DB739" s="62"/>
      <c r="DC739" s="62"/>
      <c r="DD739" s="62"/>
      <c r="DE739" s="62"/>
      <c r="DF739" s="62"/>
      <c r="DG739" s="62"/>
      <c r="DH739" s="62"/>
      <c r="DI739" s="62"/>
      <c r="DJ739" s="62"/>
      <c r="DK739" s="62"/>
      <c r="DL739" s="62"/>
      <c r="DM739" s="62"/>
      <c r="DN739" s="62"/>
      <c r="DO739" s="62"/>
      <c r="DP739" s="62"/>
      <c r="DQ739" s="62"/>
      <c r="DR739" s="62"/>
      <c r="DS739" s="62"/>
      <c r="DT739" s="62"/>
      <c r="DU739" s="62"/>
      <c r="DV739" s="62"/>
      <c r="DW739" s="62"/>
      <c r="DX739" s="62"/>
      <c r="DY739" s="62"/>
      <c r="DZ739" s="62"/>
      <c r="EA739" s="62"/>
      <c r="EB739" s="62"/>
      <c r="EC739" s="62"/>
      <c r="ED739" s="62"/>
      <c r="EE739" s="62"/>
      <c r="EF739" s="62"/>
      <c r="EG739" s="62"/>
      <c r="EH739" s="62"/>
      <c r="EI739" s="62"/>
      <c r="EJ739" s="62"/>
      <c r="EK739" s="62"/>
      <c r="EL739" s="62"/>
      <c r="EM739" s="62"/>
      <c r="EN739" s="62"/>
      <c r="EO739" s="62"/>
      <c r="EP739" s="62"/>
      <c r="EQ739" s="62"/>
      <c r="ER739" s="62"/>
      <c r="ES739" s="62"/>
      <c r="ET739" s="62"/>
      <c r="EU739" s="62"/>
      <c r="EV739" s="62"/>
      <c r="EW739" s="62"/>
      <c r="EX739" s="62"/>
      <c r="EY739" s="62"/>
      <c r="EZ739" s="62"/>
      <c r="FA739" s="62"/>
      <c r="FB739" s="62"/>
      <c r="FC739" s="62"/>
      <c r="FD739" s="62"/>
      <c r="FE739" s="62"/>
      <c r="FF739" s="62"/>
      <c r="FG739" s="62"/>
      <c r="FH739" s="62"/>
      <c r="FI739" s="62"/>
      <c r="FJ739" s="62"/>
      <c r="FK739" s="62"/>
      <c r="FL739" s="62"/>
      <c r="FM739" s="62"/>
      <c r="FN739" s="62"/>
      <c r="FO739" s="62"/>
      <c r="FP739" s="62"/>
      <c r="FQ739" s="62"/>
      <c r="FR739" s="62"/>
      <c r="FS739" s="62"/>
      <c r="FT739" s="62"/>
      <c r="FU739" s="62"/>
      <c r="FV739" s="62"/>
    </row>
    <row r="740" spans="1:178" ht="13.8">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c r="AY740" s="62"/>
      <c r="AZ740" s="62"/>
      <c r="BA740" s="62"/>
      <c r="BB740" s="62"/>
      <c r="BC740" s="62"/>
      <c r="BD740" s="62"/>
      <c r="BE740" s="62"/>
      <c r="BF740" s="62"/>
      <c r="BG740" s="62"/>
      <c r="BH740" s="62"/>
      <c r="BI740" s="62"/>
      <c r="BJ740" s="62"/>
      <c r="BK740" s="62"/>
      <c r="BL740" s="62"/>
      <c r="BM740" s="62"/>
      <c r="BN740" s="62"/>
      <c r="BO740" s="62"/>
      <c r="BP740" s="62"/>
      <c r="BQ740" s="62"/>
      <c r="BR740" s="62"/>
      <c r="BS740" s="62"/>
      <c r="BT740" s="62"/>
      <c r="BU740" s="62"/>
      <c r="BV740" s="62"/>
      <c r="BW740" s="62"/>
      <c r="BX740" s="62"/>
      <c r="BY740" s="62"/>
      <c r="BZ740" s="62"/>
      <c r="CA740" s="62"/>
      <c r="CB740" s="62"/>
      <c r="CC740" s="62"/>
      <c r="CD740" s="62"/>
      <c r="CE740" s="62"/>
      <c r="CF740" s="62"/>
      <c r="CG740" s="62"/>
      <c r="CH740" s="62"/>
      <c r="CI740" s="62"/>
      <c r="CJ740" s="62"/>
      <c r="CK740" s="62"/>
      <c r="CL740" s="62"/>
      <c r="CM740" s="62"/>
      <c r="CN740" s="62"/>
      <c r="CO740" s="62"/>
      <c r="CP740" s="62"/>
      <c r="CQ740" s="62"/>
      <c r="CR740" s="62"/>
      <c r="CS740" s="62"/>
      <c r="CT740" s="62"/>
      <c r="CU740" s="62"/>
      <c r="CV740" s="62"/>
      <c r="CW740" s="62"/>
      <c r="CX740" s="62"/>
      <c r="CY740" s="62"/>
      <c r="CZ740" s="62"/>
      <c r="DA740" s="62"/>
      <c r="DB740" s="62"/>
      <c r="DC740" s="62"/>
      <c r="DD740" s="62"/>
      <c r="DE740" s="62"/>
      <c r="DF740" s="62"/>
      <c r="DG740" s="62"/>
      <c r="DH740" s="62"/>
      <c r="DI740" s="62"/>
      <c r="DJ740" s="62"/>
      <c r="DK740" s="62"/>
      <c r="DL740" s="62"/>
      <c r="DM740" s="62"/>
      <c r="DN740" s="62"/>
      <c r="DO740" s="62"/>
      <c r="DP740" s="62"/>
      <c r="DQ740" s="62"/>
      <c r="DR740" s="62"/>
      <c r="DS740" s="62"/>
      <c r="DT740" s="62"/>
      <c r="DU740" s="62"/>
      <c r="DV740" s="62"/>
      <c r="DW740" s="62"/>
      <c r="DX740" s="62"/>
      <c r="DY740" s="62"/>
      <c r="DZ740" s="62"/>
      <c r="EA740" s="62"/>
      <c r="EB740" s="62"/>
      <c r="EC740" s="62"/>
      <c r="ED740" s="62"/>
      <c r="EE740" s="62"/>
      <c r="EF740" s="62"/>
      <c r="EG740" s="62"/>
      <c r="EH740" s="62"/>
      <c r="EI740" s="62"/>
      <c r="EJ740" s="62"/>
      <c r="EK740" s="62"/>
      <c r="EL740" s="62"/>
      <c r="EM740" s="62"/>
      <c r="EN740" s="62"/>
      <c r="EO740" s="62"/>
      <c r="EP740" s="62"/>
      <c r="EQ740" s="62"/>
      <c r="ER740" s="62"/>
      <c r="ES740" s="62"/>
      <c r="ET740" s="62"/>
      <c r="EU740" s="62"/>
      <c r="EV740" s="62"/>
      <c r="EW740" s="62"/>
      <c r="EX740" s="62"/>
      <c r="EY740" s="62"/>
      <c r="EZ740" s="62"/>
      <c r="FA740" s="62"/>
      <c r="FB740" s="62"/>
      <c r="FC740" s="62"/>
      <c r="FD740" s="62"/>
      <c r="FE740" s="62"/>
      <c r="FF740" s="62"/>
      <c r="FG740" s="62"/>
      <c r="FH740" s="62"/>
      <c r="FI740" s="62"/>
      <c r="FJ740" s="62"/>
      <c r="FK740" s="62"/>
      <c r="FL740" s="62"/>
      <c r="FM740" s="62"/>
      <c r="FN740" s="62"/>
      <c r="FO740" s="62"/>
      <c r="FP740" s="62"/>
      <c r="FQ740" s="62"/>
      <c r="FR740" s="62"/>
      <c r="FS740" s="62"/>
      <c r="FT740" s="62"/>
      <c r="FU740" s="62"/>
      <c r="FV740" s="62"/>
    </row>
    <row r="741" spans="1:178" ht="13.8">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c r="AY741" s="62"/>
      <c r="AZ741" s="62"/>
      <c r="BA741" s="62"/>
      <c r="BB741" s="62"/>
      <c r="BC741" s="62"/>
      <c r="BD741" s="62"/>
      <c r="BE741" s="62"/>
      <c r="BF741" s="62"/>
      <c r="BG741" s="62"/>
      <c r="BH741" s="62"/>
      <c r="BI741" s="62"/>
      <c r="BJ741" s="62"/>
      <c r="BK741" s="62"/>
      <c r="BL741" s="62"/>
      <c r="BM741" s="62"/>
      <c r="BN741" s="62"/>
      <c r="BO741" s="62"/>
      <c r="BP741" s="62"/>
      <c r="BQ741" s="62"/>
      <c r="BR741" s="62"/>
      <c r="BS741" s="62"/>
      <c r="BT741" s="62"/>
      <c r="BU741" s="62"/>
      <c r="BV741" s="62"/>
      <c r="BW741" s="62"/>
      <c r="BX741" s="62"/>
      <c r="BY741" s="62"/>
      <c r="BZ741" s="62"/>
      <c r="CA741" s="62"/>
      <c r="CB741" s="62"/>
      <c r="CC741" s="62"/>
      <c r="CD741" s="62"/>
      <c r="CE741" s="62"/>
      <c r="CF741" s="62"/>
      <c r="CG741" s="62"/>
      <c r="CH741" s="62"/>
      <c r="CI741" s="62"/>
      <c r="CJ741" s="62"/>
      <c r="CK741" s="62"/>
      <c r="CL741" s="62"/>
      <c r="CM741" s="62"/>
      <c r="CN741" s="62"/>
      <c r="CO741" s="62"/>
      <c r="CP741" s="62"/>
      <c r="CQ741" s="62"/>
      <c r="CR741" s="62"/>
      <c r="CS741" s="62"/>
      <c r="CT741" s="62"/>
      <c r="CU741" s="62"/>
      <c r="CV741" s="62"/>
      <c r="CW741" s="62"/>
      <c r="CX741" s="62"/>
      <c r="CY741" s="62"/>
      <c r="CZ741" s="62"/>
      <c r="DA741" s="62"/>
      <c r="DB741" s="62"/>
      <c r="DC741" s="62"/>
      <c r="DD741" s="62"/>
      <c r="DE741" s="62"/>
      <c r="DF741" s="62"/>
      <c r="DG741" s="62"/>
      <c r="DH741" s="62"/>
      <c r="DI741" s="62"/>
      <c r="DJ741" s="62"/>
      <c r="DK741" s="62"/>
      <c r="DL741" s="62"/>
      <c r="DM741" s="62"/>
      <c r="DN741" s="62"/>
      <c r="DO741" s="62"/>
      <c r="DP741" s="62"/>
      <c r="DQ741" s="62"/>
      <c r="DR741" s="62"/>
      <c r="DS741" s="62"/>
      <c r="DT741" s="62"/>
      <c r="DU741" s="62"/>
      <c r="DV741" s="62"/>
      <c r="DW741" s="62"/>
      <c r="DX741" s="62"/>
      <c r="DY741" s="62"/>
      <c r="DZ741" s="62"/>
      <c r="EA741" s="62"/>
      <c r="EB741" s="62"/>
      <c r="EC741" s="62"/>
      <c r="ED741" s="62"/>
      <c r="EE741" s="62"/>
      <c r="EF741" s="62"/>
      <c r="EG741" s="62"/>
      <c r="EH741" s="62"/>
      <c r="EI741" s="62"/>
      <c r="EJ741" s="62"/>
      <c r="EK741" s="62"/>
      <c r="EL741" s="62"/>
      <c r="EM741" s="62"/>
      <c r="EN741" s="62"/>
      <c r="EO741" s="62"/>
      <c r="EP741" s="62"/>
      <c r="EQ741" s="62"/>
      <c r="ER741" s="62"/>
      <c r="ES741" s="62"/>
      <c r="ET741" s="62"/>
      <c r="EU741" s="62"/>
      <c r="EV741" s="62"/>
      <c r="EW741" s="62"/>
      <c r="EX741" s="62"/>
      <c r="EY741" s="62"/>
      <c r="EZ741" s="62"/>
      <c r="FA741" s="62"/>
      <c r="FB741" s="62"/>
      <c r="FC741" s="62"/>
      <c r="FD741" s="62"/>
      <c r="FE741" s="62"/>
      <c r="FF741" s="62"/>
      <c r="FG741" s="62"/>
      <c r="FH741" s="62"/>
      <c r="FI741" s="62"/>
      <c r="FJ741" s="62"/>
      <c r="FK741" s="62"/>
      <c r="FL741" s="62"/>
      <c r="FM741" s="62"/>
      <c r="FN741" s="62"/>
      <c r="FO741" s="62"/>
      <c r="FP741" s="62"/>
      <c r="FQ741" s="62"/>
      <c r="FR741" s="62"/>
      <c r="FS741" s="62"/>
      <c r="FT741" s="62"/>
      <c r="FU741" s="62"/>
      <c r="FV741" s="62"/>
    </row>
    <row r="742" spans="1:178" ht="13.8">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c r="AY742" s="62"/>
      <c r="AZ742" s="62"/>
      <c r="BA742" s="62"/>
      <c r="BB742" s="62"/>
      <c r="BC742" s="62"/>
      <c r="BD742" s="62"/>
      <c r="BE742" s="62"/>
      <c r="BF742" s="62"/>
      <c r="BG742" s="62"/>
      <c r="BH742" s="62"/>
      <c r="BI742" s="62"/>
      <c r="BJ742" s="62"/>
      <c r="BK742" s="62"/>
      <c r="BL742" s="62"/>
      <c r="BM742" s="62"/>
      <c r="BN742" s="62"/>
      <c r="BO742" s="62"/>
      <c r="BP742" s="62"/>
      <c r="BQ742" s="62"/>
      <c r="BR742" s="62"/>
      <c r="BS742" s="62"/>
      <c r="BT742" s="62"/>
      <c r="BU742" s="62"/>
      <c r="BV742" s="62"/>
      <c r="BW742" s="62"/>
      <c r="BX742" s="62"/>
      <c r="BY742" s="62"/>
      <c r="BZ742" s="62"/>
      <c r="CA742" s="62"/>
      <c r="CB742" s="62"/>
      <c r="CC742" s="62"/>
      <c r="CD742" s="62"/>
      <c r="CE742" s="62"/>
      <c r="CF742" s="62"/>
      <c r="CG742" s="62"/>
      <c r="CH742" s="62"/>
      <c r="CI742" s="62"/>
      <c r="CJ742" s="62"/>
      <c r="CK742" s="62"/>
      <c r="CL742" s="62"/>
      <c r="CM742" s="62"/>
      <c r="CN742" s="62"/>
      <c r="CO742" s="62"/>
      <c r="CP742" s="62"/>
      <c r="CQ742" s="62"/>
      <c r="CR742" s="62"/>
      <c r="CS742" s="62"/>
      <c r="CT742" s="62"/>
      <c r="CU742" s="62"/>
      <c r="CV742" s="62"/>
      <c r="CW742" s="62"/>
      <c r="CX742" s="62"/>
      <c r="CY742" s="62"/>
      <c r="CZ742" s="62"/>
      <c r="DA742" s="62"/>
      <c r="DB742" s="62"/>
      <c r="DC742" s="62"/>
      <c r="DD742" s="62"/>
      <c r="DE742" s="62"/>
      <c r="DF742" s="62"/>
      <c r="DG742" s="62"/>
      <c r="DH742" s="62"/>
      <c r="DI742" s="62"/>
      <c r="DJ742" s="62"/>
      <c r="DK742" s="62"/>
      <c r="DL742" s="62"/>
      <c r="DM742" s="62"/>
      <c r="DN742" s="62"/>
      <c r="DO742" s="62"/>
      <c r="DP742" s="62"/>
      <c r="DQ742" s="62"/>
      <c r="DR742" s="62"/>
      <c r="DS742" s="62"/>
      <c r="DT742" s="62"/>
      <c r="DU742" s="62"/>
      <c r="DV742" s="62"/>
      <c r="DW742" s="62"/>
      <c r="DX742" s="62"/>
      <c r="DY742" s="62"/>
      <c r="DZ742" s="62"/>
      <c r="EA742" s="62"/>
      <c r="EB742" s="62"/>
      <c r="EC742" s="62"/>
      <c r="ED742" s="62"/>
      <c r="EE742" s="62"/>
      <c r="EF742" s="62"/>
      <c r="EG742" s="62"/>
      <c r="EH742" s="62"/>
      <c r="EI742" s="62"/>
      <c r="EJ742" s="62"/>
      <c r="EK742" s="62"/>
      <c r="EL742" s="62"/>
      <c r="EM742" s="62"/>
      <c r="EN742" s="62"/>
      <c r="EO742" s="62"/>
      <c r="EP742" s="62"/>
      <c r="EQ742" s="62"/>
      <c r="ER742" s="62"/>
      <c r="ES742" s="62"/>
      <c r="ET742" s="62"/>
      <c r="EU742" s="62"/>
      <c r="EV742" s="62"/>
      <c r="EW742" s="62"/>
      <c r="EX742" s="62"/>
      <c r="EY742" s="62"/>
      <c r="EZ742" s="62"/>
      <c r="FA742" s="62"/>
      <c r="FB742" s="62"/>
      <c r="FC742" s="62"/>
      <c r="FD742" s="62"/>
      <c r="FE742" s="62"/>
      <c r="FF742" s="62"/>
      <c r="FG742" s="62"/>
      <c r="FH742" s="62"/>
      <c r="FI742" s="62"/>
      <c r="FJ742" s="62"/>
      <c r="FK742" s="62"/>
      <c r="FL742" s="62"/>
      <c r="FM742" s="62"/>
      <c r="FN742" s="62"/>
      <c r="FO742" s="62"/>
      <c r="FP742" s="62"/>
      <c r="FQ742" s="62"/>
      <c r="FR742" s="62"/>
      <c r="FS742" s="62"/>
      <c r="FT742" s="62"/>
      <c r="FU742" s="62"/>
      <c r="FV742" s="62"/>
    </row>
    <row r="743" spans="1:178" ht="13.8">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c r="AY743" s="62"/>
      <c r="AZ743" s="62"/>
      <c r="BA743" s="62"/>
      <c r="BB743" s="62"/>
      <c r="BC743" s="62"/>
      <c r="BD743" s="62"/>
      <c r="BE743" s="62"/>
      <c r="BF743" s="62"/>
      <c r="BG743" s="62"/>
      <c r="BH743" s="62"/>
      <c r="BI743" s="62"/>
      <c r="BJ743" s="62"/>
      <c r="BK743" s="62"/>
      <c r="BL743" s="62"/>
      <c r="BM743" s="62"/>
      <c r="BN743" s="62"/>
      <c r="BO743" s="62"/>
      <c r="BP743" s="62"/>
      <c r="BQ743" s="62"/>
      <c r="BR743" s="62"/>
      <c r="BS743" s="62"/>
      <c r="BT743" s="62"/>
      <c r="BU743" s="62"/>
      <c r="BV743" s="62"/>
      <c r="BW743" s="62"/>
      <c r="BX743" s="62"/>
      <c r="BY743" s="62"/>
      <c r="BZ743" s="62"/>
      <c r="CA743" s="62"/>
      <c r="CB743" s="62"/>
      <c r="CC743" s="62"/>
      <c r="CD743" s="62"/>
      <c r="CE743" s="62"/>
      <c r="CF743" s="62"/>
      <c r="CG743" s="62"/>
      <c r="CH743" s="62"/>
      <c r="CI743" s="62"/>
      <c r="CJ743" s="62"/>
      <c r="CK743" s="62"/>
      <c r="CL743" s="62"/>
      <c r="CM743" s="62"/>
      <c r="CN743" s="62"/>
      <c r="CO743" s="62"/>
      <c r="CP743" s="62"/>
      <c r="CQ743" s="62"/>
      <c r="CR743" s="62"/>
      <c r="CS743" s="62"/>
      <c r="CT743" s="62"/>
      <c r="CU743" s="62"/>
      <c r="CV743" s="62"/>
      <c r="CW743" s="62"/>
      <c r="CX743" s="62"/>
      <c r="CY743" s="62"/>
      <c r="CZ743" s="62"/>
      <c r="DA743" s="62"/>
      <c r="DB743" s="62"/>
      <c r="DC743" s="62"/>
      <c r="DD743" s="62"/>
      <c r="DE743" s="62"/>
      <c r="DF743" s="62"/>
      <c r="DG743" s="62"/>
      <c r="DH743" s="62"/>
      <c r="DI743" s="62"/>
      <c r="DJ743" s="62"/>
      <c r="DK743" s="62"/>
      <c r="DL743" s="62"/>
      <c r="DM743" s="62"/>
      <c r="DN743" s="62"/>
      <c r="DO743" s="62"/>
      <c r="DP743" s="62"/>
      <c r="DQ743" s="62"/>
      <c r="DR743" s="62"/>
      <c r="DS743" s="62"/>
      <c r="DT743" s="62"/>
      <c r="DU743" s="62"/>
      <c r="DV743" s="62"/>
      <c r="DW743" s="62"/>
      <c r="DX743" s="62"/>
      <c r="DY743" s="62"/>
      <c r="DZ743" s="62"/>
      <c r="EA743" s="62"/>
      <c r="EB743" s="62"/>
      <c r="EC743" s="62"/>
      <c r="ED743" s="62"/>
      <c r="EE743" s="62"/>
      <c r="EF743" s="62"/>
      <c r="EG743" s="62"/>
      <c r="EH743" s="62"/>
      <c r="EI743" s="62"/>
      <c r="EJ743" s="62"/>
      <c r="EK743" s="62"/>
      <c r="EL743" s="62"/>
      <c r="EM743" s="62"/>
      <c r="EN743" s="62"/>
      <c r="EO743" s="62"/>
      <c r="EP743" s="62"/>
      <c r="EQ743" s="62"/>
      <c r="ER743" s="62"/>
      <c r="ES743" s="62"/>
      <c r="ET743" s="62"/>
      <c r="EU743" s="62"/>
      <c r="EV743" s="62"/>
      <c r="EW743" s="62"/>
      <c r="EX743" s="62"/>
      <c r="EY743" s="62"/>
      <c r="EZ743" s="62"/>
      <c r="FA743" s="62"/>
      <c r="FB743" s="62"/>
      <c r="FC743" s="62"/>
      <c r="FD743" s="62"/>
      <c r="FE743" s="62"/>
      <c r="FF743" s="62"/>
      <c r="FG743" s="62"/>
      <c r="FH743" s="62"/>
      <c r="FI743" s="62"/>
      <c r="FJ743" s="62"/>
      <c r="FK743" s="62"/>
      <c r="FL743" s="62"/>
      <c r="FM743" s="62"/>
      <c r="FN743" s="62"/>
      <c r="FO743" s="62"/>
      <c r="FP743" s="62"/>
      <c r="FQ743" s="62"/>
      <c r="FR743" s="62"/>
      <c r="FS743" s="62"/>
      <c r="FT743" s="62"/>
      <c r="FU743" s="62"/>
      <c r="FV743" s="62"/>
    </row>
    <row r="744" spans="1:178" ht="13.8">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c r="AY744" s="62"/>
      <c r="AZ744" s="62"/>
      <c r="BA744" s="62"/>
      <c r="BB744" s="62"/>
      <c r="BC744" s="62"/>
      <c r="BD744" s="62"/>
      <c r="BE744" s="62"/>
      <c r="BF744" s="62"/>
      <c r="BG744" s="62"/>
      <c r="BH744" s="62"/>
      <c r="BI744" s="62"/>
      <c r="BJ744" s="62"/>
      <c r="BK744" s="62"/>
      <c r="BL744" s="62"/>
      <c r="BM744" s="62"/>
      <c r="BN744" s="62"/>
      <c r="BO744" s="62"/>
      <c r="BP744" s="62"/>
      <c r="BQ744" s="62"/>
      <c r="BR744" s="62"/>
      <c r="BS744" s="62"/>
      <c r="BT744" s="62"/>
      <c r="BU744" s="62"/>
      <c r="BV744" s="62"/>
      <c r="BW744" s="62"/>
      <c r="BX744" s="62"/>
      <c r="BY744" s="62"/>
      <c r="BZ744" s="62"/>
      <c r="CA744" s="62"/>
      <c r="CB744" s="62"/>
      <c r="CC744" s="62"/>
      <c r="CD744" s="62"/>
      <c r="CE744" s="62"/>
      <c r="CF744" s="62"/>
      <c r="CG744" s="62"/>
      <c r="CH744" s="62"/>
      <c r="CI744" s="62"/>
      <c r="CJ744" s="62"/>
      <c r="CK744" s="62"/>
      <c r="CL744" s="62"/>
      <c r="CM744" s="62"/>
      <c r="CN744" s="62"/>
      <c r="CO744" s="62"/>
      <c r="CP744" s="62"/>
      <c r="CQ744" s="62"/>
      <c r="CR744" s="62"/>
      <c r="CS744" s="62"/>
      <c r="CT744" s="62"/>
      <c r="CU744" s="62"/>
      <c r="CV744" s="62"/>
      <c r="CW744" s="62"/>
      <c r="CX744" s="62"/>
      <c r="CY744" s="62"/>
      <c r="CZ744" s="62"/>
      <c r="DA744" s="62"/>
      <c r="DB744" s="62"/>
      <c r="DC744" s="62"/>
      <c r="DD744" s="62"/>
      <c r="DE744" s="62"/>
      <c r="DF744" s="62"/>
      <c r="DG744" s="62"/>
      <c r="DH744" s="62"/>
      <c r="DI744" s="62"/>
      <c r="DJ744" s="62"/>
      <c r="DK744" s="62"/>
      <c r="DL744" s="62"/>
      <c r="DM744" s="62"/>
      <c r="DN744" s="62"/>
      <c r="DO744" s="62"/>
      <c r="DP744" s="62"/>
      <c r="DQ744" s="62"/>
      <c r="DR744" s="62"/>
      <c r="DS744" s="62"/>
      <c r="DT744" s="62"/>
      <c r="DU744" s="62"/>
      <c r="DV744" s="62"/>
      <c r="DW744" s="62"/>
      <c r="DX744" s="62"/>
      <c r="DY744" s="62"/>
      <c r="DZ744" s="62"/>
      <c r="EA744" s="62"/>
      <c r="EB744" s="62"/>
      <c r="EC744" s="62"/>
      <c r="ED744" s="62"/>
      <c r="EE744" s="62"/>
      <c r="EF744" s="62"/>
      <c r="EG744" s="62"/>
      <c r="EH744" s="62"/>
      <c r="EI744" s="62"/>
      <c r="EJ744" s="62"/>
      <c r="EK744" s="62"/>
      <c r="EL744" s="62"/>
      <c r="EM744" s="62"/>
      <c r="EN744" s="62"/>
      <c r="EO744" s="62"/>
      <c r="EP744" s="62"/>
      <c r="EQ744" s="62"/>
      <c r="ER744" s="62"/>
      <c r="ES744" s="62"/>
      <c r="ET744" s="62"/>
      <c r="EU744" s="62"/>
      <c r="EV744" s="62"/>
      <c r="EW744" s="62"/>
      <c r="EX744" s="62"/>
      <c r="EY744" s="62"/>
      <c r="EZ744" s="62"/>
      <c r="FA744" s="62"/>
      <c r="FB744" s="62"/>
      <c r="FC744" s="62"/>
      <c r="FD744" s="62"/>
      <c r="FE744" s="62"/>
      <c r="FF744" s="62"/>
      <c r="FG744" s="62"/>
      <c r="FH744" s="62"/>
      <c r="FI744" s="62"/>
      <c r="FJ744" s="62"/>
      <c r="FK744" s="62"/>
      <c r="FL744" s="62"/>
      <c r="FM744" s="62"/>
      <c r="FN744" s="62"/>
      <c r="FO744" s="62"/>
      <c r="FP744" s="62"/>
      <c r="FQ744" s="62"/>
      <c r="FR744" s="62"/>
      <c r="FS744" s="62"/>
      <c r="FT744" s="62"/>
      <c r="FU744" s="62"/>
      <c r="FV744" s="62"/>
    </row>
    <row r="745" spans="1:178" ht="13.8">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c r="AY745" s="62"/>
      <c r="AZ745" s="62"/>
      <c r="BA745" s="62"/>
      <c r="BB745" s="62"/>
      <c r="BC745" s="62"/>
      <c r="BD745" s="62"/>
      <c r="BE745" s="62"/>
      <c r="BF745" s="62"/>
      <c r="BG745" s="62"/>
      <c r="BH745" s="62"/>
      <c r="BI745" s="62"/>
      <c r="BJ745" s="62"/>
      <c r="BK745" s="62"/>
      <c r="BL745" s="62"/>
      <c r="BM745" s="62"/>
      <c r="BN745" s="62"/>
      <c r="BO745" s="62"/>
      <c r="BP745" s="62"/>
      <c r="BQ745" s="62"/>
      <c r="BR745" s="62"/>
      <c r="BS745" s="62"/>
      <c r="BT745" s="62"/>
      <c r="BU745" s="62"/>
      <c r="BV745" s="62"/>
      <c r="BW745" s="62"/>
      <c r="BX745" s="62"/>
      <c r="BY745" s="62"/>
      <c r="BZ745" s="62"/>
      <c r="CA745" s="62"/>
      <c r="CB745" s="62"/>
      <c r="CC745" s="62"/>
      <c r="CD745" s="62"/>
      <c r="CE745" s="62"/>
      <c r="CF745" s="62"/>
      <c r="CG745" s="62"/>
      <c r="CH745" s="62"/>
      <c r="CI745" s="62"/>
      <c r="CJ745" s="62"/>
      <c r="CK745" s="62"/>
      <c r="CL745" s="62"/>
      <c r="CM745" s="62"/>
      <c r="CN745" s="62"/>
      <c r="CO745" s="62"/>
      <c r="CP745" s="62"/>
      <c r="CQ745" s="62"/>
      <c r="CR745" s="62"/>
      <c r="CS745" s="62"/>
      <c r="CT745" s="62"/>
      <c r="CU745" s="62"/>
      <c r="CV745" s="62"/>
      <c r="CW745" s="62"/>
      <c r="CX745" s="62"/>
      <c r="CY745" s="62"/>
      <c r="CZ745" s="62"/>
      <c r="DA745" s="62"/>
      <c r="DB745" s="62"/>
      <c r="DC745" s="62"/>
      <c r="DD745" s="62"/>
      <c r="DE745" s="62"/>
      <c r="DF745" s="62"/>
      <c r="DG745" s="62"/>
      <c r="DH745" s="62"/>
      <c r="DI745" s="62"/>
      <c r="DJ745" s="62"/>
      <c r="DK745" s="62"/>
      <c r="DL745" s="62"/>
      <c r="DM745" s="62"/>
      <c r="DN745" s="62"/>
      <c r="DO745" s="62"/>
      <c r="DP745" s="62"/>
      <c r="DQ745" s="62"/>
      <c r="DR745" s="62"/>
      <c r="DS745" s="62"/>
      <c r="DT745" s="62"/>
      <c r="DU745" s="62"/>
      <c r="DV745" s="62"/>
      <c r="DW745" s="62"/>
      <c r="DX745" s="62"/>
      <c r="DY745" s="62"/>
      <c r="DZ745" s="62"/>
      <c r="EA745" s="62"/>
      <c r="EB745" s="62"/>
      <c r="EC745" s="62"/>
      <c r="ED745" s="62"/>
      <c r="EE745" s="62"/>
      <c r="EF745" s="62"/>
      <c r="EG745" s="62"/>
      <c r="EH745" s="62"/>
      <c r="EI745" s="62"/>
      <c r="EJ745" s="62"/>
      <c r="EK745" s="62"/>
      <c r="EL745" s="62"/>
      <c r="EM745" s="62"/>
      <c r="EN745" s="62"/>
      <c r="EO745" s="62"/>
      <c r="EP745" s="62"/>
      <c r="EQ745" s="62"/>
      <c r="ER745" s="62"/>
      <c r="ES745" s="62"/>
      <c r="ET745" s="62"/>
      <c r="EU745" s="62"/>
      <c r="EV745" s="62"/>
      <c r="EW745" s="62"/>
      <c r="EX745" s="62"/>
      <c r="EY745" s="62"/>
      <c r="EZ745" s="62"/>
      <c r="FA745" s="62"/>
      <c r="FB745" s="62"/>
      <c r="FC745" s="62"/>
      <c r="FD745" s="62"/>
      <c r="FE745" s="62"/>
      <c r="FF745" s="62"/>
      <c r="FG745" s="62"/>
      <c r="FH745" s="62"/>
      <c r="FI745" s="62"/>
      <c r="FJ745" s="62"/>
      <c r="FK745" s="62"/>
      <c r="FL745" s="62"/>
      <c r="FM745" s="62"/>
      <c r="FN745" s="62"/>
      <c r="FO745" s="62"/>
      <c r="FP745" s="62"/>
      <c r="FQ745" s="62"/>
      <c r="FR745" s="62"/>
      <c r="FS745" s="62"/>
      <c r="FT745" s="62"/>
      <c r="FU745" s="62"/>
      <c r="FV745" s="62"/>
    </row>
    <row r="746" spans="1:178" ht="13.8">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c r="AY746" s="62"/>
      <c r="AZ746" s="62"/>
      <c r="BA746" s="62"/>
      <c r="BB746" s="62"/>
      <c r="BC746" s="62"/>
      <c r="BD746" s="62"/>
      <c r="BE746" s="62"/>
      <c r="BF746" s="62"/>
      <c r="BG746" s="62"/>
      <c r="BH746" s="62"/>
      <c r="BI746" s="62"/>
      <c r="BJ746" s="62"/>
      <c r="BK746" s="62"/>
      <c r="BL746" s="62"/>
      <c r="BM746" s="62"/>
      <c r="BN746" s="62"/>
      <c r="BO746" s="62"/>
      <c r="BP746" s="62"/>
      <c r="BQ746" s="62"/>
      <c r="BR746" s="62"/>
      <c r="BS746" s="62"/>
      <c r="BT746" s="62"/>
      <c r="BU746" s="62"/>
      <c r="BV746" s="62"/>
      <c r="BW746" s="62"/>
      <c r="BX746" s="62"/>
      <c r="BY746" s="62"/>
      <c r="BZ746" s="62"/>
      <c r="CA746" s="62"/>
      <c r="CB746" s="62"/>
      <c r="CC746" s="62"/>
      <c r="CD746" s="62"/>
      <c r="CE746" s="62"/>
      <c r="CF746" s="62"/>
      <c r="CG746" s="62"/>
      <c r="CH746" s="62"/>
      <c r="CI746" s="62"/>
      <c r="CJ746" s="62"/>
      <c r="CK746" s="62"/>
      <c r="CL746" s="62"/>
      <c r="CM746" s="62"/>
      <c r="CN746" s="62"/>
      <c r="CO746" s="62"/>
      <c r="CP746" s="62"/>
      <c r="CQ746" s="62"/>
      <c r="CR746" s="62"/>
      <c r="CS746" s="62"/>
      <c r="CT746" s="62"/>
      <c r="CU746" s="62"/>
      <c r="CV746" s="62"/>
      <c r="CW746" s="62"/>
      <c r="CX746" s="62"/>
      <c r="CY746" s="62"/>
      <c r="CZ746" s="62"/>
      <c r="DA746" s="62"/>
      <c r="DB746" s="62"/>
      <c r="DC746" s="62"/>
      <c r="DD746" s="62"/>
      <c r="DE746" s="62"/>
      <c r="DF746" s="62"/>
      <c r="DG746" s="62"/>
      <c r="DH746" s="62"/>
      <c r="DI746" s="62"/>
      <c r="DJ746" s="62"/>
      <c r="DK746" s="62"/>
      <c r="DL746" s="62"/>
      <c r="DM746" s="62"/>
      <c r="DN746" s="62"/>
      <c r="DO746" s="62"/>
      <c r="DP746" s="62"/>
      <c r="DQ746" s="62"/>
      <c r="DR746" s="62"/>
      <c r="DS746" s="62"/>
      <c r="DT746" s="62"/>
      <c r="DU746" s="62"/>
      <c r="DV746" s="62"/>
      <c r="DW746" s="62"/>
      <c r="DX746" s="62"/>
      <c r="DY746" s="62"/>
      <c r="DZ746" s="62"/>
      <c r="EA746" s="62"/>
      <c r="EB746" s="62"/>
      <c r="EC746" s="62"/>
      <c r="ED746" s="62"/>
      <c r="EE746" s="62"/>
      <c r="EF746" s="62"/>
      <c r="EG746" s="62"/>
      <c r="EH746" s="62"/>
      <c r="EI746" s="62"/>
      <c r="EJ746" s="62"/>
      <c r="EK746" s="62"/>
      <c r="EL746" s="62"/>
      <c r="EM746" s="62"/>
      <c r="EN746" s="62"/>
      <c r="EO746" s="62"/>
      <c r="EP746" s="62"/>
      <c r="EQ746" s="62"/>
      <c r="ER746" s="62"/>
      <c r="ES746" s="62"/>
      <c r="ET746" s="62"/>
      <c r="EU746" s="62"/>
      <c r="EV746" s="62"/>
      <c r="EW746" s="62"/>
      <c r="EX746" s="62"/>
      <c r="EY746" s="62"/>
      <c r="EZ746" s="62"/>
      <c r="FA746" s="62"/>
      <c r="FB746" s="62"/>
      <c r="FC746" s="62"/>
      <c r="FD746" s="62"/>
      <c r="FE746" s="62"/>
      <c r="FF746" s="62"/>
      <c r="FG746" s="62"/>
      <c r="FH746" s="62"/>
      <c r="FI746" s="62"/>
      <c r="FJ746" s="62"/>
      <c r="FK746" s="62"/>
      <c r="FL746" s="62"/>
      <c r="FM746" s="62"/>
      <c r="FN746" s="62"/>
      <c r="FO746" s="62"/>
      <c r="FP746" s="62"/>
      <c r="FQ746" s="62"/>
      <c r="FR746" s="62"/>
      <c r="FS746" s="62"/>
      <c r="FT746" s="62"/>
      <c r="FU746" s="62"/>
      <c r="FV746" s="62"/>
    </row>
    <row r="747" spans="1:178" ht="13.8">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c r="AY747" s="62"/>
      <c r="AZ747" s="62"/>
      <c r="BA747" s="62"/>
      <c r="BB747" s="62"/>
      <c r="BC747" s="62"/>
      <c r="BD747" s="62"/>
      <c r="BE747" s="62"/>
      <c r="BF747" s="62"/>
      <c r="BG747" s="62"/>
      <c r="BH747" s="62"/>
      <c r="BI747" s="62"/>
      <c r="BJ747" s="62"/>
      <c r="BK747" s="62"/>
      <c r="BL747" s="62"/>
      <c r="BM747" s="62"/>
      <c r="BN747" s="62"/>
      <c r="BO747" s="62"/>
      <c r="BP747" s="62"/>
      <c r="BQ747" s="62"/>
      <c r="BR747" s="62"/>
      <c r="BS747" s="62"/>
      <c r="BT747" s="62"/>
      <c r="BU747" s="62"/>
      <c r="BV747" s="62"/>
      <c r="BW747" s="62"/>
      <c r="BX747" s="62"/>
      <c r="BY747" s="62"/>
      <c r="BZ747" s="62"/>
      <c r="CA747" s="62"/>
      <c r="CB747" s="62"/>
      <c r="CC747" s="62"/>
      <c r="CD747" s="62"/>
      <c r="CE747" s="62"/>
      <c r="CF747" s="62"/>
      <c r="CG747" s="62"/>
      <c r="CH747" s="62"/>
      <c r="CI747" s="62"/>
      <c r="CJ747" s="62"/>
      <c r="CK747" s="62"/>
      <c r="CL747" s="62"/>
      <c r="CM747" s="62"/>
      <c r="CN747" s="62"/>
      <c r="CO747" s="62"/>
      <c r="CP747" s="62"/>
      <c r="CQ747" s="62"/>
      <c r="CR747" s="62"/>
      <c r="CS747" s="62"/>
      <c r="CT747" s="62"/>
      <c r="CU747" s="62"/>
      <c r="CV747" s="62"/>
      <c r="CW747" s="62"/>
      <c r="CX747" s="62"/>
      <c r="CY747" s="62"/>
      <c r="CZ747" s="62"/>
      <c r="DA747" s="62"/>
      <c r="DB747" s="62"/>
      <c r="DC747" s="62"/>
      <c r="DD747" s="62"/>
      <c r="DE747" s="62"/>
      <c r="DF747" s="62"/>
      <c r="DG747" s="62"/>
      <c r="DH747" s="62"/>
      <c r="DI747" s="62"/>
      <c r="DJ747" s="62"/>
      <c r="DK747" s="62"/>
      <c r="DL747" s="62"/>
      <c r="DM747" s="62"/>
      <c r="DN747" s="62"/>
      <c r="DO747" s="62"/>
      <c r="DP747" s="62"/>
      <c r="DQ747" s="62"/>
      <c r="DR747" s="62"/>
      <c r="DS747" s="62"/>
      <c r="DT747" s="62"/>
      <c r="DU747" s="62"/>
      <c r="DV747" s="62"/>
      <c r="DW747" s="62"/>
      <c r="DX747" s="62"/>
      <c r="DY747" s="62"/>
      <c r="DZ747" s="62"/>
      <c r="EA747" s="62"/>
      <c r="EB747" s="62"/>
      <c r="EC747" s="62"/>
      <c r="ED747" s="62"/>
      <c r="EE747" s="62"/>
      <c r="EF747" s="62"/>
      <c r="EG747" s="62"/>
      <c r="EH747" s="62"/>
      <c r="EI747" s="62"/>
      <c r="EJ747" s="62"/>
      <c r="EK747" s="62"/>
      <c r="EL747" s="62"/>
      <c r="EM747" s="62"/>
      <c r="EN747" s="62"/>
      <c r="EO747" s="62"/>
      <c r="EP747" s="62"/>
      <c r="EQ747" s="62"/>
      <c r="ER747" s="62"/>
      <c r="ES747" s="62"/>
      <c r="ET747" s="62"/>
      <c r="EU747" s="62"/>
      <c r="EV747" s="62"/>
      <c r="EW747" s="62"/>
      <c r="EX747" s="62"/>
      <c r="EY747" s="62"/>
      <c r="EZ747" s="62"/>
      <c r="FA747" s="62"/>
      <c r="FB747" s="62"/>
      <c r="FC747" s="62"/>
      <c r="FD747" s="62"/>
      <c r="FE747" s="62"/>
      <c r="FF747" s="62"/>
      <c r="FG747" s="62"/>
      <c r="FH747" s="62"/>
      <c r="FI747" s="62"/>
      <c r="FJ747" s="62"/>
      <c r="FK747" s="62"/>
      <c r="FL747" s="62"/>
      <c r="FM747" s="62"/>
      <c r="FN747" s="62"/>
      <c r="FO747" s="62"/>
      <c r="FP747" s="62"/>
      <c r="FQ747" s="62"/>
      <c r="FR747" s="62"/>
      <c r="FS747" s="62"/>
      <c r="FT747" s="62"/>
      <c r="FU747" s="62"/>
      <c r="FV747" s="62"/>
    </row>
    <row r="748" spans="1:178" ht="13.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c r="AY748" s="62"/>
      <c r="AZ748" s="62"/>
      <c r="BA748" s="62"/>
      <c r="BB748" s="62"/>
      <c r="BC748" s="62"/>
      <c r="BD748" s="62"/>
      <c r="BE748" s="62"/>
      <c r="BF748" s="62"/>
      <c r="BG748" s="62"/>
      <c r="BH748" s="62"/>
      <c r="BI748" s="62"/>
      <c r="BJ748" s="62"/>
      <c r="BK748" s="62"/>
      <c r="BL748" s="62"/>
      <c r="BM748" s="62"/>
      <c r="BN748" s="62"/>
      <c r="BO748" s="62"/>
      <c r="BP748" s="62"/>
      <c r="BQ748" s="62"/>
      <c r="BR748" s="62"/>
      <c r="BS748" s="62"/>
      <c r="BT748" s="62"/>
      <c r="BU748" s="62"/>
      <c r="BV748" s="62"/>
      <c r="BW748" s="62"/>
      <c r="BX748" s="62"/>
      <c r="BY748" s="62"/>
      <c r="BZ748" s="62"/>
      <c r="CA748" s="62"/>
      <c r="CB748" s="62"/>
      <c r="CC748" s="62"/>
      <c r="CD748" s="62"/>
      <c r="CE748" s="62"/>
      <c r="CF748" s="62"/>
      <c r="CG748" s="62"/>
      <c r="CH748" s="62"/>
      <c r="CI748" s="62"/>
      <c r="CJ748" s="62"/>
      <c r="CK748" s="62"/>
      <c r="CL748" s="62"/>
      <c r="CM748" s="62"/>
      <c r="CN748" s="62"/>
      <c r="CO748" s="62"/>
      <c r="CP748" s="62"/>
      <c r="CQ748" s="62"/>
      <c r="CR748" s="62"/>
      <c r="CS748" s="62"/>
      <c r="CT748" s="62"/>
      <c r="CU748" s="62"/>
      <c r="CV748" s="62"/>
      <c r="CW748" s="62"/>
      <c r="CX748" s="62"/>
      <c r="CY748" s="62"/>
      <c r="CZ748" s="62"/>
      <c r="DA748" s="62"/>
      <c r="DB748" s="62"/>
      <c r="DC748" s="62"/>
      <c r="DD748" s="62"/>
      <c r="DE748" s="62"/>
      <c r="DF748" s="62"/>
      <c r="DG748" s="62"/>
      <c r="DH748" s="62"/>
      <c r="DI748" s="62"/>
      <c r="DJ748" s="62"/>
      <c r="DK748" s="62"/>
      <c r="DL748" s="62"/>
      <c r="DM748" s="62"/>
      <c r="DN748" s="62"/>
      <c r="DO748" s="62"/>
      <c r="DP748" s="62"/>
      <c r="DQ748" s="62"/>
      <c r="DR748" s="62"/>
      <c r="DS748" s="62"/>
      <c r="DT748" s="62"/>
      <c r="DU748" s="62"/>
      <c r="DV748" s="62"/>
      <c r="DW748" s="62"/>
      <c r="DX748" s="62"/>
      <c r="DY748" s="62"/>
      <c r="DZ748" s="62"/>
      <c r="EA748" s="62"/>
      <c r="EB748" s="62"/>
      <c r="EC748" s="62"/>
      <c r="ED748" s="62"/>
      <c r="EE748" s="62"/>
      <c r="EF748" s="62"/>
      <c r="EG748" s="62"/>
      <c r="EH748" s="62"/>
      <c r="EI748" s="62"/>
      <c r="EJ748" s="62"/>
      <c r="EK748" s="62"/>
      <c r="EL748" s="62"/>
      <c r="EM748" s="62"/>
      <c r="EN748" s="62"/>
      <c r="EO748" s="62"/>
      <c r="EP748" s="62"/>
      <c r="EQ748" s="62"/>
      <c r="ER748" s="62"/>
      <c r="ES748" s="62"/>
      <c r="ET748" s="62"/>
      <c r="EU748" s="62"/>
      <c r="EV748" s="62"/>
      <c r="EW748" s="62"/>
      <c r="EX748" s="62"/>
      <c r="EY748" s="62"/>
      <c r="EZ748" s="62"/>
      <c r="FA748" s="62"/>
      <c r="FB748" s="62"/>
      <c r="FC748" s="62"/>
      <c r="FD748" s="62"/>
      <c r="FE748" s="62"/>
      <c r="FF748" s="62"/>
      <c r="FG748" s="62"/>
      <c r="FH748" s="62"/>
      <c r="FI748" s="62"/>
      <c r="FJ748" s="62"/>
      <c r="FK748" s="62"/>
      <c r="FL748" s="62"/>
      <c r="FM748" s="62"/>
      <c r="FN748" s="62"/>
      <c r="FO748" s="62"/>
      <c r="FP748" s="62"/>
      <c r="FQ748" s="62"/>
      <c r="FR748" s="62"/>
      <c r="FS748" s="62"/>
      <c r="FT748" s="62"/>
      <c r="FU748" s="62"/>
      <c r="FV748" s="62"/>
    </row>
    <row r="749" spans="1:178" ht="13.8">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c r="AY749" s="62"/>
      <c r="AZ749" s="62"/>
      <c r="BA749" s="62"/>
      <c r="BB749" s="62"/>
      <c r="BC749" s="62"/>
      <c r="BD749" s="62"/>
      <c r="BE749" s="62"/>
      <c r="BF749" s="62"/>
      <c r="BG749" s="62"/>
      <c r="BH749" s="62"/>
      <c r="BI749" s="62"/>
      <c r="BJ749" s="62"/>
      <c r="BK749" s="62"/>
      <c r="BL749" s="62"/>
      <c r="BM749" s="62"/>
      <c r="BN749" s="62"/>
      <c r="BO749" s="62"/>
      <c r="BP749" s="62"/>
      <c r="BQ749" s="62"/>
      <c r="BR749" s="62"/>
      <c r="BS749" s="62"/>
      <c r="BT749" s="62"/>
      <c r="BU749" s="62"/>
      <c r="BV749" s="62"/>
      <c r="BW749" s="62"/>
      <c r="BX749" s="62"/>
      <c r="BY749" s="62"/>
      <c r="BZ749" s="62"/>
      <c r="CA749" s="62"/>
      <c r="CB749" s="62"/>
      <c r="CC749" s="62"/>
      <c r="CD749" s="62"/>
      <c r="CE749" s="62"/>
      <c r="CF749" s="62"/>
      <c r="CG749" s="62"/>
      <c r="CH749" s="62"/>
      <c r="CI749" s="62"/>
      <c r="CJ749" s="62"/>
      <c r="CK749" s="62"/>
      <c r="CL749" s="62"/>
      <c r="CM749" s="62"/>
      <c r="CN749" s="62"/>
      <c r="CO749" s="62"/>
      <c r="CP749" s="62"/>
      <c r="CQ749" s="62"/>
      <c r="CR749" s="62"/>
      <c r="CS749" s="62"/>
      <c r="CT749" s="62"/>
      <c r="CU749" s="62"/>
      <c r="CV749" s="62"/>
      <c r="CW749" s="62"/>
      <c r="CX749" s="62"/>
      <c r="CY749" s="62"/>
      <c r="CZ749" s="62"/>
      <c r="DA749" s="62"/>
      <c r="DB749" s="62"/>
      <c r="DC749" s="62"/>
      <c r="DD749" s="62"/>
      <c r="DE749" s="62"/>
      <c r="DF749" s="62"/>
      <c r="DG749" s="62"/>
      <c r="DH749" s="62"/>
      <c r="DI749" s="62"/>
      <c r="DJ749" s="62"/>
      <c r="DK749" s="62"/>
      <c r="DL749" s="62"/>
      <c r="DM749" s="62"/>
      <c r="DN749" s="62"/>
      <c r="DO749" s="62"/>
      <c r="DP749" s="62"/>
      <c r="DQ749" s="62"/>
      <c r="DR749" s="62"/>
      <c r="DS749" s="62"/>
      <c r="DT749" s="62"/>
      <c r="DU749" s="62"/>
      <c r="DV749" s="62"/>
      <c r="DW749" s="62"/>
      <c r="DX749" s="62"/>
      <c r="DY749" s="62"/>
      <c r="DZ749" s="62"/>
      <c r="EA749" s="62"/>
      <c r="EB749" s="62"/>
      <c r="EC749" s="62"/>
      <c r="ED749" s="62"/>
      <c r="EE749" s="62"/>
      <c r="EF749" s="62"/>
      <c r="EG749" s="62"/>
      <c r="EH749" s="62"/>
      <c r="EI749" s="62"/>
      <c r="EJ749" s="62"/>
      <c r="EK749" s="62"/>
      <c r="EL749" s="62"/>
      <c r="EM749" s="62"/>
      <c r="EN749" s="62"/>
      <c r="EO749" s="62"/>
      <c r="EP749" s="62"/>
      <c r="EQ749" s="62"/>
      <c r="ER749" s="62"/>
      <c r="ES749" s="62"/>
      <c r="ET749" s="62"/>
      <c r="EU749" s="62"/>
      <c r="EV749" s="62"/>
      <c r="EW749" s="62"/>
      <c r="EX749" s="62"/>
      <c r="EY749" s="62"/>
      <c r="EZ749" s="62"/>
      <c r="FA749" s="62"/>
      <c r="FB749" s="62"/>
      <c r="FC749" s="62"/>
      <c r="FD749" s="62"/>
      <c r="FE749" s="62"/>
      <c r="FF749" s="62"/>
      <c r="FG749" s="62"/>
      <c r="FH749" s="62"/>
      <c r="FI749" s="62"/>
      <c r="FJ749" s="62"/>
      <c r="FK749" s="62"/>
      <c r="FL749" s="62"/>
      <c r="FM749" s="62"/>
      <c r="FN749" s="62"/>
      <c r="FO749" s="62"/>
      <c r="FP749" s="62"/>
      <c r="FQ749" s="62"/>
      <c r="FR749" s="62"/>
      <c r="FS749" s="62"/>
      <c r="FT749" s="62"/>
      <c r="FU749" s="62"/>
      <c r="FV749" s="62"/>
    </row>
    <row r="750" spans="1:178" ht="13.8">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c r="AY750" s="62"/>
      <c r="AZ750" s="62"/>
      <c r="BA750" s="62"/>
      <c r="BB750" s="62"/>
      <c r="BC750" s="62"/>
      <c r="BD750" s="62"/>
      <c r="BE750" s="62"/>
      <c r="BF750" s="62"/>
      <c r="BG750" s="62"/>
      <c r="BH750" s="62"/>
      <c r="BI750" s="62"/>
      <c r="BJ750" s="62"/>
      <c r="BK750" s="62"/>
      <c r="BL750" s="62"/>
      <c r="BM750" s="62"/>
      <c r="BN750" s="62"/>
      <c r="BO750" s="62"/>
      <c r="BP750" s="62"/>
      <c r="BQ750" s="62"/>
      <c r="BR750" s="62"/>
      <c r="BS750" s="62"/>
      <c r="BT750" s="62"/>
      <c r="BU750" s="62"/>
      <c r="BV750" s="62"/>
      <c r="BW750" s="62"/>
      <c r="BX750" s="62"/>
      <c r="BY750" s="62"/>
      <c r="BZ750" s="62"/>
      <c r="CA750" s="62"/>
      <c r="CB750" s="62"/>
      <c r="CC750" s="62"/>
      <c r="CD750" s="62"/>
      <c r="CE750" s="62"/>
      <c r="CF750" s="62"/>
      <c r="CG750" s="62"/>
      <c r="CH750" s="62"/>
      <c r="CI750" s="62"/>
      <c r="CJ750" s="62"/>
      <c r="CK750" s="62"/>
      <c r="CL750" s="62"/>
      <c r="CM750" s="62"/>
      <c r="CN750" s="62"/>
      <c r="CO750" s="62"/>
      <c r="CP750" s="62"/>
      <c r="CQ750" s="62"/>
      <c r="CR750" s="62"/>
      <c r="CS750" s="62"/>
      <c r="CT750" s="62"/>
      <c r="CU750" s="62"/>
      <c r="CV750" s="62"/>
      <c r="CW750" s="62"/>
      <c r="CX750" s="62"/>
      <c r="CY750" s="62"/>
      <c r="CZ750" s="62"/>
      <c r="DA750" s="62"/>
      <c r="DB750" s="62"/>
      <c r="DC750" s="62"/>
      <c r="DD750" s="62"/>
      <c r="DE750" s="62"/>
      <c r="DF750" s="62"/>
      <c r="DG750" s="62"/>
      <c r="DH750" s="62"/>
      <c r="DI750" s="62"/>
      <c r="DJ750" s="62"/>
      <c r="DK750" s="62"/>
      <c r="DL750" s="62"/>
      <c r="DM750" s="62"/>
      <c r="DN750" s="62"/>
      <c r="DO750" s="62"/>
      <c r="DP750" s="62"/>
      <c r="DQ750" s="62"/>
      <c r="DR750" s="62"/>
      <c r="DS750" s="62"/>
      <c r="DT750" s="62"/>
      <c r="DU750" s="62"/>
      <c r="DV750" s="62"/>
      <c r="DW750" s="62"/>
      <c r="DX750" s="62"/>
      <c r="DY750" s="62"/>
      <c r="DZ750" s="62"/>
      <c r="EA750" s="62"/>
      <c r="EB750" s="62"/>
      <c r="EC750" s="62"/>
      <c r="ED750" s="62"/>
      <c r="EE750" s="62"/>
      <c r="EF750" s="62"/>
      <c r="EG750" s="62"/>
      <c r="EH750" s="62"/>
      <c r="EI750" s="62"/>
      <c r="EJ750" s="62"/>
      <c r="EK750" s="62"/>
      <c r="EL750" s="62"/>
      <c r="EM750" s="62"/>
      <c r="EN750" s="62"/>
      <c r="EO750" s="62"/>
      <c r="EP750" s="62"/>
      <c r="EQ750" s="62"/>
      <c r="ER750" s="62"/>
      <c r="ES750" s="62"/>
      <c r="ET750" s="62"/>
      <c r="EU750" s="62"/>
      <c r="EV750" s="62"/>
      <c r="EW750" s="62"/>
      <c r="EX750" s="62"/>
      <c r="EY750" s="62"/>
      <c r="EZ750" s="62"/>
      <c r="FA750" s="62"/>
      <c r="FB750" s="62"/>
      <c r="FC750" s="62"/>
      <c r="FD750" s="62"/>
      <c r="FE750" s="62"/>
      <c r="FF750" s="62"/>
      <c r="FG750" s="62"/>
      <c r="FH750" s="62"/>
      <c r="FI750" s="62"/>
      <c r="FJ750" s="62"/>
      <c r="FK750" s="62"/>
      <c r="FL750" s="62"/>
      <c r="FM750" s="62"/>
      <c r="FN750" s="62"/>
      <c r="FO750" s="62"/>
      <c r="FP750" s="62"/>
      <c r="FQ750" s="62"/>
      <c r="FR750" s="62"/>
      <c r="FS750" s="62"/>
      <c r="FT750" s="62"/>
      <c r="FU750" s="62"/>
      <c r="FV750" s="62"/>
    </row>
    <row r="751" spans="1:178" ht="13.8">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c r="AY751" s="62"/>
      <c r="AZ751" s="62"/>
      <c r="BA751" s="62"/>
      <c r="BB751" s="62"/>
      <c r="BC751" s="62"/>
      <c r="BD751" s="62"/>
      <c r="BE751" s="62"/>
      <c r="BF751" s="62"/>
      <c r="BG751" s="62"/>
      <c r="BH751" s="62"/>
      <c r="BI751" s="62"/>
      <c r="BJ751" s="62"/>
      <c r="BK751" s="62"/>
      <c r="BL751" s="62"/>
      <c r="BM751" s="62"/>
      <c r="BN751" s="62"/>
      <c r="BO751" s="62"/>
      <c r="BP751" s="62"/>
      <c r="BQ751" s="62"/>
      <c r="BR751" s="62"/>
      <c r="BS751" s="62"/>
      <c r="BT751" s="62"/>
      <c r="BU751" s="62"/>
      <c r="BV751" s="62"/>
      <c r="BW751" s="62"/>
      <c r="BX751" s="62"/>
      <c r="BY751" s="62"/>
      <c r="BZ751" s="62"/>
      <c r="CA751" s="62"/>
      <c r="CB751" s="62"/>
      <c r="CC751" s="62"/>
      <c r="CD751" s="62"/>
      <c r="CE751" s="62"/>
      <c r="CF751" s="62"/>
      <c r="CG751" s="62"/>
      <c r="CH751" s="62"/>
      <c r="CI751" s="62"/>
      <c r="CJ751" s="62"/>
      <c r="CK751" s="62"/>
      <c r="CL751" s="62"/>
      <c r="CM751" s="62"/>
      <c r="CN751" s="62"/>
      <c r="CO751" s="62"/>
      <c r="CP751" s="62"/>
      <c r="CQ751" s="62"/>
      <c r="CR751" s="62"/>
      <c r="CS751" s="62"/>
      <c r="CT751" s="62"/>
      <c r="CU751" s="62"/>
      <c r="CV751" s="62"/>
      <c r="CW751" s="62"/>
      <c r="CX751" s="62"/>
      <c r="CY751" s="62"/>
      <c r="CZ751" s="62"/>
      <c r="DA751" s="62"/>
      <c r="DB751" s="62"/>
      <c r="DC751" s="62"/>
      <c r="DD751" s="62"/>
      <c r="DE751" s="62"/>
      <c r="DF751" s="62"/>
      <c r="DG751" s="62"/>
      <c r="DH751" s="62"/>
      <c r="DI751" s="62"/>
      <c r="DJ751" s="62"/>
      <c r="DK751" s="62"/>
      <c r="DL751" s="62"/>
      <c r="DM751" s="62"/>
      <c r="DN751" s="62"/>
      <c r="DO751" s="62"/>
      <c r="DP751" s="62"/>
      <c r="DQ751" s="62"/>
      <c r="DR751" s="62"/>
      <c r="DS751" s="62"/>
      <c r="DT751" s="62"/>
      <c r="DU751" s="62"/>
      <c r="DV751" s="62"/>
      <c r="DW751" s="62"/>
      <c r="DX751" s="62"/>
      <c r="DY751" s="62"/>
      <c r="DZ751" s="62"/>
      <c r="EA751" s="62"/>
      <c r="EB751" s="62"/>
      <c r="EC751" s="62"/>
      <c r="ED751" s="62"/>
      <c r="EE751" s="62"/>
      <c r="EF751" s="62"/>
      <c r="EG751" s="62"/>
      <c r="EH751" s="62"/>
      <c r="EI751" s="62"/>
      <c r="EJ751" s="62"/>
      <c r="EK751" s="62"/>
      <c r="EL751" s="62"/>
      <c r="EM751" s="62"/>
      <c r="EN751" s="62"/>
      <c r="EO751" s="62"/>
      <c r="EP751" s="62"/>
      <c r="EQ751" s="62"/>
      <c r="ER751" s="62"/>
      <c r="ES751" s="62"/>
      <c r="ET751" s="62"/>
      <c r="EU751" s="62"/>
      <c r="EV751" s="62"/>
      <c r="EW751" s="62"/>
      <c r="EX751" s="62"/>
      <c r="EY751" s="62"/>
      <c r="EZ751" s="62"/>
      <c r="FA751" s="62"/>
      <c r="FB751" s="62"/>
      <c r="FC751" s="62"/>
      <c r="FD751" s="62"/>
      <c r="FE751" s="62"/>
      <c r="FF751" s="62"/>
      <c r="FG751" s="62"/>
      <c r="FH751" s="62"/>
      <c r="FI751" s="62"/>
      <c r="FJ751" s="62"/>
      <c r="FK751" s="62"/>
      <c r="FL751" s="62"/>
      <c r="FM751" s="62"/>
      <c r="FN751" s="62"/>
      <c r="FO751" s="62"/>
      <c r="FP751" s="62"/>
      <c r="FQ751" s="62"/>
      <c r="FR751" s="62"/>
      <c r="FS751" s="62"/>
      <c r="FT751" s="62"/>
      <c r="FU751" s="62"/>
      <c r="FV751" s="62"/>
    </row>
    <row r="752" spans="1:178" ht="13.8">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c r="AY752" s="62"/>
      <c r="AZ752" s="62"/>
      <c r="BA752" s="62"/>
      <c r="BB752" s="62"/>
      <c r="BC752" s="62"/>
      <c r="BD752" s="62"/>
      <c r="BE752" s="62"/>
      <c r="BF752" s="62"/>
      <c r="BG752" s="62"/>
      <c r="BH752" s="62"/>
      <c r="BI752" s="62"/>
      <c r="BJ752" s="62"/>
      <c r="BK752" s="62"/>
      <c r="BL752" s="62"/>
      <c r="BM752" s="62"/>
      <c r="BN752" s="62"/>
      <c r="BO752" s="62"/>
      <c r="BP752" s="62"/>
      <c r="BQ752" s="62"/>
      <c r="BR752" s="62"/>
      <c r="BS752" s="62"/>
      <c r="BT752" s="62"/>
      <c r="BU752" s="62"/>
      <c r="BV752" s="62"/>
      <c r="BW752" s="62"/>
      <c r="BX752" s="62"/>
      <c r="BY752" s="62"/>
      <c r="BZ752" s="62"/>
      <c r="CA752" s="62"/>
      <c r="CB752" s="62"/>
      <c r="CC752" s="62"/>
      <c r="CD752" s="62"/>
      <c r="CE752" s="62"/>
      <c r="CF752" s="62"/>
      <c r="CG752" s="62"/>
      <c r="CH752" s="62"/>
      <c r="CI752" s="62"/>
      <c r="CJ752" s="62"/>
      <c r="CK752" s="62"/>
      <c r="CL752" s="62"/>
      <c r="CM752" s="62"/>
      <c r="CN752" s="62"/>
      <c r="CO752" s="62"/>
      <c r="CP752" s="62"/>
      <c r="CQ752" s="62"/>
      <c r="CR752" s="62"/>
      <c r="CS752" s="62"/>
      <c r="CT752" s="62"/>
      <c r="CU752" s="62"/>
      <c r="CV752" s="62"/>
      <c r="CW752" s="62"/>
      <c r="CX752" s="62"/>
      <c r="CY752" s="62"/>
      <c r="CZ752" s="62"/>
      <c r="DA752" s="62"/>
      <c r="DB752" s="62"/>
      <c r="DC752" s="62"/>
      <c r="DD752" s="62"/>
      <c r="DE752" s="62"/>
      <c r="DF752" s="62"/>
      <c r="DG752" s="62"/>
      <c r="DH752" s="62"/>
      <c r="DI752" s="62"/>
      <c r="DJ752" s="62"/>
      <c r="DK752" s="62"/>
      <c r="DL752" s="62"/>
      <c r="DM752" s="62"/>
      <c r="DN752" s="62"/>
      <c r="DO752" s="62"/>
      <c r="DP752" s="62"/>
      <c r="DQ752" s="62"/>
      <c r="DR752" s="62"/>
      <c r="DS752" s="62"/>
      <c r="DT752" s="62"/>
      <c r="DU752" s="62"/>
      <c r="DV752" s="62"/>
      <c r="DW752" s="62"/>
      <c r="DX752" s="62"/>
      <c r="DY752" s="62"/>
      <c r="DZ752" s="62"/>
      <c r="EA752" s="62"/>
      <c r="EB752" s="62"/>
      <c r="EC752" s="62"/>
      <c r="ED752" s="62"/>
      <c r="EE752" s="62"/>
      <c r="EF752" s="62"/>
      <c r="EG752" s="62"/>
      <c r="EH752" s="62"/>
      <c r="EI752" s="62"/>
      <c r="EJ752" s="62"/>
      <c r="EK752" s="62"/>
      <c r="EL752" s="62"/>
      <c r="EM752" s="62"/>
      <c r="EN752" s="62"/>
      <c r="EO752" s="62"/>
      <c r="EP752" s="62"/>
      <c r="EQ752" s="62"/>
      <c r="ER752" s="62"/>
      <c r="ES752" s="62"/>
      <c r="ET752" s="62"/>
      <c r="EU752" s="62"/>
      <c r="EV752" s="62"/>
      <c r="EW752" s="62"/>
      <c r="EX752" s="62"/>
      <c r="EY752" s="62"/>
      <c r="EZ752" s="62"/>
      <c r="FA752" s="62"/>
      <c r="FB752" s="62"/>
      <c r="FC752" s="62"/>
      <c r="FD752" s="62"/>
      <c r="FE752" s="62"/>
      <c r="FF752" s="62"/>
      <c r="FG752" s="62"/>
      <c r="FH752" s="62"/>
      <c r="FI752" s="62"/>
      <c r="FJ752" s="62"/>
      <c r="FK752" s="62"/>
      <c r="FL752" s="62"/>
      <c r="FM752" s="62"/>
      <c r="FN752" s="62"/>
      <c r="FO752" s="62"/>
      <c r="FP752" s="62"/>
      <c r="FQ752" s="62"/>
      <c r="FR752" s="62"/>
      <c r="FS752" s="62"/>
      <c r="FT752" s="62"/>
      <c r="FU752" s="62"/>
      <c r="FV752" s="62"/>
    </row>
    <row r="753" spans="1:178" ht="13.8">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c r="AY753" s="62"/>
      <c r="AZ753" s="62"/>
      <c r="BA753" s="62"/>
      <c r="BB753" s="62"/>
      <c r="BC753" s="62"/>
      <c r="BD753" s="62"/>
      <c r="BE753" s="62"/>
      <c r="BF753" s="62"/>
      <c r="BG753" s="62"/>
      <c r="BH753" s="62"/>
      <c r="BI753" s="62"/>
      <c r="BJ753" s="62"/>
      <c r="BK753" s="62"/>
      <c r="BL753" s="62"/>
      <c r="BM753" s="62"/>
      <c r="BN753" s="62"/>
      <c r="BO753" s="62"/>
      <c r="BP753" s="62"/>
      <c r="BQ753" s="62"/>
      <c r="BR753" s="62"/>
      <c r="BS753" s="62"/>
      <c r="BT753" s="62"/>
      <c r="BU753" s="62"/>
      <c r="BV753" s="62"/>
      <c r="BW753" s="62"/>
      <c r="BX753" s="62"/>
      <c r="BY753" s="62"/>
      <c r="BZ753" s="62"/>
      <c r="CA753" s="62"/>
      <c r="CB753" s="62"/>
      <c r="CC753" s="62"/>
      <c r="CD753" s="62"/>
      <c r="CE753" s="62"/>
      <c r="CF753" s="62"/>
      <c r="CG753" s="62"/>
      <c r="CH753" s="62"/>
      <c r="CI753" s="62"/>
      <c r="CJ753" s="62"/>
      <c r="CK753" s="62"/>
      <c r="CL753" s="62"/>
      <c r="CM753" s="62"/>
      <c r="CN753" s="62"/>
      <c r="CO753" s="62"/>
      <c r="CP753" s="62"/>
      <c r="CQ753" s="62"/>
      <c r="CR753" s="62"/>
      <c r="CS753" s="62"/>
      <c r="CT753" s="62"/>
      <c r="CU753" s="62"/>
      <c r="CV753" s="62"/>
      <c r="CW753" s="62"/>
      <c r="CX753" s="62"/>
      <c r="CY753" s="62"/>
      <c r="CZ753" s="62"/>
      <c r="DA753" s="62"/>
      <c r="DB753" s="62"/>
      <c r="DC753" s="62"/>
      <c r="DD753" s="62"/>
      <c r="DE753" s="62"/>
      <c r="DF753" s="62"/>
      <c r="DG753" s="62"/>
      <c r="DH753" s="62"/>
      <c r="DI753" s="62"/>
      <c r="DJ753" s="62"/>
      <c r="DK753" s="62"/>
      <c r="DL753" s="62"/>
      <c r="DM753" s="62"/>
      <c r="DN753" s="62"/>
      <c r="DO753" s="62"/>
      <c r="DP753" s="62"/>
      <c r="DQ753" s="62"/>
      <c r="DR753" s="62"/>
      <c r="DS753" s="62"/>
      <c r="DT753" s="62"/>
      <c r="DU753" s="62"/>
      <c r="DV753" s="62"/>
      <c r="DW753" s="62"/>
      <c r="DX753" s="62"/>
      <c r="DY753" s="62"/>
      <c r="DZ753" s="62"/>
      <c r="EA753" s="62"/>
      <c r="EB753" s="62"/>
      <c r="EC753" s="62"/>
      <c r="ED753" s="62"/>
      <c r="EE753" s="62"/>
      <c r="EF753" s="62"/>
      <c r="EG753" s="62"/>
      <c r="EH753" s="62"/>
      <c r="EI753" s="62"/>
      <c r="EJ753" s="62"/>
      <c r="EK753" s="62"/>
      <c r="EL753" s="62"/>
      <c r="EM753" s="62"/>
      <c r="EN753" s="62"/>
      <c r="EO753" s="62"/>
      <c r="EP753" s="62"/>
      <c r="EQ753" s="62"/>
      <c r="ER753" s="62"/>
      <c r="ES753" s="62"/>
      <c r="ET753" s="62"/>
      <c r="EU753" s="62"/>
      <c r="EV753" s="62"/>
      <c r="EW753" s="62"/>
      <c r="EX753" s="62"/>
      <c r="EY753" s="62"/>
      <c r="EZ753" s="62"/>
      <c r="FA753" s="62"/>
      <c r="FB753" s="62"/>
      <c r="FC753" s="62"/>
      <c r="FD753" s="62"/>
      <c r="FE753" s="62"/>
      <c r="FF753" s="62"/>
      <c r="FG753" s="62"/>
      <c r="FH753" s="62"/>
      <c r="FI753" s="62"/>
      <c r="FJ753" s="62"/>
      <c r="FK753" s="62"/>
      <c r="FL753" s="62"/>
      <c r="FM753" s="62"/>
      <c r="FN753" s="62"/>
      <c r="FO753" s="62"/>
      <c r="FP753" s="62"/>
      <c r="FQ753" s="62"/>
      <c r="FR753" s="62"/>
      <c r="FS753" s="62"/>
      <c r="FT753" s="62"/>
      <c r="FU753" s="62"/>
      <c r="FV753" s="62"/>
    </row>
    <row r="754" spans="1:178" ht="13.8">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c r="AY754" s="62"/>
      <c r="AZ754" s="62"/>
      <c r="BA754" s="62"/>
      <c r="BB754" s="62"/>
      <c r="BC754" s="62"/>
      <c r="BD754" s="62"/>
      <c r="BE754" s="62"/>
      <c r="BF754" s="62"/>
      <c r="BG754" s="62"/>
      <c r="BH754" s="62"/>
      <c r="BI754" s="62"/>
      <c r="BJ754" s="62"/>
      <c r="BK754" s="62"/>
      <c r="BL754" s="62"/>
      <c r="BM754" s="62"/>
      <c r="BN754" s="62"/>
      <c r="BO754" s="62"/>
      <c r="BP754" s="62"/>
      <c r="BQ754" s="62"/>
      <c r="BR754" s="62"/>
      <c r="BS754" s="62"/>
      <c r="BT754" s="62"/>
      <c r="BU754" s="62"/>
      <c r="BV754" s="62"/>
      <c r="BW754" s="62"/>
      <c r="BX754" s="62"/>
      <c r="BY754" s="62"/>
      <c r="BZ754" s="62"/>
      <c r="CA754" s="62"/>
      <c r="CB754" s="62"/>
      <c r="CC754" s="62"/>
      <c r="CD754" s="62"/>
      <c r="CE754" s="62"/>
      <c r="CF754" s="62"/>
      <c r="CG754" s="62"/>
      <c r="CH754" s="62"/>
      <c r="CI754" s="62"/>
      <c r="CJ754" s="62"/>
      <c r="CK754" s="62"/>
      <c r="CL754" s="62"/>
      <c r="CM754" s="62"/>
      <c r="CN754" s="62"/>
      <c r="CO754" s="62"/>
      <c r="CP754" s="62"/>
      <c r="CQ754" s="62"/>
      <c r="CR754" s="62"/>
      <c r="CS754" s="62"/>
      <c r="CT754" s="62"/>
      <c r="CU754" s="62"/>
      <c r="CV754" s="62"/>
      <c r="CW754" s="62"/>
      <c r="CX754" s="62"/>
      <c r="CY754" s="62"/>
      <c r="CZ754" s="62"/>
      <c r="DA754" s="62"/>
      <c r="DB754" s="62"/>
      <c r="DC754" s="62"/>
      <c r="DD754" s="62"/>
      <c r="DE754" s="62"/>
      <c r="DF754" s="62"/>
      <c r="DG754" s="62"/>
      <c r="DH754" s="62"/>
      <c r="DI754" s="62"/>
      <c r="DJ754" s="62"/>
      <c r="DK754" s="62"/>
      <c r="DL754" s="62"/>
      <c r="DM754" s="62"/>
      <c r="DN754" s="62"/>
      <c r="DO754" s="62"/>
      <c r="DP754" s="62"/>
      <c r="DQ754" s="62"/>
      <c r="DR754" s="62"/>
      <c r="DS754" s="62"/>
      <c r="DT754" s="62"/>
      <c r="DU754" s="62"/>
      <c r="DV754" s="62"/>
      <c r="DW754" s="62"/>
      <c r="DX754" s="62"/>
      <c r="DY754" s="62"/>
      <c r="DZ754" s="62"/>
      <c r="EA754" s="62"/>
      <c r="EB754" s="62"/>
      <c r="EC754" s="62"/>
      <c r="ED754" s="62"/>
      <c r="EE754" s="62"/>
      <c r="EF754" s="62"/>
      <c r="EG754" s="62"/>
      <c r="EH754" s="62"/>
      <c r="EI754" s="62"/>
      <c r="EJ754" s="62"/>
      <c r="EK754" s="62"/>
      <c r="EL754" s="62"/>
      <c r="EM754" s="62"/>
      <c r="EN754" s="62"/>
      <c r="EO754" s="62"/>
      <c r="EP754" s="62"/>
      <c r="EQ754" s="62"/>
      <c r="ER754" s="62"/>
      <c r="ES754" s="62"/>
      <c r="ET754" s="62"/>
      <c r="EU754" s="62"/>
      <c r="EV754" s="62"/>
      <c r="EW754" s="62"/>
      <c r="EX754" s="62"/>
      <c r="EY754" s="62"/>
      <c r="EZ754" s="62"/>
      <c r="FA754" s="62"/>
      <c r="FB754" s="62"/>
      <c r="FC754" s="62"/>
      <c r="FD754" s="62"/>
      <c r="FE754" s="62"/>
      <c r="FF754" s="62"/>
      <c r="FG754" s="62"/>
      <c r="FH754" s="62"/>
      <c r="FI754" s="62"/>
      <c r="FJ754" s="62"/>
      <c r="FK754" s="62"/>
      <c r="FL754" s="62"/>
      <c r="FM754" s="62"/>
      <c r="FN754" s="62"/>
      <c r="FO754" s="62"/>
      <c r="FP754" s="62"/>
      <c r="FQ754" s="62"/>
      <c r="FR754" s="62"/>
      <c r="FS754" s="62"/>
      <c r="FT754" s="62"/>
      <c r="FU754" s="62"/>
      <c r="FV754" s="62"/>
    </row>
    <row r="755" spans="1:178" ht="13.8">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c r="AY755" s="62"/>
      <c r="AZ755" s="62"/>
      <c r="BA755" s="62"/>
      <c r="BB755" s="62"/>
      <c r="BC755" s="62"/>
      <c r="BD755" s="62"/>
      <c r="BE755" s="62"/>
      <c r="BF755" s="62"/>
      <c r="BG755" s="62"/>
      <c r="BH755" s="62"/>
      <c r="BI755" s="62"/>
      <c r="BJ755" s="62"/>
      <c r="BK755" s="62"/>
      <c r="BL755" s="62"/>
      <c r="BM755" s="62"/>
      <c r="BN755" s="62"/>
      <c r="BO755" s="62"/>
      <c r="BP755" s="62"/>
      <c r="BQ755" s="62"/>
      <c r="BR755" s="62"/>
      <c r="BS755" s="62"/>
      <c r="BT755" s="62"/>
      <c r="BU755" s="62"/>
      <c r="BV755" s="62"/>
      <c r="BW755" s="62"/>
      <c r="BX755" s="62"/>
      <c r="BY755" s="62"/>
      <c r="BZ755" s="62"/>
      <c r="CA755" s="62"/>
      <c r="CB755" s="62"/>
      <c r="CC755" s="62"/>
      <c r="CD755" s="62"/>
      <c r="CE755" s="62"/>
      <c r="CF755" s="62"/>
      <c r="CG755" s="62"/>
      <c r="CH755" s="62"/>
      <c r="CI755" s="62"/>
      <c r="CJ755" s="62"/>
      <c r="CK755" s="62"/>
      <c r="CL755" s="62"/>
      <c r="CM755" s="62"/>
      <c r="CN755" s="62"/>
      <c r="CO755" s="62"/>
      <c r="CP755" s="62"/>
      <c r="CQ755" s="62"/>
      <c r="CR755" s="62"/>
      <c r="CS755" s="62"/>
      <c r="CT755" s="62"/>
      <c r="CU755" s="62"/>
      <c r="CV755" s="62"/>
      <c r="CW755" s="62"/>
      <c r="CX755" s="62"/>
      <c r="CY755" s="62"/>
      <c r="CZ755" s="62"/>
      <c r="DA755" s="62"/>
      <c r="DB755" s="62"/>
      <c r="DC755" s="62"/>
      <c r="DD755" s="62"/>
      <c r="DE755" s="62"/>
      <c r="DF755" s="62"/>
      <c r="DG755" s="62"/>
      <c r="DH755" s="62"/>
      <c r="DI755" s="62"/>
      <c r="DJ755" s="62"/>
      <c r="DK755" s="62"/>
      <c r="DL755" s="62"/>
      <c r="DM755" s="62"/>
      <c r="DN755" s="62"/>
      <c r="DO755" s="62"/>
      <c r="DP755" s="62"/>
      <c r="DQ755" s="62"/>
      <c r="DR755" s="62"/>
      <c r="DS755" s="62"/>
      <c r="DT755" s="62"/>
      <c r="DU755" s="62"/>
      <c r="DV755" s="62"/>
      <c r="DW755" s="62"/>
      <c r="DX755" s="62"/>
      <c r="DY755" s="62"/>
      <c r="DZ755" s="62"/>
      <c r="EA755" s="62"/>
      <c r="EB755" s="62"/>
      <c r="EC755" s="62"/>
      <c r="ED755" s="62"/>
      <c r="EE755" s="62"/>
      <c r="EF755" s="62"/>
      <c r="EG755" s="62"/>
      <c r="EH755" s="62"/>
      <c r="EI755" s="62"/>
      <c r="EJ755" s="62"/>
      <c r="EK755" s="62"/>
      <c r="EL755" s="62"/>
      <c r="EM755" s="62"/>
      <c r="EN755" s="62"/>
      <c r="EO755" s="62"/>
      <c r="EP755" s="62"/>
      <c r="EQ755" s="62"/>
      <c r="ER755" s="62"/>
      <c r="ES755" s="62"/>
      <c r="ET755" s="62"/>
      <c r="EU755" s="62"/>
      <c r="EV755" s="62"/>
      <c r="EW755" s="62"/>
      <c r="EX755" s="62"/>
      <c r="EY755" s="62"/>
      <c r="EZ755" s="62"/>
      <c r="FA755" s="62"/>
      <c r="FB755" s="62"/>
      <c r="FC755" s="62"/>
      <c r="FD755" s="62"/>
      <c r="FE755" s="62"/>
      <c r="FF755" s="62"/>
      <c r="FG755" s="62"/>
      <c r="FH755" s="62"/>
      <c r="FI755" s="62"/>
      <c r="FJ755" s="62"/>
      <c r="FK755" s="62"/>
      <c r="FL755" s="62"/>
      <c r="FM755" s="62"/>
      <c r="FN755" s="62"/>
      <c r="FO755" s="62"/>
      <c r="FP755" s="62"/>
      <c r="FQ755" s="62"/>
      <c r="FR755" s="62"/>
      <c r="FS755" s="62"/>
      <c r="FT755" s="62"/>
      <c r="FU755" s="62"/>
      <c r="FV755" s="62"/>
    </row>
    <row r="756" spans="1:178" ht="13.8">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62"/>
      <c r="AZ756" s="62"/>
      <c r="BA756" s="62"/>
      <c r="BB756" s="62"/>
      <c r="BC756" s="62"/>
      <c r="BD756" s="62"/>
      <c r="BE756" s="62"/>
      <c r="BF756" s="62"/>
      <c r="BG756" s="62"/>
      <c r="BH756" s="62"/>
      <c r="BI756" s="62"/>
      <c r="BJ756" s="62"/>
      <c r="BK756" s="62"/>
      <c r="BL756" s="62"/>
      <c r="BM756" s="62"/>
      <c r="BN756" s="62"/>
      <c r="BO756" s="62"/>
      <c r="BP756" s="62"/>
      <c r="BQ756" s="62"/>
      <c r="BR756" s="62"/>
      <c r="BS756" s="62"/>
      <c r="BT756" s="62"/>
      <c r="BU756" s="62"/>
      <c r="BV756" s="62"/>
      <c r="BW756" s="62"/>
      <c r="BX756" s="62"/>
      <c r="BY756" s="62"/>
      <c r="BZ756" s="62"/>
      <c r="CA756" s="62"/>
      <c r="CB756" s="62"/>
      <c r="CC756" s="62"/>
      <c r="CD756" s="62"/>
      <c r="CE756" s="62"/>
      <c r="CF756" s="62"/>
      <c r="CG756" s="62"/>
      <c r="CH756" s="62"/>
      <c r="CI756" s="62"/>
      <c r="CJ756" s="62"/>
      <c r="CK756" s="62"/>
      <c r="CL756" s="62"/>
      <c r="CM756" s="62"/>
      <c r="CN756" s="62"/>
      <c r="CO756" s="62"/>
      <c r="CP756" s="62"/>
      <c r="CQ756" s="62"/>
      <c r="CR756" s="62"/>
      <c r="CS756" s="62"/>
      <c r="CT756" s="62"/>
      <c r="CU756" s="62"/>
      <c r="CV756" s="62"/>
      <c r="CW756" s="62"/>
      <c r="CX756" s="62"/>
      <c r="CY756" s="62"/>
      <c r="CZ756" s="62"/>
      <c r="DA756" s="62"/>
      <c r="DB756" s="62"/>
      <c r="DC756" s="62"/>
      <c r="DD756" s="62"/>
      <c r="DE756" s="62"/>
      <c r="DF756" s="62"/>
      <c r="DG756" s="62"/>
      <c r="DH756" s="62"/>
      <c r="DI756" s="62"/>
      <c r="DJ756" s="62"/>
      <c r="DK756" s="62"/>
      <c r="DL756" s="62"/>
      <c r="DM756" s="62"/>
      <c r="DN756" s="62"/>
      <c r="DO756" s="62"/>
      <c r="DP756" s="62"/>
      <c r="DQ756" s="62"/>
      <c r="DR756" s="62"/>
      <c r="DS756" s="62"/>
      <c r="DT756" s="62"/>
      <c r="DU756" s="62"/>
      <c r="DV756" s="62"/>
      <c r="DW756" s="62"/>
      <c r="DX756" s="62"/>
      <c r="DY756" s="62"/>
      <c r="DZ756" s="62"/>
      <c r="EA756" s="62"/>
      <c r="EB756" s="62"/>
      <c r="EC756" s="62"/>
      <c r="ED756" s="62"/>
      <c r="EE756" s="62"/>
      <c r="EF756" s="62"/>
      <c r="EG756" s="62"/>
      <c r="EH756" s="62"/>
      <c r="EI756" s="62"/>
      <c r="EJ756" s="62"/>
      <c r="EK756" s="62"/>
      <c r="EL756" s="62"/>
      <c r="EM756" s="62"/>
      <c r="EN756" s="62"/>
      <c r="EO756" s="62"/>
      <c r="EP756" s="62"/>
      <c r="EQ756" s="62"/>
      <c r="ER756" s="62"/>
      <c r="ES756" s="62"/>
      <c r="ET756" s="62"/>
      <c r="EU756" s="62"/>
      <c r="EV756" s="62"/>
      <c r="EW756" s="62"/>
      <c r="EX756" s="62"/>
      <c r="EY756" s="62"/>
      <c r="EZ756" s="62"/>
      <c r="FA756" s="62"/>
      <c r="FB756" s="62"/>
      <c r="FC756" s="62"/>
      <c r="FD756" s="62"/>
      <c r="FE756" s="62"/>
      <c r="FF756" s="62"/>
      <c r="FG756" s="62"/>
      <c r="FH756" s="62"/>
      <c r="FI756" s="62"/>
      <c r="FJ756" s="62"/>
      <c r="FK756" s="62"/>
      <c r="FL756" s="62"/>
      <c r="FM756" s="62"/>
      <c r="FN756" s="62"/>
      <c r="FO756" s="62"/>
      <c r="FP756" s="62"/>
      <c r="FQ756" s="62"/>
      <c r="FR756" s="62"/>
      <c r="FS756" s="62"/>
      <c r="FT756" s="62"/>
      <c r="FU756" s="62"/>
      <c r="FV756" s="62"/>
    </row>
    <row r="757" spans="1:178" ht="13.8">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c r="AY757" s="62"/>
      <c r="AZ757" s="62"/>
      <c r="BA757" s="62"/>
      <c r="BB757" s="62"/>
      <c r="BC757" s="62"/>
      <c r="BD757" s="62"/>
      <c r="BE757" s="62"/>
      <c r="BF757" s="62"/>
      <c r="BG757" s="62"/>
      <c r="BH757" s="62"/>
      <c r="BI757" s="62"/>
      <c r="BJ757" s="62"/>
      <c r="BK757" s="62"/>
      <c r="BL757" s="62"/>
      <c r="BM757" s="62"/>
      <c r="BN757" s="62"/>
      <c r="BO757" s="62"/>
      <c r="BP757" s="62"/>
      <c r="BQ757" s="62"/>
      <c r="BR757" s="62"/>
      <c r="BS757" s="62"/>
      <c r="BT757" s="62"/>
      <c r="BU757" s="62"/>
      <c r="BV757" s="62"/>
      <c r="BW757" s="62"/>
      <c r="BX757" s="62"/>
      <c r="BY757" s="62"/>
      <c r="BZ757" s="62"/>
      <c r="CA757" s="62"/>
      <c r="CB757" s="62"/>
      <c r="CC757" s="62"/>
      <c r="CD757" s="62"/>
      <c r="CE757" s="62"/>
      <c r="CF757" s="62"/>
      <c r="CG757" s="62"/>
      <c r="CH757" s="62"/>
      <c r="CI757" s="62"/>
      <c r="CJ757" s="62"/>
      <c r="CK757" s="62"/>
      <c r="CL757" s="62"/>
      <c r="CM757" s="62"/>
      <c r="CN757" s="62"/>
      <c r="CO757" s="62"/>
      <c r="CP757" s="62"/>
      <c r="CQ757" s="62"/>
      <c r="CR757" s="62"/>
      <c r="CS757" s="62"/>
      <c r="CT757" s="62"/>
      <c r="CU757" s="62"/>
      <c r="CV757" s="62"/>
      <c r="CW757" s="62"/>
      <c r="CX757" s="62"/>
      <c r="CY757" s="62"/>
      <c r="CZ757" s="62"/>
      <c r="DA757" s="62"/>
      <c r="DB757" s="62"/>
      <c r="DC757" s="62"/>
      <c r="DD757" s="62"/>
      <c r="DE757" s="62"/>
      <c r="DF757" s="62"/>
      <c r="DG757" s="62"/>
      <c r="DH757" s="62"/>
      <c r="DI757" s="62"/>
      <c r="DJ757" s="62"/>
      <c r="DK757" s="62"/>
      <c r="DL757" s="62"/>
      <c r="DM757" s="62"/>
      <c r="DN757" s="62"/>
      <c r="DO757" s="62"/>
      <c r="DP757" s="62"/>
      <c r="DQ757" s="62"/>
      <c r="DR757" s="62"/>
      <c r="DS757" s="62"/>
      <c r="DT757" s="62"/>
      <c r="DU757" s="62"/>
      <c r="DV757" s="62"/>
      <c r="DW757" s="62"/>
      <c r="DX757" s="62"/>
      <c r="DY757" s="62"/>
      <c r="DZ757" s="62"/>
      <c r="EA757" s="62"/>
      <c r="EB757" s="62"/>
      <c r="EC757" s="62"/>
      <c r="ED757" s="62"/>
      <c r="EE757" s="62"/>
      <c r="EF757" s="62"/>
      <c r="EG757" s="62"/>
      <c r="EH757" s="62"/>
      <c r="EI757" s="62"/>
      <c r="EJ757" s="62"/>
      <c r="EK757" s="62"/>
      <c r="EL757" s="62"/>
      <c r="EM757" s="62"/>
      <c r="EN757" s="62"/>
      <c r="EO757" s="62"/>
      <c r="EP757" s="62"/>
      <c r="EQ757" s="62"/>
      <c r="ER757" s="62"/>
      <c r="ES757" s="62"/>
      <c r="ET757" s="62"/>
      <c r="EU757" s="62"/>
      <c r="EV757" s="62"/>
      <c r="EW757" s="62"/>
      <c r="EX757" s="62"/>
      <c r="EY757" s="62"/>
      <c r="EZ757" s="62"/>
      <c r="FA757" s="62"/>
      <c r="FB757" s="62"/>
      <c r="FC757" s="62"/>
      <c r="FD757" s="62"/>
      <c r="FE757" s="62"/>
      <c r="FF757" s="62"/>
      <c r="FG757" s="62"/>
      <c r="FH757" s="62"/>
      <c r="FI757" s="62"/>
      <c r="FJ757" s="62"/>
      <c r="FK757" s="62"/>
      <c r="FL757" s="62"/>
      <c r="FM757" s="62"/>
      <c r="FN757" s="62"/>
      <c r="FO757" s="62"/>
      <c r="FP757" s="62"/>
      <c r="FQ757" s="62"/>
      <c r="FR757" s="62"/>
      <c r="FS757" s="62"/>
      <c r="FT757" s="62"/>
      <c r="FU757" s="62"/>
      <c r="FV757" s="62"/>
    </row>
    <row r="758" spans="1:178" ht="13.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c r="AY758" s="62"/>
      <c r="AZ758" s="62"/>
      <c r="BA758" s="62"/>
      <c r="BB758" s="62"/>
      <c r="BC758" s="62"/>
      <c r="BD758" s="62"/>
      <c r="BE758" s="62"/>
      <c r="BF758" s="62"/>
      <c r="BG758" s="62"/>
      <c r="BH758" s="62"/>
      <c r="BI758" s="62"/>
      <c r="BJ758" s="62"/>
      <c r="BK758" s="62"/>
      <c r="BL758" s="62"/>
      <c r="BM758" s="62"/>
      <c r="BN758" s="62"/>
      <c r="BO758" s="62"/>
      <c r="BP758" s="62"/>
      <c r="BQ758" s="62"/>
      <c r="BR758" s="62"/>
      <c r="BS758" s="62"/>
      <c r="BT758" s="62"/>
      <c r="BU758" s="62"/>
      <c r="BV758" s="62"/>
      <c r="BW758" s="62"/>
      <c r="BX758" s="62"/>
      <c r="BY758" s="62"/>
      <c r="BZ758" s="62"/>
      <c r="CA758" s="62"/>
      <c r="CB758" s="62"/>
      <c r="CC758" s="62"/>
      <c r="CD758" s="62"/>
      <c r="CE758" s="62"/>
      <c r="CF758" s="62"/>
      <c r="CG758" s="62"/>
      <c r="CH758" s="62"/>
      <c r="CI758" s="62"/>
      <c r="CJ758" s="62"/>
      <c r="CK758" s="62"/>
      <c r="CL758" s="62"/>
      <c r="CM758" s="62"/>
      <c r="CN758" s="62"/>
      <c r="CO758" s="62"/>
      <c r="CP758" s="62"/>
      <c r="CQ758" s="62"/>
      <c r="CR758" s="62"/>
      <c r="CS758" s="62"/>
      <c r="CT758" s="62"/>
      <c r="CU758" s="62"/>
      <c r="CV758" s="62"/>
      <c r="CW758" s="62"/>
      <c r="CX758" s="62"/>
      <c r="CY758" s="62"/>
      <c r="CZ758" s="62"/>
      <c r="DA758" s="62"/>
      <c r="DB758" s="62"/>
      <c r="DC758" s="62"/>
      <c r="DD758" s="62"/>
      <c r="DE758" s="62"/>
      <c r="DF758" s="62"/>
      <c r="DG758" s="62"/>
      <c r="DH758" s="62"/>
      <c r="DI758" s="62"/>
      <c r="DJ758" s="62"/>
      <c r="DK758" s="62"/>
      <c r="DL758" s="62"/>
      <c r="DM758" s="62"/>
      <c r="DN758" s="62"/>
      <c r="DO758" s="62"/>
      <c r="DP758" s="62"/>
      <c r="DQ758" s="62"/>
      <c r="DR758" s="62"/>
      <c r="DS758" s="62"/>
      <c r="DT758" s="62"/>
      <c r="DU758" s="62"/>
      <c r="DV758" s="62"/>
      <c r="DW758" s="62"/>
      <c r="DX758" s="62"/>
      <c r="DY758" s="62"/>
      <c r="DZ758" s="62"/>
      <c r="EA758" s="62"/>
      <c r="EB758" s="62"/>
      <c r="EC758" s="62"/>
      <c r="ED758" s="62"/>
      <c r="EE758" s="62"/>
      <c r="EF758" s="62"/>
      <c r="EG758" s="62"/>
      <c r="EH758" s="62"/>
      <c r="EI758" s="62"/>
      <c r="EJ758" s="62"/>
      <c r="EK758" s="62"/>
      <c r="EL758" s="62"/>
      <c r="EM758" s="62"/>
      <c r="EN758" s="62"/>
      <c r="EO758" s="62"/>
      <c r="EP758" s="62"/>
      <c r="EQ758" s="62"/>
      <c r="ER758" s="62"/>
      <c r="ES758" s="62"/>
      <c r="ET758" s="62"/>
      <c r="EU758" s="62"/>
      <c r="EV758" s="62"/>
      <c r="EW758" s="62"/>
      <c r="EX758" s="62"/>
      <c r="EY758" s="62"/>
      <c r="EZ758" s="62"/>
      <c r="FA758" s="62"/>
      <c r="FB758" s="62"/>
      <c r="FC758" s="62"/>
      <c r="FD758" s="62"/>
      <c r="FE758" s="62"/>
      <c r="FF758" s="62"/>
      <c r="FG758" s="62"/>
      <c r="FH758" s="62"/>
      <c r="FI758" s="62"/>
      <c r="FJ758" s="62"/>
      <c r="FK758" s="62"/>
      <c r="FL758" s="62"/>
      <c r="FM758" s="62"/>
      <c r="FN758" s="62"/>
      <c r="FO758" s="62"/>
      <c r="FP758" s="62"/>
      <c r="FQ758" s="62"/>
      <c r="FR758" s="62"/>
      <c r="FS758" s="62"/>
      <c r="FT758" s="62"/>
      <c r="FU758" s="62"/>
      <c r="FV758" s="62"/>
    </row>
    <row r="759" spans="1:178" ht="13.8">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c r="AY759" s="62"/>
      <c r="AZ759" s="62"/>
      <c r="BA759" s="62"/>
      <c r="BB759" s="62"/>
      <c r="BC759" s="62"/>
      <c r="BD759" s="62"/>
      <c r="BE759" s="62"/>
      <c r="BF759" s="62"/>
      <c r="BG759" s="62"/>
      <c r="BH759" s="62"/>
      <c r="BI759" s="62"/>
      <c r="BJ759" s="62"/>
      <c r="BK759" s="62"/>
      <c r="BL759" s="62"/>
      <c r="BM759" s="62"/>
      <c r="BN759" s="62"/>
      <c r="BO759" s="62"/>
      <c r="BP759" s="62"/>
      <c r="BQ759" s="62"/>
      <c r="BR759" s="62"/>
      <c r="BS759" s="62"/>
      <c r="BT759" s="62"/>
      <c r="BU759" s="62"/>
      <c r="BV759" s="62"/>
      <c r="BW759" s="62"/>
      <c r="BX759" s="62"/>
      <c r="BY759" s="62"/>
      <c r="BZ759" s="62"/>
      <c r="CA759" s="62"/>
      <c r="CB759" s="62"/>
      <c r="CC759" s="62"/>
      <c r="CD759" s="62"/>
      <c r="CE759" s="62"/>
      <c r="CF759" s="62"/>
      <c r="CG759" s="62"/>
      <c r="CH759" s="62"/>
      <c r="CI759" s="62"/>
      <c r="CJ759" s="62"/>
      <c r="CK759" s="62"/>
      <c r="CL759" s="62"/>
      <c r="CM759" s="62"/>
      <c r="CN759" s="62"/>
      <c r="CO759" s="62"/>
      <c r="CP759" s="62"/>
      <c r="CQ759" s="62"/>
      <c r="CR759" s="62"/>
      <c r="CS759" s="62"/>
      <c r="CT759" s="62"/>
      <c r="CU759" s="62"/>
      <c r="CV759" s="62"/>
      <c r="CW759" s="62"/>
      <c r="CX759" s="62"/>
      <c r="CY759" s="62"/>
      <c r="CZ759" s="62"/>
      <c r="DA759" s="62"/>
      <c r="DB759" s="62"/>
      <c r="DC759" s="62"/>
      <c r="DD759" s="62"/>
      <c r="DE759" s="62"/>
      <c r="DF759" s="62"/>
      <c r="DG759" s="62"/>
      <c r="DH759" s="62"/>
      <c r="DI759" s="62"/>
      <c r="DJ759" s="62"/>
      <c r="DK759" s="62"/>
      <c r="DL759" s="62"/>
      <c r="DM759" s="62"/>
      <c r="DN759" s="62"/>
      <c r="DO759" s="62"/>
      <c r="DP759" s="62"/>
      <c r="DQ759" s="62"/>
      <c r="DR759" s="62"/>
      <c r="DS759" s="62"/>
      <c r="DT759" s="62"/>
      <c r="DU759" s="62"/>
      <c r="DV759" s="62"/>
      <c r="DW759" s="62"/>
      <c r="DX759" s="62"/>
      <c r="DY759" s="62"/>
      <c r="DZ759" s="62"/>
      <c r="EA759" s="62"/>
      <c r="EB759" s="62"/>
      <c r="EC759" s="62"/>
      <c r="ED759" s="62"/>
      <c r="EE759" s="62"/>
      <c r="EF759" s="62"/>
      <c r="EG759" s="62"/>
      <c r="EH759" s="62"/>
      <c r="EI759" s="62"/>
      <c r="EJ759" s="62"/>
      <c r="EK759" s="62"/>
      <c r="EL759" s="62"/>
      <c r="EM759" s="62"/>
      <c r="EN759" s="62"/>
      <c r="EO759" s="62"/>
      <c r="EP759" s="62"/>
      <c r="EQ759" s="62"/>
      <c r="ER759" s="62"/>
      <c r="ES759" s="62"/>
      <c r="ET759" s="62"/>
      <c r="EU759" s="62"/>
      <c r="EV759" s="62"/>
      <c r="EW759" s="62"/>
      <c r="EX759" s="62"/>
      <c r="EY759" s="62"/>
      <c r="EZ759" s="62"/>
      <c r="FA759" s="62"/>
      <c r="FB759" s="62"/>
      <c r="FC759" s="62"/>
      <c r="FD759" s="62"/>
      <c r="FE759" s="62"/>
      <c r="FF759" s="62"/>
      <c r="FG759" s="62"/>
      <c r="FH759" s="62"/>
      <c r="FI759" s="62"/>
      <c r="FJ759" s="62"/>
      <c r="FK759" s="62"/>
      <c r="FL759" s="62"/>
      <c r="FM759" s="62"/>
      <c r="FN759" s="62"/>
      <c r="FO759" s="62"/>
      <c r="FP759" s="62"/>
      <c r="FQ759" s="62"/>
      <c r="FR759" s="62"/>
      <c r="FS759" s="62"/>
      <c r="FT759" s="62"/>
      <c r="FU759" s="62"/>
      <c r="FV759" s="62"/>
    </row>
    <row r="760" spans="1:178" ht="13.8">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c r="AY760" s="62"/>
      <c r="AZ760" s="62"/>
      <c r="BA760" s="62"/>
      <c r="BB760" s="62"/>
      <c r="BC760" s="62"/>
      <c r="BD760" s="62"/>
      <c r="BE760" s="62"/>
      <c r="BF760" s="62"/>
      <c r="BG760" s="62"/>
      <c r="BH760" s="62"/>
      <c r="BI760" s="62"/>
      <c r="BJ760" s="62"/>
      <c r="BK760" s="62"/>
      <c r="BL760" s="62"/>
      <c r="BM760" s="62"/>
      <c r="BN760" s="62"/>
      <c r="BO760" s="62"/>
      <c r="BP760" s="62"/>
      <c r="BQ760" s="62"/>
      <c r="BR760" s="62"/>
      <c r="BS760" s="62"/>
      <c r="BT760" s="62"/>
      <c r="BU760" s="62"/>
      <c r="BV760" s="62"/>
      <c r="BW760" s="62"/>
      <c r="BX760" s="62"/>
      <c r="BY760" s="62"/>
      <c r="BZ760" s="62"/>
      <c r="CA760" s="62"/>
      <c r="CB760" s="62"/>
      <c r="CC760" s="62"/>
      <c r="CD760" s="62"/>
      <c r="CE760" s="62"/>
      <c r="CF760" s="62"/>
      <c r="CG760" s="62"/>
      <c r="CH760" s="62"/>
      <c r="CI760" s="62"/>
      <c r="CJ760" s="62"/>
      <c r="CK760" s="62"/>
      <c r="CL760" s="62"/>
      <c r="CM760" s="62"/>
      <c r="CN760" s="62"/>
      <c r="CO760" s="62"/>
      <c r="CP760" s="62"/>
      <c r="CQ760" s="62"/>
      <c r="CR760" s="62"/>
      <c r="CS760" s="62"/>
      <c r="CT760" s="62"/>
      <c r="CU760" s="62"/>
      <c r="CV760" s="62"/>
      <c r="CW760" s="62"/>
      <c r="CX760" s="62"/>
      <c r="CY760" s="62"/>
      <c r="CZ760" s="62"/>
      <c r="DA760" s="62"/>
      <c r="DB760" s="62"/>
      <c r="DC760" s="62"/>
      <c r="DD760" s="62"/>
      <c r="DE760" s="62"/>
      <c r="DF760" s="62"/>
      <c r="DG760" s="62"/>
      <c r="DH760" s="62"/>
      <c r="DI760" s="62"/>
      <c r="DJ760" s="62"/>
      <c r="DK760" s="62"/>
      <c r="DL760" s="62"/>
      <c r="DM760" s="62"/>
      <c r="DN760" s="62"/>
      <c r="DO760" s="62"/>
      <c r="DP760" s="62"/>
      <c r="DQ760" s="62"/>
      <c r="DR760" s="62"/>
      <c r="DS760" s="62"/>
      <c r="DT760" s="62"/>
      <c r="DU760" s="62"/>
      <c r="DV760" s="62"/>
      <c r="DW760" s="62"/>
      <c r="DX760" s="62"/>
      <c r="DY760" s="62"/>
      <c r="DZ760" s="62"/>
      <c r="EA760" s="62"/>
      <c r="EB760" s="62"/>
      <c r="EC760" s="62"/>
      <c r="ED760" s="62"/>
      <c r="EE760" s="62"/>
      <c r="EF760" s="62"/>
      <c r="EG760" s="62"/>
      <c r="EH760" s="62"/>
      <c r="EI760" s="62"/>
      <c r="EJ760" s="62"/>
      <c r="EK760" s="62"/>
      <c r="EL760" s="62"/>
      <c r="EM760" s="62"/>
      <c r="EN760" s="62"/>
      <c r="EO760" s="62"/>
      <c r="EP760" s="62"/>
      <c r="EQ760" s="62"/>
      <c r="ER760" s="62"/>
      <c r="ES760" s="62"/>
      <c r="ET760" s="62"/>
      <c r="EU760" s="62"/>
      <c r="EV760" s="62"/>
      <c r="EW760" s="62"/>
      <c r="EX760" s="62"/>
      <c r="EY760" s="62"/>
      <c r="EZ760" s="62"/>
      <c r="FA760" s="62"/>
      <c r="FB760" s="62"/>
      <c r="FC760" s="62"/>
      <c r="FD760" s="62"/>
      <c r="FE760" s="62"/>
      <c r="FF760" s="62"/>
      <c r="FG760" s="62"/>
      <c r="FH760" s="62"/>
      <c r="FI760" s="62"/>
      <c r="FJ760" s="62"/>
      <c r="FK760" s="62"/>
      <c r="FL760" s="62"/>
      <c r="FM760" s="62"/>
      <c r="FN760" s="62"/>
      <c r="FO760" s="62"/>
      <c r="FP760" s="62"/>
      <c r="FQ760" s="62"/>
      <c r="FR760" s="62"/>
      <c r="FS760" s="62"/>
      <c r="FT760" s="62"/>
      <c r="FU760" s="62"/>
      <c r="FV760" s="62"/>
    </row>
    <row r="761" spans="1:178" ht="13.8">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c r="AY761" s="62"/>
      <c r="AZ761" s="62"/>
      <c r="BA761" s="62"/>
      <c r="BB761" s="62"/>
      <c r="BC761" s="62"/>
      <c r="BD761" s="62"/>
      <c r="BE761" s="62"/>
      <c r="BF761" s="62"/>
      <c r="BG761" s="62"/>
      <c r="BH761" s="62"/>
      <c r="BI761" s="62"/>
      <c r="BJ761" s="62"/>
      <c r="BK761" s="62"/>
      <c r="BL761" s="62"/>
      <c r="BM761" s="62"/>
      <c r="BN761" s="62"/>
      <c r="BO761" s="62"/>
      <c r="BP761" s="62"/>
      <c r="BQ761" s="62"/>
      <c r="BR761" s="62"/>
      <c r="BS761" s="62"/>
      <c r="BT761" s="62"/>
      <c r="BU761" s="62"/>
      <c r="BV761" s="62"/>
      <c r="BW761" s="62"/>
      <c r="BX761" s="62"/>
      <c r="BY761" s="62"/>
      <c r="BZ761" s="62"/>
      <c r="CA761" s="62"/>
      <c r="CB761" s="62"/>
      <c r="CC761" s="62"/>
      <c r="CD761" s="62"/>
      <c r="CE761" s="62"/>
      <c r="CF761" s="62"/>
      <c r="CG761" s="62"/>
      <c r="CH761" s="62"/>
      <c r="CI761" s="62"/>
      <c r="CJ761" s="62"/>
      <c r="CK761" s="62"/>
      <c r="CL761" s="62"/>
      <c r="CM761" s="62"/>
      <c r="CN761" s="62"/>
      <c r="CO761" s="62"/>
      <c r="CP761" s="62"/>
      <c r="CQ761" s="62"/>
      <c r="CR761" s="62"/>
      <c r="CS761" s="62"/>
      <c r="CT761" s="62"/>
      <c r="CU761" s="62"/>
      <c r="CV761" s="62"/>
      <c r="CW761" s="62"/>
      <c r="CX761" s="62"/>
      <c r="CY761" s="62"/>
      <c r="CZ761" s="62"/>
      <c r="DA761" s="62"/>
      <c r="DB761" s="62"/>
      <c r="DC761" s="62"/>
      <c r="DD761" s="62"/>
      <c r="DE761" s="62"/>
      <c r="DF761" s="62"/>
      <c r="DG761" s="62"/>
      <c r="DH761" s="62"/>
      <c r="DI761" s="62"/>
      <c r="DJ761" s="62"/>
      <c r="DK761" s="62"/>
      <c r="DL761" s="62"/>
      <c r="DM761" s="62"/>
      <c r="DN761" s="62"/>
      <c r="DO761" s="62"/>
      <c r="DP761" s="62"/>
      <c r="DQ761" s="62"/>
      <c r="DR761" s="62"/>
      <c r="DS761" s="62"/>
      <c r="DT761" s="62"/>
      <c r="DU761" s="62"/>
      <c r="DV761" s="62"/>
      <c r="DW761" s="62"/>
      <c r="DX761" s="62"/>
      <c r="DY761" s="62"/>
      <c r="DZ761" s="62"/>
      <c r="EA761" s="62"/>
      <c r="EB761" s="62"/>
      <c r="EC761" s="62"/>
      <c r="ED761" s="62"/>
      <c r="EE761" s="62"/>
      <c r="EF761" s="62"/>
      <c r="EG761" s="62"/>
      <c r="EH761" s="62"/>
      <c r="EI761" s="62"/>
      <c r="EJ761" s="62"/>
      <c r="EK761" s="62"/>
      <c r="EL761" s="62"/>
      <c r="EM761" s="62"/>
      <c r="EN761" s="62"/>
      <c r="EO761" s="62"/>
      <c r="EP761" s="62"/>
      <c r="EQ761" s="62"/>
      <c r="ER761" s="62"/>
      <c r="ES761" s="62"/>
      <c r="ET761" s="62"/>
      <c r="EU761" s="62"/>
      <c r="EV761" s="62"/>
      <c r="EW761" s="62"/>
      <c r="EX761" s="62"/>
      <c r="EY761" s="62"/>
      <c r="EZ761" s="62"/>
      <c r="FA761" s="62"/>
      <c r="FB761" s="62"/>
      <c r="FC761" s="62"/>
      <c r="FD761" s="62"/>
      <c r="FE761" s="62"/>
      <c r="FF761" s="62"/>
      <c r="FG761" s="62"/>
      <c r="FH761" s="62"/>
      <c r="FI761" s="62"/>
      <c r="FJ761" s="62"/>
      <c r="FK761" s="62"/>
      <c r="FL761" s="62"/>
      <c r="FM761" s="62"/>
      <c r="FN761" s="62"/>
      <c r="FO761" s="62"/>
      <c r="FP761" s="62"/>
      <c r="FQ761" s="62"/>
      <c r="FR761" s="62"/>
      <c r="FS761" s="62"/>
      <c r="FT761" s="62"/>
      <c r="FU761" s="62"/>
      <c r="FV761" s="62"/>
    </row>
    <row r="762" spans="1:178" ht="13.8">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c r="AY762" s="62"/>
      <c r="AZ762" s="62"/>
      <c r="BA762" s="62"/>
      <c r="BB762" s="62"/>
      <c r="BC762" s="62"/>
      <c r="BD762" s="62"/>
      <c r="BE762" s="62"/>
      <c r="BF762" s="62"/>
      <c r="BG762" s="62"/>
      <c r="BH762" s="62"/>
      <c r="BI762" s="62"/>
      <c r="BJ762" s="62"/>
      <c r="BK762" s="62"/>
      <c r="BL762" s="62"/>
      <c r="BM762" s="62"/>
      <c r="BN762" s="62"/>
      <c r="BO762" s="62"/>
      <c r="BP762" s="62"/>
      <c r="BQ762" s="62"/>
      <c r="BR762" s="62"/>
      <c r="BS762" s="62"/>
      <c r="BT762" s="62"/>
      <c r="BU762" s="62"/>
      <c r="BV762" s="62"/>
      <c r="BW762" s="62"/>
      <c r="BX762" s="62"/>
      <c r="BY762" s="62"/>
      <c r="BZ762" s="62"/>
      <c r="CA762" s="62"/>
      <c r="CB762" s="62"/>
      <c r="CC762" s="62"/>
      <c r="CD762" s="62"/>
      <c r="CE762" s="62"/>
      <c r="CF762" s="62"/>
      <c r="CG762" s="62"/>
      <c r="CH762" s="62"/>
      <c r="CI762" s="62"/>
      <c r="CJ762" s="62"/>
      <c r="CK762" s="62"/>
      <c r="CL762" s="62"/>
      <c r="CM762" s="62"/>
      <c r="CN762" s="62"/>
      <c r="CO762" s="62"/>
      <c r="CP762" s="62"/>
      <c r="CQ762" s="62"/>
      <c r="CR762" s="62"/>
      <c r="CS762" s="62"/>
      <c r="CT762" s="62"/>
      <c r="CU762" s="62"/>
      <c r="CV762" s="62"/>
      <c r="CW762" s="62"/>
      <c r="CX762" s="62"/>
      <c r="CY762" s="62"/>
      <c r="CZ762" s="62"/>
      <c r="DA762" s="62"/>
      <c r="DB762" s="62"/>
      <c r="DC762" s="62"/>
      <c r="DD762" s="62"/>
      <c r="DE762" s="62"/>
      <c r="DF762" s="62"/>
      <c r="DG762" s="62"/>
      <c r="DH762" s="62"/>
      <c r="DI762" s="62"/>
      <c r="DJ762" s="62"/>
      <c r="DK762" s="62"/>
      <c r="DL762" s="62"/>
      <c r="DM762" s="62"/>
      <c r="DN762" s="62"/>
      <c r="DO762" s="62"/>
      <c r="DP762" s="62"/>
      <c r="DQ762" s="62"/>
      <c r="DR762" s="62"/>
      <c r="DS762" s="62"/>
      <c r="DT762" s="62"/>
      <c r="DU762" s="62"/>
      <c r="DV762" s="62"/>
      <c r="DW762" s="62"/>
      <c r="DX762" s="62"/>
      <c r="DY762" s="62"/>
      <c r="DZ762" s="62"/>
      <c r="EA762" s="62"/>
      <c r="EB762" s="62"/>
      <c r="EC762" s="62"/>
      <c r="ED762" s="62"/>
      <c r="EE762" s="62"/>
      <c r="EF762" s="62"/>
      <c r="EG762" s="62"/>
      <c r="EH762" s="62"/>
      <c r="EI762" s="62"/>
      <c r="EJ762" s="62"/>
      <c r="EK762" s="62"/>
      <c r="EL762" s="62"/>
      <c r="EM762" s="62"/>
      <c r="EN762" s="62"/>
      <c r="EO762" s="62"/>
      <c r="EP762" s="62"/>
      <c r="EQ762" s="62"/>
      <c r="ER762" s="62"/>
      <c r="ES762" s="62"/>
      <c r="ET762" s="62"/>
      <c r="EU762" s="62"/>
      <c r="EV762" s="62"/>
      <c r="EW762" s="62"/>
      <c r="EX762" s="62"/>
      <c r="EY762" s="62"/>
      <c r="EZ762" s="62"/>
      <c r="FA762" s="62"/>
      <c r="FB762" s="62"/>
      <c r="FC762" s="62"/>
      <c r="FD762" s="62"/>
      <c r="FE762" s="62"/>
      <c r="FF762" s="62"/>
      <c r="FG762" s="62"/>
      <c r="FH762" s="62"/>
      <c r="FI762" s="62"/>
      <c r="FJ762" s="62"/>
      <c r="FK762" s="62"/>
      <c r="FL762" s="62"/>
      <c r="FM762" s="62"/>
      <c r="FN762" s="62"/>
      <c r="FO762" s="62"/>
      <c r="FP762" s="62"/>
      <c r="FQ762" s="62"/>
      <c r="FR762" s="62"/>
      <c r="FS762" s="62"/>
      <c r="FT762" s="62"/>
      <c r="FU762" s="62"/>
      <c r="FV762" s="62"/>
    </row>
    <row r="763" spans="1:178" ht="13.8">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c r="AY763" s="62"/>
      <c r="AZ763" s="62"/>
      <c r="BA763" s="62"/>
      <c r="BB763" s="62"/>
      <c r="BC763" s="62"/>
      <c r="BD763" s="62"/>
      <c r="BE763" s="62"/>
      <c r="BF763" s="62"/>
      <c r="BG763" s="62"/>
      <c r="BH763" s="62"/>
      <c r="BI763" s="62"/>
      <c r="BJ763" s="62"/>
      <c r="BK763" s="62"/>
      <c r="BL763" s="62"/>
      <c r="BM763" s="62"/>
      <c r="BN763" s="62"/>
      <c r="BO763" s="62"/>
      <c r="BP763" s="62"/>
      <c r="BQ763" s="62"/>
      <c r="BR763" s="62"/>
      <c r="BS763" s="62"/>
      <c r="BT763" s="62"/>
      <c r="BU763" s="62"/>
      <c r="BV763" s="62"/>
      <c r="BW763" s="62"/>
      <c r="BX763" s="62"/>
      <c r="BY763" s="62"/>
      <c r="BZ763" s="62"/>
      <c r="CA763" s="62"/>
      <c r="CB763" s="62"/>
      <c r="CC763" s="62"/>
      <c r="CD763" s="62"/>
      <c r="CE763" s="62"/>
      <c r="CF763" s="62"/>
      <c r="CG763" s="62"/>
      <c r="CH763" s="62"/>
      <c r="CI763" s="62"/>
      <c r="CJ763" s="62"/>
      <c r="CK763" s="62"/>
      <c r="CL763" s="62"/>
      <c r="CM763" s="62"/>
      <c r="CN763" s="62"/>
      <c r="CO763" s="62"/>
      <c r="CP763" s="62"/>
      <c r="CQ763" s="62"/>
      <c r="CR763" s="62"/>
      <c r="CS763" s="62"/>
      <c r="CT763" s="62"/>
      <c r="CU763" s="62"/>
      <c r="CV763" s="62"/>
      <c r="CW763" s="62"/>
      <c r="CX763" s="62"/>
      <c r="CY763" s="62"/>
      <c r="CZ763" s="62"/>
      <c r="DA763" s="62"/>
      <c r="DB763" s="62"/>
      <c r="DC763" s="62"/>
      <c r="DD763" s="62"/>
      <c r="DE763" s="62"/>
      <c r="DF763" s="62"/>
      <c r="DG763" s="62"/>
      <c r="DH763" s="62"/>
      <c r="DI763" s="62"/>
      <c r="DJ763" s="62"/>
      <c r="DK763" s="62"/>
      <c r="DL763" s="62"/>
      <c r="DM763" s="62"/>
      <c r="DN763" s="62"/>
      <c r="DO763" s="62"/>
      <c r="DP763" s="62"/>
      <c r="DQ763" s="62"/>
      <c r="DR763" s="62"/>
      <c r="DS763" s="62"/>
      <c r="DT763" s="62"/>
      <c r="DU763" s="62"/>
      <c r="DV763" s="62"/>
      <c r="DW763" s="62"/>
      <c r="DX763" s="62"/>
      <c r="DY763" s="62"/>
      <c r="DZ763" s="62"/>
      <c r="EA763" s="62"/>
      <c r="EB763" s="62"/>
      <c r="EC763" s="62"/>
      <c r="ED763" s="62"/>
      <c r="EE763" s="62"/>
      <c r="EF763" s="62"/>
      <c r="EG763" s="62"/>
      <c r="EH763" s="62"/>
      <c r="EI763" s="62"/>
      <c r="EJ763" s="62"/>
      <c r="EK763" s="62"/>
      <c r="EL763" s="62"/>
      <c r="EM763" s="62"/>
      <c r="EN763" s="62"/>
      <c r="EO763" s="62"/>
      <c r="EP763" s="62"/>
      <c r="EQ763" s="62"/>
      <c r="ER763" s="62"/>
      <c r="ES763" s="62"/>
      <c r="ET763" s="62"/>
      <c r="EU763" s="62"/>
      <c r="EV763" s="62"/>
      <c r="EW763" s="62"/>
      <c r="EX763" s="62"/>
      <c r="EY763" s="62"/>
      <c r="EZ763" s="62"/>
      <c r="FA763" s="62"/>
      <c r="FB763" s="62"/>
      <c r="FC763" s="62"/>
      <c r="FD763" s="62"/>
      <c r="FE763" s="62"/>
      <c r="FF763" s="62"/>
      <c r="FG763" s="62"/>
      <c r="FH763" s="62"/>
      <c r="FI763" s="62"/>
      <c r="FJ763" s="62"/>
      <c r="FK763" s="62"/>
      <c r="FL763" s="62"/>
      <c r="FM763" s="62"/>
      <c r="FN763" s="62"/>
      <c r="FO763" s="62"/>
      <c r="FP763" s="62"/>
      <c r="FQ763" s="62"/>
      <c r="FR763" s="62"/>
      <c r="FS763" s="62"/>
      <c r="FT763" s="62"/>
      <c r="FU763" s="62"/>
      <c r="FV763" s="62"/>
    </row>
    <row r="764" spans="1:178" ht="13.8">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c r="AY764" s="62"/>
      <c r="AZ764" s="62"/>
      <c r="BA764" s="62"/>
      <c r="BB764" s="62"/>
      <c r="BC764" s="62"/>
      <c r="BD764" s="62"/>
      <c r="BE764" s="62"/>
      <c r="BF764" s="62"/>
      <c r="BG764" s="62"/>
      <c r="BH764" s="62"/>
      <c r="BI764" s="62"/>
      <c r="BJ764" s="62"/>
      <c r="BK764" s="62"/>
      <c r="BL764" s="62"/>
      <c r="BM764" s="62"/>
      <c r="BN764" s="62"/>
      <c r="BO764" s="62"/>
      <c r="BP764" s="62"/>
      <c r="BQ764" s="62"/>
      <c r="BR764" s="62"/>
      <c r="BS764" s="62"/>
      <c r="BT764" s="62"/>
      <c r="BU764" s="62"/>
      <c r="BV764" s="62"/>
      <c r="BW764" s="62"/>
      <c r="BX764" s="62"/>
      <c r="BY764" s="62"/>
      <c r="BZ764" s="62"/>
      <c r="CA764" s="62"/>
      <c r="CB764" s="62"/>
      <c r="CC764" s="62"/>
      <c r="CD764" s="62"/>
      <c r="CE764" s="62"/>
      <c r="CF764" s="62"/>
      <c r="CG764" s="62"/>
      <c r="CH764" s="62"/>
      <c r="CI764" s="62"/>
      <c r="CJ764" s="62"/>
      <c r="CK764" s="62"/>
      <c r="CL764" s="62"/>
      <c r="CM764" s="62"/>
      <c r="CN764" s="62"/>
      <c r="CO764" s="62"/>
      <c r="CP764" s="62"/>
      <c r="CQ764" s="62"/>
      <c r="CR764" s="62"/>
      <c r="CS764" s="62"/>
      <c r="CT764" s="62"/>
      <c r="CU764" s="62"/>
      <c r="CV764" s="62"/>
      <c r="CW764" s="62"/>
      <c r="CX764" s="62"/>
      <c r="CY764" s="62"/>
      <c r="CZ764" s="62"/>
      <c r="DA764" s="62"/>
      <c r="DB764" s="62"/>
      <c r="DC764" s="62"/>
      <c r="DD764" s="62"/>
      <c r="DE764" s="62"/>
      <c r="DF764" s="62"/>
      <c r="DG764" s="62"/>
      <c r="DH764" s="62"/>
      <c r="DI764" s="62"/>
      <c r="DJ764" s="62"/>
      <c r="DK764" s="62"/>
      <c r="DL764" s="62"/>
      <c r="DM764" s="62"/>
      <c r="DN764" s="62"/>
      <c r="DO764" s="62"/>
      <c r="DP764" s="62"/>
      <c r="DQ764" s="62"/>
      <c r="DR764" s="62"/>
      <c r="DS764" s="62"/>
      <c r="DT764" s="62"/>
      <c r="DU764" s="62"/>
      <c r="DV764" s="62"/>
      <c r="DW764" s="62"/>
      <c r="DX764" s="62"/>
      <c r="DY764" s="62"/>
      <c r="DZ764" s="62"/>
      <c r="EA764" s="62"/>
      <c r="EB764" s="62"/>
      <c r="EC764" s="62"/>
      <c r="ED764" s="62"/>
      <c r="EE764" s="62"/>
      <c r="EF764" s="62"/>
      <c r="EG764" s="62"/>
      <c r="EH764" s="62"/>
      <c r="EI764" s="62"/>
      <c r="EJ764" s="62"/>
      <c r="EK764" s="62"/>
      <c r="EL764" s="62"/>
      <c r="EM764" s="62"/>
      <c r="EN764" s="62"/>
      <c r="EO764" s="62"/>
      <c r="EP764" s="62"/>
      <c r="EQ764" s="62"/>
      <c r="ER764" s="62"/>
      <c r="ES764" s="62"/>
      <c r="ET764" s="62"/>
      <c r="EU764" s="62"/>
      <c r="EV764" s="62"/>
      <c r="EW764" s="62"/>
      <c r="EX764" s="62"/>
      <c r="EY764" s="62"/>
      <c r="EZ764" s="62"/>
      <c r="FA764" s="62"/>
      <c r="FB764" s="62"/>
      <c r="FC764" s="62"/>
      <c r="FD764" s="62"/>
      <c r="FE764" s="62"/>
      <c r="FF764" s="62"/>
      <c r="FG764" s="62"/>
      <c r="FH764" s="62"/>
      <c r="FI764" s="62"/>
      <c r="FJ764" s="62"/>
      <c r="FK764" s="62"/>
      <c r="FL764" s="62"/>
      <c r="FM764" s="62"/>
      <c r="FN764" s="62"/>
      <c r="FO764" s="62"/>
      <c r="FP764" s="62"/>
      <c r="FQ764" s="62"/>
      <c r="FR764" s="62"/>
      <c r="FS764" s="62"/>
      <c r="FT764" s="62"/>
      <c r="FU764" s="62"/>
      <c r="FV764" s="62"/>
    </row>
    <row r="765" spans="1:178" ht="13.8">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c r="AY765" s="62"/>
      <c r="AZ765" s="62"/>
      <c r="BA765" s="62"/>
      <c r="BB765" s="62"/>
      <c r="BC765" s="62"/>
      <c r="BD765" s="62"/>
      <c r="BE765" s="62"/>
      <c r="BF765" s="62"/>
      <c r="BG765" s="62"/>
      <c r="BH765" s="62"/>
      <c r="BI765" s="62"/>
      <c r="BJ765" s="62"/>
      <c r="BK765" s="62"/>
      <c r="BL765" s="62"/>
      <c r="BM765" s="62"/>
      <c r="BN765" s="62"/>
      <c r="BO765" s="62"/>
      <c r="BP765" s="62"/>
      <c r="BQ765" s="62"/>
      <c r="BR765" s="62"/>
      <c r="BS765" s="62"/>
      <c r="BT765" s="62"/>
      <c r="BU765" s="62"/>
      <c r="BV765" s="62"/>
      <c r="BW765" s="62"/>
      <c r="BX765" s="62"/>
      <c r="BY765" s="62"/>
      <c r="BZ765" s="62"/>
      <c r="CA765" s="62"/>
      <c r="CB765" s="62"/>
      <c r="CC765" s="62"/>
      <c r="CD765" s="62"/>
      <c r="CE765" s="62"/>
      <c r="CF765" s="62"/>
      <c r="CG765" s="62"/>
      <c r="CH765" s="62"/>
      <c r="CI765" s="62"/>
      <c r="CJ765" s="62"/>
      <c r="CK765" s="62"/>
      <c r="CL765" s="62"/>
      <c r="CM765" s="62"/>
      <c r="CN765" s="62"/>
      <c r="CO765" s="62"/>
      <c r="CP765" s="62"/>
      <c r="CQ765" s="62"/>
      <c r="CR765" s="62"/>
      <c r="CS765" s="62"/>
      <c r="CT765" s="62"/>
      <c r="CU765" s="62"/>
      <c r="CV765" s="62"/>
      <c r="CW765" s="62"/>
      <c r="CX765" s="62"/>
      <c r="CY765" s="62"/>
      <c r="CZ765" s="62"/>
      <c r="DA765" s="62"/>
      <c r="DB765" s="62"/>
      <c r="DC765" s="62"/>
      <c r="DD765" s="62"/>
      <c r="DE765" s="62"/>
      <c r="DF765" s="62"/>
      <c r="DG765" s="62"/>
      <c r="DH765" s="62"/>
      <c r="DI765" s="62"/>
      <c r="DJ765" s="62"/>
      <c r="DK765" s="62"/>
      <c r="DL765" s="62"/>
      <c r="DM765" s="62"/>
      <c r="DN765" s="62"/>
      <c r="DO765" s="62"/>
      <c r="DP765" s="62"/>
      <c r="DQ765" s="62"/>
      <c r="DR765" s="62"/>
      <c r="DS765" s="62"/>
      <c r="DT765" s="62"/>
      <c r="DU765" s="62"/>
      <c r="DV765" s="62"/>
      <c r="DW765" s="62"/>
      <c r="DX765" s="62"/>
      <c r="DY765" s="62"/>
      <c r="DZ765" s="62"/>
      <c r="EA765" s="62"/>
      <c r="EB765" s="62"/>
      <c r="EC765" s="62"/>
      <c r="ED765" s="62"/>
      <c r="EE765" s="62"/>
      <c r="EF765" s="62"/>
      <c r="EG765" s="62"/>
      <c r="EH765" s="62"/>
      <c r="EI765" s="62"/>
      <c r="EJ765" s="62"/>
      <c r="EK765" s="62"/>
      <c r="EL765" s="62"/>
      <c r="EM765" s="62"/>
      <c r="EN765" s="62"/>
      <c r="EO765" s="62"/>
      <c r="EP765" s="62"/>
      <c r="EQ765" s="62"/>
      <c r="ER765" s="62"/>
      <c r="ES765" s="62"/>
      <c r="ET765" s="62"/>
      <c r="EU765" s="62"/>
      <c r="EV765" s="62"/>
      <c r="EW765" s="62"/>
      <c r="EX765" s="62"/>
      <c r="EY765" s="62"/>
      <c r="EZ765" s="62"/>
      <c r="FA765" s="62"/>
      <c r="FB765" s="62"/>
      <c r="FC765" s="62"/>
      <c r="FD765" s="62"/>
      <c r="FE765" s="62"/>
      <c r="FF765" s="62"/>
      <c r="FG765" s="62"/>
      <c r="FH765" s="62"/>
      <c r="FI765" s="62"/>
      <c r="FJ765" s="62"/>
      <c r="FK765" s="62"/>
      <c r="FL765" s="62"/>
      <c r="FM765" s="62"/>
      <c r="FN765" s="62"/>
      <c r="FO765" s="62"/>
      <c r="FP765" s="62"/>
      <c r="FQ765" s="62"/>
      <c r="FR765" s="62"/>
      <c r="FS765" s="62"/>
      <c r="FT765" s="62"/>
      <c r="FU765" s="62"/>
      <c r="FV765" s="62"/>
    </row>
    <row r="766" spans="1:178" ht="13.8">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c r="AY766" s="62"/>
      <c r="AZ766" s="62"/>
      <c r="BA766" s="62"/>
      <c r="BB766" s="62"/>
      <c r="BC766" s="62"/>
      <c r="BD766" s="62"/>
      <c r="BE766" s="62"/>
      <c r="BF766" s="62"/>
      <c r="BG766" s="62"/>
      <c r="BH766" s="62"/>
      <c r="BI766" s="62"/>
      <c r="BJ766" s="62"/>
      <c r="BK766" s="62"/>
      <c r="BL766" s="62"/>
      <c r="BM766" s="62"/>
      <c r="BN766" s="62"/>
      <c r="BO766" s="62"/>
      <c r="BP766" s="62"/>
      <c r="BQ766" s="62"/>
      <c r="BR766" s="62"/>
      <c r="BS766" s="62"/>
      <c r="BT766" s="62"/>
      <c r="BU766" s="62"/>
      <c r="BV766" s="62"/>
      <c r="BW766" s="62"/>
      <c r="BX766" s="62"/>
      <c r="BY766" s="62"/>
      <c r="BZ766" s="62"/>
      <c r="CA766" s="62"/>
      <c r="CB766" s="62"/>
      <c r="CC766" s="62"/>
      <c r="CD766" s="62"/>
      <c r="CE766" s="62"/>
      <c r="CF766" s="62"/>
      <c r="CG766" s="62"/>
      <c r="CH766" s="62"/>
      <c r="CI766" s="62"/>
      <c r="CJ766" s="62"/>
      <c r="CK766" s="62"/>
      <c r="CL766" s="62"/>
      <c r="CM766" s="62"/>
      <c r="CN766" s="62"/>
      <c r="CO766" s="62"/>
      <c r="CP766" s="62"/>
      <c r="CQ766" s="62"/>
      <c r="CR766" s="62"/>
      <c r="CS766" s="62"/>
      <c r="CT766" s="62"/>
      <c r="CU766" s="62"/>
      <c r="CV766" s="62"/>
      <c r="CW766" s="62"/>
      <c r="CX766" s="62"/>
      <c r="CY766" s="62"/>
      <c r="CZ766" s="62"/>
      <c r="DA766" s="62"/>
      <c r="DB766" s="62"/>
      <c r="DC766" s="62"/>
      <c r="DD766" s="62"/>
      <c r="DE766" s="62"/>
      <c r="DF766" s="62"/>
      <c r="DG766" s="62"/>
      <c r="DH766" s="62"/>
      <c r="DI766" s="62"/>
      <c r="DJ766" s="62"/>
      <c r="DK766" s="62"/>
      <c r="DL766" s="62"/>
      <c r="DM766" s="62"/>
      <c r="DN766" s="62"/>
      <c r="DO766" s="62"/>
      <c r="DP766" s="62"/>
      <c r="DQ766" s="62"/>
      <c r="DR766" s="62"/>
      <c r="DS766" s="62"/>
      <c r="DT766" s="62"/>
      <c r="DU766" s="62"/>
      <c r="DV766" s="62"/>
      <c r="DW766" s="62"/>
      <c r="DX766" s="62"/>
      <c r="DY766" s="62"/>
      <c r="DZ766" s="62"/>
      <c r="EA766" s="62"/>
      <c r="EB766" s="62"/>
      <c r="EC766" s="62"/>
      <c r="ED766" s="62"/>
      <c r="EE766" s="62"/>
      <c r="EF766" s="62"/>
      <c r="EG766" s="62"/>
      <c r="EH766" s="62"/>
      <c r="EI766" s="62"/>
      <c r="EJ766" s="62"/>
      <c r="EK766" s="62"/>
      <c r="EL766" s="62"/>
      <c r="EM766" s="62"/>
      <c r="EN766" s="62"/>
      <c r="EO766" s="62"/>
      <c r="EP766" s="62"/>
      <c r="EQ766" s="62"/>
      <c r="ER766" s="62"/>
      <c r="ES766" s="62"/>
      <c r="ET766" s="62"/>
      <c r="EU766" s="62"/>
      <c r="EV766" s="62"/>
      <c r="EW766" s="62"/>
      <c r="EX766" s="62"/>
      <c r="EY766" s="62"/>
      <c r="EZ766" s="62"/>
      <c r="FA766" s="62"/>
      <c r="FB766" s="62"/>
      <c r="FC766" s="62"/>
      <c r="FD766" s="62"/>
      <c r="FE766" s="62"/>
      <c r="FF766" s="62"/>
      <c r="FG766" s="62"/>
      <c r="FH766" s="62"/>
      <c r="FI766" s="62"/>
      <c r="FJ766" s="62"/>
      <c r="FK766" s="62"/>
      <c r="FL766" s="62"/>
      <c r="FM766" s="62"/>
      <c r="FN766" s="62"/>
      <c r="FO766" s="62"/>
      <c r="FP766" s="62"/>
      <c r="FQ766" s="62"/>
      <c r="FR766" s="62"/>
      <c r="FS766" s="62"/>
      <c r="FT766" s="62"/>
      <c r="FU766" s="62"/>
      <c r="FV766" s="62"/>
    </row>
    <row r="767" spans="1:178" ht="13.8">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c r="AY767" s="62"/>
      <c r="AZ767" s="62"/>
      <c r="BA767" s="62"/>
      <c r="BB767" s="62"/>
      <c r="BC767" s="62"/>
      <c r="BD767" s="62"/>
      <c r="BE767" s="62"/>
      <c r="BF767" s="62"/>
      <c r="BG767" s="62"/>
      <c r="BH767" s="62"/>
      <c r="BI767" s="62"/>
      <c r="BJ767" s="62"/>
      <c r="BK767" s="62"/>
      <c r="BL767" s="62"/>
      <c r="BM767" s="62"/>
      <c r="BN767" s="62"/>
      <c r="BO767" s="62"/>
      <c r="BP767" s="62"/>
      <c r="BQ767" s="62"/>
      <c r="BR767" s="62"/>
      <c r="BS767" s="62"/>
      <c r="BT767" s="62"/>
      <c r="BU767" s="62"/>
      <c r="BV767" s="62"/>
      <c r="BW767" s="62"/>
      <c r="BX767" s="62"/>
      <c r="BY767" s="62"/>
      <c r="BZ767" s="62"/>
      <c r="CA767" s="62"/>
      <c r="CB767" s="62"/>
      <c r="CC767" s="62"/>
      <c r="CD767" s="62"/>
      <c r="CE767" s="62"/>
      <c r="CF767" s="62"/>
      <c r="CG767" s="62"/>
      <c r="CH767" s="62"/>
      <c r="CI767" s="62"/>
      <c r="CJ767" s="62"/>
      <c r="CK767" s="62"/>
      <c r="CL767" s="62"/>
      <c r="CM767" s="62"/>
      <c r="CN767" s="62"/>
      <c r="CO767" s="62"/>
      <c r="CP767" s="62"/>
      <c r="CQ767" s="62"/>
      <c r="CR767" s="62"/>
      <c r="CS767" s="62"/>
      <c r="CT767" s="62"/>
      <c r="CU767" s="62"/>
      <c r="CV767" s="62"/>
      <c r="CW767" s="62"/>
      <c r="CX767" s="62"/>
      <c r="CY767" s="62"/>
      <c r="CZ767" s="62"/>
      <c r="DA767" s="62"/>
      <c r="DB767" s="62"/>
      <c r="DC767" s="62"/>
      <c r="DD767" s="62"/>
      <c r="DE767" s="62"/>
      <c r="DF767" s="62"/>
      <c r="DG767" s="62"/>
      <c r="DH767" s="62"/>
      <c r="DI767" s="62"/>
      <c r="DJ767" s="62"/>
      <c r="DK767" s="62"/>
      <c r="DL767" s="62"/>
      <c r="DM767" s="62"/>
      <c r="DN767" s="62"/>
      <c r="DO767" s="62"/>
      <c r="DP767" s="62"/>
      <c r="DQ767" s="62"/>
      <c r="DR767" s="62"/>
      <c r="DS767" s="62"/>
      <c r="DT767" s="62"/>
      <c r="DU767" s="62"/>
      <c r="DV767" s="62"/>
      <c r="DW767" s="62"/>
      <c r="DX767" s="62"/>
      <c r="DY767" s="62"/>
      <c r="DZ767" s="62"/>
      <c r="EA767" s="62"/>
      <c r="EB767" s="62"/>
      <c r="EC767" s="62"/>
      <c r="ED767" s="62"/>
      <c r="EE767" s="62"/>
      <c r="EF767" s="62"/>
      <c r="EG767" s="62"/>
      <c r="EH767" s="62"/>
      <c r="EI767" s="62"/>
      <c r="EJ767" s="62"/>
      <c r="EK767" s="62"/>
      <c r="EL767" s="62"/>
      <c r="EM767" s="62"/>
      <c r="EN767" s="62"/>
      <c r="EO767" s="62"/>
      <c r="EP767" s="62"/>
      <c r="EQ767" s="62"/>
      <c r="ER767" s="62"/>
      <c r="ES767" s="62"/>
      <c r="ET767" s="62"/>
      <c r="EU767" s="62"/>
      <c r="EV767" s="62"/>
      <c r="EW767" s="62"/>
      <c r="EX767" s="62"/>
      <c r="EY767" s="62"/>
      <c r="EZ767" s="62"/>
      <c r="FA767" s="62"/>
      <c r="FB767" s="62"/>
      <c r="FC767" s="62"/>
      <c r="FD767" s="62"/>
      <c r="FE767" s="62"/>
      <c r="FF767" s="62"/>
      <c r="FG767" s="62"/>
      <c r="FH767" s="62"/>
      <c r="FI767" s="62"/>
      <c r="FJ767" s="62"/>
      <c r="FK767" s="62"/>
      <c r="FL767" s="62"/>
      <c r="FM767" s="62"/>
      <c r="FN767" s="62"/>
      <c r="FO767" s="62"/>
      <c r="FP767" s="62"/>
      <c r="FQ767" s="62"/>
      <c r="FR767" s="62"/>
      <c r="FS767" s="62"/>
      <c r="FT767" s="62"/>
      <c r="FU767" s="62"/>
      <c r="FV767" s="62"/>
    </row>
    <row r="768" spans="1:178" ht="13.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c r="AY768" s="62"/>
      <c r="AZ768" s="62"/>
      <c r="BA768" s="62"/>
      <c r="BB768" s="62"/>
      <c r="BC768" s="62"/>
      <c r="BD768" s="62"/>
      <c r="BE768" s="62"/>
      <c r="BF768" s="62"/>
      <c r="BG768" s="62"/>
      <c r="BH768" s="62"/>
      <c r="BI768" s="62"/>
      <c r="BJ768" s="62"/>
      <c r="BK768" s="62"/>
      <c r="BL768" s="62"/>
      <c r="BM768" s="62"/>
      <c r="BN768" s="62"/>
      <c r="BO768" s="62"/>
      <c r="BP768" s="62"/>
      <c r="BQ768" s="62"/>
      <c r="BR768" s="62"/>
      <c r="BS768" s="62"/>
      <c r="BT768" s="62"/>
      <c r="BU768" s="62"/>
      <c r="BV768" s="62"/>
      <c r="BW768" s="62"/>
      <c r="BX768" s="62"/>
      <c r="BY768" s="62"/>
      <c r="BZ768" s="62"/>
      <c r="CA768" s="62"/>
      <c r="CB768" s="62"/>
      <c r="CC768" s="62"/>
      <c r="CD768" s="62"/>
      <c r="CE768" s="62"/>
      <c r="CF768" s="62"/>
      <c r="CG768" s="62"/>
      <c r="CH768" s="62"/>
      <c r="CI768" s="62"/>
      <c r="CJ768" s="62"/>
      <c r="CK768" s="62"/>
      <c r="CL768" s="62"/>
      <c r="CM768" s="62"/>
      <c r="CN768" s="62"/>
      <c r="CO768" s="62"/>
      <c r="CP768" s="62"/>
      <c r="CQ768" s="62"/>
      <c r="CR768" s="62"/>
      <c r="CS768" s="62"/>
      <c r="CT768" s="62"/>
      <c r="CU768" s="62"/>
      <c r="CV768" s="62"/>
      <c r="CW768" s="62"/>
      <c r="CX768" s="62"/>
      <c r="CY768" s="62"/>
      <c r="CZ768" s="62"/>
      <c r="DA768" s="62"/>
      <c r="DB768" s="62"/>
      <c r="DC768" s="62"/>
      <c r="DD768" s="62"/>
      <c r="DE768" s="62"/>
      <c r="DF768" s="62"/>
      <c r="DG768" s="62"/>
      <c r="DH768" s="62"/>
      <c r="DI768" s="62"/>
      <c r="DJ768" s="62"/>
      <c r="DK768" s="62"/>
      <c r="DL768" s="62"/>
      <c r="DM768" s="62"/>
      <c r="DN768" s="62"/>
      <c r="DO768" s="62"/>
      <c r="DP768" s="62"/>
      <c r="DQ768" s="62"/>
      <c r="DR768" s="62"/>
      <c r="DS768" s="62"/>
      <c r="DT768" s="62"/>
      <c r="DU768" s="62"/>
      <c r="DV768" s="62"/>
      <c r="DW768" s="62"/>
      <c r="DX768" s="62"/>
      <c r="DY768" s="62"/>
      <c r="DZ768" s="62"/>
      <c r="EA768" s="62"/>
      <c r="EB768" s="62"/>
      <c r="EC768" s="62"/>
      <c r="ED768" s="62"/>
      <c r="EE768" s="62"/>
      <c r="EF768" s="62"/>
      <c r="EG768" s="62"/>
      <c r="EH768" s="62"/>
      <c r="EI768" s="62"/>
      <c r="EJ768" s="62"/>
      <c r="EK768" s="62"/>
      <c r="EL768" s="62"/>
      <c r="EM768" s="62"/>
      <c r="EN768" s="62"/>
      <c r="EO768" s="62"/>
      <c r="EP768" s="62"/>
      <c r="EQ768" s="62"/>
      <c r="ER768" s="62"/>
      <c r="ES768" s="62"/>
      <c r="ET768" s="62"/>
      <c r="EU768" s="62"/>
      <c r="EV768" s="62"/>
      <c r="EW768" s="62"/>
      <c r="EX768" s="62"/>
      <c r="EY768" s="62"/>
      <c r="EZ768" s="62"/>
      <c r="FA768" s="62"/>
      <c r="FB768" s="62"/>
      <c r="FC768" s="62"/>
      <c r="FD768" s="62"/>
      <c r="FE768" s="62"/>
      <c r="FF768" s="62"/>
      <c r="FG768" s="62"/>
      <c r="FH768" s="62"/>
      <c r="FI768" s="62"/>
      <c r="FJ768" s="62"/>
      <c r="FK768" s="62"/>
      <c r="FL768" s="62"/>
      <c r="FM768" s="62"/>
      <c r="FN768" s="62"/>
      <c r="FO768" s="62"/>
      <c r="FP768" s="62"/>
      <c r="FQ768" s="62"/>
      <c r="FR768" s="62"/>
      <c r="FS768" s="62"/>
      <c r="FT768" s="62"/>
      <c r="FU768" s="62"/>
      <c r="FV768" s="62"/>
    </row>
    <row r="769" spans="1:178" ht="13.8">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c r="AY769" s="62"/>
      <c r="AZ769" s="62"/>
      <c r="BA769" s="62"/>
      <c r="BB769" s="62"/>
      <c r="BC769" s="62"/>
      <c r="BD769" s="62"/>
      <c r="BE769" s="62"/>
      <c r="BF769" s="62"/>
      <c r="BG769" s="62"/>
      <c r="BH769" s="62"/>
      <c r="BI769" s="62"/>
      <c r="BJ769" s="62"/>
      <c r="BK769" s="62"/>
      <c r="BL769" s="62"/>
      <c r="BM769" s="62"/>
      <c r="BN769" s="62"/>
      <c r="BO769" s="62"/>
      <c r="BP769" s="62"/>
      <c r="BQ769" s="62"/>
      <c r="BR769" s="62"/>
      <c r="BS769" s="62"/>
      <c r="BT769" s="62"/>
      <c r="BU769" s="62"/>
      <c r="BV769" s="62"/>
      <c r="BW769" s="62"/>
      <c r="BX769" s="62"/>
      <c r="BY769" s="62"/>
      <c r="BZ769" s="62"/>
      <c r="CA769" s="62"/>
      <c r="CB769" s="62"/>
      <c r="CC769" s="62"/>
      <c r="CD769" s="62"/>
      <c r="CE769" s="62"/>
      <c r="CF769" s="62"/>
      <c r="CG769" s="62"/>
      <c r="CH769" s="62"/>
      <c r="CI769" s="62"/>
      <c r="CJ769" s="62"/>
      <c r="CK769" s="62"/>
      <c r="CL769" s="62"/>
      <c r="CM769" s="62"/>
      <c r="CN769" s="62"/>
      <c r="CO769" s="62"/>
      <c r="CP769" s="62"/>
      <c r="CQ769" s="62"/>
      <c r="CR769" s="62"/>
      <c r="CS769" s="62"/>
      <c r="CT769" s="62"/>
      <c r="CU769" s="62"/>
      <c r="CV769" s="62"/>
      <c r="CW769" s="62"/>
      <c r="CX769" s="62"/>
      <c r="CY769" s="62"/>
      <c r="CZ769" s="62"/>
      <c r="DA769" s="62"/>
      <c r="DB769" s="62"/>
      <c r="DC769" s="62"/>
      <c r="DD769" s="62"/>
      <c r="DE769" s="62"/>
      <c r="DF769" s="62"/>
      <c r="DG769" s="62"/>
      <c r="DH769" s="62"/>
      <c r="DI769" s="62"/>
      <c r="DJ769" s="62"/>
      <c r="DK769" s="62"/>
      <c r="DL769" s="62"/>
      <c r="DM769" s="62"/>
      <c r="DN769" s="62"/>
      <c r="DO769" s="62"/>
      <c r="DP769" s="62"/>
      <c r="DQ769" s="62"/>
      <c r="DR769" s="62"/>
      <c r="DS769" s="62"/>
      <c r="DT769" s="62"/>
      <c r="DU769" s="62"/>
      <c r="DV769" s="62"/>
      <c r="DW769" s="62"/>
      <c r="DX769" s="62"/>
      <c r="DY769" s="62"/>
      <c r="DZ769" s="62"/>
      <c r="EA769" s="62"/>
      <c r="EB769" s="62"/>
      <c r="EC769" s="62"/>
      <c r="ED769" s="62"/>
      <c r="EE769" s="62"/>
      <c r="EF769" s="62"/>
      <c r="EG769" s="62"/>
      <c r="EH769" s="62"/>
      <c r="EI769" s="62"/>
      <c r="EJ769" s="62"/>
      <c r="EK769" s="62"/>
      <c r="EL769" s="62"/>
      <c r="EM769" s="62"/>
      <c r="EN769" s="62"/>
      <c r="EO769" s="62"/>
      <c r="EP769" s="62"/>
      <c r="EQ769" s="62"/>
      <c r="ER769" s="62"/>
      <c r="ES769" s="62"/>
      <c r="ET769" s="62"/>
      <c r="EU769" s="62"/>
      <c r="EV769" s="62"/>
      <c r="EW769" s="62"/>
      <c r="EX769" s="62"/>
      <c r="EY769" s="62"/>
      <c r="EZ769" s="62"/>
      <c r="FA769" s="62"/>
      <c r="FB769" s="62"/>
      <c r="FC769" s="62"/>
      <c r="FD769" s="62"/>
      <c r="FE769" s="62"/>
      <c r="FF769" s="62"/>
      <c r="FG769" s="62"/>
      <c r="FH769" s="62"/>
      <c r="FI769" s="62"/>
      <c r="FJ769" s="62"/>
      <c r="FK769" s="62"/>
      <c r="FL769" s="62"/>
      <c r="FM769" s="62"/>
      <c r="FN769" s="62"/>
      <c r="FO769" s="62"/>
      <c r="FP769" s="62"/>
      <c r="FQ769" s="62"/>
      <c r="FR769" s="62"/>
      <c r="FS769" s="62"/>
      <c r="FT769" s="62"/>
      <c r="FU769" s="62"/>
      <c r="FV769" s="62"/>
    </row>
    <row r="770" spans="1:178" ht="13.8">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c r="AY770" s="62"/>
      <c r="AZ770" s="62"/>
      <c r="BA770" s="62"/>
      <c r="BB770" s="62"/>
      <c r="BC770" s="62"/>
      <c r="BD770" s="62"/>
      <c r="BE770" s="62"/>
      <c r="BF770" s="62"/>
      <c r="BG770" s="62"/>
      <c r="BH770" s="62"/>
      <c r="BI770" s="62"/>
      <c r="BJ770" s="62"/>
      <c r="BK770" s="62"/>
      <c r="BL770" s="62"/>
      <c r="BM770" s="62"/>
      <c r="BN770" s="62"/>
      <c r="BO770" s="62"/>
      <c r="BP770" s="62"/>
      <c r="BQ770" s="62"/>
      <c r="BR770" s="62"/>
      <c r="BS770" s="62"/>
      <c r="BT770" s="62"/>
      <c r="BU770" s="62"/>
      <c r="BV770" s="62"/>
      <c r="BW770" s="62"/>
      <c r="BX770" s="62"/>
      <c r="BY770" s="62"/>
      <c r="BZ770" s="62"/>
      <c r="CA770" s="62"/>
      <c r="CB770" s="62"/>
      <c r="CC770" s="62"/>
      <c r="CD770" s="62"/>
      <c r="CE770" s="62"/>
      <c r="CF770" s="62"/>
      <c r="CG770" s="62"/>
      <c r="CH770" s="62"/>
      <c r="CI770" s="62"/>
      <c r="CJ770" s="62"/>
      <c r="CK770" s="62"/>
      <c r="CL770" s="62"/>
      <c r="CM770" s="62"/>
      <c r="CN770" s="62"/>
      <c r="CO770" s="62"/>
      <c r="CP770" s="62"/>
      <c r="CQ770" s="62"/>
      <c r="CR770" s="62"/>
      <c r="CS770" s="62"/>
      <c r="CT770" s="62"/>
      <c r="CU770" s="62"/>
      <c r="CV770" s="62"/>
      <c r="CW770" s="62"/>
      <c r="CX770" s="62"/>
      <c r="CY770" s="62"/>
      <c r="CZ770" s="62"/>
      <c r="DA770" s="62"/>
      <c r="DB770" s="62"/>
      <c r="DC770" s="62"/>
      <c r="DD770" s="62"/>
      <c r="DE770" s="62"/>
      <c r="DF770" s="62"/>
      <c r="DG770" s="62"/>
      <c r="DH770" s="62"/>
      <c r="DI770" s="62"/>
      <c r="DJ770" s="62"/>
      <c r="DK770" s="62"/>
      <c r="DL770" s="62"/>
      <c r="DM770" s="62"/>
      <c r="DN770" s="62"/>
      <c r="DO770" s="62"/>
      <c r="DP770" s="62"/>
      <c r="DQ770" s="62"/>
      <c r="DR770" s="62"/>
      <c r="DS770" s="62"/>
      <c r="DT770" s="62"/>
      <c r="DU770" s="62"/>
      <c r="DV770" s="62"/>
      <c r="DW770" s="62"/>
      <c r="DX770" s="62"/>
      <c r="DY770" s="62"/>
      <c r="DZ770" s="62"/>
      <c r="EA770" s="62"/>
      <c r="EB770" s="62"/>
      <c r="EC770" s="62"/>
      <c r="ED770" s="62"/>
      <c r="EE770" s="62"/>
      <c r="EF770" s="62"/>
      <c r="EG770" s="62"/>
      <c r="EH770" s="62"/>
      <c r="EI770" s="62"/>
      <c r="EJ770" s="62"/>
      <c r="EK770" s="62"/>
      <c r="EL770" s="62"/>
      <c r="EM770" s="62"/>
      <c r="EN770" s="62"/>
      <c r="EO770" s="62"/>
      <c r="EP770" s="62"/>
      <c r="EQ770" s="62"/>
      <c r="ER770" s="62"/>
      <c r="ES770" s="62"/>
      <c r="ET770" s="62"/>
      <c r="EU770" s="62"/>
      <c r="EV770" s="62"/>
      <c r="EW770" s="62"/>
      <c r="EX770" s="62"/>
      <c r="EY770" s="62"/>
      <c r="EZ770" s="62"/>
      <c r="FA770" s="62"/>
      <c r="FB770" s="62"/>
      <c r="FC770" s="62"/>
      <c r="FD770" s="62"/>
      <c r="FE770" s="62"/>
      <c r="FF770" s="62"/>
      <c r="FG770" s="62"/>
      <c r="FH770" s="62"/>
      <c r="FI770" s="62"/>
      <c r="FJ770" s="62"/>
      <c r="FK770" s="62"/>
      <c r="FL770" s="62"/>
      <c r="FM770" s="62"/>
      <c r="FN770" s="62"/>
      <c r="FO770" s="62"/>
      <c r="FP770" s="62"/>
      <c r="FQ770" s="62"/>
      <c r="FR770" s="62"/>
      <c r="FS770" s="62"/>
      <c r="FT770" s="62"/>
      <c r="FU770" s="62"/>
      <c r="FV770" s="62"/>
    </row>
    <row r="771" spans="1:178" ht="13.8">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c r="AY771" s="62"/>
      <c r="AZ771" s="62"/>
      <c r="BA771" s="62"/>
      <c r="BB771" s="62"/>
      <c r="BC771" s="62"/>
      <c r="BD771" s="62"/>
      <c r="BE771" s="62"/>
      <c r="BF771" s="62"/>
      <c r="BG771" s="62"/>
      <c r="BH771" s="62"/>
      <c r="BI771" s="62"/>
      <c r="BJ771" s="62"/>
      <c r="BK771" s="62"/>
      <c r="BL771" s="62"/>
      <c r="BM771" s="62"/>
      <c r="BN771" s="62"/>
      <c r="BO771" s="62"/>
      <c r="BP771" s="62"/>
      <c r="BQ771" s="62"/>
      <c r="BR771" s="62"/>
      <c r="BS771" s="62"/>
      <c r="BT771" s="62"/>
      <c r="BU771" s="62"/>
      <c r="BV771" s="62"/>
      <c r="BW771" s="62"/>
      <c r="BX771" s="62"/>
      <c r="BY771" s="62"/>
      <c r="BZ771" s="62"/>
      <c r="CA771" s="62"/>
      <c r="CB771" s="62"/>
      <c r="CC771" s="62"/>
      <c r="CD771" s="62"/>
      <c r="CE771" s="62"/>
      <c r="CF771" s="62"/>
      <c r="CG771" s="62"/>
      <c r="CH771" s="62"/>
      <c r="CI771" s="62"/>
      <c r="CJ771" s="62"/>
      <c r="CK771" s="62"/>
      <c r="CL771" s="62"/>
      <c r="CM771" s="62"/>
      <c r="CN771" s="62"/>
      <c r="CO771" s="62"/>
      <c r="CP771" s="62"/>
      <c r="CQ771" s="62"/>
      <c r="CR771" s="62"/>
      <c r="CS771" s="62"/>
      <c r="CT771" s="62"/>
      <c r="CU771" s="62"/>
      <c r="CV771" s="62"/>
      <c r="CW771" s="62"/>
      <c r="CX771" s="62"/>
      <c r="CY771" s="62"/>
      <c r="CZ771" s="62"/>
      <c r="DA771" s="62"/>
      <c r="DB771" s="62"/>
      <c r="DC771" s="62"/>
      <c r="DD771" s="62"/>
      <c r="DE771" s="62"/>
      <c r="DF771" s="62"/>
      <c r="DG771" s="62"/>
      <c r="DH771" s="62"/>
      <c r="DI771" s="62"/>
      <c r="DJ771" s="62"/>
      <c r="DK771" s="62"/>
      <c r="DL771" s="62"/>
      <c r="DM771" s="62"/>
      <c r="DN771" s="62"/>
      <c r="DO771" s="62"/>
      <c r="DP771" s="62"/>
      <c r="DQ771" s="62"/>
      <c r="DR771" s="62"/>
      <c r="DS771" s="62"/>
      <c r="DT771" s="62"/>
      <c r="DU771" s="62"/>
      <c r="DV771" s="62"/>
      <c r="DW771" s="62"/>
      <c r="DX771" s="62"/>
      <c r="DY771" s="62"/>
      <c r="DZ771" s="62"/>
      <c r="EA771" s="62"/>
      <c r="EB771" s="62"/>
      <c r="EC771" s="62"/>
      <c r="ED771" s="62"/>
      <c r="EE771" s="62"/>
      <c r="EF771" s="62"/>
      <c r="EG771" s="62"/>
      <c r="EH771" s="62"/>
      <c r="EI771" s="62"/>
      <c r="EJ771" s="62"/>
      <c r="EK771" s="62"/>
      <c r="EL771" s="62"/>
      <c r="EM771" s="62"/>
      <c r="EN771" s="62"/>
      <c r="EO771" s="62"/>
      <c r="EP771" s="62"/>
      <c r="EQ771" s="62"/>
      <c r="ER771" s="62"/>
      <c r="ES771" s="62"/>
      <c r="ET771" s="62"/>
      <c r="EU771" s="62"/>
      <c r="EV771" s="62"/>
      <c r="EW771" s="62"/>
      <c r="EX771" s="62"/>
      <c r="EY771" s="62"/>
      <c r="EZ771" s="62"/>
      <c r="FA771" s="62"/>
      <c r="FB771" s="62"/>
      <c r="FC771" s="62"/>
      <c r="FD771" s="62"/>
      <c r="FE771" s="62"/>
      <c r="FF771" s="62"/>
      <c r="FG771" s="62"/>
      <c r="FH771" s="62"/>
      <c r="FI771" s="62"/>
      <c r="FJ771" s="62"/>
      <c r="FK771" s="62"/>
      <c r="FL771" s="62"/>
      <c r="FM771" s="62"/>
      <c r="FN771" s="62"/>
      <c r="FO771" s="62"/>
      <c r="FP771" s="62"/>
      <c r="FQ771" s="62"/>
      <c r="FR771" s="62"/>
      <c r="FS771" s="62"/>
      <c r="FT771" s="62"/>
      <c r="FU771" s="62"/>
      <c r="FV771" s="62"/>
    </row>
    <row r="772" spans="1:178" ht="13.8">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c r="AY772" s="62"/>
      <c r="AZ772" s="62"/>
      <c r="BA772" s="62"/>
      <c r="BB772" s="62"/>
      <c r="BC772" s="62"/>
      <c r="BD772" s="62"/>
      <c r="BE772" s="62"/>
      <c r="BF772" s="62"/>
      <c r="BG772" s="62"/>
      <c r="BH772" s="62"/>
      <c r="BI772" s="62"/>
      <c r="BJ772" s="62"/>
      <c r="BK772" s="62"/>
      <c r="BL772" s="62"/>
      <c r="BM772" s="62"/>
      <c r="BN772" s="62"/>
      <c r="BO772" s="62"/>
      <c r="BP772" s="62"/>
      <c r="BQ772" s="62"/>
      <c r="BR772" s="62"/>
      <c r="BS772" s="62"/>
      <c r="BT772" s="62"/>
      <c r="BU772" s="62"/>
      <c r="BV772" s="62"/>
      <c r="BW772" s="62"/>
      <c r="BX772" s="62"/>
      <c r="BY772" s="62"/>
      <c r="BZ772" s="62"/>
      <c r="CA772" s="62"/>
      <c r="CB772" s="62"/>
      <c r="CC772" s="62"/>
      <c r="CD772" s="62"/>
      <c r="CE772" s="62"/>
      <c r="CF772" s="62"/>
      <c r="CG772" s="62"/>
      <c r="CH772" s="62"/>
      <c r="CI772" s="62"/>
      <c r="CJ772" s="62"/>
      <c r="CK772" s="62"/>
      <c r="CL772" s="62"/>
      <c r="CM772" s="62"/>
      <c r="CN772" s="62"/>
      <c r="CO772" s="62"/>
      <c r="CP772" s="62"/>
      <c r="CQ772" s="62"/>
      <c r="CR772" s="62"/>
      <c r="CS772" s="62"/>
      <c r="CT772" s="62"/>
      <c r="CU772" s="62"/>
      <c r="CV772" s="62"/>
      <c r="CW772" s="62"/>
      <c r="CX772" s="62"/>
      <c r="CY772" s="62"/>
      <c r="CZ772" s="62"/>
      <c r="DA772" s="62"/>
      <c r="DB772" s="62"/>
      <c r="DC772" s="62"/>
      <c r="DD772" s="62"/>
      <c r="DE772" s="62"/>
      <c r="DF772" s="62"/>
      <c r="DG772" s="62"/>
      <c r="DH772" s="62"/>
      <c r="DI772" s="62"/>
      <c r="DJ772" s="62"/>
      <c r="DK772" s="62"/>
      <c r="DL772" s="62"/>
      <c r="DM772" s="62"/>
      <c r="DN772" s="62"/>
      <c r="DO772" s="62"/>
      <c r="DP772" s="62"/>
      <c r="DQ772" s="62"/>
      <c r="DR772" s="62"/>
      <c r="DS772" s="62"/>
      <c r="DT772" s="62"/>
      <c r="DU772" s="62"/>
      <c r="DV772" s="62"/>
      <c r="DW772" s="62"/>
      <c r="DX772" s="62"/>
      <c r="DY772" s="62"/>
      <c r="DZ772" s="62"/>
      <c r="EA772" s="62"/>
      <c r="EB772" s="62"/>
      <c r="EC772" s="62"/>
      <c r="ED772" s="62"/>
      <c r="EE772" s="62"/>
      <c r="EF772" s="62"/>
      <c r="EG772" s="62"/>
      <c r="EH772" s="62"/>
      <c r="EI772" s="62"/>
      <c r="EJ772" s="62"/>
      <c r="EK772" s="62"/>
      <c r="EL772" s="62"/>
      <c r="EM772" s="62"/>
      <c r="EN772" s="62"/>
      <c r="EO772" s="62"/>
      <c r="EP772" s="62"/>
      <c r="EQ772" s="62"/>
      <c r="ER772" s="62"/>
      <c r="ES772" s="62"/>
      <c r="ET772" s="62"/>
      <c r="EU772" s="62"/>
      <c r="EV772" s="62"/>
      <c r="EW772" s="62"/>
      <c r="EX772" s="62"/>
      <c r="EY772" s="62"/>
      <c r="EZ772" s="62"/>
      <c r="FA772" s="62"/>
      <c r="FB772" s="62"/>
      <c r="FC772" s="62"/>
      <c r="FD772" s="62"/>
      <c r="FE772" s="62"/>
      <c r="FF772" s="62"/>
      <c r="FG772" s="62"/>
      <c r="FH772" s="62"/>
      <c r="FI772" s="62"/>
      <c r="FJ772" s="62"/>
      <c r="FK772" s="62"/>
      <c r="FL772" s="62"/>
      <c r="FM772" s="62"/>
      <c r="FN772" s="62"/>
      <c r="FO772" s="62"/>
      <c r="FP772" s="62"/>
      <c r="FQ772" s="62"/>
      <c r="FR772" s="62"/>
      <c r="FS772" s="62"/>
      <c r="FT772" s="62"/>
      <c r="FU772" s="62"/>
      <c r="FV772" s="62"/>
    </row>
    <row r="773" spans="1:178" ht="13.8">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c r="AY773" s="62"/>
      <c r="AZ773" s="62"/>
      <c r="BA773" s="62"/>
      <c r="BB773" s="62"/>
      <c r="BC773" s="62"/>
      <c r="BD773" s="62"/>
      <c r="BE773" s="62"/>
      <c r="BF773" s="62"/>
      <c r="BG773" s="62"/>
      <c r="BH773" s="62"/>
      <c r="BI773" s="62"/>
      <c r="BJ773" s="62"/>
      <c r="BK773" s="62"/>
      <c r="BL773" s="62"/>
      <c r="BM773" s="62"/>
      <c r="BN773" s="62"/>
      <c r="BO773" s="62"/>
      <c r="BP773" s="62"/>
      <c r="BQ773" s="62"/>
      <c r="BR773" s="62"/>
      <c r="BS773" s="62"/>
      <c r="BT773" s="62"/>
      <c r="BU773" s="62"/>
      <c r="BV773" s="62"/>
      <c r="BW773" s="62"/>
      <c r="BX773" s="62"/>
      <c r="BY773" s="62"/>
      <c r="BZ773" s="62"/>
      <c r="CA773" s="62"/>
      <c r="CB773" s="62"/>
      <c r="CC773" s="62"/>
      <c r="CD773" s="62"/>
      <c r="CE773" s="62"/>
      <c r="CF773" s="62"/>
      <c r="CG773" s="62"/>
      <c r="CH773" s="62"/>
      <c r="CI773" s="62"/>
      <c r="CJ773" s="62"/>
      <c r="CK773" s="62"/>
      <c r="CL773" s="62"/>
      <c r="CM773" s="62"/>
      <c r="CN773" s="62"/>
      <c r="CO773" s="62"/>
      <c r="CP773" s="62"/>
      <c r="CQ773" s="62"/>
      <c r="CR773" s="62"/>
      <c r="CS773" s="62"/>
      <c r="CT773" s="62"/>
      <c r="CU773" s="62"/>
      <c r="CV773" s="62"/>
      <c r="CW773" s="62"/>
      <c r="CX773" s="62"/>
      <c r="CY773" s="62"/>
      <c r="CZ773" s="62"/>
      <c r="DA773" s="62"/>
      <c r="DB773" s="62"/>
      <c r="DC773" s="62"/>
      <c r="DD773" s="62"/>
      <c r="DE773" s="62"/>
      <c r="DF773" s="62"/>
      <c r="DG773" s="62"/>
      <c r="DH773" s="62"/>
      <c r="DI773" s="62"/>
      <c r="DJ773" s="62"/>
      <c r="DK773" s="62"/>
      <c r="DL773" s="62"/>
      <c r="DM773" s="62"/>
      <c r="DN773" s="62"/>
      <c r="DO773" s="62"/>
      <c r="DP773" s="62"/>
      <c r="DQ773" s="62"/>
      <c r="DR773" s="62"/>
      <c r="DS773" s="62"/>
      <c r="DT773" s="62"/>
      <c r="DU773" s="62"/>
      <c r="DV773" s="62"/>
      <c r="DW773" s="62"/>
      <c r="DX773" s="62"/>
      <c r="DY773" s="62"/>
      <c r="DZ773" s="62"/>
      <c r="EA773" s="62"/>
      <c r="EB773" s="62"/>
      <c r="EC773" s="62"/>
      <c r="ED773" s="62"/>
      <c r="EE773" s="62"/>
      <c r="EF773" s="62"/>
      <c r="EG773" s="62"/>
      <c r="EH773" s="62"/>
      <c r="EI773" s="62"/>
      <c r="EJ773" s="62"/>
      <c r="EK773" s="62"/>
      <c r="EL773" s="62"/>
      <c r="EM773" s="62"/>
      <c r="EN773" s="62"/>
      <c r="EO773" s="62"/>
      <c r="EP773" s="62"/>
      <c r="EQ773" s="62"/>
      <c r="ER773" s="62"/>
      <c r="ES773" s="62"/>
      <c r="ET773" s="62"/>
      <c r="EU773" s="62"/>
      <c r="EV773" s="62"/>
      <c r="EW773" s="62"/>
      <c r="EX773" s="62"/>
      <c r="EY773" s="62"/>
      <c r="EZ773" s="62"/>
      <c r="FA773" s="62"/>
      <c r="FB773" s="62"/>
      <c r="FC773" s="62"/>
      <c r="FD773" s="62"/>
      <c r="FE773" s="62"/>
      <c r="FF773" s="62"/>
      <c r="FG773" s="62"/>
      <c r="FH773" s="62"/>
      <c r="FI773" s="62"/>
      <c r="FJ773" s="62"/>
      <c r="FK773" s="62"/>
      <c r="FL773" s="62"/>
      <c r="FM773" s="62"/>
      <c r="FN773" s="62"/>
      <c r="FO773" s="62"/>
      <c r="FP773" s="62"/>
      <c r="FQ773" s="62"/>
      <c r="FR773" s="62"/>
      <c r="FS773" s="62"/>
      <c r="FT773" s="62"/>
      <c r="FU773" s="62"/>
      <c r="FV773" s="62"/>
    </row>
    <row r="774" spans="1:178" ht="13.8">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c r="AY774" s="62"/>
      <c r="AZ774" s="62"/>
      <c r="BA774" s="62"/>
      <c r="BB774" s="62"/>
      <c r="BC774" s="62"/>
      <c r="BD774" s="62"/>
      <c r="BE774" s="62"/>
      <c r="BF774" s="62"/>
      <c r="BG774" s="62"/>
      <c r="BH774" s="62"/>
      <c r="BI774" s="62"/>
      <c r="BJ774" s="62"/>
      <c r="BK774" s="62"/>
      <c r="BL774" s="62"/>
      <c r="BM774" s="62"/>
      <c r="BN774" s="62"/>
      <c r="BO774" s="62"/>
      <c r="BP774" s="62"/>
      <c r="BQ774" s="62"/>
      <c r="BR774" s="62"/>
      <c r="BS774" s="62"/>
      <c r="BT774" s="62"/>
      <c r="BU774" s="62"/>
      <c r="BV774" s="62"/>
      <c r="BW774" s="62"/>
      <c r="BX774" s="62"/>
      <c r="BY774" s="62"/>
      <c r="BZ774" s="62"/>
      <c r="CA774" s="62"/>
      <c r="CB774" s="62"/>
      <c r="CC774" s="62"/>
      <c r="CD774" s="62"/>
      <c r="CE774" s="62"/>
      <c r="CF774" s="62"/>
      <c r="CG774" s="62"/>
      <c r="CH774" s="62"/>
      <c r="CI774" s="62"/>
      <c r="CJ774" s="62"/>
      <c r="CK774" s="62"/>
      <c r="CL774" s="62"/>
      <c r="CM774" s="62"/>
      <c r="CN774" s="62"/>
      <c r="CO774" s="62"/>
      <c r="CP774" s="62"/>
      <c r="CQ774" s="62"/>
      <c r="CR774" s="62"/>
      <c r="CS774" s="62"/>
      <c r="CT774" s="62"/>
      <c r="CU774" s="62"/>
      <c r="CV774" s="62"/>
      <c r="CW774" s="62"/>
      <c r="CX774" s="62"/>
      <c r="CY774" s="62"/>
      <c r="CZ774" s="62"/>
      <c r="DA774" s="62"/>
      <c r="DB774" s="62"/>
      <c r="DC774" s="62"/>
      <c r="DD774" s="62"/>
      <c r="DE774" s="62"/>
      <c r="DF774" s="62"/>
      <c r="DG774" s="62"/>
      <c r="DH774" s="62"/>
      <c r="DI774" s="62"/>
      <c r="DJ774" s="62"/>
      <c r="DK774" s="62"/>
      <c r="DL774" s="62"/>
      <c r="DM774" s="62"/>
      <c r="DN774" s="62"/>
      <c r="DO774" s="62"/>
      <c r="DP774" s="62"/>
      <c r="DQ774" s="62"/>
      <c r="DR774" s="62"/>
      <c r="DS774" s="62"/>
      <c r="DT774" s="62"/>
      <c r="DU774" s="62"/>
      <c r="DV774" s="62"/>
      <c r="DW774" s="62"/>
      <c r="DX774" s="62"/>
      <c r="DY774" s="62"/>
      <c r="DZ774" s="62"/>
      <c r="EA774" s="62"/>
      <c r="EB774" s="62"/>
      <c r="EC774" s="62"/>
      <c r="ED774" s="62"/>
      <c r="EE774" s="62"/>
      <c r="EF774" s="62"/>
      <c r="EG774" s="62"/>
      <c r="EH774" s="62"/>
      <c r="EI774" s="62"/>
      <c r="EJ774" s="62"/>
      <c r="EK774" s="62"/>
      <c r="EL774" s="62"/>
      <c r="EM774" s="62"/>
      <c r="EN774" s="62"/>
      <c r="EO774" s="62"/>
      <c r="EP774" s="62"/>
      <c r="EQ774" s="62"/>
      <c r="ER774" s="62"/>
      <c r="ES774" s="62"/>
      <c r="ET774" s="62"/>
      <c r="EU774" s="62"/>
      <c r="EV774" s="62"/>
      <c r="EW774" s="62"/>
      <c r="EX774" s="62"/>
      <c r="EY774" s="62"/>
      <c r="EZ774" s="62"/>
      <c r="FA774" s="62"/>
      <c r="FB774" s="62"/>
      <c r="FC774" s="62"/>
      <c r="FD774" s="62"/>
      <c r="FE774" s="62"/>
      <c r="FF774" s="62"/>
      <c r="FG774" s="62"/>
      <c r="FH774" s="62"/>
      <c r="FI774" s="62"/>
      <c r="FJ774" s="62"/>
      <c r="FK774" s="62"/>
      <c r="FL774" s="62"/>
      <c r="FM774" s="62"/>
      <c r="FN774" s="62"/>
      <c r="FO774" s="62"/>
      <c r="FP774" s="62"/>
      <c r="FQ774" s="62"/>
      <c r="FR774" s="62"/>
      <c r="FS774" s="62"/>
      <c r="FT774" s="62"/>
      <c r="FU774" s="62"/>
      <c r="FV774" s="62"/>
    </row>
    <row r="775" spans="1:178" ht="13.8">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c r="AY775" s="62"/>
      <c r="AZ775" s="62"/>
      <c r="BA775" s="62"/>
      <c r="BB775" s="62"/>
      <c r="BC775" s="62"/>
      <c r="BD775" s="62"/>
      <c r="BE775" s="62"/>
      <c r="BF775" s="62"/>
      <c r="BG775" s="62"/>
      <c r="BH775" s="62"/>
      <c r="BI775" s="62"/>
      <c r="BJ775" s="62"/>
      <c r="BK775" s="62"/>
      <c r="BL775" s="62"/>
      <c r="BM775" s="62"/>
      <c r="BN775" s="62"/>
      <c r="BO775" s="62"/>
      <c r="BP775" s="62"/>
      <c r="BQ775" s="62"/>
      <c r="BR775" s="62"/>
      <c r="BS775" s="62"/>
      <c r="BT775" s="62"/>
      <c r="BU775" s="62"/>
      <c r="BV775" s="62"/>
      <c r="BW775" s="62"/>
      <c r="BX775" s="62"/>
      <c r="BY775" s="62"/>
      <c r="BZ775" s="62"/>
      <c r="CA775" s="62"/>
      <c r="CB775" s="62"/>
      <c r="CC775" s="62"/>
      <c r="CD775" s="62"/>
      <c r="CE775" s="62"/>
      <c r="CF775" s="62"/>
      <c r="CG775" s="62"/>
      <c r="CH775" s="62"/>
      <c r="CI775" s="62"/>
      <c r="CJ775" s="62"/>
      <c r="CK775" s="62"/>
      <c r="CL775" s="62"/>
      <c r="CM775" s="62"/>
      <c r="CN775" s="62"/>
      <c r="CO775" s="62"/>
      <c r="CP775" s="62"/>
      <c r="CQ775" s="62"/>
      <c r="CR775" s="62"/>
      <c r="CS775" s="62"/>
      <c r="CT775" s="62"/>
      <c r="CU775" s="62"/>
      <c r="CV775" s="62"/>
      <c r="CW775" s="62"/>
      <c r="CX775" s="62"/>
      <c r="CY775" s="62"/>
      <c r="CZ775" s="62"/>
      <c r="DA775" s="62"/>
      <c r="DB775" s="62"/>
      <c r="DC775" s="62"/>
      <c r="DD775" s="62"/>
      <c r="DE775" s="62"/>
      <c r="DF775" s="62"/>
      <c r="DG775" s="62"/>
      <c r="DH775" s="62"/>
      <c r="DI775" s="62"/>
      <c r="DJ775" s="62"/>
      <c r="DK775" s="62"/>
      <c r="DL775" s="62"/>
      <c r="DM775" s="62"/>
      <c r="DN775" s="62"/>
      <c r="DO775" s="62"/>
      <c r="DP775" s="62"/>
      <c r="DQ775" s="62"/>
      <c r="DR775" s="62"/>
      <c r="DS775" s="62"/>
      <c r="DT775" s="62"/>
      <c r="DU775" s="62"/>
      <c r="DV775" s="62"/>
      <c r="DW775" s="62"/>
      <c r="DX775" s="62"/>
      <c r="DY775" s="62"/>
      <c r="DZ775" s="62"/>
      <c r="EA775" s="62"/>
      <c r="EB775" s="62"/>
      <c r="EC775" s="62"/>
      <c r="ED775" s="62"/>
      <c r="EE775" s="62"/>
      <c r="EF775" s="62"/>
      <c r="EG775" s="62"/>
      <c r="EH775" s="62"/>
      <c r="EI775" s="62"/>
      <c r="EJ775" s="62"/>
      <c r="EK775" s="62"/>
      <c r="EL775" s="62"/>
      <c r="EM775" s="62"/>
      <c r="EN775" s="62"/>
      <c r="EO775" s="62"/>
      <c r="EP775" s="62"/>
      <c r="EQ775" s="62"/>
      <c r="ER775" s="62"/>
      <c r="ES775" s="62"/>
      <c r="ET775" s="62"/>
      <c r="EU775" s="62"/>
      <c r="EV775" s="62"/>
      <c r="EW775" s="62"/>
      <c r="EX775" s="62"/>
      <c r="EY775" s="62"/>
      <c r="EZ775" s="62"/>
      <c r="FA775" s="62"/>
      <c r="FB775" s="62"/>
      <c r="FC775" s="62"/>
      <c r="FD775" s="62"/>
      <c r="FE775" s="62"/>
      <c r="FF775" s="62"/>
      <c r="FG775" s="62"/>
      <c r="FH775" s="62"/>
      <c r="FI775" s="62"/>
      <c r="FJ775" s="62"/>
      <c r="FK775" s="62"/>
      <c r="FL775" s="62"/>
      <c r="FM775" s="62"/>
      <c r="FN775" s="62"/>
      <c r="FO775" s="62"/>
      <c r="FP775" s="62"/>
      <c r="FQ775" s="62"/>
      <c r="FR775" s="62"/>
      <c r="FS775" s="62"/>
      <c r="FT775" s="62"/>
      <c r="FU775" s="62"/>
      <c r="FV775" s="62"/>
    </row>
    <row r="776" spans="1:178" ht="13.8">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c r="AY776" s="62"/>
      <c r="AZ776" s="62"/>
      <c r="BA776" s="62"/>
      <c r="BB776" s="62"/>
      <c r="BC776" s="62"/>
      <c r="BD776" s="62"/>
      <c r="BE776" s="62"/>
      <c r="BF776" s="62"/>
      <c r="BG776" s="62"/>
      <c r="BH776" s="62"/>
      <c r="BI776" s="62"/>
      <c r="BJ776" s="62"/>
      <c r="BK776" s="62"/>
      <c r="BL776" s="62"/>
      <c r="BM776" s="62"/>
      <c r="BN776" s="62"/>
      <c r="BO776" s="62"/>
      <c r="BP776" s="62"/>
      <c r="BQ776" s="62"/>
      <c r="BR776" s="62"/>
      <c r="BS776" s="62"/>
      <c r="BT776" s="62"/>
      <c r="BU776" s="62"/>
      <c r="BV776" s="62"/>
      <c r="BW776" s="62"/>
      <c r="BX776" s="62"/>
      <c r="BY776" s="62"/>
      <c r="BZ776" s="62"/>
      <c r="CA776" s="62"/>
      <c r="CB776" s="62"/>
      <c r="CC776" s="62"/>
      <c r="CD776" s="62"/>
      <c r="CE776" s="62"/>
      <c r="CF776" s="62"/>
      <c r="CG776" s="62"/>
      <c r="CH776" s="62"/>
      <c r="CI776" s="62"/>
      <c r="CJ776" s="62"/>
      <c r="CK776" s="62"/>
      <c r="CL776" s="62"/>
      <c r="CM776" s="62"/>
      <c r="CN776" s="62"/>
      <c r="CO776" s="62"/>
      <c r="CP776" s="62"/>
      <c r="CQ776" s="62"/>
      <c r="CR776" s="62"/>
      <c r="CS776" s="62"/>
      <c r="CT776" s="62"/>
      <c r="CU776" s="62"/>
      <c r="CV776" s="62"/>
      <c r="CW776" s="62"/>
      <c r="CX776" s="62"/>
      <c r="CY776" s="62"/>
      <c r="CZ776" s="62"/>
      <c r="DA776" s="62"/>
      <c r="DB776" s="62"/>
      <c r="DC776" s="62"/>
      <c r="DD776" s="62"/>
      <c r="DE776" s="62"/>
      <c r="DF776" s="62"/>
      <c r="DG776" s="62"/>
      <c r="DH776" s="62"/>
      <c r="DI776" s="62"/>
      <c r="DJ776" s="62"/>
      <c r="DK776" s="62"/>
      <c r="DL776" s="62"/>
      <c r="DM776" s="62"/>
      <c r="DN776" s="62"/>
      <c r="DO776" s="62"/>
      <c r="DP776" s="62"/>
      <c r="DQ776" s="62"/>
      <c r="DR776" s="62"/>
      <c r="DS776" s="62"/>
      <c r="DT776" s="62"/>
      <c r="DU776" s="62"/>
      <c r="DV776" s="62"/>
      <c r="DW776" s="62"/>
      <c r="DX776" s="62"/>
      <c r="DY776" s="62"/>
      <c r="DZ776" s="62"/>
      <c r="EA776" s="62"/>
      <c r="EB776" s="62"/>
      <c r="EC776" s="62"/>
      <c r="ED776" s="62"/>
      <c r="EE776" s="62"/>
      <c r="EF776" s="62"/>
      <c r="EG776" s="62"/>
      <c r="EH776" s="62"/>
      <c r="EI776" s="62"/>
      <c r="EJ776" s="62"/>
      <c r="EK776" s="62"/>
      <c r="EL776" s="62"/>
      <c r="EM776" s="62"/>
      <c r="EN776" s="62"/>
      <c r="EO776" s="62"/>
      <c r="EP776" s="62"/>
      <c r="EQ776" s="62"/>
      <c r="ER776" s="62"/>
      <c r="ES776" s="62"/>
      <c r="ET776" s="62"/>
      <c r="EU776" s="62"/>
      <c r="EV776" s="62"/>
      <c r="EW776" s="62"/>
      <c r="EX776" s="62"/>
      <c r="EY776" s="62"/>
      <c r="EZ776" s="62"/>
      <c r="FA776" s="62"/>
      <c r="FB776" s="62"/>
      <c r="FC776" s="62"/>
      <c r="FD776" s="62"/>
      <c r="FE776" s="62"/>
      <c r="FF776" s="62"/>
      <c r="FG776" s="62"/>
      <c r="FH776" s="62"/>
      <c r="FI776" s="62"/>
      <c r="FJ776" s="62"/>
      <c r="FK776" s="62"/>
      <c r="FL776" s="62"/>
      <c r="FM776" s="62"/>
      <c r="FN776" s="62"/>
      <c r="FO776" s="62"/>
      <c r="FP776" s="62"/>
      <c r="FQ776" s="62"/>
      <c r="FR776" s="62"/>
      <c r="FS776" s="62"/>
      <c r="FT776" s="62"/>
      <c r="FU776" s="62"/>
      <c r="FV776" s="62"/>
    </row>
    <row r="777" spans="1:178" ht="13.8">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c r="AY777" s="62"/>
      <c r="AZ777" s="62"/>
      <c r="BA777" s="62"/>
      <c r="BB777" s="62"/>
      <c r="BC777" s="62"/>
      <c r="BD777" s="62"/>
      <c r="BE777" s="62"/>
      <c r="BF777" s="62"/>
      <c r="BG777" s="62"/>
      <c r="BH777" s="62"/>
      <c r="BI777" s="62"/>
      <c r="BJ777" s="62"/>
      <c r="BK777" s="62"/>
      <c r="BL777" s="62"/>
      <c r="BM777" s="62"/>
      <c r="BN777" s="62"/>
      <c r="BO777" s="62"/>
      <c r="BP777" s="62"/>
      <c r="BQ777" s="62"/>
      <c r="BR777" s="62"/>
      <c r="BS777" s="62"/>
      <c r="BT777" s="62"/>
      <c r="BU777" s="62"/>
      <c r="BV777" s="62"/>
      <c r="BW777" s="62"/>
      <c r="BX777" s="62"/>
      <c r="BY777" s="62"/>
      <c r="BZ777" s="62"/>
      <c r="CA777" s="62"/>
      <c r="CB777" s="62"/>
      <c r="CC777" s="62"/>
      <c r="CD777" s="62"/>
      <c r="CE777" s="62"/>
      <c r="CF777" s="62"/>
      <c r="CG777" s="62"/>
      <c r="CH777" s="62"/>
      <c r="CI777" s="62"/>
      <c r="CJ777" s="62"/>
      <c r="CK777" s="62"/>
      <c r="CL777" s="62"/>
      <c r="CM777" s="62"/>
      <c r="CN777" s="62"/>
      <c r="CO777" s="62"/>
      <c r="CP777" s="62"/>
      <c r="CQ777" s="62"/>
      <c r="CR777" s="62"/>
      <c r="CS777" s="62"/>
      <c r="CT777" s="62"/>
      <c r="CU777" s="62"/>
      <c r="CV777" s="62"/>
      <c r="CW777" s="62"/>
      <c r="CX777" s="62"/>
      <c r="CY777" s="62"/>
      <c r="CZ777" s="62"/>
      <c r="DA777" s="62"/>
      <c r="DB777" s="62"/>
      <c r="DC777" s="62"/>
      <c r="DD777" s="62"/>
      <c r="DE777" s="62"/>
      <c r="DF777" s="62"/>
      <c r="DG777" s="62"/>
      <c r="DH777" s="62"/>
      <c r="DI777" s="62"/>
      <c r="DJ777" s="62"/>
      <c r="DK777" s="62"/>
      <c r="DL777" s="62"/>
      <c r="DM777" s="62"/>
      <c r="DN777" s="62"/>
      <c r="DO777" s="62"/>
      <c r="DP777" s="62"/>
      <c r="DQ777" s="62"/>
      <c r="DR777" s="62"/>
      <c r="DS777" s="62"/>
      <c r="DT777" s="62"/>
      <c r="DU777" s="62"/>
      <c r="DV777" s="62"/>
      <c r="DW777" s="62"/>
      <c r="DX777" s="62"/>
      <c r="DY777" s="62"/>
      <c r="DZ777" s="62"/>
      <c r="EA777" s="62"/>
      <c r="EB777" s="62"/>
      <c r="EC777" s="62"/>
      <c r="ED777" s="62"/>
      <c r="EE777" s="62"/>
      <c r="EF777" s="62"/>
      <c r="EG777" s="62"/>
      <c r="EH777" s="62"/>
      <c r="EI777" s="62"/>
      <c r="EJ777" s="62"/>
      <c r="EK777" s="62"/>
      <c r="EL777" s="62"/>
      <c r="EM777" s="62"/>
      <c r="EN777" s="62"/>
      <c r="EO777" s="62"/>
      <c r="EP777" s="62"/>
      <c r="EQ777" s="62"/>
      <c r="ER777" s="62"/>
      <c r="ES777" s="62"/>
      <c r="ET777" s="62"/>
      <c r="EU777" s="62"/>
      <c r="EV777" s="62"/>
      <c r="EW777" s="62"/>
      <c r="EX777" s="62"/>
      <c r="EY777" s="62"/>
      <c r="EZ777" s="62"/>
      <c r="FA777" s="62"/>
      <c r="FB777" s="62"/>
      <c r="FC777" s="62"/>
      <c r="FD777" s="62"/>
      <c r="FE777" s="62"/>
      <c r="FF777" s="62"/>
      <c r="FG777" s="62"/>
      <c r="FH777" s="62"/>
      <c r="FI777" s="62"/>
      <c r="FJ777" s="62"/>
      <c r="FK777" s="62"/>
      <c r="FL777" s="62"/>
      <c r="FM777" s="62"/>
      <c r="FN777" s="62"/>
      <c r="FO777" s="62"/>
      <c r="FP777" s="62"/>
      <c r="FQ777" s="62"/>
      <c r="FR777" s="62"/>
      <c r="FS777" s="62"/>
      <c r="FT777" s="62"/>
      <c r="FU777" s="62"/>
      <c r="FV777" s="62"/>
    </row>
    <row r="778" spans="1:178" ht="13.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c r="AY778" s="62"/>
      <c r="AZ778" s="62"/>
      <c r="BA778" s="62"/>
      <c r="BB778" s="62"/>
      <c r="BC778" s="62"/>
      <c r="BD778" s="62"/>
      <c r="BE778" s="62"/>
      <c r="BF778" s="62"/>
      <c r="BG778" s="62"/>
      <c r="BH778" s="62"/>
      <c r="BI778" s="62"/>
      <c r="BJ778" s="62"/>
      <c r="BK778" s="62"/>
      <c r="BL778" s="62"/>
      <c r="BM778" s="62"/>
      <c r="BN778" s="62"/>
      <c r="BO778" s="62"/>
      <c r="BP778" s="62"/>
      <c r="BQ778" s="62"/>
      <c r="BR778" s="62"/>
      <c r="BS778" s="62"/>
      <c r="BT778" s="62"/>
      <c r="BU778" s="62"/>
      <c r="BV778" s="62"/>
      <c r="BW778" s="62"/>
      <c r="BX778" s="62"/>
      <c r="BY778" s="62"/>
      <c r="BZ778" s="62"/>
      <c r="CA778" s="62"/>
      <c r="CB778" s="62"/>
      <c r="CC778" s="62"/>
      <c r="CD778" s="62"/>
      <c r="CE778" s="62"/>
      <c r="CF778" s="62"/>
      <c r="CG778" s="62"/>
      <c r="CH778" s="62"/>
      <c r="CI778" s="62"/>
      <c r="CJ778" s="62"/>
      <c r="CK778" s="62"/>
      <c r="CL778" s="62"/>
      <c r="CM778" s="62"/>
      <c r="CN778" s="62"/>
      <c r="CO778" s="62"/>
      <c r="CP778" s="62"/>
      <c r="CQ778" s="62"/>
      <c r="CR778" s="62"/>
      <c r="CS778" s="62"/>
      <c r="CT778" s="62"/>
      <c r="CU778" s="62"/>
      <c r="CV778" s="62"/>
      <c r="CW778" s="62"/>
      <c r="CX778" s="62"/>
      <c r="CY778" s="62"/>
      <c r="CZ778" s="62"/>
      <c r="DA778" s="62"/>
      <c r="DB778" s="62"/>
      <c r="DC778" s="62"/>
      <c r="DD778" s="62"/>
      <c r="DE778" s="62"/>
      <c r="DF778" s="62"/>
      <c r="DG778" s="62"/>
      <c r="DH778" s="62"/>
      <c r="DI778" s="62"/>
      <c r="DJ778" s="62"/>
      <c r="DK778" s="62"/>
      <c r="DL778" s="62"/>
      <c r="DM778" s="62"/>
      <c r="DN778" s="62"/>
      <c r="DO778" s="62"/>
      <c r="DP778" s="62"/>
      <c r="DQ778" s="62"/>
      <c r="DR778" s="62"/>
      <c r="DS778" s="62"/>
      <c r="DT778" s="62"/>
      <c r="DU778" s="62"/>
      <c r="DV778" s="62"/>
      <c r="DW778" s="62"/>
      <c r="DX778" s="62"/>
      <c r="DY778" s="62"/>
      <c r="DZ778" s="62"/>
      <c r="EA778" s="62"/>
      <c r="EB778" s="62"/>
      <c r="EC778" s="62"/>
      <c r="ED778" s="62"/>
      <c r="EE778" s="62"/>
      <c r="EF778" s="62"/>
      <c r="EG778" s="62"/>
      <c r="EH778" s="62"/>
      <c r="EI778" s="62"/>
      <c r="EJ778" s="62"/>
      <c r="EK778" s="62"/>
      <c r="EL778" s="62"/>
      <c r="EM778" s="62"/>
      <c r="EN778" s="62"/>
      <c r="EO778" s="62"/>
      <c r="EP778" s="62"/>
      <c r="EQ778" s="62"/>
      <c r="ER778" s="62"/>
      <c r="ES778" s="62"/>
      <c r="ET778" s="62"/>
      <c r="EU778" s="62"/>
      <c r="EV778" s="62"/>
      <c r="EW778" s="62"/>
      <c r="EX778" s="62"/>
      <c r="EY778" s="62"/>
      <c r="EZ778" s="62"/>
      <c r="FA778" s="62"/>
      <c r="FB778" s="62"/>
      <c r="FC778" s="62"/>
      <c r="FD778" s="62"/>
      <c r="FE778" s="62"/>
      <c r="FF778" s="62"/>
      <c r="FG778" s="62"/>
      <c r="FH778" s="62"/>
      <c r="FI778" s="62"/>
      <c r="FJ778" s="62"/>
      <c r="FK778" s="62"/>
      <c r="FL778" s="62"/>
      <c r="FM778" s="62"/>
      <c r="FN778" s="62"/>
      <c r="FO778" s="62"/>
      <c r="FP778" s="62"/>
      <c r="FQ778" s="62"/>
      <c r="FR778" s="62"/>
      <c r="FS778" s="62"/>
      <c r="FT778" s="62"/>
      <c r="FU778" s="62"/>
      <c r="FV778" s="62"/>
    </row>
    <row r="779" spans="1:178" ht="13.8">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c r="AY779" s="62"/>
      <c r="AZ779" s="62"/>
      <c r="BA779" s="62"/>
      <c r="BB779" s="62"/>
      <c r="BC779" s="62"/>
      <c r="BD779" s="62"/>
      <c r="BE779" s="62"/>
      <c r="BF779" s="62"/>
      <c r="BG779" s="62"/>
      <c r="BH779" s="62"/>
      <c r="BI779" s="62"/>
      <c r="BJ779" s="62"/>
      <c r="BK779" s="62"/>
      <c r="BL779" s="62"/>
      <c r="BM779" s="62"/>
      <c r="BN779" s="62"/>
      <c r="BO779" s="62"/>
      <c r="BP779" s="62"/>
      <c r="BQ779" s="62"/>
      <c r="BR779" s="62"/>
      <c r="BS779" s="62"/>
      <c r="BT779" s="62"/>
      <c r="BU779" s="62"/>
      <c r="BV779" s="62"/>
      <c r="BW779" s="62"/>
      <c r="BX779" s="62"/>
      <c r="BY779" s="62"/>
      <c r="BZ779" s="62"/>
      <c r="CA779" s="62"/>
      <c r="CB779" s="62"/>
      <c r="CC779" s="62"/>
      <c r="CD779" s="62"/>
      <c r="CE779" s="62"/>
      <c r="CF779" s="62"/>
      <c r="CG779" s="62"/>
      <c r="CH779" s="62"/>
      <c r="CI779" s="62"/>
      <c r="CJ779" s="62"/>
      <c r="CK779" s="62"/>
      <c r="CL779" s="62"/>
      <c r="CM779" s="62"/>
      <c r="CN779" s="62"/>
      <c r="CO779" s="62"/>
      <c r="CP779" s="62"/>
      <c r="CQ779" s="62"/>
      <c r="CR779" s="62"/>
      <c r="CS779" s="62"/>
      <c r="CT779" s="62"/>
      <c r="CU779" s="62"/>
      <c r="CV779" s="62"/>
      <c r="CW779" s="62"/>
      <c r="CX779" s="62"/>
      <c r="CY779" s="62"/>
      <c r="CZ779" s="62"/>
      <c r="DA779" s="62"/>
      <c r="DB779" s="62"/>
      <c r="DC779" s="62"/>
      <c r="DD779" s="62"/>
      <c r="DE779" s="62"/>
      <c r="DF779" s="62"/>
      <c r="DG779" s="62"/>
      <c r="DH779" s="62"/>
      <c r="DI779" s="62"/>
      <c r="DJ779" s="62"/>
      <c r="DK779" s="62"/>
      <c r="DL779" s="62"/>
      <c r="DM779" s="62"/>
      <c r="DN779" s="62"/>
      <c r="DO779" s="62"/>
      <c r="DP779" s="62"/>
      <c r="DQ779" s="62"/>
      <c r="DR779" s="62"/>
      <c r="DS779" s="62"/>
      <c r="DT779" s="62"/>
      <c r="DU779" s="62"/>
      <c r="DV779" s="62"/>
      <c r="DW779" s="62"/>
      <c r="DX779" s="62"/>
      <c r="DY779" s="62"/>
      <c r="DZ779" s="62"/>
      <c r="EA779" s="62"/>
      <c r="EB779" s="62"/>
      <c r="EC779" s="62"/>
      <c r="ED779" s="62"/>
      <c r="EE779" s="62"/>
      <c r="EF779" s="62"/>
      <c r="EG779" s="62"/>
      <c r="EH779" s="62"/>
      <c r="EI779" s="62"/>
      <c r="EJ779" s="62"/>
      <c r="EK779" s="62"/>
      <c r="EL779" s="62"/>
      <c r="EM779" s="62"/>
      <c r="EN779" s="62"/>
      <c r="EO779" s="62"/>
      <c r="EP779" s="62"/>
      <c r="EQ779" s="62"/>
      <c r="ER779" s="62"/>
      <c r="ES779" s="62"/>
      <c r="ET779" s="62"/>
      <c r="EU779" s="62"/>
      <c r="EV779" s="62"/>
      <c r="EW779" s="62"/>
      <c r="EX779" s="62"/>
      <c r="EY779" s="62"/>
      <c r="EZ779" s="62"/>
      <c r="FA779" s="62"/>
      <c r="FB779" s="62"/>
      <c r="FC779" s="62"/>
      <c r="FD779" s="62"/>
      <c r="FE779" s="62"/>
      <c r="FF779" s="62"/>
      <c r="FG779" s="62"/>
      <c r="FH779" s="62"/>
      <c r="FI779" s="62"/>
      <c r="FJ779" s="62"/>
      <c r="FK779" s="62"/>
      <c r="FL779" s="62"/>
      <c r="FM779" s="62"/>
      <c r="FN779" s="62"/>
      <c r="FO779" s="62"/>
      <c r="FP779" s="62"/>
      <c r="FQ779" s="62"/>
      <c r="FR779" s="62"/>
      <c r="FS779" s="62"/>
      <c r="FT779" s="62"/>
      <c r="FU779" s="62"/>
      <c r="FV779" s="62"/>
    </row>
    <row r="780" spans="1:178" ht="13.8">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c r="AY780" s="62"/>
      <c r="AZ780" s="62"/>
      <c r="BA780" s="62"/>
      <c r="BB780" s="62"/>
      <c r="BC780" s="62"/>
      <c r="BD780" s="62"/>
      <c r="BE780" s="62"/>
      <c r="BF780" s="62"/>
      <c r="BG780" s="62"/>
      <c r="BH780" s="62"/>
      <c r="BI780" s="62"/>
      <c r="BJ780" s="62"/>
      <c r="BK780" s="62"/>
      <c r="BL780" s="62"/>
      <c r="BM780" s="62"/>
      <c r="BN780" s="62"/>
      <c r="BO780" s="62"/>
      <c r="BP780" s="62"/>
      <c r="BQ780" s="62"/>
      <c r="BR780" s="62"/>
      <c r="BS780" s="62"/>
      <c r="BT780" s="62"/>
      <c r="BU780" s="62"/>
      <c r="BV780" s="62"/>
      <c r="BW780" s="62"/>
      <c r="BX780" s="62"/>
      <c r="BY780" s="62"/>
      <c r="BZ780" s="62"/>
      <c r="CA780" s="62"/>
      <c r="CB780" s="62"/>
      <c r="CC780" s="62"/>
      <c r="CD780" s="62"/>
      <c r="CE780" s="62"/>
      <c r="CF780" s="62"/>
      <c r="CG780" s="62"/>
      <c r="CH780" s="62"/>
      <c r="CI780" s="62"/>
      <c r="CJ780" s="62"/>
      <c r="CK780" s="62"/>
      <c r="CL780" s="62"/>
      <c r="CM780" s="62"/>
      <c r="CN780" s="62"/>
      <c r="CO780" s="62"/>
      <c r="CP780" s="62"/>
      <c r="CQ780" s="62"/>
      <c r="CR780" s="62"/>
      <c r="CS780" s="62"/>
      <c r="CT780" s="62"/>
      <c r="CU780" s="62"/>
      <c r="CV780" s="62"/>
      <c r="CW780" s="62"/>
      <c r="CX780" s="62"/>
      <c r="CY780" s="62"/>
      <c r="CZ780" s="62"/>
      <c r="DA780" s="62"/>
      <c r="DB780" s="62"/>
      <c r="DC780" s="62"/>
      <c r="DD780" s="62"/>
      <c r="DE780" s="62"/>
      <c r="DF780" s="62"/>
      <c r="DG780" s="62"/>
      <c r="DH780" s="62"/>
      <c r="DI780" s="62"/>
      <c r="DJ780" s="62"/>
      <c r="DK780" s="62"/>
      <c r="DL780" s="62"/>
      <c r="DM780" s="62"/>
      <c r="DN780" s="62"/>
      <c r="DO780" s="62"/>
      <c r="DP780" s="62"/>
      <c r="DQ780" s="62"/>
      <c r="DR780" s="62"/>
      <c r="DS780" s="62"/>
      <c r="DT780" s="62"/>
      <c r="DU780" s="62"/>
      <c r="DV780" s="62"/>
      <c r="DW780" s="62"/>
      <c r="DX780" s="62"/>
      <c r="DY780" s="62"/>
      <c r="DZ780" s="62"/>
      <c r="EA780" s="62"/>
      <c r="EB780" s="62"/>
      <c r="EC780" s="62"/>
      <c r="ED780" s="62"/>
      <c r="EE780" s="62"/>
      <c r="EF780" s="62"/>
      <c r="EG780" s="62"/>
      <c r="EH780" s="62"/>
      <c r="EI780" s="62"/>
      <c r="EJ780" s="62"/>
      <c r="EK780" s="62"/>
      <c r="EL780" s="62"/>
      <c r="EM780" s="62"/>
      <c r="EN780" s="62"/>
      <c r="EO780" s="62"/>
      <c r="EP780" s="62"/>
      <c r="EQ780" s="62"/>
      <c r="ER780" s="62"/>
      <c r="ES780" s="62"/>
      <c r="ET780" s="62"/>
      <c r="EU780" s="62"/>
      <c r="EV780" s="62"/>
      <c r="EW780" s="62"/>
      <c r="EX780" s="62"/>
      <c r="EY780" s="62"/>
      <c r="EZ780" s="62"/>
      <c r="FA780" s="62"/>
      <c r="FB780" s="62"/>
      <c r="FC780" s="62"/>
      <c r="FD780" s="62"/>
      <c r="FE780" s="62"/>
      <c r="FF780" s="62"/>
      <c r="FG780" s="62"/>
      <c r="FH780" s="62"/>
      <c r="FI780" s="62"/>
      <c r="FJ780" s="62"/>
      <c r="FK780" s="62"/>
      <c r="FL780" s="62"/>
      <c r="FM780" s="62"/>
      <c r="FN780" s="62"/>
      <c r="FO780" s="62"/>
      <c r="FP780" s="62"/>
      <c r="FQ780" s="62"/>
      <c r="FR780" s="62"/>
      <c r="FS780" s="62"/>
      <c r="FT780" s="62"/>
      <c r="FU780" s="62"/>
      <c r="FV780" s="62"/>
    </row>
    <row r="781" spans="1:178" ht="13.8">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c r="AY781" s="62"/>
      <c r="AZ781" s="62"/>
      <c r="BA781" s="62"/>
      <c r="BB781" s="62"/>
      <c r="BC781" s="62"/>
      <c r="BD781" s="62"/>
      <c r="BE781" s="62"/>
      <c r="BF781" s="62"/>
      <c r="BG781" s="62"/>
      <c r="BH781" s="62"/>
      <c r="BI781" s="62"/>
      <c r="BJ781" s="62"/>
      <c r="BK781" s="62"/>
      <c r="BL781" s="62"/>
      <c r="BM781" s="62"/>
      <c r="BN781" s="62"/>
      <c r="BO781" s="62"/>
      <c r="BP781" s="62"/>
      <c r="BQ781" s="62"/>
      <c r="BR781" s="62"/>
      <c r="BS781" s="62"/>
      <c r="BT781" s="62"/>
      <c r="BU781" s="62"/>
      <c r="BV781" s="62"/>
      <c r="BW781" s="62"/>
      <c r="BX781" s="62"/>
      <c r="BY781" s="62"/>
      <c r="BZ781" s="62"/>
      <c r="CA781" s="62"/>
      <c r="CB781" s="62"/>
      <c r="CC781" s="62"/>
      <c r="CD781" s="62"/>
      <c r="CE781" s="62"/>
      <c r="CF781" s="62"/>
      <c r="CG781" s="62"/>
      <c r="CH781" s="62"/>
      <c r="CI781" s="62"/>
      <c r="CJ781" s="62"/>
      <c r="CK781" s="62"/>
      <c r="CL781" s="62"/>
      <c r="CM781" s="62"/>
      <c r="CN781" s="62"/>
      <c r="CO781" s="62"/>
      <c r="CP781" s="62"/>
      <c r="CQ781" s="62"/>
      <c r="CR781" s="62"/>
      <c r="CS781" s="62"/>
      <c r="CT781" s="62"/>
      <c r="CU781" s="62"/>
      <c r="CV781" s="62"/>
      <c r="CW781" s="62"/>
      <c r="CX781" s="62"/>
      <c r="CY781" s="62"/>
      <c r="CZ781" s="62"/>
      <c r="DA781" s="62"/>
      <c r="DB781" s="62"/>
      <c r="DC781" s="62"/>
      <c r="DD781" s="62"/>
      <c r="DE781" s="62"/>
      <c r="DF781" s="62"/>
      <c r="DG781" s="62"/>
      <c r="DH781" s="62"/>
      <c r="DI781" s="62"/>
      <c r="DJ781" s="62"/>
      <c r="DK781" s="62"/>
      <c r="DL781" s="62"/>
      <c r="DM781" s="62"/>
      <c r="DN781" s="62"/>
      <c r="DO781" s="62"/>
      <c r="DP781" s="62"/>
      <c r="DQ781" s="62"/>
      <c r="DR781" s="62"/>
      <c r="DS781" s="62"/>
      <c r="DT781" s="62"/>
      <c r="DU781" s="62"/>
      <c r="DV781" s="62"/>
      <c r="DW781" s="62"/>
      <c r="DX781" s="62"/>
      <c r="DY781" s="62"/>
      <c r="DZ781" s="62"/>
      <c r="EA781" s="62"/>
      <c r="EB781" s="62"/>
      <c r="EC781" s="62"/>
      <c r="ED781" s="62"/>
      <c r="EE781" s="62"/>
      <c r="EF781" s="62"/>
      <c r="EG781" s="62"/>
      <c r="EH781" s="62"/>
      <c r="EI781" s="62"/>
      <c r="EJ781" s="62"/>
      <c r="EK781" s="62"/>
      <c r="EL781" s="62"/>
      <c r="EM781" s="62"/>
      <c r="EN781" s="62"/>
      <c r="EO781" s="62"/>
      <c r="EP781" s="62"/>
      <c r="EQ781" s="62"/>
      <c r="ER781" s="62"/>
      <c r="ES781" s="62"/>
      <c r="ET781" s="62"/>
      <c r="EU781" s="62"/>
      <c r="EV781" s="62"/>
      <c r="EW781" s="62"/>
      <c r="EX781" s="62"/>
      <c r="EY781" s="62"/>
      <c r="EZ781" s="62"/>
      <c r="FA781" s="62"/>
      <c r="FB781" s="62"/>
      <c r="FC781" s="62"/>
      <c r="FD781" s="62"/>
      <c r="FE781" s="62"/>
      <c r="FF781" s="62"/>
      <c r="FG781" s="62"/>
      <c r="FH781" s="62"/>
      <c r="FI781" s="62"/>
      <c r="FJ781" s="62"/>
      <c r="FK781" s="62"/>
      <c r="FL781" s="62"/>
      <c r="FM781" s="62"/>
      <c r="FN781" s="62"/>
      <c r="FO781" s="62"/>
      <c r="FP781" s="62"/>
      <c r="FQ781" s="62"/>
      <c r="FR781" s="62"/>
      <c r="FS781" s="62"/>
      <c r="FT781" s="62"/>
      <c r="FU781" s="62"/>
      <c r="FV781" s="62"/>
    </row>
    <row r="782" spans="1:178" ht="13.8">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c r="AY782" s="62"/>
      <c r="AZ782" s="62"/>
      <c r="BA782" s="62"/>
      <c r="BB782" s="62"/>
      <c r="BC782" s="62"/>
      <c r="BD782" s="62"/>
      <c r="BE782" s="62"/>
      <c r="BF782" s="62"/>
      <c r="BG782" s="62"/>
      <c r="BH782" s="62"/>
      <c r="BI782" s="62"/>
      <c r="BJ782" s="62"/>
      <c r="BK782" s="62"/>
      <c r="BL782" s="62"/>
      <c r="BM782" s="62"/>
      <c r="BN782" s="62"/>
      <c r="BO782" s="62"/>
      <c r="BP782" s="62"/>
      <c r="BQ782" s="62"/>
      <c r="BR782" s="62"/>
      <c r="BS782" s="62"/>
      <c r="BT782" s="62"/>
      <c r="BU782" s="62"/>
      <c r="BV782" s="62"/>
      <c r="BW782" s="62"/>
      <c r="BX782" s="62"/>
      <c r="BY782" s="62"/>
      <c r="BZ782" s="62"/>
      <c r="CA782" s="62"/>
      <c r="CB782" s="62"/>
      <c r="CC782" s="62"/>
      <c r="CD782" s="62"/>
      <c r="CE782" s="62"/>
      <c r="CF782" s="62"/>
      <c r="CG782" s="62"/>
      <c r="CH782" s="62"/>
      <c r="CI782" s="62"/>
      <c r="CJ782" s="62"/>
      <c r="CK782" s="62"/>
      <c r="CL782" s="62"/>
      <c r="CM782" s="62"/>
      <c r="CN782" s="62"/>
      <c r="CO782" s="62"/>
      <c r="CP782" s="62"/>
      <c r="CQ782" s="62"/>
      <c r="CR782" s="62"/>
      <c r="CS782" s="62"/>
      <c r="CT782" s="62"/>
      <c r="CU782" s="62"/>
      <c r="CV782" s="62"/>
      <c r="CW782" s="62"/>
      <c r="CX782" s="62"/>
      <c r="CY782" s="62"/>
      <c r="CZ782" s="62"/>
      <c r="DA782" s="62"/>
      <c r="DB782" s="62"/>
      <c r="DC782" s="62"/>
      <c r="DD782" s="62"/>
      <c r="DE782" s="62"/>
      <c r="DF782" s="62"/>
      <c r="DG782" s="62"/>
      <c r="DH782" s="62"/>
      <c r="DI782" s="62"/>
      <c r="DJ782" s="62"/>
      <c r="DK782" s="62"/>
      <c r="DL782" s="62"/>
      <c r="DM782" s="62"/>
      <c r="DN782" s="62"/>
      <c r="DO782" s="62"/>
      <c r="DP782" s="62"/>
      <c r="DQ782" s="62"/>
      <c r="DR782" s="62"/>
      <c r="DS782" s="62"/>
      <c r="DT782" s="62"/>
      <c r="DU782" s="62"/>
      <c r="DV782" s="62"/>
      <c r="DW782" s="62"/>
      <c r="DX782" s="62"/>
      <c r="DY782" s="62"/>
      <c r="DZ782" s="62"/>
      <c r="EA782" s="62"/>
      <c r="EB782" s="62"/>
      <c r="EC782" s="62"/>
      <c r="ED782" s="62"/>
      <c r="EE782" s="62"/>
      <c r="EF782" s="62"/>
      <c r="EG782" s="62"/>
      <c r="EH782" s="62"/>
      <c r="EI782" s="62"/>
      <c r="EJ782" s="62"/>
      <c r="EK782" s="62"/>
      <c r="EL782" s="62"/>
      <c r="EM782" s="62"/>
      <c r="EN782" s="62"/>
      <c r="EO782" s="62"/>
      <c r="EP782" s="62"/>
      <c r="EQ782" s="62"/>
      <c r="ER782" s="62"/>
      <c r="ES782" s="62"/>
      <c r="ET782" s="62"/>
      <c r="EU782" s="62"/>
      <c r="EV782" s="62"/>
      <c r="EW782" s="62"/>
      <c r="EX782" s="62"/>
      <c r="EY782" s="62"/>
      <c r="EZ782" s="62"/>
      <c r="FA782" s="62"/>
      <c r="FB782" s="62"/>
      <c r="FC782" s="62"/>
      <c r="FD782" s="62"/>
      <c r="FE782" s="62"/>
      <c r="FF782" s="62"/>
      <c r="FG782" s="62"/>
      <c r="FH782" s="62"/>
      <c r="FI782" s="62"/>
      <c r="FJ782" s="62"/>
      <c r="FK782" s="62"/>
      <c r="FL782" s="62"/>
      <c r="FM782" s="62"/>
      <c r="FN782" s="62"/>
      <c r="FO782" s="62"/>
      <c r="FP782" s="62"/>
      <c r="FQ782" s="62"/>
      <c r="FR782" s="62"/>
      <c r="FS782" s="62"/>
      <c r="FT782" s="62"/>
      <c r="FU782" s="62"/>
      <c r="FV782" s="62"/>
    </row>
    <row r="783" spans="1:178" ht="13.8">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c r="AY783" s="62"/>
      <c r="AZ783" s="62"/>
      <c r="BA783" s="62"/>
      <c r="BB783" s="62"/>
      <c r="BC783" s="62"/>
      <c r="BD783" s="62"/>
      <c r="BE783" s="62"/>
      <c r="BF783" s="62"/>
      <c r="BG783" s="62"/>
      <c r="BH783" s="62"/>
      <c r="BI783" s="62"/>
      <c r="BJ783" s="62"/>
      <c r="BK783" s="62"/>
      <c r="BL783" s="62"/>
      <c r="BM783" s="62"/>
      <c r="BN783" s="62"/>
      <c r="BO783" s="62"/>
      <c r="BP783" s="62"/>
      <c r="BQ783" s="62"/>
      <c r="BR783" s="62"/>
      <c r="BS783" s="62"/>
      <c r="BT783" s="62"/>
      <c r="BU783" s="62"/>
      <c r="BV783" s="62"/>
      <c r="BW783" s="62"/>
      <c r="BX783" s="62"/>
      <c r="BY783" s="62"/>
      <c r="BZ783" s="62"/>
      <c r="CA783" s="62"/>
      <c r="CB783" s="62"/>
      <c r="CC783" s="62"/>
      <c r="CD783" s="62"/>
      <c r="CE783" s="62"/>
      <c r="CF783" s="62"/>
      <c r="CG783" s="62"/>
      <c r="CH783" s="62"/>
      <c r="CI783" s="62"/>
      <c r="CJ783" s="62"/>
      <c r="CK783" s="62"/>
      <c r="CL783" s="62"/>
      <c r="CM783" s="62"/>
      <c r="CN783" s="62"/>
      <c r="CO783" s="62"/>
      <c r="CP783" s="62"/>
      <c r="CQ783" s="62"/>
      <c r="CR783" s="62"/>
      <c r="CS783" s="62"/>
      <c r="CT783" s="62"/>
      <c r="CU783" s="62"/>
      <c r="CV783" s="62"/>
      <c r="CW783" s="62"/>
      <c r="CX783" s="62"/>
      <c r="CY783" s="62"/>
      <c r="CZ783" s="62"/>
      <c r="DA783" s="62"/>
      <c r="DB783" s="62"/>
      <c r="DC783" s="62"/>
      <c r="DD783" s="62"/>
      <c r="DE783" s="62"/>
      <c r="DF783" s="62"/>
      <c r="DG783" s="62"/>
      <c r="DH783" s="62"/>
      <c r="DI783" s="62"/>
      <c r="DJ783" s="62"/>
      <c r="DK783" s="62"/>
      <c r="DL783" s="62"/>
      <c r="DM783" s="62"/>
      <c r="DN783" s="62"/>
      <c r="DO783" s="62"/>
      <c r="DP783" s="62"/>
      <c r="DQ783" s="62"/>
      <c r="DR783" s="62"/>
      <c r="DS783" s="62"/>
      <c r="DT783" s="62"/>
      <c r="DU783" s="62"/>
      <c r="DV783" s="62"/>
      <c r="DW783" s="62"/>
      <c r="DX783" s="62"/>
      <c r="DY783" s="62"/>
      <c r="DZ783" s="62"/>
      <c r="EA783" s="62"/>
      <c r="EB783" s="62"/>
      <c r="EC783" s="62"/>
      <c r="ED783" s="62"/>
      <c r="EE783" s="62"/>
      <c r="EF783" s="62"/>
      <c r="EG783" s="62"/>
      <c r="EH783" s="62"/>
      <c r="EI783" s="62"/>
      <c r="EJ783" s="62"/>
      <c r="EK783" s="62"/>
      <c r="EL783" s="62"/>
      <c r="EM783" s="62"/>
      <c r="EN783" s="62"/>
      <c r="EO783" s="62"/>
      <c r="EP783" s="62"/>
      <c r="EQ783" s="62"/>
      <c r="ER783" s="62"/>
      <c r="ES783" s="62"/>
      <c r="ET783" s="62"/>
      <c r="EU783" s="62"/>
      <c r="EV783" s="62"/>
      <c r="EW783" s="62"/>
      <c r="EX783" s="62"/>
      <c r="EY783" s="62"/>
      <c r="EZ783" s="62"/>
      <c r="FA783" s="62"/>
      <c r="FB783" s="62"/>
      <c r="FC783" s="62"/>
      <c r="FD783" s="62"/>
      <c r="FE783" s="62"/>
      <c r="FF783" s="62"/>
      <c r="FG783" s="62"/>
      <c r="FH783" s="62"/>
      <c r="FI783" s="62"/>
      <c r="FJ783" s="62"/>
      <c r="FK783" s="62"/>
      <c r="FL783" s="62"/>
      <c r="FM783" s="62"/>
      <c r="FN783" s="62"/>
      <c r="FO783" s="62"/>
      <c r="FP783" s="62"/>
      <c r="FQ783" s="62"/>
      <c r="FR783" s="62"/>
      <c r="FS783" s="62"/>
      <c r="FT783" s="62"/>
      <c r="FU783" s="62"/>
      <c r="FV783" s="62"/>
    </row>
    <row r="784" spans="1:178" ht="13.8">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c r="AY784" s="62"/>
      <c r="AZ784" s="62"/>
      <c r="BA784" s="62"/>
      <c r="BB784" s="62"/>
      <c r="BC784" s="62"/>
      <c r="BD784" s="62"/>
      <c r="BE784" s="62"/>
      <c r="BF784" s="62"/>
      <c r="BG784" s="62"/>
      <c r="BH784" s="62"/>
      <c r="BI784" s="62"/>
      <c r="BJ784" s="62"/>
      <c r="BK784" s="62"/>
      <c r="BL784" s="62"/>
      <c r="BM784" s="62"/>
      <c r="BN784" s="62"/>
      <c r="BO784" s="62"/>
      <c r="BP784" s="62"/>
      <c r="BQ784" s="62"/>
      <c r="BR784" s="62"/>
      <c r="BS784" s="62"/>
      <c r="BT784" s="62"/>
      <c r="BU784" s="62"/>
      <c r="BV784" s="62"/>
      <c r="BW784" s="62"/>
      <c r="BX784" s="62"/>
      <c r="BY784" s="62"/>
      <c r="BZ784" s="62"/>
      <c r="CA784" s="62"/>
      <c r="CB784" s="62"/>
      <c r="CC784" s="62"/>
      <c r="CD784" s="62"/>
      <c r="CE784" s="62"/>
      <c r="CF784" s="62"/>
      <c r="CG784" s="62"/>
      <c r="CH784" s="62"/>
      <c r="CI784" s="62"/>
      <c r="CJ784" s="62"/>
      <c r="CK784" s="62"/>
      <c r="CL784" s="62"/>
      <c r="CM784" s="62"/>
      <c r="CN784" s="62"/>
      <c r="CO784" s="62"/>
      <c r="CP784" s="62"/>
      <c r="CQ784" s="62"/>
      <c r="CR784" s="62"/>
      <c r="CS784" s="62"/>
      <c r="CT784" s="62"/>
      <c r="CU784" s="62"/>
      <c r="CV784" s="62"/>
      <c r="CW784" s="62"/>
      <c r="CX784" s="62"/>
      <c r="CY784" s="62"/>
      <c r="CZ784" s="62"/>
      <c r="DA784" s="62"/>
      <c r="DB784" s="62"/>
      <c r="DC784" s="62"/>
      <c r="DD784" s="62"/>
      <c r="DE784" s="62"/>
      <c r="DF784" s="62"/>
      <c r="DG784" s="62"/>
      <c r="DH784" s="62"/>
      <c r="DI784" s="62"/>
      <c r="DJ784" s="62"/>
      <c r="DK784" s="62"/>
      <c r="DL784" s="62"/>
      <c r="DM784" s="62"/>
      <c r="DN784" s="62"/>
      <c r="DO784" s="62"/>
      <c r="DP784" s="62"/>
      <c r="DQ784" s="62"/>
      <c r="DR784" s="62"/>
      <c r="DS784" s="62"/>
      <c r="DT784" s="62"/>
      <c r="DU784" s="62"/>
      <c r="DV784" s="62"/>
      <c r="DW784" s="62"/>
      <c r="DX784" s="62"/>
      <c r="DY784" s="62"/>
      <c r="DZ784" s="62"/>
      <c r="EA784" s="62"/>
      <c r="EB784" s="62"/>
      <c r="EC784" s="62"/>
      <c r="ED784" s="62"/>
      <c r="EE784" s="62"/>
      <c r="EF784" s="62"/>
      <c r="EG784" s="62"/>
      <c r="EH784" s="62"/>
      <c r="EI784" s="62"/>
      <c r="EJ784" s="62"/>
      <c r="EK784" s="62"/>
      <c r="EL784" s="62"/>
      <c r="EM784" s="62"/>
      <c r="EN784" s="62"/>
      <c r="EO784" s="62"/>
      <c r="EP784" s="62"/>
      <c r="EQ784" s="62"/>
      <c r="ER784" s="62"/>
      <c r="ES784" s="62"/>
      <c r="ET784" s="62"/>
      <c r="EU784" s="62"/>
      <c r="EV784" s="62"/>
      <c r="EW784" s="62"/>
      <c r="EX784" s="62"/>
      <c r="EY784" s="62"/>
      <c r="EZ784" s="62"/>
      <c r="FA784" s="62"/>
      <c r="FB784" s="62"/>
      <c r="FC784" s="62"/>
      <c r="FD784" s="62"/>
      <c r="FE784" s="62"/>
      <c r="FF784" s="62"/>
      <c r="FG784" s="62"/>
      <c r="FH784" s="62"/>
      <c r="FI784" s="62"/>
      <c r="FJ784" s="62"/>
      <c r="FK784" s="62"/>
      <c r="FL784" s="62"/>
      <c r="FM784" s="62"/>
      <c r="FN784" s="62"/>
      <c r="FO784" s="62"/>
      <c r="FP784" s="62"/>
      <c r="FQ784" s="62"/>
      <c r="FR784" s="62"/>
      <c r="FS784" s="62"/>
      <c r="FT784" s="62"/>
      <c r="FU784" s="62"/>
      <c r="FV784" s="62"/>
    </row>
    <row r="785" spans="1:178" ht="13.8">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c r="AY785" s="62"/>
      <c r="AZ785" s="62"/>
      <c r="BA785" s="62"/>
      <c r="BB785" s="62"/>
      <c r="BC785" s="62"/>
      <c r="BD785" s="62"/>
      <c r="BE785" s="62"/>
      <c r="BF785" s="62"/>
      <c r="BG785" s="62"/>
      <c r="BH785" s="62"/>
      <c r="BI785" s="62"/>
      <c r="BJ785" s="62"/>
      <c r="BK785" s="62"/>
      <c r="BL785" s="62"/>
      <c r="BM785" s="62"/>
      <c r="BN785" s="62"/>
      <c r="BO785" s="62"/>
      <c r="BP785" s="62"/>
      <c r="BQ785" s="62"/>
      <c r="BR785" s="62"/>
      <c r="BS785" s="62"/>
      <c r="BT785" s="62"/>
      <c r="BU785" s="62"/>
      <c r="BV785" s="62"/>
      <c r="BW785" s="62"/>
      <c r="BX785" s="62"/>
      <c r="BY785" s="62"/>
      <c r="BZ785" s="62"/>
      <c r="CA785" s="62"/>
      <c r="CB785" s="62"/>
      <c r="CC785" s="62"/>
      <c r="CD785" s="62"/>
      <c r="CE785" s="62"/>
      <c r="CF785" s="62"/>
      <c r="CG785" s="62"/>
      <c r="CH785" s="62"/>
      <c r="CI785" s="62"/>
      <c r="CJ785" s="62"/>
      <c r="CK785" s="62"/>
      <c r="CL785" s="62"/>
      <c r="CM785" s="62"/>
      <c r="CN785" s="62"/>
      <c r="CO785" s="62"/>
      <c r="CP785" s="62"/>
      <c r="CQ785" s="62"/>
      <c r="CR785" s="62"/>
      <c r="CS785" s="62"/>
      <c r="CT785" s="62"/>
      <c r="CU785" s="62"/>
      <c r="CV785" s="62"/>
      <c r="CW785" s="62"/>
      <c r="CX785" s="62"/>
      <c r="CY785" s="62"/>
      <c r="CZ785" s="62"/>
      <c r="DA785" s="62"/>
      <c r="DB785" s="62"/>
      <c r="DC785" s="62"/>
      <c r="DD785" s="62"/>
      <c r="DE785" s="62"/>
      <c r="DF785" s="62"/>
      <c r="DG785" s="62"/>
      <c r="DH785" s="62"/>
      <c r="DI785" s="62"/>
      <c r="DJ785" s="62"/>
      <c r="DK785" s="62"/>
      <c r="DL785" s="62"/>
      <c r="DM785" s="62"/>
      <c r="DN785" s="62"/>
      <c r="DO785" s="62"/>
      <c r="DP785" s="62"/>
      <c r="DQ785" s="62"/>
      <c r="DR785" s="62"/>
      <c r="DS785" s="62"/>
      <c r="DT785" s="62"/>
      <c r="DU785" s="62"/>
      <c r="DV785" s="62"/>
      <c r="DW785" s="62"/>
      <c r="DX785" s="62"/>
      <c r="DY785" s="62"/>
      <c r="DZ785" s="62"/>
      <c r="EA785" s="62"/>
      <c r="EB785" s="62"/>
      <c r="EC785" s="62"/>
      <c r="ED785" s="62"/>
      <c r="EE785" s="62"/>
      <c r="EF785" s="62"/>
      <c r="EG785" s="62"/>
      <c r="EH785" s="62"/>
      <c r="EI785" s="62"/>
      <c r="EJ785" s="62"/>
      <c r="EK785" s="62"/>
      <c r="EL785" s="62"/>
      <c r="EM785" s="62"/>
      <c r="EN785" s="62"/>
      <c r="EO785" s="62"/>
      <c r="EP785" s="62"/>
      <c r="EQ785" s="62"/>
      <c r="ER785" s="62"/>
      <c r="ES785" s="62"/>
      <c r="ET785" s="62"/>
      <c r="EU785" s="62"/>
      <c r="EV785" s="62"/>
      <c r="EW785" s="62"/>
      <c r="EX785" s="62"/>
      <c r="EY785" s="62"/>
      <c r="EZ785" s="62"/>
      <c r="FA785" s="62"/>
      <c r="FB785" s="62"/>
      <c r="FC785" s="62"/>
      <c r="FD785" s="62"/>
      <c r="FE785" s="62"/>
      <c r="FF785" s="62"/>
      <c r="FG785" s="62"/>
      <c r="FH785" s="62"/>
      <c r="FI785" s="62"/>
      <c r="FJ785" s="62"/>
      <c r="FK785" s="62"/>
      <c r="FL785" s="62"/>
      <c r="FM785" s="62"/>
      <c r="FN785" s="62"/>
      <c r="FO785" s="62"/>
      <c r="FP785" s="62"/>
      <c r="FQ785" s="62"/>
      <c r="FR785" s="62"/>
      <c r="FS785" s="62"/>
      <c r="FT785" s="62"/>
      <c r="FU785" s="62"/>
      <c r="FV785" s="62"/>
    </row>
    <row r="786" spans="1:178" ht="13.8">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c r="AY786" s="62"/>
      <c r="AZ786" s="62"/>
      <c r="BA786" s="62"/>
      <c r="BB786" s="62"/>
      <c r="BC786" s="62"/>
      <c r="BD786" s="62"/>
      <c r="BE786" s="62"/>
      <c r="BF786" s="62"/>
      <c r="BG786" s="62"/>
      <c r="BH786" s="62"/>
      <c r="BI786" s="62"/>
      <c r="BJ786" s="62"/>
      <c r="BK786" s="62"/>
      <c r="BL786" s="62"/>
      <c r="BM786" s="62"/>
      <c r="BN786" s="62"/>
      <c r="BO786" s="62"/>
      <c r="BP786" s="62"/>
      <c r="BQ786" s="62"/>
      <c r="BR786" s="62"/>
      <c r="BS786" s="62"/>
      <c r="BT786" s="62"/>
      <c r="BU786" s="62"/>
      <c r="BV786" s="62"/>
      <c r="BW786" s="62"/>
      <c r="BX786" s="62"/>
      <c r="BY786" s="62"/>
      <c r="BZ786" s="62"/>
      <c r="CA786" s="62"/>
      <c r="CB786" s="62"/>
      <c r="CC786" s="62"/>
      <c r="CD786" s="62"/>
      <c r="CE786" s="62"/>
      <c r="CF786" s="62"/>
      <c r="CG786" s="62"/>
      <c r="CH786" s="62"/>
      <c r="CI786" s="62"/>
      <c r="CJ786" s="62"/>
      <c r="CK786" s="62"/>
      <c r="CL786" s="62"/>
      <c r="CM786" s="62"/>
      <c r="CN786" s="62"/>
      <c r="CO786" s="62"/>
      <c r="CP786" s="62"/>
      <c r="CQ786" s="62"/>
      <c r="CR786" s="62"/>
      <c r="CS786" s="62"/>
      <c r="CT786" s="62"/>
      <c r="CU786" s="62"/>
      <c r="CV786" s="62"/>
      <c r="CW786" s="62"/>
      <c r="CX786" s="62"/>
      <c r="CY786" s="62"/>
      <c r="CZ786" s="62"/>
      <c r="DA786" s="62"/>
      <c r="DB786" s="62"/>
      <c r="DC786" s="62"/>
      <c r="DD786" s="62"/>
      <c r="DE786" s="62"/>
      <c r="DF786" s="62"/>
      <c r="DG786" s="62"/>
      <c r="DH786" s="62"/>
      <c r="DI786" s="62"/>
      <c r="DJ786" s="62"/>
      <c r="DK786" s="62"/>
      <c r="DL786" s="62"/>
      <c r="DM786" s="62"/>
      <c r="DN786" s="62"/>
      <c r="DO786" s="62"/>
      <c r="DP786" s="62"/>
      <c r="DQ786" s="62"/>
      <c r="DR786" s="62"/>
      <c r="DS786" s="62"/>
      <c r="DT786" s="62"/>
      <c r="DU786" s="62"/>
      <c r="DV786" s="62"/>
      <c r="DW786" s="62"/>
      <c r="DX786" s="62"/>
      <c r="DY786" s="62"/>
      <c r="DZ786" s="62"/>
      <c r="EA786" s="62"/>
      <c r="EB786" s="62"/>
      <c r="EC786" s="62"/>
      <c r="ED786" s="62"/>
      <c r="EE786" s="62"/>
      <c r="EF786" s="62"/>
      <c r="EG786" s="62"/>
      <c r="EH786" s="62"/>
      <c r="EI786" s="62"/>
      <c r="EJ786" s="62"/>
      <c r="EK786" s="62"/>
      <c r="EL786" s="62"/>
      <c r="EM786" s="62"/>
      <c r="EN786" s="62"/>
      <c r="EO786" s="62"/>
      <c r="EP786" s="62"/>
      <c r="EQ786" s="62"/>
      <c r="ER786" s="62"/>
      <c r="ES786" s="62"/>
      <c r="ET786" s="62"/>
      <c r="EU786" s="62"/>
      <c r="EV786" s="62"/>
      <c r="EW786" s="62"/>
      <c r="EX786" s="62"/>
      <c r="EY786" s="62"/>
      <c r="EZ786" s="62"/>
      <c r="FA786" s="62"/>
      <c r="FB786" s="62"/>
      <c r="FC786" s="62"/>
      <c r="FD786" s="62"/>
      <c r="FE786" s="62"/>
      <c r="FF786" s="62"/>
      <c r="FG786" s="62"/>
      <c r="FH786" s="62"/>
      <c r="FI786" s="62"/>
      <c r="FJ786" s="62"/>
      <c r="FK786" s="62"/>
      <c r="FL786" s="62"/>
      <c r="FM786" s="62"/>
      <c r="FN786" s="62"/>
      <c r="FO786" s="62"/>
      <c r="FP786" s="62"/>
      <c r="FQ786" s="62"/>
      <c r="FR786" s="62"/>
      <c r="FS786" s="62"/>
      <c r="FT786" s="62"/>
      <c r="FU786" s="62"/>
      <c r="FV786" s="62"/>
    </row>
    <row r="787" spans="1:178" ht="13.8">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c r="AY787" s="62"/>
      <c r="AZ787" s="62"/>
      <c r="BA787" s="62"/>
      <c r="BB787" s="62"/>
      <c r="BC787" s="62"/>
      <c r="BD787" s="62"/>
      <c r="BE787" s="62"/>
      <c r="BF787" s="62"/>
      <c r="BG787" s="62"/>
      <c r="BH787" s="62"/>
      <c r="BI787" s="62"/>
      <c r="BJ787" s="62"/>
      <c r="BK787" s="62"/>
      <c r="BL787" s="62"/>
      <c r="BM787" s="62"/>
      <c r="BN787" s="62"/>
      <c r="BO787" s="62"/>
      <c r="BP787" s="62"/>
      <c r="BQ787" s="62"/>
      <c r="BR787" s="62"/>
      <c r="BS787" s="62"/>
      <c r="BT787" s="62"/>
      <c r="BU787" s="62"/>
      <c r="BV787" s="62"/>
      <c r="BW787" s="62"/>
      <c r="BX787" s="62"/>
      <c r="BY787" s="62"/>
      <c r="BZ787" s="62"/>
      <c r="CA787" s="62"/>
      <c r="CB787" s="62"/>
      <c r="CC787" s="62"/>
      <c r="CD787" s="62"/>
      <c r="CE787" s="62"/>
      <c r="CF787" s="62"/>
      <c r="CG787" s="62"/>
      <c r="CH787" s="62"/>
      <c r="CI787" s="62"/>
      <c r="CJ787" s="62"/>
      <c r="CK787" s="62"/>
      <c r="CL787" s="62"/>
      <c r="CM787" s="62"/>
      <c r="CN787" s="62"/>
      <c r="CO787" s="62"/>
      <c r="CP787" s="62"/>
      <c r="CQ787" s="62"/>
      <c r="CR787" s="62"/>
      <c r="CS787" s="62"/>
      <c r="CT787" s="62"/>
      <c r="CU787" s="62"/>
      <c r="CV787" s="62"/>
      <c r="CW787" s="62"/>
      <c r="CX787" s="62"/>
      <c r="CY787" s="62"/>
      <c r="CZ787" s="62"/>
      <c r="DA787" s="62"/>
      <c r="DB787" s="62"/>
      <c r="DC787" s="62"/>
      <c r="DD787" s="62"/>
      <c r="DE787" s="62"/>
      <c r="DF787" s="62"/>
      <c r="DG787" s="62"/>
      <c r="DH787" s="62"/>
      <c r="DI787" s="62"/>
      <c r="DJ787" s="62"/>
      <c r="DK787" s="62"/>
      <c r="DL787" s="62"/>
      <c r="DM787" s="62"/>
      <c r="DN787" s="62"/>
      <c r="DO787" s="62"/>
      <c r="DP787" s="62"/>
      <c r="DQ787" s="62"/>
      <c r="DR787" s="62"/>
      <c r="DS787" s="62"/>
      <c r="DT787" s="62"/>
      <c r="DU787" s="62"/>
      <c r="DV787" s="62"/>
      <c r="DW787" s="62"/>
      <c r="DX787" s="62"/>
      <c r="DY787" s="62"/>
      <c r="DZ787" s="62"/>
      <c r="EA787" s="62"/>
      <c r="EB787" s="62"/>
      <c r="EC787" s="62"/>
      <c r="ED787" s="62"/>
      <c r="EE787" s="62"/>
      <c r="EF787" s="62"/>
      <c r="EG787" s="62"/>
      <c r="EH787" s="62"/>
      <c r="EI787" s="62"/>
      <c r="EJ787" s="62"/>
      <c r="EK787" s="62"/>
      <c r="EL787" s="62"/>
      <c r="EM787" s="62"/>
      <c r="EN787" s="62"/>
      <c r="EO787" s="62"/>
      <c r="EP787" s="62"/>
      <c r="EQ787" s="62"/>
      <c r="ER787" s="62"/>
      <c r="ES787" s="62"/>
      <c r="ET787" s="62"/>
      <c r="EU787" s="62"/>
      <c r="EV787" s="62"/>
      <c r="EW787" s="62"/>
      <c r="EX787" s="62"/>
      <c r="EY787" s="62"/>
      <c r="EZ787" s="62"/>
      <c r="FA787" s="62"/>
      <c r="FB787" s="62"/>
      <c r="FC787" s="62"/>
      <c r="FD787" s="62"/>
      <c r="FE787" s="62"/>
      <c r="FF787" s="62"/>
      <c r="FG787" s="62"/>
      <c r="FH787" s="62"/>
      <c r="FI787" s="62"/>
      <c r="FJ787" s="62"/>
      <c r="FK787" s="62"/>
      <c r="FL787" s="62"/>
      <c r="FM787" s="62"/>
      <c r="FN787" s="62"/>
      <c r="FO787" s="62"/>
      <c r="FP787" s="62"/>
      <c r="FQ787" s="62"/>
      <c r="FR787" s="62"/>
      <c r="FS787" s="62"/>
      <c r="FT787" s="62"/>
      <c r="FU787" s="62"/>
      <c r="FV787" s="62"/>
    </row>
    <row r="788" spans="1:178" ht="13.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c r="AY788" s="62"/>
      <c r="AZ788" s="62"/>
      <c r="BA788" s="62"/>
      <c r="BB788" s="62"/>
      <c r="BC788" s="62"/>
      <c r="BD788" s="62"/>
      <c r="BE788" s="62"/>
      <c r="BF788" s="62"/>
      <c r="BG788" s="62"/>
      <c r="BH788" s="62"/>
      <c r="BI788" s="62"/>
      <c r="BJ788" s="62"/>
      <c r="BK788" s="62"/>
      <c r="BL788" s="62"/>
      <c r="BM788" s="62"/>
      <c r="BN788" s="62"/>
      <c r="BO788" s="62"/>
      <c r="BP788" s="62"/>
      <c r="BQ788" s="62"/>
      <c r="BR788" s="62"/>
      <c r="BS788" s="62"/>
      <c r="BT788" s="62"/>
      <c r="BU788" s="62"/>
      <c r="BV788" s="62"/>
      <c r="BW788" s="62"/>
      <c r="BX788" s="62"/>
      <c r="BY788" s="62"/>
      <c r="BZ788" s="62"/>
      <c r="CA788" s="62"/>
      <c r="CB788" s="62"/>
      <c r="CC788" s="62"/>
      <c r="CD788" s="62"/>
      <c r="CE788" s="62"/>
      <c r="CF788" s="62"/>
      <c r="CG788" s="62"/>
      <c r="CH788" s="62"/>
      <c r="CI788" s="62"/>
      <c r="CJ788" s="62"/>
      <c r="CK788" s="62"/>
      <c r="CL788" s="62"/>
      <c r="CM788" s="62"/>
      <c r="CN788" s="62"/>
      <c r="CO788" s="62"/>
      <c r="CP788" s="62"/>
      <c r="CQ788" s="62"/>
      <c r="CR788" s="62"/>
      <c r="CS788" s="62"/>
      <c r="CT788" s="62"/>
      <c r="CU788" s="62"/>
      <c r="CV788" s="62"/>
      <c r="CW788" s="62"/>
      <c r="CX788" s="62"/>
      <c r="CY788" s="62"/>
      <c r="CZ788" s="62"/>
      <c r="DA788" s="62"/>
      <c r="DB788" s="62"/>
      <c r="DC788" s="62"/>
      <c r="DD788" s="62"/>
      <c r="DE788" s="62"/>
      <c r="DF788" s="62"/>
      <c r="DG788" s="62"/>
      <c r="DH788" s="62"/>
      <c r="DI788" s="62"/>
      <c r="DJ788" s="62"/>
      <c r="DK788" s="62"/>
      <c r="DL788" s="62"/>
      <c r="DM788" s="62"/>
      <c r="DN788" s="62"/>
      <c r="DO788" s="62"/>
      <c r="DP788" s="62"/>
      <c r="DQ788" s="62"/>
      <c r="DR788" s="62"/>
      <c r="DS788" s="62"/>
      <c r="DT788" s="62"/>
      <c r="DU788" s="62"/>
      <c r="DV788" s="62"/>
      <c r="DW788" s="62"/>
      <c r="DX788" s="62"/>
      <c r="DY788" s="62"/>
      <c r="DZ788" s="62"/>
      <c r="EA788" s="62"/>
      <c r="EB788" s="62"/>
      <c r="EC788" s="62"/>
      <c r="ED788" s="62"/>
      <c r="EE788" s="62"/>
      <c r="EF788" s="62"/>
      <c r="EG788" s="62"/>
      <c r="EH788" s="62"/>
      <c r="EI788" s="62"/>
      <c r="EJ788" s="62"/>
      <c r="EK788" s="62"/>
      <c r="EL788" s="62"/>
      <c r="EM788" s="62"/>
      <c r="EN788" s="62"/>
      <c r="EO788" s="62"/>
      <c r="EP788" s="62"/>
      <c r="EQ788" s="62"/>
      <c r="ER788" s="62"/>
      <c r="ES788" s="62"/>
      <c r="ET788" s="62"/>
      <c r="EU788" s="62"/>
      <c r="EV788" s="62"/>
      <c r="EW788" s="62"/>
      <c r="EX788" s="62"/>
      <c r="EY788" s="62"/>
      <c r="EZ788" s="62"/>
      <c r="FA788" s="62"/>
      <c r="FB788" s="62"/>
      <c r="FC788" s="62"/>
      <c r="FD788" s="62"/>
      <c r="FE788" s="62"/>
      <c r="FF788" s="62"/>
      <c r="FG788" s="62"/>
      <c r="FH788" s="62"/>
      <c r="FI788" s="62"/>
      <c r="FJ788" s="62"/>
      <c r="FK788" s="62"/>
      <c r="FL788" s="62"/>
      <c r="FM788" s="62"/>
      <c r="FN788" s="62"/>
      <c r="FO788" s="62"/>
      <c r="FP788" s="62"/>
      <c r="FQ788" s="62"/>
      <c r="FR788" s="62"/>
      <c r="FS788" s="62"/>
      <c r="FT788" s="62"/>
      <c r="FU788" s="62"/>
      <c r="FV788" s="62"/>
    </row>
    <row r="789" spans="1:178" ht="13.8">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c r="AY789" s="62"/>
      <c r="AZ789" s="62"/>
      <c r="BA789" s="62"/>
      <c r="BB789" s="62"/>
      <c r="BC789" s="62"/>
      <c r="BD789" s="62"/>
      <c r="BE789" s="62"/>
      <c r="BF789" s="62"/>
      <c r="BG789" s="62"/>
      <c r="BH789" s="62"/>
      <c r="BI789" s="62"/>
      <c r="BJ789" s="62"/>
      <c r="BK789" s="62"/>
      <c r="BL789" s="62"/>
      <c r="BM789" s="62"/>
      <c r="BN789" s="62"/>
      <c r="BO789" s="62"/>
      <c r="BP789" s="62"/>
      <c r="BQ789" s="62"/>
      <c r="BR789" s="62"/>
      <c r="BS789" s="62"/>
      <c r="BT789" s="62"/>
      <c r="BU789" s="62"/>
      <c r="BV789" s="62"/>
      <c r="BW789" s="62"/>
      <c r="BX789" s="62"/>
      <c r="BY789" s="62"/>
      <c r="BZ789" s="62"/>
      <c r="CA789" s="62"/>
      <c r="CB789" s="62"/>
      <c r="CC789" s="62"/>
      <c r="CD789" s="62"/>
      <c r="CE789" s="62"/>
      <c r="CF789" s="62"/>
      <c r="CG789" s="62"/>
      <c r="CH789" s="62"/>
      <c r="CI789" s="62"/>
      <c r="CJ789" s="62"/>
      <c r="CK789" s="62"/>
      <c r="CL789" s="62"/>
      <c r="CM789" s="62"/>
      <c r="CN789" s="62"/>
      <c r="CO789" s="62"/>
      <c r="CP789" s="62"/>
      <c r="CQ789" s="62"/>
      <c r="CR789" s="62"/>
      <c r="CS789" s="62"/>
      <c r="CT789" s="62"/>
      <c r="CU789" s="62"/>
      <c r="CV789" s="62"/>
      <c r="CW789" s="62"/>
      <c r="CX789" s="62"/>
      <c r="CY789" s="62"/>
      <c r="CZ789" s="62"/>
      <c r="DA789" s="62"/>
      <c r="DB789" s="62"/>
      <c r="DC789" s="62"/>
      <c r="DD789" s="62"/>
      <c r="DE789" s="62"/>
      <c r="DF789" s="62"/>
      <c r="DG789" s="62"/>
      <c r="DH789" s="62"/>
      <c r="DI789" s="62"/>
      <c r="DJ789" s="62"/>
      <c r="DK789" s="62"/>
      <c r="DL789" s="62"/>
      <c r="DM789" s="62"/>
      <c r="DN789" s="62"/>
      <c r="DO789" s="62"/>
      <c r="DP789" s="62"/>
      <c r="DQ789" s="62"/>
      <c r="DR789" s="62"/>
      <c r="DS789" s="62"/>
      <c r="DT789" s="62"/>
      <c r="DU789" s="62"/>
      <c r="DV789" s="62"/>
      <c r="DW789" s="62"/>
      <c r="DX789" s="62"/>
      <c r="DY789" s="62"/>
      <c r="DZ789" s="62"/>
      <c r="EA789" s="62"/>
      <c r="EB789" s="62"/>
      <c r="EC789" s="62"/>
      <c r="ED789" s="62"/>
      <c r="EE789" s="62"/>
      <c r="EF789" s="62"/>
      <c r="EG789" s="62"/>
      <c r="EH789" s="62"/>
      <c r="EI789" s="62"/>
      <c r="EJ789" s="62"/>
      <c r="EK789" s="62"/>
      <c r="EL789" s="62"/>
      <c r="EM789" s="62"/>
      <c r="EN789" s="62"/>
      <c r="EO789" s="62"/>
      <c r="EP789" s="62"/>
      <c r="EQ789" s="62"/>
      <c r="ER789" s="62"/>
      <c r="ES789" s="62"/>
      <c r="ET789" s="62"/>
      <c r="EU789" s="62"/>
      <c r="EV789" s="62"/>
      <c r="EW789" s="62"/>
      <c r="EX789" s="62"/>
      <c r="EY789" s="62"/>
      <c r="EZ789" s="62"/>
      <c r="FA789" s="62"/>
      <c r="FB789" s="62"/>
      <c r="FC789" s="62"/>
      <c r="FD789" s="62"/>
      <c r="FE789" s="62"/>
      <c r="FF789" s="62"/>
      <c r="FG789" s="62"/>
      <c r="FH789" s="62"/>
      <c r="FI789" s="62"/>
      <c r="FJ789" s="62"/>
      <c r="FK789" s="62"/>
      <c r="FL789" s="62"/>
      <c r="FM789" s="62"/>
      <c r="FN789" s="62"/>
      <c r="FO789" s="62"/>
      <c r="FP789" s="62"/>
      <c r="FQ789" s="62"/>
      <c r="FR789" s="62"/>
      <c r="FS789" s="62"/>
      <c r="FT789" s="62"/>
      <c r="FU789" s="62"/>
      <c r="FV789" s="62"/>
    </row>
    <row r="790" spans="1:178" ht="13.8">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c r="AY790" s="62"/>
      <c r="AZ790" s="62"/>
      <c r="BA790" s="62"/>
      <c r="BB790" s="62"/>
      <c r="BC790" s="62"/>
      <c r="BD790" s="62"/>
      <c r="BE790" s="62"/>
      <c r="BF790" s="62"/>
      <c r="BG790" s="62"/>
      <c r="BH790" s="62"/>
      <c r="BI790" s="62"/>
      <c r="BJ790" s="62"/>
      <c r="BK790" s="62"/>
      <c r="BL790" s="62"/>
      <c r="BM790" s="62"/>
      <c r="BN790" s="62"/>
      <c r="BO790" s="62"/>
      <c r="BP790" s="62"/>
      <c r="BQ790" s="62"/>
      <c r="BR790" s="62"/>
      <c r="BS790" s="62"/>
      <c r="BT790" s="62"/>
      <c r="BU790" s="62"/>
      <c r="BV790" s="62"/>
      <c r="BW790" s="62"/>
      <c r="BX790" s="62"/>
      <c r="BY790" s="62"/>
      <c r="BZ790" s="62"/>
      <c r="CA790" s="62"/>
      <c r="CB790" s="62"/>
      <c r="CC790" s="62"/>
      <c r="CD790" s="62"/>
      <c r="CE790" s="62"/>
      <c r="CF790" s="62"/>
      <c r="CG790" s="62"/>
      <c r="CH790" s="62"/>
      <c r="CI790" s="62"/>
      <c r="CJ790" s="62"/>
      <c r="CK790" s="62"/>
      <c r="CL790" s="62"/>
      <c r="CM790" s="62"/>
      <c r="CN790" s="62"/>
      <c r="CO790" s="62"/>
      <c r="CP790" s="62"/>
      <c r="CQ790" s="62"/>
      <c r="CR790" s="62"/>
      <c r="CS790" s="62"/>
      <c r="CT790" s="62"/>
      <c r="CU790" s="62"/>
      <c r="CV790" s="62"/>
      <c r="CW790" s="62"/>
      <c r="CX790" s="62"/>
      <c r="CY790" s="62"/>
      <c r="CZ790" s="62"/>
      <c r="DA790" s="62"/>
      <c r="DB790" s="62"/>
      <c r="DC790" s="62"/>
      <c r="DD790" s="62"/>
      <c r="DE790" s="62"/>
      <c r="DF790" s="62"/>
      <c r="DG790" s="62"/>
      <c r="DH790" s="62"/>
      <c r="DI790" s="62"/>
      <c r="DJ790" s="62"/>
      <c r="DK790" s="62"/>
      <c r="DL790" s="62"/>
      <c r="DM790" s="62"/>
      <c r="DN790" s="62"/>
      <c r="DO790" s="62"/>
      <c r="DP790" s="62"/>
      <c r="DQ790" s="62"/>
      <c r="DR790" s="62"/>
      <c r="DS790" s="62"/>
      <c r="DT790" s="62"/>
      <c r="DU790" s="62"/>
      <c r="DV790" s="62"/>
      <c r="DW790" s="62"/>
      <c r="DX790" s="62"/>
      <c r="DY790" s="62"/>
      <c r="DZ790" s="62"/>
      <c r="EA790" s="62"/>
      <c r="EB790" s="62"/>
      <c r="EC790" s="62"/>
      <c r="ED790" s="62"/>
      <c r="EE790" s="62"/>
      <c r="EF790" s="62"/>
      <c r="EG790" s="62"/>
      <c r="EH790" s="62"/>
      <c r="EI790" s="62"/>
      <c r="EJ790" s="62"/>
      <c r="EK790" s="62"/>
      <c r="EL790" s="62"/>
      <c r="EM790" s="62"/>
      <c r="EN790" s="62"/>
      <c r="EO790" s="62"/>
      <c r="EP790" s="62"/>
      <c r="EQ790" s="62"/>
      <c r="ER790" s="62"/>
      <c r="ES790" s="62"/>
      <c r="ET790" s="62"/>
      <c r="EU790" s="62"/>
      <c r="EV790" s="62"/>
      <c r="EW790" s="62"/>
      <c r="EX790" s="62"/>
      <c r="EY790" s="62"/>
      <c r="EZ790" s="62"/>
      <c r="FA790" s="62"/>
      <c r="FB790" s="62"/>
      <c r="FC790" s="62"/>
      <c r="FD790" s="62"/>
      <c r="FE790" s="62"/>
      <c r="FF790" s="62"/>
      <c r="FG790" s="62"/>
      <c r="FH790" s="62"/>
      <c r="FI790" s="62"/>
      <c r="FJ790" s="62"/>
      <c r="FK790" s="62"/>
      <c r="FL790" s="62"/>
      <c r="FM790" s="62"/>
      <c r="FN790" s="62"/>
      <c r="FO790" s="62"/>
      <c r="FP790" s="62"/>
      <c r="FQ790" s="62"/>
      <c r="FR790" s="62"/>
      <c r="FS790" s="62"/>
      <c r="FT790" s="62"/>
      <c r="FU790" s="62"/>
      <c r="FV790" s="62"/>
    </row>
    <row r="791" spans="1:178" ht="13.8">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c r="AY791" s="62"/>
      <c r="AZ791" s="62"/>
      <c r="BA791" s="62"/>
      <c r="BB791" s="62"/>
      <c r="BC791" s="62"/>
      <c r="BD791" s="62"/>
      <c r="BE791" s="62"/>
      <c r="BF791" s="62"/>
      <c r="BG791" s="62"/>
      <c r="BH791" s="62"/>
      <c r="BI791" s="62"/>
      <c r="BJ791" s="62"/>
      <c r="BK791" s="62"/>
      <c r="BL791" s="62"/>
      <c r="BM791" s="62"/>
      <c r="BN791" s="62"/>
      <c r="BO791" s="62"/>
      <c r="BP791" s="62"/>
      <c r="BQ791" s="62"/>
      <c r="BR791" s="62"/>
      <c r="BS791" s="62"/>
      <c r="BT791" s="62"/>
      <c r="BU791" s="62"/>
      <c r="BV791" s="62"/>
      <c r="BW791" s="62"/>
      <c r="BX791" s="62"/>
      <c r="BY791" s="62"/>
      <c r="BZ791" s="62"/>
      <c r="CA791" s="62"/>
      <c r="CB791" s="62"/>
      <c r="CC791" s="62"/>
      <c r="CD791" s="62"/>
      <c r="CE791" s="62"/>
      <c r="CF791" s="62"/>
      <c r="CG791" s="62"/>
      <c r="CH791" s="62"/>
      <c r="CI791" s="62"/>
      <c r="CJ791" s="62"/>
      <c r="CK791" s="62"/>
      <c r="CL791" s="62"/>
      <c r="CM791" s="62"/>
      <c r="CN791" s="62"/>
      <c r="CO791" s="62"/>
      <c r="CP791" s="62"/>
      <c r="CQ791" s="62"/>
      <c r="CR791" s="62"/>
      <c r="CS791" s="62"/>
      <c r="CT791" s="62"/>
      <c r="CU791" s="62"/>
      <c r="CV791" s="62"/>
      <c r="CW791" s="62"/>
      <c r="CX791" s="62"/>
      <c r="CY791" s="62"/>
      <c r="CZ791" s="62"/>
      <c r="DA791" s="62"/>
      <c r="DB791" s="62"/>
      <c r="DC791" s="62"/>
      <c r="DD791" s="62"/>
      <c r="DE791" s="62"/>
      <c r="DF791" s="62"/>
      <c r="DG791" s="62"/>
      <c r="DH791" s="62"/>
      <c r="DI791" s="62"/>
      <c r="DJ791" s="62"/>
      <c r="DK791" s="62"/>
      <c r="DL791" s="62"/>
      <c r="DM791" s="62"/>
      <c r="DN791" s="62"/>
      <c r="DO791" s="62"/>
      <c r="DP791" s="62"/>
      <c r="DQ791" s="62"/>
      <c r="DR791" s="62"/>
      <c r="DS791" s="62"/>
      <c r="DT791" s="62"/>
      <c r="DU791" s="62"/>
      <c r="DV791" s="62"/>
      <c r="DW791" s="62"/>
      <c r="DX791" s="62"/>
      <c r="DY791" s="62"/>
      <c r="DZ791" s="62"/>
      <c r="EA791" s="62"/>
      <c r="EB791" s="62"/>
      <c r="EC791" s="62"/>
      <c r="ED791" s="62"/>
      <c r="EE791" s="62"/>
      <c r="EF791" s="62"/>
      <c r="EG791" s="62"/>
      <c r="EH791" s="62"/>
      <c r="EI791" s="62"/>
      <c r="EJ791" s="62"/>
      <c r="EK791" s="62"/>
      <c r="EL791" s="62"/>
      <c r="EM791" s="62"/>
      <c r="EN791" s="62"/>
      <c r="EO791" s="62"/>
      <c r="EP791" s="62"/>
      <c r="EQ791" s="62"/>
      <c r="ER791" s="62"/>
      <c r="ES791" s="62"/>
      <c r="ET791" s="62"/>
      <c r="EU791" s="62"/>
      <c r="EV791" s="62"/>
      <c r="EW791" s="62"/>
      <c r="EX791" s="62"/>
      <c r="EY791" s="62"/>
      <c r="EZ791" s="62"/>
      <c r="FA791" s="62"/>
      <c r="FB791" s="62"/>
      <c r="FC791" s="62"/>
      <c r="FD791" s="62"/>
      <c r="FE791" s="62"/>
      <c r="FF791" s="62"/>
      <c r="FG791" s="62"/>
      <c r="FH791" s="62"/>
      <c r="FI791" s="62"/>
      <c r="FJ791" s="62"/>
      <c r="FK791" s="62"/>
      <c r="FL791" s="62"/>
      <c r="FM791" s="62"/>
      <c r="FN791" s="62"/>
      <c r="FO791" s="62"/>
      <c r="FP791" s="62"/>
      <c r="FQ791" s="62"/>
      <c r="FR791" s="62"/>
      <c r="FS791" s="62"/>
      <c r="FT791" s="62"/>
      <c r="FU791" s="62"/>
      <c r="FV791" s="62"/>
    </row>
    <row r="792" spans="1:178" ht="13.8">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c r="AT792" s="62"/>
      <c r="AU792" s="62"/>
      <c r="AV792" s="62"/>
      <c r="AW792" s="62"/>
      <c r="AX792" s="62"/>
      <c r="AY792" s="62"/>
      <c r="AZ792" s="62"/>
      <c r="BA792" s="62"/>
      <c r="BB792" s="62"/>
      <c r="BC792" s="62"/>
      <c r="BD792" s="62"/>
      <c r="BE792" s="62"/>
      <c r="BF792" s="62"/>
      <c r="BG792" s="62"/>
      <c r="BH792" s="62"/>
      <c r="BI792" s="62"/>
      <c r="BJ792" s="62"/>
      <c r="BK792" s="62"/>
      <c r="BL792" s="62"/>
      <c r="BM792" s="62"/>
      <c r="BN792" s="62"/>
      <c r="BO792" s="62"/>
      <c r="BP792" s="62"/>
      <c r="BQ792" s="62"/>
      <c r="BR792" s="62"/>
      <c r="BS792" s="62"/>
      <c r="BT792" s="62"/>
      <c r="BU792" s="62"/>
      <c r="BV792" s="62"/>
      <c r="BW792" s="62"/>
      <c r="BX792" s="62"/>
      <c r="BY792" s="62"/>
      <c r="BZ792" s="62"/>
      <c r="CA792" s="62"/>
      <c r="CB792" s="62"/>
      <c r="CC792" s="62"/>
      <c r="CD792" s="62"/>
      <c r="CE792" s="62"/>
      <c r="CF792" s="62"/>
      <c r="CG792" s="62"/>
      <c r="CH792" s="62"/>
      <c r="CI792" s="62"/>
      <c r="CJ792" s="62"/>
      <c r="CK792" s="62"/>
      <c r="CL792" s="62"/>
      <c r="CM792" s="62"/>
      <c r="CN792" s="62"/>
      <c r="CO792" s="62"/>
      <c r="CP792" s="62"/>
      <c r="CQ792" s="62"/>
      <c r="CR792" s="62"/>
      <c r="CS792" s="62"/>
      <c r="CT792" s="62"/>
      <c r="CU792" s="62"/>
      <c r="CV792" s="62"/>
      <c r="CW792" s="62"/>
      <c r="CX792" s="62"/>
      <c r="CY792" s="62"/>
      <c r="CZ792" s="62"/>
      <c r="DA792" s="62"/>
      <c r="DB792" s="62"/>
      <c r="DC792" s="62"/>
      <c r="DD792" s="62"/>
      <c r="DE792" s="62"/>
      <c r="DF792" s="62"/>
      <c r="DG792" s="62"/>
      <c r="DH792" s="62"/>
      <c r="DI792" s="62"/>
      <c r="DJ792" s="62"/>
      <c r="DK792" s="62"/>
      <c r="DL792" s="62"/>
      <c r="DM792" s="62"/>
      <c r="DN792" s="62"/>
      <c r="DO792" s="62"/>
      <c r="DP792" s="62"/>
      <c r="DQ792" s="62"/>
      <c r="DR792" s="62"/>
      <c r="DS792" s="62"/>
      <c r="DT792" s="62"/>
      <c r="DU792" s="62"/>
      <c r="DV792" s="62"/>
      <c r="DW792" s="62"/>
      <c r="DX792" s="62"/>
      <c r="DY792" s="62"/>
      <c r="DZ792" s="62"/>
      <c r="EA792" s="62"/>
      <c r="EB792" s="62"/>
      <c r="EC792" s="62"/>
      <c r="ED792" s="62"/>
      <c r="EE792" s="62"/>
      <c r="EF792" s="62"/>
      <c r="EG792" s="62"/>
      <c r="EH792" s="62"/>
      <c r="EI792" s="62"/>
      <c r="EJ792" s="62"/>
      <c r="EK792" s="62"/>
      <c r="EL792" s="62"/>
      <c r="EM792" s="62"/>
      <c r="EN792" s="62"/>
      <c r="EO792" s="62"/>
      <c r="EP792" s="62"/>
      <c r="EQ792" s="62"/>
      <c r="ER792" s="62"/>
      <c r="ES792" s="62"/>
      <c r="ET792" s="62"/>
      <c r="EU792" s="62"/>
      <c r="EV792" s="62"/>
      <c r="EW792" s="62"/>
      <c r="EX792" s="62"/>
      <c r="EY792" s="62"/>
      <c r="EZ792" s="62"/>
      <c r="FA792" s="62"/>
      <c r="FB792" s="62"/>
      <c r="FC792" s="62"/>
      <c r="FD792" s="62"/>
      <c r="FE792" s="62"/>
      <c r="FF792" s="62"/>
      <c r="FG792" s="62"/>
      <c r="FH792" s="62"/>
      <c r="FI792" s="62"/>
      <c r="FJ792" s="62"/>
      <c r="FK792" s="62"/>
      <c r="FL792" s="62"/>
      <c r="FM792" s="62"/>
      <c r="FN792" s="62"/>
      <c r="FO792" s="62"/>
      <c r="FP792" s="62"/>
      <c r="FQ792" s="62"/>
      <c r="FR792" s="62"/>
      <c r="FS792" s="62"/>
      <c r="FT792" s="62"/>
      <c r="FU792" s="62"/>
      <c r="FV792" s="62"/>
    </row>
    <row r="793" spans="1:178" ht="13.8">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c r="AT793" s="62"/>
      <c r="AU793" s="62"/>
      <c r="AV793" s="62"/>
      <c r="AW793" s="62"/>
      <c r="AX793" s="62"/>
      <c r="AY793" s="62"/>
      <c r="AZ793" s="62"/>
      <c r="BA793" s="62"/>
      <c r="BB793" s="62"/>
      <c r="BC793" s="62"/>
      <c r="BD793" s="62"/>
      <c r="BE793" s="62"/>
      <c r="BF793" s="62"/>
      <c r="BG793" s="62"/>
      <c r="BH793" s="62"/>
      <c r="BI793" s="62"/>
      <c r="BJ793" s="62"/>
      <c r="BK793" s="62"/>
      <c r="BL793" s="62"/>
      <c r="BM793" s="62"/>
      <c r="BN793" s="62"/>
      <c r="BO793" s="62"/>
      <c r="BP793" s="62"/>
      <c r="BQ793" s="62"/>
      <c r="BR793" s="62"/>
      <c r="BS793" s="62"/>
      <c r="BT793" s="62"/>
      <c r="BU793" s="62"/>
      <c r="BV793" s="62"/>
      <c r="BW793" s="62"/>
      <c r="BX793" s="62"/>
      <c r="BY793" s="62"/>
      <c r="BZ793" s="62"/>
      <c r="CA793" s="62"/>
      <c r="CB793" s="62"/>
      <c r="CC793" s="62"/>
      <c r="CD793" s="62"/>
      <c r="CE793" s="62"/>
      <c r="CF793" s="62"/>
      <c r="CG793" s="62"/>
      <c r="CH793" s="62"/>
      <c r="CI793" s="62"/>
      <c r="CJ793" s="62"/>
      <c r="CK793" s="62"/>
      <c r="CL793" s="62"/>
      <c r="CM793" s="62"/>
      <c r="CN793" s="62"/>
      <c r="CO793" s="62"/>
      <c r="CP793" s="62"/>
      <c r="CQ793" s="62"/>
      <c r="CR793" s="62"/>
      <c r="CS793" s="62"/>
      <c r="CT793" s="62"/>
      <c r="CU793" s="62"/>
      <c r="CV793" s="62"/>
      <c r="CW793" s="62"/>
      <c r="CX793" s="62"/>
      <c r="CY793" s="62"/>
      <c r="CZ793" s="62"/>
      <c r="DA793" s="62"/>
      <c r="DB793" s="62"/>
      <c r="DC793" s="62"/>
      <c r="DD793" s="62"/>
      <c r="DE793" s="62"/>
      <c r="DF793" s="62"/>
      <c r="DG793" s="62"/>
      <c r="DH793" s="62"/>
      <c r="DI793" s="62"/>
      <c r="DJ793" s="62"/>
      <c r="DK793" s="62"/>
      <c r="DL793" s="62"/>
      <c r="DM793" s="62"/>
      <c r="DN793" s="62"/>
      <c r="DO793" s="62"/>
      <c r="DP793" s="62"/>
      <c r="DQ793" s="62"/>
      <c r="DR793" s="62"/>
      <c r="DS793" s="62"/>
      <c r="DT793" s="62"/>
      <c r="DU793" s="62"/>
      <c r="DV793" s="62"/>
      <c r="DW793" s="62"/>
      <c r="DX793" s="62"/>
      <c r="DY793" s="62"/>
      <c r="DZ793" s="62"/>
      <c r="EA793" s="62"/>
      <c r="EB793" s="62"/>
      <c r="EC793" s="62"/>
      <c r="ED793" s="62"/>
      <c r="EE793" s="62"/>
      <c r="EF793" s="62"/>
      <c r="EG793" s="62"/>
      <c r="EH793" s="62"/>
      <c r="EI793" s="62"/>
      <c r="EJ793" s="62"/>
      <c r="EK793" s="62"/>
      <c r="EL793" s="62"/>
      <c r="EM793" s="62"/>
      <c r="EN793" s="62"/>
      <c r="EO793" s="62"/>
      <c r="EP793" s="62"/>
      <c r="EQ793" s="62"/>
      <c r="ER793" s="62"/>
      <c r="ES793" s="62"/>
      <c r="ET793" s="62"/>
      <c r="EU793" s="62"/>
      <c r="EV793" s="62"/>
      <c r="EW793" s="62"/>
      <c r="EX793" s="62"/>
      <c r="EY793" s="62"/>
      <c r="EZ793" s="62"/>
      <c r="FA793" s="62"/>
      <c r="FB793" s="62"/>
      <c r="FC793" s="62"/>
      <c r="FD793" s="62"/>
      <c r="FE793" s="62"/>
      <c r="FF793" s="62"/>
      <c r="FG793" s="62"/>
      <c r="FH793" s="62"/>
      <c r="FI793" s="62"/>
      <c r="FJ793" s="62"/>
      <c r="FK793" s="62"/>
      <c r="FL793" s="62"/>
      <c r="FM793" s="62"/>
      <c r="FN793" s="62"/>
      <c r="FO793" s="62"/>
      <c r="FP793" s="62"/>
      <c r="FQ793" s="62"/>
      <c r="FR793" s="62"/>
      <c r="FS793" s="62"/>
      <c r="FT793" s="62"/>
      <c r="FU793" s="62"/>
      <c r="FV793" s="62"/>
    </row>
    <row r="794" spans="1:178" ht="13.8">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c r="AT794" s="62"/>
      <c r="AU794" s="62"/>
      <c r="AV794" s="62"/>
      <c r="AW794" s="62"/>
      <c r="AX794" s="62"/>
      <c r="AY794" s="62"/>
      <c r="AZ794" s="62"/>
      <c r="BA794" s="62"/>
      <c r="BB794" s="62"/>
      <c r="BC794" s="62"/>
      <c r="BD794" s="62"/>
      <c r="BE794" s="62"/>
      <c r="BF794" s="62"/>
      <c r="BG794" s="62"/>
      <c r="BH794" s="62"/>
      <c r="BI794" s="62"/>
      <c r="BJ794" s="62"/>
      <c r="BK794" s="62"/>
      <c r="BL794" s="62"/>
      <c r="BM794" s="62"/>
      <c r="BN794" s="62"/>
      <c r="BO794" s="62"/>
      <c r="BP794" s="62"/>
      <c r="BQ794" s="62"/>
      <c r="BR794" s="62"/>
      <c r="BS794" s="62"/>
      <c r="BT794" s="62"/>
      <c r="BU794" s="62"/>
      <c r="BV794" s="62"/>
      <c r="BW794" s="62"/>
      <c r="BX794" s="62"/>
      <c r="BY794" s="62"/>
      <c r="BZ794" s="62"/>
      <c r="CA794" s="62"/>
      <c r="CB794" s="62"/>
      <c r="CC794" s="62"/>
      <c r="CD794" s="62"/>
      <c r="CE794" s="62"/>
      <c r="CF794" s="62"/>
      <c r="CG794" s="62"/>
      <c r="CH794" s="62"/>
      <c r="CI794" s="62"/>
      <c r="CJ794" s="62"/>
      <c r="CK794" s="62"/>
      <c r="CL794" s="62"/>
      <c r="CM794" s="62"/>
      <c r="CN794" s="62"/>
      <c r="CO794" s="62"/>
      <c r="CP794" s="62"/>
      <c r="CQ794" s="62"/>
      <c r="CR794" s="62"/>
      <c r="CS794" s="62"/>
      <c r="CT794" s="62"/>
      <c r="CU794" s="62"/>
      <c r="CV794" s="62"/>
      <c r="CW794" s="62"/>
      <c r="CX794" s="62"/>
      <c r="CY794" s="62"/>
      <c r="CZ794" s="62"/>
      <c r="DA794" s="62"/>
      <c r="DB794" s="62"/>
      <c r="DC794" s="62"/>
      <c r="DD794" s="62"/>
      <c r="DE794" s="62"/>
      <c r="DF794" s="62"/>
      <c r="DG794" s="62"/>
      <c r="DH794" s="62"/>
      <c r="DI794" s="62"/>
      <c r="DJ794" s="62"/>
      <c r="DK794" s="62"/>
      <c r="DL794" s="62"/>
      <c r="DM794" s="62"/>
      <c r="DN794" s="62"/>
      <c r="DO794" s="62"/>
      <c r="DP794" s="62"/>
      <c r="DQ794" s="62"/>
      <c r="DR794" s="62"/>
      <c r="DS794" s="62"/>
      <c r="DT794" s="62"/>
      <c r="DU794" s="62"/>
      <c r="DV794" s="62"/>
      <c r="DW794" s="62"/>
      <c r="DX794" s="62"/>
      <c r="DY794" s="62"/>
      <c r="DZ794" s="62"/>
      <c r="EA794" s="62"/>
      <c r="EB794" s="62"/>
      <c r="EC794" s="62"/>
      <c r="ED794" s="62"/>
      <c r="EE794" s="62"/>
      <c r="EF794" s="62"/>
      <c r="EG794" s="62"/>
      <c r="EH794" s="62"/>
      <c r="EI794" s="62"/>
      <c r="EJ794" s="62"/>
      <c r="EK794" s="62"/>
      <c r="EL794" s="62"/>
      <c r="EM794" s="62"/>
      <c r="EN794" s="62"/>
      <c r="EO794" s="62"/>
      <c r="EP794" s="62"/>
      <c r="EQ794" s="62"/>
      <c r="ER794" s="62"/>
      <c r="ES794" s="62"/>
      <c r="ET794" s="62"/>
      <c r="EU794" s="62"/>
      <c r="EV794" s="62"/>
      <c r="EW794" s="62"/>
      <c r="EX794" s="62"/>
      <c r="EY794" s="62"/>
      <c r="EZ794" s="62"/>
      <c r="FA794" s="62"/>
      <c r="FB794" s="62"/>
      <c r="FC794" s="62"/>
      <c r="FD794" s="62"/>
      <c r="FE794" s="62"/>
      <c r="FF794" s="62"/>
      <c r="FG794" s="62"/>
      <c r="FH794" s="62"/>
      <c r="FI794" s="62"/>
      <c r="FJ794" s="62"/>
      <c r="FK794" s="62"/>
      <c r="FL794" s="62"/>
      <c r="FM794" s="62"/>
      <c r="FN794" s="62"/>
      <c r="FO794" s="62"/>
      <c r="FP794" s="62"/>
      <c r="FQ794" s="62"/>
      <c r="FR794" s="62"/>
      <c r="FS794" s="62"/>
      <c r="FT794" s="62"/>
      <c r="FU794" s="62"/>
      <c r="FV794" s="62"/>
    </row>
    <row r="795" spans="1:178" ht="13.8">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c r="AT795" s="62"/>
      <c r="AU795" s="62"/>
      <c r="AV795" s="62"/>
      <c r="AW795" s="62"/>
      <c r="AX795" s="62"/>
      <c r="AY795" s="62"/>
      <c r="AZ795" s="62"/>
      <c r="BA795" s="62"/>
      <c r="BB795" s="62"/>
      <c r="BC795" s="62"/>
      <c r="BD795" s="62"/>
      <c r="BE795" s="62"/>
      <c r="BF795" s="62"/>
      <c r="BG795" s="62"/>
      <c r="BH795" s="62"/>
      <c r="BI795" s="62"/>
      <c r="BJ795" s="62"/>
      <c r="BK795" s="62"/>
      <c r="BL795" s="62"/>
      <c r="BM795" s="62"/>
      <c r="BN795" s="62"/>
      <c r="BO795" s="62"/>
      <c r="BP795" s="62"/>
      <c r="BQ795" s="62"/>
      <c r="BR795" s="62"/>
      <c r="BS795" s="62"/>
      <c r="BT795" s="62"/>
      <c r="BU795" s="62"/>
      <c r="BV795" s="62"/>
      <c r="BW795" s="62"/>
      <c r="BX795" s="62"/>
      <c r="BY795" s="62"/>
      <c r="BZ795" s="62"/>
      <c r="CA795" s="62"/>
      <c r="CB795" s="62"/>
      <c r="CC795" s="62"/>
      <c r="CD795" s="62"/>
      <c r="CE795" s="62"/>
      <c r="CF795" s="62"/>
      <c r="CG795" s="62"/>
      <c r="CH795" s="62"/>
      <c r="CI795" s="62"/>
      <c r="CJ795" s="62"/>
      <c r="CK795" s="62"/>
      <c r="CL795" s="62"/>
      <c r="CM795" s="62"/>
      <c r="CN795" s="62"/>
      <c r="CO795" s="62"/>
      <c r="CP795" s="62"/>
      <c r="CQ795" s="62"/>
      <c r="CR795" s="62"/>
      <c r="CS795" s="62"/>
      <c r="CT795" s="62"/>
      <c r="CU795" s="62"/>
      <c r="CV795" s="62"/>
      <c r="CW795" s="62"/>
      <c r="CX795" s="62"/>
      <c r="CY795" s="62"/>
      <c r="CZ795" s="62"/>
      <c r="DA795" s="62"/>
      <c r="DB795" s="62"/>
      <c r="DC795" s="62"/>
      <c r="DD795" s="62"/>
      <c r="DE795" s="62"/>
      <c r="DF795" s="62"/>
      <c r="DG795" s="62"/>
      <c r="DH795" s="62"/>
      <c r="DI795" s="62"/>
      <c r="DJ795" s="62"/>
      <c r="DK795" s="62"/>
      <c r="DL795" s="62"/>
      <c r="DM795" s="62"/>
      <c r="DN795" s="62"/>
      <c r="DO795" s="62"/>
      <c r="DP795" s="62"/>
      <c r="DQ795" s="62"/>
      <c r="DR795" s="62"/>
      <c r="DS795" s="62"/>
      <c r="DT795" s="62"/>
      <c r="DU795" s="62"/>
      <c r="DV795" s="62"/>
      <c r="DW795" s="62"/>
      <c r="DX795" s="62"/>
      <c r="DY795" s="62"/>
      <c r="DZ795" s="62"/>
      <c r="EA795" s="62"/>
      <c r="EB795" s="62"/>
      <c r="EC795" s="62"/>
      <c r="ED795" s="62"/>
      <c r="EE795" s="62"/>
      <c r="EF795" s="62"/>
      <c r="EG795" s="62"/>
      <c r="EH795" s="62"/>
      <c r="EI795" s="62"/>
      <c r="EJ795" s="62"/>
      <c r="EK795" s="62"/>
      <c r="EL795" s="62"/>
      <c r="EM795" s="62"/>
      <c r="EN795" s="62"/>
      <c r="EO795" s="62"/>
      <c r="EP795" s="62"/>
      <c r="EQ795" s="62"/>
      <c r="ER795" s="62"/>
      <c r="ES795" s="62"/>
      <c r="ET795" s="62"/>
      <c r="EU795" s="62"/>
      <c r="EV795" s="62"/>
      <c r="EW795" s="62"/>
      <c r="EX795" s="62"/>
      <c r="EY795" s="62"/>
      <c r="EZ795" s="62"/>
      <c r="FA795" s="62"/>
      <c r="FB795" s="62"/>
      <c r="FC795" s="62"/>
      <c r="FD795" s="62"/>
      <c r="FE795" s="62"/>
      <c r="FF795" s="62"/>
      <c r="FG795" s="62"/>
      <c r="FH795" s="62"/>
      <c r="FI795" s="62"/>
      <c r="FJ795" s="62"/>
      <c r="FK795" s="62"/>
      <c r="FL795" s="62"/>
      <c r="FM795" s="62"/>
      <c r="FN795" s="62"/>
      <c r="FO795" s="62"/>
      <c r="FP795" s="62"/>
      <c r="FQ795" s="62"/>
      <c r="FR795" s="62"/>
      <c r="FS795" s="62"/>
      <c r="FT795" s="62"/>
      <c r="FU795" s="62"/>
      <c r="FV795" s="62"/>
    </row>
    <row r="796" spans="1:178" ht="13.8">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c r="AT796" s="62"/>
      <c r="AU796" s="62"/>
      <c r="AV796" s="62"/>
      <c r="AW796" s="62"/>
      <c r="AX796" s="62"/>
      <c r="AY796" s="62"/>
      <c r="AZ796" s="62"/>
      <c r="BA796" s="62"/>
      <c r="BB796" s="62"/>
      <c r="BC796" s="62"/>
      <c r="BD796" s="62"/>
      <c r="BE796" s="62"/>
      <c r="BF796" s="62"/>
      <c r="BG796" s="62"/>
      <c r="BH796" s="62"/>
      <c r="BI796" s="62"/>
      <c r="BJ796" s="62"/>
      <c r="BK796" s="62"/>
      <c r="BL796" s="62"/>
      <c r="BM796" s="62"/>
      <c r="BN796" s="62"/>
      <c r="BO796" s="62"/>
      <c r="BP796" s="62"/>
      <c r="BQ796" s="62"/>
      <c r="BR796" s="62"/>
      <c r="BS796" s="62"/>
      <c r="BT796" s="62"/>
      <c r="BU796" s="62"/>
      <c r="BV796" s="62"/>
      <c r="BW796" s="62"/>
      <c r="BX796" s="62"/>
      <c r="BY796" s="62"/>
      <c r="BZ796" s="62"/>
      <c r="CA796" s="62"/>
      <c r="CB796" s="62"/>
      <c r="CC796" s="62"/>
      <c r="CD796" s="62"/>
      <c r="CE796" s="62"/>
      <c r="CF796" s="62"/>
      <c r="CG796" s="62"/>
      <c r="CH796" s="62"/>
      <c r="CI796" s="62"/>
      <c r="CJ796" s="62"/>
      <c r="CK796" s="62"/>
      <c r="CL796" s="62"/>
      <c r="CM796" s="62"/>
      <c r="CN796" s="62"/>
      <c r="CO796" s="62"/>
      <c r="CP796" s="62"/>
      <c r="CQ796" s="62"/>
      <c r="CR796" s="62"/>
      <c r="CS796" s="62"/>
      <c r="CT796" s="62"/>
      <c r="CU796" s="62"/>
      <c r="CV796" s="62"/>
      <c r="CW796" s="62"/>
      <c r="CX796" s="62"/>
      <c r="CY796" s="62"/>
      <c r="CZ796" s="62"/>
      <c r="DA796" s="62"/>
      <c r="DB796" s="62"/>
      <c r="DC796" s="62"/>
      <c r="DD796" s="62"/>
      <c r="DE796" s="62"/>
      <c r="DF796" s="62"/>
      <c r="DG796" s="62"/>
      <c r="DH796" s="62"/>
      <c r="DI796" s="62"/>
      <c r="DJ796" s="62"/>
      <c r="DK796" s="62"/>
      <c r="DL796" s="62"/>
      <c r="DM796" s="62"/>
      <c r="DN796" s="62"/>
      <c r="DO796" s="62"/>
      <c r="DP796" s="62"/>
      <c r="DQ796" s="62"/>
      <c r="DR796" s="62"/>
      <c r="DS796" s="62"/>
      <c r="DT796" s="62"/>
      <c r="DU796" s="62"/>
      <c r="DV796" s="62"/>
      <c r="DW796" s="62"/>
      <c r="DX796" s="62"/>
      <c r="DY796" s="62"/>
      <c r="DZ796" s="62"/>
      <c r="EA796" s="62"/>
      <c r="EB796" s="62"/>
      <c r="EC796" s="62"/>
      <c r="ED796" s="62"/>
      <c r="EE796" s="62"/>
      <c r="EF796" s="62"/>
      <c r="EG796" s="62"/>
      <c r="EH796" s="62"/>
      <c r="EI796" s="62"/>
      <c r="EJ796" s="62"/>
      <c r="EK796" s="62"/>
      <c r="EL796" s="62"/>
      <c r="EM796" s="62"/>
      <c r="EN796" s="62"/>
      <c r="EO796" s="62"/>
      <c r="EP796" s="62"/>
      <c r="EQ796" s="62"/>
      <c r="ER796" s="62"/>
      <c r="ES796" s="62"/>
      <c r="ET796" s="62"/>
      <c r="EU796" s="62"/>
      <c r="EV796" s="62"/>
      <c r="EW796" s="62"/>
      <c r="EX796" s="62"/>
      <c r="EY796" s="62"/>
      <c r="EZ796" s="62"/>
      <c r="FA796" s="62"/>
      <c r="FB796" s="62"/>
      <c r="FC796" s="62"/>
      <c r="FD796" s="62"/>
      <c r="FE796" s="62"/>
      <c r="FF796" s="62"/>
      <c r="FG796" s="62"/>
      <c r="FH796" s="62"/>
      <c r="FI796" s="62"/>
      <c r="FJ796" s="62"/>
      <c r="FK796" s="62"/>
      <c r="FL796" s="62"/>
      <c r="FM796" s="62"/>
      <c r="FN796" s="62"/>
      <c r="FO796" s="62"/>
      <c r="FP796" s="62"/>
      <c r="FQ796" s="62"/>
      <c r="FR796" s="62"/>
      <c r="FS796" s="62"/>
      <c r="FT796" s="62"/>
      <c r="FU796" s="62"/>
      <c r="FV796" s="62"/>
    </row>
    <row r="797" spans="1:178" ht="13.8">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c r="AT797" s="62"/>
      <c r="AU797" s="62"/>
      <c r="AV797" s="62"/>
      <c r="AW797" s="62"/>
      <c r="AX797" s="62"/>
      <c r="AY797" s="62"/>
      <c r="AZ797" s="62"/>
      <c r="BA797" s="62"/>
      <c r="BB797" s="62"/>
      <c r="BC797" s="62"/>
      <c r="BD797" s="62"/>
      <c r="BE797" s="62"/>
      <c r="BF797" s="62"/>
      <c r="BG797" s="62"/>
      <c r="BH797" s="62"/>
      <c r="BI797" s="62"/>
      <c r="BJ797" s="62"/>
      <c r="BK797" s="62"/>
      <c r="BL797" s="62"/>
      <c r="BM797" s="62"/>
      <c r="BN797" s="62"/>
      <c r="BO797" s="62"/>
      <c r="BP797" s="62"/>
      <c r="BQ797" s="62"/>
      <c r="BR797" s="62"/>
      <c r="BS797" s="62"/>
      <c r="BT797" s="62"/>
      <c r="BU797" s="62"/>
      <c r="BV797" s="62"/>
      <c r="BW797" s="62"/>
      <c r="BX797" s="62"/>
      <c r="BY797" s="62"/>
      <c r="BZ797" s="62"/>
      <c r="CA797" s="62"/>
      <c r="CB797" s="62"/>
      <c r="CC797" s="62"/>
      <c r="CD797" s="62"/>
      <c r="CE797" s="62"/>
      <c r="CF797" s="62"/>
      <c r="CG797" s="62"/>
      <c r="CH797" s="62"/>
      <c r="CI797" s="62"/>
      <c r="CJ797" s="62"/>
      <c r="CK797" s="62"/>
      <c r="CL797" s="62"/>
      <c r="CM797" s="62"/>
      <c r="CN797" s="62"/>
      <c r="CO797" s="62"/>
      <c r="CP797" s="62"/>
      <c r="CQ797" s="62"/>
      <c r="CR797" s="62"/>
      <c r="CS797" s="62"/>
      <c r="CT797" s="62"/>
      <c r="CU797" s="62"/>
      <c r="CV797" s="62"/>
      <c r="CW797" s="62"/>
      <c r="CX797" s="62"/>
      <c r="CY797" s="62"/>
      <c r="CZ797" s="62"/>
      <c r="DA797" s="62"/>
      <c r="DB797" s="62"/>
      <c r="DC797" s="62"/>
      <c r="DD797" s="62"/>
      <c r="DE797" s="62"/>
      <c r="DF797" s="62"/>
      <c r="DG797" s="62"/>
      <c r="DH797" s="62"/>
      <c r="DI797" s="62"/>
      <c r="DJ797" s="62"/>
      <c r="DK797" s="62"/>
      <c r="DL797" s="62"/>
      <c r="DM797" s="62"/>
      <c r="DN797" s="62"/>
      <c r="DO797" s="62"/>
      <c r="DP797" s="62"/>
      <c r="DQ797" s="62"/>
      <c r="DR797" s="62"/>
      <c r="DS797" s="62"/>
      <c r="DT797" s="62"/>
      <c r="DU797" s="62"/>
      <c r="DV797" s="62"/>
      <c r="DW797" s="62"/>
      <c r="DX797" s="62"/>
      <c r="DY797" s="62"/>
      <c r="DZ797" s="62"/>
      <c r="EA797" s="62"/>
      <c r="EB797" s="62"/>
      <c r="EC797" s="62"/>
      <c r="ED797" s="62"/>
      <c r="EE797" s="62"/>
      <c r="EF797" s="62"/>
      <c r="EG797" s="62"/>
      <c r="EH797" s="62"/>
      <c r="EI797" s="62"/>
      <c r="EJ797" s="62"/>
      <c r="EK797" s="62"/>
      <c r="EL797" s="62"/>
      <c r="EM797" s="62"/>
      <c r="EN797" s="62"/>
      <c r="EO797" s="62"/>
      <c r="EP797" s="62"/>
      <c r="EQ797" s="62"/>
      <c r="ER797" s="62"/>
      <c r="ES797" s="62"/>
      <c r="ET797" s="62"/>
      <c r="EU797" s="62"/>
      <c r="EV797" s="62"/>
      <c r="EW797" s="62"/>
      <c r="EX797" s="62"/>
      <c r="EY797" s="62"/>
      <c r="EZ797" s="62"/>
      <c r="FA797" s="62"/>
      <c r="FB797" s="62"/>
      <c r="FC797" s="62"/>
      <c r="FD797" s="62"/>
      <c r="FE797" s="62"/>
      <c r="FF797" s="62"/>
      <c r="FG797" s="62"/>
      <c r="FH797" s="62"/>
      <c r="FI797" s="62"/>
      <c r="FJ797" s="62"/>
      <c r="FK797" s="62"/>
      <c r="FL797" s="62"/>
      <c r="FM797" s="62"/>
      <c r="FN797" s="62"/>
      <c r="FO797" s="62"/>
      <c r="FP797" s="62"/>
      <c r="FQ797" s="62"/>
      <c r="FR797" s="62"/>
      <c r="FS797" s="62"/>
      <c r="FT797" s="62"/>
      <c r="FU797" s="62"/>
      <c r="FV797" s="62"/>
    </row>
    <row r="798" spans="1:178" ht="13.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c r="AT798" s="62"/>
      <c r="AU798" s="62"/>
      <c r="AV798" s="62"/>
      <c r="AW798" s="62"/>
      <c r="AX798" s="62"/>
      <c r="AY798" s="62"/>
      <c r="AZ798" s="62"/>
      <c r="BA798" s="62"/>
      <c r="BB798" s="62"/>
      <c r="BC798" s="62"/>
      <c r="BD798" s="62"/>
      <c r="BE798" s="62"/>
      <c r="BF798" s="62"/>
      <c r="BG798" s="62"/>
      <c r="BH798" s="62"/>
      <c r="BI798" s="62"/>
      <c r="BJ798" s="62"/>
      <c r="BK798" s="62"/>
      <c r="BL798" s="62"/>
      <c r="BM798" s="62"/>
      <c r="BN798" s="62"/>
      <c r="BO798" s="62"/>
      <c r="BP798" s="62"/>
      <c r="BQ798" s="62"/>
      <c r="BR798" s="62"/>
      <c r="BS798" s="62"/>
      <c r="BT798" s="62"/>
      <c r="BU798" s="62"/>
      <c r="BV798" s="62"/>
      <c r="BW798" s="62"/>
      <c r="BX798" s="62"/>
      <c r="BY798" s="62"/>
      <c r="BZ798" s="62"/>
      <c r="CA798" s="62"/>
      <c r="CB798" s="62"/>
      <c r="CC798" s="62"/>
      <c r="CD798" s="62"/>
      <c r="CE798" s="62"/>
      <c r="CF798" s="62"/>
      <c r="CG798" s="62"/>
      <c r="CH798" s="62"/>
      <c r="CI798" s="62"/>
      <c r="CJ798" s="62"/>
      <c r="CK798" s="62"/>
      <c r="CL798" s="62"/>
      <c r="CM798" s="62"/>
      <c r="CN798" s="62"/>
      <c r="CO798" s="62"/>
      <c r="CP798" s="62"/>
      <c r="CQ798" s="62"/>
      <c r="CR798" s="62"/>
      <c r="CS798" s="62"/>
      <c r="CT798" s="62"/>
      <c r="CU798" s="62"/>
      <c r="CV798" s="62"/>
      <c r="CW798" s="62"/>
      <c r="CX798" s="62"/>
      <c r="CY798" s="62"/>
      <c r="CZ798" s="62"/>
      <c r="DA798" s="62"/>
      <c r="DB798" s="62"/>
      <c r="DC798" s="62"/>
      <c r="DD798" s="62"/>
      <c r="DE798" s="62"/>
      <c r="DF798" s="62"/>
      <c r="DG798" s="62"/>
      <c r="DH798" s="62"/>
      <c r="DI798" s="62"/>
      <c r="DJ798" s="62"/>
      <c r="DK798" s="62"/>
      <c r="DL798" s="62"/>
      <c r="DM798" s="62"/>
      <c r="DN798" s="62"/>
      <c r="DO798" s="62"/>
      <c r="DP798" s="62"/>
      <c r="DQ798" s="62"/>
      <c r="DR798" s="62"/>
      <c r="DS798" s="62"/>
      <c r="DT798" s="62"/>
      <c r="DU798" s="62"/>
      <c r="DV798" s="62"/>
      <c r="DW798" s="62"/>
      <c r="DX798" s="62"/>
      <c r="DY798" s="62"/>
      <c r="DZ798" s="62"/>
      <c r="EA798" s="62"/>
      <c r="EB798" s="62"/>
      <c r="EC798" s="62"/>
      <c r="ED798" s="62"/>
      <c r="EE798" s="62"/>
      <c r="EF798" s="62"/>
      <c r="EG798" s="62"/>
      <c r="EH798" s="62"/>
      <c r="EI798" s="62"/>
      <c r="EJ798" s="62"/>
      <c r="EK798" s="62"/>
      <c r="EL798" s="62"/>
      <c r="EM798" s="62"/>
      <c r="EN798" s="62"/>
      <c r="EO798" s="62"/>
      <c r="EP798" s="62"/>
      <c r="EQ798" s="62"/>
      <c r="ER798" s="62"/>
      <c r="ES798" s="62"/>
      <c r="ET798" s="62"/>
      <c r="EU798" s="62"/>
      <c r="EV798" s="62"/>
      <c r="EW798" s="62"/>
      <c r="EX798" s="62"/>
      <c r="EY798" s="62"/>
      <c r="EZ798" s="62"/>
      <c r="FA798" s="62"/>
      <c r="FB798" s="62"/>
      <c r="FC798" s="62"/>
      <c r="FD798" s="62"/>
      <c r="FE798" s="62"/>
      <c r="FF798" s="62"/>
      <c r="FG798" s="62"/>
      <c r="FH798" s="62"/>
      <c r="FI798" s="62"/>
      <c r="FJ798" s="62"/>
      <c r="FK798" s="62"/>
      <c r="FL798" s="62"/>
      <c r="FM798" s="62"/>
      <c r="FN798" s="62"/>
      <c r="FO798" s="62"/>
      <c r="FP798" s="62"/>
      <c r="FQ798" s="62"/>
      <c r="FR798" s="62"/>
      <c r="FS798" s="62"/>
      <c r="FT798" s="62"/>
      <c r="FU798" s="62"/>
      <c r="FV798" s="62"/>
    </row>
    <row r="799" spans="1:178" ht="13.8">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c r="AT799" s="62"/>
      <c r="AU799" s="62"/>
      <c r="AV799" s="62"/>
      <c r="AW799" s="62"/>
      <c r="AX799" s="62"/>
      <c r="AY799" s="62"/>
      <c r="AZ799" s="62"/>
      <c r="BA799" s="62"/>
      <c r="BB799" s="62"/>
      <c r="BC799" s="62"/>
      <c r="BD799" s="62"/>
      <c r="BE799" s="62"/>
      <c r="BF799" s="62"/>
      <c r="BG799" s="62"/>
      <c r="BH799" s="62"/>
      <c r="BI799" s="62"/>
      <c r="BJ799" s="62"/>
      <c r="BK799" s="62"/>
      <c r="BL799" s="62"/>
      <c r="BM799" s="62"/>
      <c r="BN799" s="62"/>
      <c r="BO799" s="62"/>
      <c r="BP799" s="62"/>
      <c r="BQ799" s="62"/>
      <c r="BR799" s="62"/>
      <c r="BS799" s="62"/>
      <c r="BT799" s="62"/>
      <c r="BU799" s="62"/>
      <c r="BV799" s="62"/>
      <c r="BW799" s="62"/>
      <c r="BX799" s="62"/>
      <c r="BY799" s="62"/>
      <c r="BZ799" s="62"/>
      <c r="CA799" s="62"/>
      <c r="CB799" s="62"/>
      <c r="CC799" s="62"/>
      <c r="CD799" s="62"/>
      <c r="CE799" s="62"/>
      <c r="CF799" s="62"/>
      <c r="CG799" s="62"/>
      <c r="CH799" s="62"/>
      <c r="CI799" s="62"/>
      <c r="CJ799" s="62"/>
      <c r="CK799" s="62"/>
      <c r="CL799" s="62"/>
      <c r="CM799" s="62"/>
      <c r="CN799" s="62"/>
      <c r="CO799" s="62"/>
      <c r="CP799" s="62"/>
      <c r="CQ799" s="62"/>
      <c r="CR799" s="62"/>
      <c r="CS799" s="62"/>
      <c r="CT799" s="62"/>
      <c r="CU799" s="62"/>
      <c r="CV799" s="62"/>
      <c r="CW799" s="62"/>
      <c r="CX799" s="62"/>
      <c r="CY799" s="62"/>
      <c r="CZ799" s="62"/>
      <c r="DA799" s="62"/>
      <c r="DB799" s="62"/>
      <c r="DC799" s="62"/>
      <c r="DD799" s="62"/>
      <c r="DE799" s="62"/>
      <c r="DF799" s="62"/>
      <c r="DG799" s="62"/>
      <c r="DH799" s="62"/>
      <c r="DI799" s="62"/>
      <c r="DJ799" s="62"/>
      <c r="DK799" s="62"/>
      <c r="DL799" s="62"/>
      <c r="DM799" s="62"/>
      <c r="DN799" s="62"/>
      <c r="DO799" s="62"/>
      <c r="DP799" s="62"/>
      <c r="DQ799" s="62"/>
      <c r="DR799" s="62"/>
      <c r="DS799" s="62"/>
      <c r="DT799" s="62"/>
      <c r="DU799" s="62"/>
      <c r="DV799" s="62"/>
      <c r="DW799" s="62"/>
      <c r="DX799" s="62"/>
      <c r="DY799" s="62"/>
      <c r="DZ799" s="62"/>
      <c r="EA799" s="62"/>
      <c r="EB799" s="62"/>
      <c r="EC799" s="62"/>
      <c r="ED799" s="62"/>
      <c r="EE799" s="62"/>
      <c r="EF799" s="62"/>
      <c r="EG799" s="62"/>
      <c r="EH799" s="62"/>
      <c r="EI799" s="62"/>
      <c r="EJ799" s="62"/>
      <c r="EK799" s="62"/>
      <c r="EL799" s="62"/>
      <c r="EM799" s="62"/>
      <c r="EN799" s="62"/>
      <c r="EO799" s="62"/>
      <c r="EP799" s="62"/>
      <c r="EQ799" s="62"/>
      <c r="ER799" s="62"/>
      <c r="ES799" s="62"/>
      <c r="ET799" s="62"/>
      <c r="EU799" s="62"/>
      <c r="EV799" s="62"/>
      <c r="EW799" s="62"/>
      <c r="EX799" s="62"/>
      <c r="EY799" s="62"/>
      <c r="EZ799" s="62"/>
      <c r="FA799" s="62"/>
      <c r="FB799" s="62"/>
      <c r="FC799" s="62"/>
      <c r="FD799" s="62"/>
      <c r="FE799" s="62"/>
      <c r="FF799" s="62"/>
      <c r="FG799" s="62"/>
      <c r="FH799" s="62"/>
      <c r="FI799" s="62"/>
      <c r="FJ799" s="62"/>
      <c r="FK799" s="62"/>
      <c r="FL799" s="62"/>
      <c r="FM799" s="62"/>
      <c r="FN799" s="62"/>
      <c r="FO799" s="62"/>
      <c r="FP799" s="62"/>
      <c r="FQ799" s="62"/>
      <c r="FR799" s="62"/>
      <c r="FS799" s="62"/>
      <c r="FT799" s="62"/>
      <c r="FU799" s="62"/>
      <c r="FV799" s="62"/>
    </row>
    <row r="800" spans="1:178" ht="13.8">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c r="AT800" s="62"/>
      <c r="AU800" s="62"/>
      <c r="AV800" s="62"/>
      <c r="AW800" s="62"/>
      <c r="AX800" s="62"/>
      <c r="AY800" s="62"/>
      <c r="AZ800" s="62"/>
      <c r="BA800" s="62"/>
      <c r="BB800" s="62"/>
      <c r="BC800" s="62"/>
      <c r="BD800" s="62"/>
      <c r="BE800" s="62"/>
      <c r="BF800" s="62"/>
      <c r="BG800" s="62"/>
      <c r="BH800" s="62"/>
      <c r="BI800" s="62"/>
      <c r="BJ800" s="62"/>
      <c r="BK800" s="62"/>
      <c r="BL800" s="62"/>
      <c r="BM800" s="62"/>
      <c r="BN800" s="62"/>
      <c r="BO800" s="62"/>
      <c r="BP800" s="62"/>
      <c r="BQ800" s="62"/>
      <c r="BR800" s="62"/>
      <c r="BS800" s="62"/>
      <c r="BT800" s="62"/>
      <c r="BU800" s="62"/>
      <c r="BV800" s="62"/>
      <c r="BW800" s="62"/>
      <c r="BX800" s="62"/>
      <c r="BY800" s="62"/>
      <c r="BZ800" s="62"/>
      <c r="CA800" s="62"/>
      <c r="CB800" s="62"/>
      <c r="CC800" s="62"/>
      <c r="CD800" s="62"/>
      <c r="CE800" s="62"/>
      <c r="CF800" s="62"/>
      <c r="CG800" s="62"/>
      <c r="CH800" s="62"/>
      <c r="CI800" s="62"/>
      <c r="CJ800" s="62"/>
      <c r="CK800" s="62"/>
      <c r="CL800" s="62"/>
      <c r="CM800" s="62"/>
      <c r="CN800" s="62"/>
      <c r="CO800" s="62"/>
      <c r="CP800" s="62"/>
      <c r="CQ800" s="62"/>
      <c r="CR800" s="62"/>
      <c r="CS800" s="62"/>
      <c r="CT800" s="62"/>
      <c r="CU800" s="62"/>
      <c r="CV800" s="62"/>
      <c r="CW800" s="62"/>
      <c r="CX800" s="62"/>
      <c r="CY800" s="62"/>
      <c r="CZ800" s="62"/>
      <c r="DA800" s="62"/>
      <c r="DB800" s="62"/>
      <c r="DC800" s="62"/>
      <c r="DD800" s="62"/>
      <c r="DE800" s="62"/>
      <c r="DF800" s="62"/>
      <c r="DG800" s="62"/>
      <c r="DH800" s="62"/>
      <c r="DI800" s="62"/>
      <c r="DJ800" s="62"/>
      <c r="DK800" s="62"/>
      <c r="DL800" s="62"/>
      <c r="DM800" s="62"/>
      <c r="DN800" s="62"/>
      <c r="DO800" s="62"/>
      <c r="DP800" s="62"/>
      <c r="DQ800" s="62"/>
      <c r="DR800" s="62"/>
      <c r="DS800" s="62"/>
      <c r="DT800" s="62"/>
      <c r="DU800" s="62"/>
      <c r="DV800" s="62"/>
      <c r="DW800" s="62"/>
      <c r="DX800" s="62"/>
      <c r="DY800" s="62"/>
      <c r="DZ800" s="62"/>
      <c r="EA800" s="62"/>
      <c r="EB800" s="62"/>
      <c r="EC800" s="62"/>
      <c r="ED800" s="62"/>
      <c r="EE800" s="62"/>
      <c r="EF800" s="62"/>
      <c r="EG800" s="62"/>
      <c r="EH800" s="62"/>
      <c r="EI800" s="62"/>
      <c r="EJ800" s="62"/>
      <c r="EK800" s="62"/>
      <c r="EL800" s="62"/>
      <c r="EM800" s="62"/>
      <c r="EN800" s="62"/>
      <c r="EO800" s="62"/>
      <c r="EP800" s="62"/>
      <c r="EQ800" s="62"/>
      <c r="ER800" s="62"/>
      <c r="ES800" s="62"/>
      <c r="ET800" s="62"/>
      <c r="EU800" s="62"/>
      <c r="EV800" s="62"/>
      <c r="EW800" s="62"/>
      <c r="EX800" s="62"/>
      <c r="EY800" s="62"/>
      <c r="EZ800" s="62"/>
      <c r="FA800" s="62"/>
      <c r="FB800" s="62"/>
      <c r="FC800" s="62"/>
      <c r="FD800" s="62"/>
      <c r="FE800" s="62"/>
      <c r="FF800" s="62"/>
      <c r="FG800" s="62"/>
      <c r="FH800" s="62"/>
      <c r="FI800" s="62"/>
      <c r="FJ800" s="62"/>
      <c r="FK800" s="62"/>
      <c r="FL800" s="62"/>
      <c r="FM800" s="62"/>
      <c r="FN800" s="62"/>
      <c r="FO800" s="62"/>
      <c r="FP800" s="62"/>
      <c r="FQ800" s="62"/>
      <c r="FR800" s="62"/>
      <c r="FS800" s="62"/>
      <c r="FT800" s="62"/>
      <c r="FU800" s="62"/>
      <c r="FV800" s="62"/>
    </row>
    <row r="801" spans="1:178" ht="13.8">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c r="AT801" s="62"/>
      <c r="AU801" s="62"/>
      <c r="AV801" s="62"/>
      <c r="AW801" s="62"/>
      <c r="AX801" s="62"/>
      <c r="AY801" s="62"/>
      <c r="AZ801" s="62"/>
      <c r="BA801" s="62"/>
      <c r="BB801" s="62"/>
      <c r="BC801" s="62"/>
      <c r="BD801" s="62"/>
      <c r="BE801" s="62"/>
      <c r="BF801" s="62"/>
      <c r="BG801" s="62"/>
      <c r="BH801" s="62"/>
      <c r="BI801" s="62"/>
      <c r="BJ801" s="62"/>
      <c r="BK801" s="62"/>
      <c r="BL801" s="62"/>
      <c r="BM801" s="62"/>
      <c r="BN801" s="62"/>
      <c r="BO801" s="62"/>
      <c r="BP801" s="62"/>
      <c r="BQ801" s="62"/>
      <c r="BR801" s="62"/>
      <c r="BS801" s="62"/>
      <c r="BT801" s="62"/>
      <c r="BU801" s="62"/>
      <c r="BV801" s="62"/>
      <c r="BW801" s="62"/>
      <c r="BX801" s="62"/>
      <c r="BY801" s="62"/>
      <c r="BZ801" s="62"/>
      <c r="CA801" s="62"/>
      <c r="CB801" s="62"/>
      <c r="CC801" s="62"/>
      <c r="CD801" s="62"/>
      <c r="CE801" s="62"/>
      <c r="CF801" s="62"/>
      <c r="CG801" s="62"/>
      <c r="CH801" s="62"/>
      <c r="CI801" s="62"/>
      <c r="CJ801" s="62"/>
      <c r="CK801" s="62"/>
      <c r="CL801" s="62"/>
      <c r="CM801" s="62"/>
      <c r="CN801" s="62"/>
      <c r="CO801" s="62"/>
      <c r="CP801" s="62"/>
      <c r="CQ801" s="62"/>
      <c r="CR801" s="62"/>
      <c r="CS801" s="62"/>
      <c r="CT801" s="62"/>
      <c r="CU801" s="62"/>
      <c r="CV801" s="62"/>
      <c r="CW801" s="62"/>
      <c r="CX801" s="62"/>
      <c r="CY801" s="62"/>
      <c r="CZ801" s="62"/>
      <c r="DA801" s="62"/>
      <c r="DB801" s="62"/>
      <c r="DC801" s="62"/>
      <c r="DD801" s="62"/>
      <c r="DE801" s="62"/>
      <c r="DF801" s="62"/>
      <c r="DG801" s="62"/>
      <c r="DH801" s="62"/>
      <c r="DI801" s="62"/>
      <c r="DJ801" s="62"/>
      <c r="DK801" s="62"/>
      <c r="DL801" s="62"/>
      <c r="DM801" s="62"/>
      <c r="DN801" s="62"/>
      <c r="DO801" s="62"/>
      <c r="DP801" s="62"/>
      <c r="DQ801" s="62"/>
      <c r="DR801" s="62"/>
      <c r="DS801" s="62"/>
      <c r="DT801" s="62"/>
      <c r="DU801" s="62"/>
      <c r="DV801" s="62"/>
      <c r="DW801" s="62"/>
      <c r="DX801" s="62"/>
      <c r="DY801" s="62"/>
      <c r="DZ801" s="62"/>
      <c r="EA801" s="62"/>
      <c r="EB801" s="62"/>
      <c r="EC801" s="62"/>
      <c r="ED801" s="62"/>
      <c r="EE801" s="62"/>
      <c r="EF801" s="62"/>
      <c r="EG801" s="62"/>
      <c r="EH801" s="62"/>
      <c r="EI801" s="62"/>
      <c r="EJ801" s="62"/>
      <c r="EK801" s="62"/>
      <c r="EL801" s="62"/>
      <c r="EM801" s="62"/>
      <c r="EN801" s="62"/>
      <c r="EO801" s="62"/>
      <c r="EP801" s="62"/>
      <c r="EQ801" s="62"/>
      <c r="ER801" s="62"/>
      <c r="ES801" s="62"/>
      <c r="ET801" s="62"/>
      <c r="EU801" s="62"/>
      <c r="EV801" s="62"/>
      <c r="EW801" s="62"/>
      <c r="EX801" s="62"/>
      <c r="EY801" s="62"/>
      <c r="EZ801" s="62"/>
      <c r="FA801" s="62"/>
      <c r="FB801" s="62"/>
      <c r="FC801" s="62"/>
      <c r="FD801" s="62"/>
      <c r="FE801" s="62"/>
      <c r="FF801" s="62"/>
      <c r="FG801" s="62"/>
      <c r="FH801" s="62"/>
      <c r="FI801" s="62"/>
      <c r="FJ801" s="62"/>
      <c r="FK801" s="62"/>
      <c r="FL801" s="62"/>
      <c r="FM801" s="62"/>
      <c r="FN801" s="62"/>
      <c r="FO801" s="62"/>
      <c r="FP801" s="62"/>
      <c r="FQ801" s="62"/>
      <c r="FR801" s="62"/>
      <c r="FS801" s="62"/>
      <c r="FT801" s="62"/>
      <c r="FU801" s="62"/>
      <c r="FV801" s="62"/>
    </row>
    <row r="802" spans="1:178" ht="13.8">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c r="AT802" s="62"/>
      <c r="AU802" s="62"/>
      <c r="AV802" s="62"/>
      <c r="AW802" s="62"/>
      <c r="AX802" s="62"/>
      <c r="AY802" s="62"/>
      <c r="AZ802" s="62"/>
      <c r="BA802" s="62"/>
      <c r="BB802" s="62"/>
      <c r="BC802" s="62"/>
      <c r="BD802" s="62"/>
      <c r="BE802" s="62"/>
      <c r="BF802" s="62"/>
      <c r="BG802" s="62"/>
      <c r="BH802" s="62"/>
      <c r="BI802" s="62"/>
      <c r="BJ802" s="62"/>
      <c r="BK802" s="62"/>
      <c r="BL802" s="62"/>
      <c r="BM802" s="62"/>
      <c r="BN802" s="62"/>
      <c r="BO802" s="62"/>
      <c r="BP802" s="62"/>
      <c r="BQ802" s="62"/>
      <c r="BR802" s="62"/>
      <c r="BS802" s="62"/>
      <c r="BT802" s="62"/>
      <c r="BU802" s="62"/>
      <c r="BV802" s="62"/>
      <c r="BW802" s="62"/>
      <c r="BX802" s="62"/>
      <c r="BY802" s="62"/>
      <c r="BZ802" s="62"/>
      <c r="CA802" s="62"/>
      <c r="CB802" s="62"/>
      <c r="CC802" s="62"/>
      <c r="CD802" s="62"/>
      <c r="CE802" s="62"/>
      <c r="CF802" s="62"/>
      <c r="CG802" s="62"/>
      <c r="CH802" s="62"/>
      <c r="CI802" s="62"/>
      <c r="CJ802" s="62"/>
      <c r="CK802" s="62"/>
      <c r="CL802" s="62"/>
      <c r="CM802" s="62"/>
      <c r="CN802" s="62"/>
      <c r="CO802" s="62"/>
      <c r="CP802" s="62"/>
      <c r="CQ802" s="62"/>
      <c r="CR802" s="62"/>
      <c r="CS802" s="62"/>
      <c r="CT802" s="62"/>
      <c r="CU802" s="62"/>
      <c r="CV802" s="62"/>
      <c r="CW802" s="62"/>
      <c r="CX802" s="62"/>
      <c r="CY802" s="62"/>
      <c r="CZ802" s="62"/>
      <c r="DA802" s="62"/>
      <c r="DB802" s="62"/>
      <c r="DC802" s="62"/>
      <c r="DD802" s="62"/>
      <c r="DE802" s="62"/>
      <c r="DF802" s="62"/>
      <c r="DG802" s="62"/>
      <c r="DH802" s="62"/>
      <c r="DI802" s="62"/>
      <c r="DJ802" s="62"/>
      <c r="DK802" s="62"/>
      <c r="DL802" s="62"/>
      <c r="DM802" s="62"/>
      <c r="DN802" s="62"/>
      <c r="DO802" s="62"/>
      <c r="DP802" s="62"/>
      <c r="DQ802" s="62"/>
      <c r="DR802" s="62"/>
      <c r="DS802" s="62"/>
      <c r="DT802" s="62"/>
      <c r="DU802" s="62"/>
      <c r="DV802" s="62"/>
      <c r="DW802" s="62"/>
      <c r="DX802" s="62"/>
      <c r="DY802" s="62"/>
      <c r="DZ802" s="62"/>
      <c r="EA802" s="62"/>
      <c r="EB802" s="62"/>
      <c r="EC802" s="62"/>
      <c r="ED802" s="62"/>
      <c r="EE802" s="62"/>
      <c r="EF802" s="62"/>
      <c r="EG802" s="62"/>
      <c r="EH802" s="62"/>
      <c r="EI802" s="62"/>
      <c r="EJ802" s="62"/>
      <c r="EK802" s="62"/>
      <c r="EL802" s="62"/>
      <c r="EM802" s="62"/>
      <c r="EN802" s="62"/>
      <c r="EO802" s="62"/>
      <c r="EP802" s="62"/>
      <c r="EQ802" s="62"/>
      <c r="ER802" s="62"/>
      <c r="ES802" s="62"/>
      <c r="ET802" s="62"/>
      <c r="EU802" s="62"/>
      <c r="EV802" s="62"/>
      <c r="EW802" s="62"/>
      <c r="EX802" s="62"/>
      <c r="EY802" s="62"/>
      <c r="EZ802" s="62"/>
      <c r="FA802" s="62"/>
      <c r="FB802" s="62"/>
      <c r="FC802" s="62"/>
      <c r="FD802" s="62"/>
      <c r="FE802" s="62"/>
      <c r="FF802" s="62"/>
      <c r="FG802" s="62"/>
      <c r="FH802" s="62"/>
      <c r="FI802" s="62"/>
      <c r="FJ802" s="62"/>
      <c r="FK802" s="62"/>
      <c r="FL802" s="62"/>
      <c r="FM802" s="62"/>
      <c r="FN802" s="62"/>
      <c r="FO802" s="62"/>
      <c r="FP802" s="62"/>
      <c r="FQ802" s="62"/>
      <c r="FR802" s="62"/>
      <c r="FS802" s="62"/>
      <c r="FT802" s="62"/>
      <c r="FU802" s="62"/>
      <c r="FV802" s="62"/>
    </row>
    <row r="803" spans="1:178" ht="13.8">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c r="AT803" s="62"/>
      <c r="AU803" s="62"/>
      <c r="AV803" s="62"/>
      <c r="AW803" s="62"/>
      <c r="AX803" s="62"/>
      <c r="AY803" s="62"/>
      <c r="AZ803" s="62"/>
      <c r="BA803" s="62"/>
      <c r="BB803" s="62"/>
      <c r="BC803" s="62"/>
      <c r="BD803" s="62"/>
      <c r="BE803" s="62"/>
      <c r="BF803" s="62"/>
      <c r="BG803" s="62"/>
      <c r="BH803" s="62"/>
      <c r="BI803" s="62"/>
      <c r="BJ803" s="62"/>
      <c r="BK803" s="62"/>
      <c r="BL803" s="62"/>
      <c r="BM803" s="62"/>
      <c r="BN803" s="62"/>
      <c r="BO803" s="62"/>
      <c r="BP803" s="62"/>
      <c r="BQ803" s="62"/>
      <c r="BR803" s="62"/>
      <c r="BS803" s="62"/>
      <c r="BT803" s="62"/>
      <c r="BU803" s="62"/>
      <c r="BV803" s="62"/>
      <c r="BW803" s="62"/>
      <c r="BX803" s="62"/>
      <c r="BY803" s="62"/>
      <c r="BZ803" s="62"/>
      <c r="CA803" s="62"/>
      <c r="CB803" s="62"/>
      <c r="CC803" s="62"/>
      <c r="CD803" s="62"/>
      <c r="CE803" s="62"/>
      <c r="CF803" s="62"/>
      <c r="CG803" s="62"/>
      <c r="CH803" s="62"/>
      <c r="CI803" s="62"/>
      <c r="CJ803" s="62"/>
      <c r="CK803" s="62"/>
      <c r="CL803" s="62"/>
      <c r="CM803" s="62"/>
      <c r="CN803" s="62"/>
      <c r="CO803" s="62"/>
      <c r="CP803" s="62"/>
      <c r="CQ803" s="62"/>
      <c r="CR803" s="62"/>
      <c r="CS803" s="62"/>
      <c r="CT803" s="62"/>
      <c r="CU803" s="62"/>
      <c r="CV803" s="62"/>
      <c r="CW803" s="62"/>
      <c r="CX803" s="62"/>
      <c r="CY803" s="62"/>
      <c r="CZ803" s="62"/>
      <c r="DA803" s="62"/>
      <c r="DB803" s="62"/>
      <c r="DC803" s="62"/>
      <c r="DD803" s="62"/>
      <c r="DE803" s="62"/>
      <c r="DF803" s="62"/>
      <c r="DG803" s="62"/>
      <c r="DH803" s="62"/>
      <c r="DI803" s="62"/>
      <c r="DJ803" s="62"/>
      <c r="DK803" s="62"/>
      <c r="DL803" s="62"/>
      <c r="DM803" s="62"/>
      <c r="DN803" s="62"/>
      <c r="DO803" s="62"/>
      <c r="DP803" s="62"/>
      <c r="DQ803" s="62"/>
      <c r="DR803" s="62"/>
      <c r="DS803" s="62"/>
      <c r="DT803" s="62"/>
      <c r="DU803" s="62"/>
      <c r="DV803" s="62"/>
      <c r="DW803" s="62"/>
      <c r="DX803" s="62"/>
      <c r="DY803" s="62"/>
      <c r="DZ803" s="62"/>
      <c r="EA803" s="62"/>
      <c r="EB803" s="62"/>
      <c r="EC803" s="62"/>
      <c r="ED803" s="62"/>
      <c r="EE803" s="62"/>
      <c r="EF803" s="62"/>
      <c r="EG803" s="62"/>
      <c r="EH803" s="62"/>
      <c r="EI803" s="62"/>
      <c r="EJ803" s="62"/>
      <c r="EK803" s="62"/>
      <c r="EL803" s="62"/>
      <c r="EM803" s="62"/>
      <c r="EN803" s="62"/>
      <c r="EO803" s="62"/>
      <c r="EP803" s="62"/>
      <c r="EQ803" s="62"/>
      <c r="ER803" s="62"/>
      <c r="ES803" s="62"/>
      <c r="ET803" s="62"/>
      <c r="EU803" s="62"/>
      <c r="EV803" s="62"/>
      <c r="EW803" s="62"/>
      <c r="EX803" s="62"/>
      <c r="EY803" s="62"/>
      <c r="EZ803" s="62"/>
      <c r="FA803" s="62"/>
      <c r="FB803" s="62"/>
      <c r="FC803" s="62"/>
      <c r="FD803" s="62"/>
      <c r="FE803" s="62"/>
      <c r="FF803" s="62"/>
      <c r="FG803" s="62"/>
      <c r="FH803" s="62"/>
      <c r="FI803" s="62"/>
      <c r="FJ803" s="62"/>
      <c r="FK803" s="62"/>
      <c r="FL803" s="62"/>
      <c r="FM803" s="62"/>
      <c r="FN803" s="62"/>
      <c r="FO803" s="62"/>
      <c r="FP803" s="62"/>
      <c r="FQ803" s="62"/>
      <c r="FR803" s="62"/>
      <c r="FS803" s="62"/>
      <c r="FT803" s="62"/>
      <c r="FU803" s="62"/>
      <c r="FV803" s="62"/>
    </row>
    <row r="804" spans="1:178" ht="13.8">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c r="AT804" s="62"/>
      <c r="AU804" s="62"/>
      <c r="AV804" s="62"/>
      <c r="AW804" s="62"/>
      <c r="AX804" s="62"/>
      <c r="AY804" s="62"/>
      <c r="AZ804" s="62"/>
      <c r="BA804" s="62"/>
      <c r="BB804" s="62"/>
      <c r="BC804" s="62"/>
      <c r="BD804" s="62"/>
      <c r="BE804" s="62"/>
      <c r="BF804" s="62"/>
      <c r="BG804" s="62"/>
      <c r="BH804" s="62"/>
      <c r="BI804" s="62"/>
      <c r="BJ804" s="62"/>
      <c r="BK804" s="62"/>
      <c r="BL804" s="62"/>
      <c r="BM804" s="62"/>
      <c r="BN804" s="62"/>
      <c r="BO804" s="62"/>
      <c r="BP804" s="62"/>
      <c r="BQ804" s="62"/>
      <c r="BR804" s="62"/>
      <c r="BS804" s="62"/>
      <c r="BT804" s="62"/>
      <c r="BU804" s="62"/>
      <c r="BV804" s="62"/>
      <c r="BW804" s="62"/>
      <c r="BX804" s="62"/>
      <c r="BY804" s="62"/>
      <c r="BZ804" s="62"/>
      <c r="CA804" s="62"/>
      <c r="CB804" s="62"/>
      <c r="CC804" s="62"/>
      <c r="CD804" s="62"/>
      <c r="CE804" s="62"/>
      <c r="CF804" s="62"/>
      <c r="CG804" s="62"/>
      <c r="CH804" s="62"/>
      <c r="CI804" s="62"/>
      <c r="CJ804" s="62"/>
      <c r="CK804" s="62"/>
      <c r="CL804" s="62"/>
      <c r="CM804" s="62"/>
      <c r="CN804" s="62"/>
      <c r="CO804" s="62"/>
      <c r="CP804" s="62"/>
      <c r="CQ804" s="62"/>
      <c r="CR804" s="62"/>
      <c r="CS804" s="62"/>
      <c r="CT804" s="62"/>
      <c r="CU804" s="62"/>
      <c r="CV804" s="62"/>
      <c r="CW804" s="62"/>
      <c r="CX804" s="62"/>
      <c r="CY804" s="62"/>
      <c r="CZ804" s="62"/>
      <c r="DA804" s="62"/>
      <c r="DB804" s="62"/>
      <c r="DC804" s="62"/>
      <c r="DD804" s="62"/>
      <c r="DE804" s="62"/>
      <c r="DF804" s="62"/>
      <c r="DG804" s="62"/>
      <c r="DH804" s="62"/>
      <c r="DI804" s="62"/>
      <c r="DJ804" s="62"/>
      <c r="DK804" s="62"/>
      <c r="DL804" s="62"/>
      <c r="DM804" s="62"/>
      <c r="DN804" s="62"/>
      <c r="DO804" s="62"/>
      <c r="DP804" s="62"/>
      <c r="DQ804" s="62"/>
      <c r="DR804" s="62"/>
      <c r="DS804" s="62"/>
      <c r="DT804" s="62"/>
      <c r="DU804" s="62"/>
      <c r="DV804" s="62"/>
      <c r="DW804" s="62"/>
      <c r="DX804" s="62"/>
      <c r="DY804" s="62"/>
      <c r="DZ804" s="62"/>
      <c r="EA804" s="62"/>
      <c r="EB804" s="62"/>
      <c r="EC804" s="62"/>
      <c r="ED804" s="62"/>
      <c r="EE804" s="62"/>
      <c r="EF804" s="62"/>
      <c r="EG804" s="62"/>
      <c r="EH804" s="62"/>
      <c r="EI804" s="62"/>
      <c r="EJ804" s="62"/>
      <c r="EK804" s="62"/>
      <c r="EL804" s="62"/>
      <c r="EM804" s="62"/>
      <c r="EN804" s="62"/>
      <c r="EO804" s="62"/>
      <c r="EP804" s="62"/>
      <c r="EQ804" s="62"/>
      <c r="ER804" s="62"/>
      <c r="ES804" s="62"/>
      <c r="ET804" s="62"/>
      <c r="EU804" s="62"/>
      <c r="EV804" s="62"/>
      <c r="EW804" s="62"/>
      <c r="EX804" s="62"/>
      <c r="EY804" s="62"/>
      <c r="EZ804" s="62"/>
      <c r="FA804" s="62"/>
      <c r="FB804" s="62"/>
      <c r="FC804" s="62"/>
      <c r="FD804" s="62"/>
      <c r="FE804" s="62"/>
      <c r="FF804" s="62"/>
      <c r="FG804" s="62"/>
      <c r="FH804" s="62"/>
      <c r="FI804" s="62"/>
      <c r="FJ804" s="62"/>
      <c r="FK804" s="62"/>
      <c r="FL804" s="62"/>
      <c r="FM804" s="62"/>
      <c r="FN804" s="62"/>
      <c r="FO804" s="62"/>
      <c r="FP804" s="62"/>
      <c r="FQ804" s="62"/>
      <c r="FR804" s="62"/>
      <c r="FS804" s="62"/>
      <c r="FT804" s="62"/>
      <c r="FU804" s="62"/>
      <c r="FV804" s="62"/>
    </row>
    <row r="805" spans="1:178" ht="13.8">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c r="AT805" s="62"/>
      <c r="AU805" s="62"/>
      <c r="AV805" s="62"/>
      <c r="AW805" s="62"/>
      <c r="AX805" s="62"/>
      <c r="AY805" s="62"/>
      <c r="AZ805" s="62"/>
      <c r="BA805" s="62"/>
      <c r="BB805" s="62"/>
      <c r="BC805" s="62"/>
      <c r="BD805" s="62"/>
      <c r="BE805" s="62"/>
      <c r="BF805" s="62"/>
      <c r="BG805" s="62"/>
      <c r="BH805" s="62"/>
      <c r="BI805" s="62"/>
      <c r="BJ805" s="62"/>
      <c r="BK805" s="62"/>
      <c r="BL805" s="62"/>
      <c r="BM805" s="62"/>
      <c r="BN805" s="62"/>
      <c r="BO805" s="62"/>
      <c r="BP805" s="62"/>
      <c r="BQ805" s="62"/>
      <c r="BR805" s="62"/>
      <c r="BS805" s="62"/>
      <c r="BT805" s="62"/>
      <c r="BU805" s="62"/>
      <c r="BV805" s="62"/>
      <c r="BW805" s="62"/>
      <c r="BX805" s="62"/>
      <c r="BY805" s="62"/>
      <c r="BZ805" s="62"/>
      <c r="CA805" s="62"/>
      <c r="CB805" s="62"/>
      <c r="CC805" s="62"/>
      <c r="CD805" s="62"/>
      <c r="CE805" s="62"/>
      <c r="CF805" s="62"/>
      <c r="CG805" s="62"/>
      <c r="CH805" s="62"/>
      <c r="CI805" s="62"/>
      <c r="CJ805" s="62"/>
      <c r="CK805" s="62"/>
      <c r="CL805" s="62"/>
      <c r="CM805" s="62"/>
      <c r="CN805" s="62"/>
      <c r="CO805" s="62"/>
      <c r="CP805" s="62"/>
      <c r="CQ805" s="62"/>
      <c r="CR805" s="62"/>
      <c r="CS805" s="62"/>
      <c r="CT805" s="62"/>
      <c r="CU805" s="62"/>
      <c r="CV805" s="62"/>
      <c r="CW805" s="62"/>
      <c r="CX805" s="62"/>
      <c r="CY805" s="62"/>
      <c r="CZ805" s="62"/>
      <c r="DA805" s="62"/>
      <c r="DB805" s="62"/>
      <c r="DC805" s="62"/>
      <c r="DD805" s="62"/>
      <c r="DE805" s="62"/>
      <c r="DF805" s="62"/>
      <c r="DG805" s="62"/>
      <c r="DH805" s="62"/>
      <c r="DI805" s="62"/>
      <c r="DJ805" s="62"/>
      <c r="DK805" s="62"/>
      <c r="DL805" s="62"/>
      <c r="DM805" s="62"/>
      <c r="DN805" s="62"/>
      <c r="DO805" s="62"/>
      <c r="DP805" s="62"/>
      <c r="DQ805" s="62"/>
      <c r="DR805" s="62"/>
      <c r="DS805" s="62"/>
      <c r="DT805" s="62"/>
      <c r="DU805" s="62"/>
      <c r="DV805" s="62"/>
      <c r="DW805" s="62"/>
      <c r="DX805" s="62"/>
      <c r="DY805" s="62"/>
      <c r="DZ805" s="62"/>
      <c r="EA805" s="62"/>
      <c r="EB805" s="62"/>
      <c r="EC805" s="62"/>
      <c r="ED805" s="62"/>
      <c r="EE805" s="62"/>
      <c r="EF805" s="62"/>
      <c r="EG805" s="62"/>
      <c r="EH805" s="62"/>
      <c r="EI805" s="62"/>
      <c r="EJ805" s="62"/>
      <c r="EK805" s="62"/>
      <c r="EL805" s="62"/>
      <c r="EM805" s="62"/>
      <c r="EN805" s="62"/>
      <c r="EO805" s="62"/>
      <c r="EP805" s="62"/>
      <c r="EQ805" s="62"/>
      <c r="ER805" s="62"/>
      <c r="ES805" s="62"/>
      <c r="ET805" s="62"/>
      <c r="EU805" s="62"/>
      <c r="EV805" s="62"/>
      <c r="EW805" s="62"/>
      <c r="EX805" s="62"/>
      <c r="EY805" s="62"/>
      <c r="EZ805" s="62"/>
      <c r="FA805" s="62"/>
      <c r="FB805" s="62"/>
      <c r="FC805" s="62"/>
      <c r="FD805" s="62"/>
      <c r="FE805" s="62"/>
      <c r="FF805" s="62"/>
      <c r="FG805" s="62"/>
      <c r="FH805" s="62"/>
      <c r="FI805" s="62"/>
      <c r="FJ805" s="62"/>
      <c r="FK805" s="62"/>
      <c r="FL805" s="62"/>
      <c r="FM805" s="62"/>
      <c r="FN805" s="62"/>
      <c r="FO805" s="62"/>
      <c r="FP805" s="62"/>
      <c r="FQ805" s="62"/>
      <c r="FR805" s="62"/>
      <c r="FS805" s="62"/>
      <c r="FT805" s="62"/>
      <c r="FU805" s="62"/>
      <c r="FV805" s="62"/>
    </row>
    <row r="806" spans="1:178" ht="13.8">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c r="AT806" s="62"/>
      <c r="AU806" s="62"/>
      <c r="AV806" s="62"/>
      <c r="AW806" s="62"/>
      <c r="AX806" s="62"/>
      <c r="AY806" s="62"/>
      <c r="AZ806" s="62"/>
      <c r="BA806" s="62"/>
      <c r="BB806" s="62"/>
      <c r="BC806" s="62"/>
      <c r="BD806" s="62"/>
      <c r="BE806" s="62"/>
      <c r="BF806" s="62"/>
      <c r="BG806" s="62"/>
      <c r="BH806" s="62"/>
      <c r="BI806" s="62"/>
      <c r="BJ806" s="62"/>
      <c r="BK806" s="62"/>
      <c r="BL806" s="62"/>
      <c r="BM806" s="62"/>
      <c r="BN806" s="62"/>
      <c r="BO806" s="62"/>
      <c r="BP806" s="62"/>
      <c r="BQ806" s="62"/>
      <c r="BR806" s="62"/>
      <c r="BS806" s="62"/>
      <c r="BT806" s="62"/>
      <c r="BU806" s="62"/>
      <c r="BV806" s="62"/>
      <c r="BW806" s="62"/>
      <c r="BX806" s="62"/>
      <c r="BY806" s="62"/>
      <c r="BZ806" s="62"/>
      <c r="CA806" s="62"/>
      <c r="CB806" s="62"/>
      <c r="CC806" s="62"/>
      <c r="CD806" s="62"/>
      <c r="CE806" s="62"/>
      <c r="CF806" s="62"/>
      <c r="CG806" s="62"/>
      <c r="CH806" s="62"/>
      <c r="CI806" s="62"/>
      <c r="CJ806" s="62"/>
      <c r="CK806" s="62"/>
      <c r="CL806" s="62"/>
      <c r="CM806" s="62"/>
      <c r="CN806" s="62"/>
      <c r="CO806" s="62"/>
      <c r="CP806" s="62"/>
      <c r="CQ806" s="62"/>
      <c r="CR806" s="62"/>
      <c r="CS806" s="62"/>
      <c r="CT806" s="62"/>
      <c r="CU806" s="62"/>
      <c r="CV806" s="62"/>
      <c r="CW806" s="62"/>
      <c r="CX806" s="62"/>
      <c r="CY806" s="62"/>
      <c r="CZ806" s="62"/>
      <c r="DA806" s="62"/>
      <c r="DB806" s="62"/>
      <c r="DC806" s="62"/>
      <c r="DD806" s="62"/>
      <c r="DE806" s="62"/>
      <c r="DF806" s="62"/>
      <c r="DG806" s="62"/>
      <c r="DH806" s="62"/>
      <c r="DI806" s="62"/>
      <c r="DJ806" s="62"/>
      <c r="DK806" s="62"/>
      <c r="DL806" s="62"/>
      <c r="DM806" s="62"/>
      <c r="DN806" s="62"/>
      <c r="DO806" s="62"/>
      <c r="DP806" s="62"/>
      <c r="DQ806" s="62"/>
      <c r="DR806" s="62"/>
      <c r="DS806" s="62"/>
      <c r="DT806" s="62"/>
      <c r="DU806" s="62"/>
      <c r="DV806" s="62"/>
      <c r="DW806" s="62"/>
      <c r="DX806" s="62"/>
      <c r="DY806" s="62"/>
      <c r="DZ806" s="62"/>
      <c r="EA806" s="62"/>
      <c r="EB806" s="62"/>
      <c r="EC806" s="62"/>
      <c r="ED806" s="62"/>
      <c r="EE806" s="62"/>
      <c r="EF806" s="62"/>
      <c r="EG806" s="62"/>
      <c r="EH806" s="62"/>
      <c r="EI806" s="62"/>
      <c r="EJ806" s="62"/>
      <c r="EK806" s="62"/>
      <c r="EL806" s="62"/>
      <c r="EM806" s="62"/>
      <c r="EN806" s="62"/>
      <c r="EO806" s="62"/>
      <c r="EP806" s="62"/>
      <c r="EQ806" s="62"/>
      <c r="ER806" s="62"/>
      <c r="ES806" s="62"/>
      <c r="ET806" s="62"/>
      <c r="EU806" s="62"/>
      <c r="EV806" s="62"/>
      <c r="EW806" s="62"/>
      <c r="EX806" s="62"/>
      <c r="EY806" s="62"/>
      <c r="EZ806" s="62"/>
      <c r="FA806" s="62"/>
      <c r="FB806" s="62"/>
      <c r="FC806" s="62"/>
      <c r="FD806" s="62"/>
      <c r="FE806" s="62"/>
      <c r="FF806" s="62"/>
      <c r="FG806" s="62"/>
      <c r="FH806" s="62"/>
      <c r="FI806" s="62"/>
      <c r="FJ806" s="62"/>
      <c r="FK806" s="62"/>
      <c r="FL806" s="62"/>
      <c r="FM806" s="62"/>
      <c r="FN806" s="62"/>
      <c r="FO806" s="62"/>
      <c r="FP806" s="62"/>
      <c r="FQ806" s="62"/>
      <c r="FR806" s="62"/>
      <c r="FS806" s="62"/>
      <c r="FT806" s="62"/>
      <c r="FU806" s="62"/>
      <c r="FV806" s="62"/>
    </row>
    <row r="807" spans="1:178" ht="13.8">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c r="AT807" s="62"/>
      <c r="AU807" s="62"/>
      <c r="AV807" s="62"/>
      <c r="AW807" s="62"/>
      <c r="AX807" s="62"/>
      <c r="AY807" s="62"/>
      <c r="AZ807" s="62"/>
      <c r="BA807" s="62"/>
      <c r="BB807" s="62"/>
      <c r="BC807" s="62"/>
      <c r="BD807" s="62"/>
      <c r="BE807" s="62"/>
      <c r="BF807" s="62"/>
      <c r="BG807" s="62"/>
      <c r="BH807" s="62"/>
      <c r="BI807" s="62"/>
      <c r="BJ807" s="62"/>
      <c r="BK807" s="62"/>
      <c r="BL807" s="62"/>
      <c r="BM807" s="62"/>
      <c r="BN807" s="62"/>
      <c r="BO807" s="62"/>
      <c r="BP807" s="62"/>
      <c r="BQ807" s="62"/>
      <c r="BR807" s="62"/>
      <c r="BS807" s="62"/>
      <c r="BT807" s="62"/>
      <c r="BU807" s="62"/>
      <c r="BV807" s="62"/>
      <c r="BW807" s="62"/>
      <c r="BX807" s="62"/>
      <c r="BY807" s="62"/>
      <c r="BZ807" s="62"/>
      <c r="CA807" s="62"/>
      <c r="CB807" s="62"/>
      <c r="CC807" s="62"/>
      <c r="CD807" s="62"/>
      <c r="CE807" s="62"/>
      <c r="CF807" s="62"/>
      <c r="CG807" s="62"/>
      <c r="CH807" s="62"/>
      <c r="CI807" s="62"/>
      <c r="CJ807" s="62"/>
      <c r="CK807" s="62"/>
      <c r="CL807" s="62"/>
      <c r="CM807" s="62"/>
      <c r="CN807" s="62"/>
      <c r="CO807" s="62"/>
      <c r="CP807" s="62"/>
      <c r="CQ807" s="62"/>
      <c r="CR807" s="62"/>
      <c r="CS807" s="62"/>
      <c r="CT807" s="62"/>
      <c r="CU807" s="62"/>
      <c r="CV807" s="62"/>
      <c r="CW807" s="62"/>
      <c r="CX807" s="62"/>
      <c r="CY807" s="62"/>
      <c r="CZ807" s="62"/>
      <c r="DA807" s="62"/>
      <c r="DB807" s="62"/>
      <c r="DC807" s="62"/>
      <c r="DD807" s="62"/>
      <c r="DE807" s="62"/>
      <c r="DF807" s="62"/>
      <c r="DG807" s="62"/>
      <c r="DH807" s="62"/>
      <c r="DI807" s="62"/>
      <c r="DJ807" s="62"/>
      <c r="DK807" s="62"/>
      <c r="DL807" s="62"/>
      <c r="DM807" s="62"/>
      <c r="DN807" s="62"/>
      <c r="DO807" s="62"/>
      <c r="DP807" s="62"/>
      <c r="DQ807" s="62"/>
      <c r="DR807" s="62"/>
      <c r="DS807" s="62"/>
      <c r="DT807" s="62"/>
      <c r="DU807" s="62"/>
      <c r="DV807" s="62"/>
      <c r="DW807" s="62"/>
      <c r="DX807" s="62"/>
      <c r="DY807" s="62"/>
      <c r="DZ807" s="62"/>
      <c r="EA807" s="62"/>
      <c r="EB807" s="62"/>
      <c r="EC807" s="62"/>
      <c r="ED807" s="62"/>
      <c r="EE807" s="62"/>
      <c r="EF807" s="62"/>
      <c r="EG807" s="62"/>
      <c r="EH807" s="62"/>
      <c r="EI807" s="62"/>
      <c r="EJ807" s="62"/>
      <c r="EK807" s="62"/>
      <c r="EL807" s="62"/>
      <c r="EM807" s="62"/>
      <c r="EN807" s="62"/>
      <c r="EO807" s="62"/>
      <c r="EP807" s="62"/>
      <c r="EQ807" s="62"/>
      <c r="ER807" s="62"/>
      <c r="ES807" s="62"/>
      <c r="ET807" s="62"/>
      <c r="EU807" s="62"/>
      <c r="EV807" s="62"/>
      <c r="EW807" s="62"/>
      <c r="EX807" s="62"/>
      <c r="EY807" s="62"/>
      <c r="EZ807" s="62"/>
      <c r="FA807" s="62"/>
      <c r="FB807" s="62"/>
      <c r="FC807" s="62"/>
      <c r="FD807" s="62"/>
      <c r="FE807" s="62"/>
      <c r="FF807" s="62"/>
      <c r="FG807" s="62"/>
      <c r="FH807" s="62"/>
      <c r="FI807" s="62"/>
      <c r="FJ807" s="62"/>
      <c r="FK807" s="62"/>
      <c r="FL807" s="62"/>
      <c r="FM807" s="62"/>
      <c r="FN807" s="62"/>
      <c r="FO807" s="62"/>
      <c r="FP807" s="62"/>
      <c r="FQ807" s="62"/>
      <c r="FR807" s="62"/>
      <c r="FS807" s="62"/>
      <c r="FT807" s="62"/>
      <c r="FU807" s="62"/>
      <c r="FV807" s="62"/>
    </row>
    <row r="808" spans="1:178" ht="13.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c r="AT808" s="62"/>
      <c r="AU808" s="62"/>
      <c r="AV808" s="62"/>
      <c r="AW808" s="62"/>
      <c r="AX808" s="62"/>
      <c r="AY808" s="62"/>
      <c r="AZ808" s="62"/>
      <c r="BA808" s="62"/>
      <c r="BB808" s="62"/>
      <c r="BC808" s="62"/>
      <c r="BD808" s="62"/>
      <c r="BE808" s="62"/>
      <c r="BF808" s="62"/>
      <c r="BG808" s="62"/>
      <c r="BH808" s="62"/>
      <c r="BI808" s="62"/>
      <c r="BJ808" s="62"/>
      <c r="BK808" s="62"/>
      <c r="BL808" s="62"/>
      <c r="BM808" s="62"/>
      <c r="BN808" s="62"/>
      <c r="BO808" s="62"/>
      <c r="BP808" s="62"/>
      <c r="BQ808" s="62"/>
      <c r="BR808" s="62"/>
      <c r="BS808" s="62"/>
      <c r="BT808" s="62"/>
      <c r="BU808" s="62"/>
      <c r="BV808" s="62"/>
      <c r="BW808" s="62"/>
      <c r="BX808" s="62"/>
      <c r="BY808" s="62"/>
      <c r="BZ808" s="62"/>
      <c r="CA808" s="62"/>
      <c r="CB808" s="62"/>
      <c r="CC808" s="62"/>
      <c r="CD808" s="62"/>
      <c r="CE808" s="62"/>
      <c r="CF808" s="62"/>
      <c r="CG808" s="62"/>
      <c r="CH808" s="62"/>
      <c r="CI808" s="62"/>
      <c r="CJ808" s="62"/>
      <c r="CK808" s="62"/>
      <c r="CL808" s="62"/>
      <c r="CM808" s="62"/>
      <c r="CN808" s="62"/>
      <c r="CO808" s="62"/>
      <c r="CP808" s="62"/>
      <c r="CQ808" s="62"/>
      <c r="CR808" s="62"/>
      <c r="CS808" s="62"/>
      <c r="CT808" s="62"/>
      <c r="CU808" s="62"/>
      <c r="CV808" s="62"/>
      <c r="CW808" s="62"/>
      <c r="CX808" s="62"/>
      <c r="CY808" s="62"/>
      <c r="CZ808" s="62"/>
      <c r="DA808" s="62"/>
      <c r="DB808" s="62"/>
      <c r="DC808" s="62"/>
      <c r="DD808" s="62"/>
      <c r="DE808" s="62"/>
      <c r="DF808" s="62"/>
      <c r="DG808" s="62"/>
      <c r="DH808" s="62"/>
      <c r="DI808" s="62"/>
      <c r="DJ808" s="62"/>
      <c r="DK808" s="62"/>
      <c r="DL808" s="62"/>
      <c r="DM808" s="62"/>
      <c r="DN808" s="62"/>
      <c r="DO808" s="62"/>
      <c r="DP808" s="62"/>
      <c r="DQ808" s="62"/>
      <c r="DR808" s="62"/>
      <c r="DS808" s="62"/>
      <c r="DT808" s="62"/>
      <c r="DU808" s="62"/>
      <c r="DV808" s="62"/>
      <c r="DW808" s="62"/>
      <c r="DX808" s="62"/>
      <c r="DY808" s="62"/>
      <c r="DZ808" s="62"/>
      <c r="EA808" s="62"/>
      <c r="EB808" s="62"/>
      <c r="EC808" s="62"/>
      <c r="ED808" s="62"/>
      <c r="EE808" s="62"/>
      <c r="EF808" s="62"/>
      <c r="EG808" s="62"/>
      <c r="EH808" s="62"/>
      <c r="EI808" s="62"/>
      <c r="EJ808" s="62"/>
      <c r="EK808" s="62"/>
      <c r="EL808" s="62"/>
      <c r="EM808" s="62"/>
      <c r="EN808" s="62"/>
      <c r="EO808" s="62"/>
      <c r="EP808" s="62"/>
      <c r="EQ808" s="62"/>
      <c r="ER808" s="62"/>
      <c r="ES808" s="62"/>
      <c r="ET808" s="62"/>
      <c r="EU808" s="62"/>
      <c r="EV808" s="62"/>
      <c r="EW808" s="62"/>
      <c r="EX808" s="62"/>
      <c r="EY808" s="62"/>
      <c r="EZ808" s="62"/>
      <c r="FA808" s="62"/>
      <c r="FB808" s="62"/>
      <c r="FC808" s="62"/>
      <c r="FD808" s="62"/>
      <c r="FE808" s="62"/>
      <c r="FF808" s="62"/>
      <c r="FG808" s="62"/>
      <c r="FH808" s="62"/>
      <c r="FI808" s="62"/>
      <c r="FJ808" s="62"/>
      <c r="FK808" s="62"/>
      <c r="FL808" s="62"/>
      <c r="FM808" s="62"/>
      <c r="FN808" s="62"/>
      <c r="FO808" s="62"/>
      <c r="FP808" s="62"/>
      <c r="FQ808" s="62"/>
      <c r="FR808" s="62"/>
      <c r="FS808" s="62"/>
      <c r="FT808" s="62"/>
      <c r="FU808" s="62"/>
      <c r="FV808" s="62"/>
    </row>
    <row r="809" spans="1:178" ht="13.8">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c r="AT809" s="62"/>
      <c r="AU809" s="62"/>
      <c r="AV809" s="62"/>
      <c r="AW809" s="62"/>
      <c r="AX809" s="62"/>
      <c r="AY809" s="62"/>
      <c r="AZ809" s="62"/>
      <c r="BA809" s="62"/>
      <c r="BB809" s="62"/>
      <c r="BC809" s="62"/>
      <c r="BD809" s="62"/>
      <c r="BE809" s="62"/>
      <c r="BF809" s="62"/>
      <c r="BG809" s="62"/>
      <c r="BH809" s="62"/>
      <c r="BI809" s="62"/>
      <c r="BJ809" s="62"/>
      <c r="BK809" s="62"/>
      <c r="BL809" s="62"/>
      <c r="BM809" s="62"/>
      <c r="BN809" s="62"/>
      <c r="BO809" s="62"/>
      <c r="BP809" s="62"/>
      <c r="BQ809" s="62"/>
      <c r="BR809" s="62"/>
      <c r="BS809" s="62"/>
      <c r="BT809" s="62"/>
      <c r="BU809" s="62"/>
      <c r="BV809" s="62"/>
      <c r="BW809" s="62"/>
      <c r="BX809" s="62"/>
      <c r="BY809" s="62"/>
      <c r="BZ809" s="62"/>
      <c r="CA809" s="62"/>
      <c r="CB809" s="62"/>
      <c r="CC809" s="62"/>
      <c r="CD809" s="62"/>
      <c r="CE809" s="62"/>
      <c r="CF809" s="62"/>
      <c r="CG809" s="62"/>
      <c r="CH809" s="62"/>
      <c r="CI809" s="62"/>
      <c r="CJ809" s="62"/>
      <c r="CK809" s="62"/>
      <c r="CL809" s="62"/>
      <c r="CM809" s="62"/>
      <c r="CN809" s="62"/>
      <c r="CO809" s="62"/>
      <c r="CP809" s="62"/>
      <c r="CQ809" s="62"/>
      <c r="CR809" s="62"/>
      <c r="CS809" s="62"/>
      <c r="CT809" s="62"/>
      <c r="CU809" s="62"/>
      <c r="CV809" s="62"/>
      <c r="CW809" s="62"/>
      <c r="CX809" s="62"/>
      <c r="CY809" s="62"/>
      <c r="CZ809" s="62"/>
      <c r="DA809" s="62"/>
      <c r="DB809" s="62"/>
      <c r="DC809" s="62"/>
      <c r="DD809" s="62"/>
      <c r="DE809" s="62"/>
      <c r="DF809" s="62"/>
      <c r="DG809" s="62"/>
      <c r="DH809" s="62"/>
      <c r="DI809" s="62"/>
      <c r="DJ809" s="62"/>
      <c r="DK809" s="62"/>
      <c r="DL809" s="62"/>
      <c r="DM809" s="62"/>
      <c r="DN809" s="62"/>
      <c r="DO809" s="62"/>
      <c r="DP809" s="62"/>
      <c r="DQ809" s="62"/>
      <c r="DR809" s="62"/>
      <c r="DS809" s="62"/>
      <c r="DT809" s="62"/>
      <c r="DU809" s="62"/>
      <c r="DV809" s="62"/>
      <c r="DW809" s="62"/>
      <c r="DX809" s="62"/>
      <c r="DY809" s="62"/>
      <c r="DZ809" s="62"/>
      <c r="EA809" s="62"/>
      <c r="EB809" s="62"/>
      <c r="EC809" s="62"/>
      <c r="ED809" s="62"/>
      <c r="EE809" s="62"/>
      <c r="EF809" s="62"/>
      <c r="EG809" s="62"/>
      <c r="EH809" s="62"/>
      <c r="EI809" s="62"/>
      <c r="EJ809" s="62"/>
      <c r="EK809" s="62"/>
      <c r="EL809" s="62"/>
      <c r="EM809" s="62"/>
      <c r="EN809" s="62"/>
      <c r="EO809" s="62"/>
      <c r="EP809" s="62"/>
      <c r="EQ809" s="62"/>
      <c r="ER809" s="62"/>
      <c r="ES809" s="62"/>
      <c r="ET809" s="62"/>
      <c r="EU809" s="62"/>
      <c r="EV809" s="62"/>
      <c r="EW809" s="62"/>
      <c r="EX809" s="62"/>
      <c r="EY809" s="62"/>
      <c r="EZ809" s="62"/>
      <c r="FA809" s="62"/>
      <c r="FB809" s="62"/>
      <c r="FC809" s="62"/>
      <c r="FD809" s="62"/>
      <c r="FE809" s="62"/>
      <c r="FF809" s="62"/>
      <c r="FG809" s="62"/>
      <c r="FH809" s="62"/>
      <c r="FI809" s="62"/>
      <c r="FJ809" s="62"/>
      <c r="FK809" s="62"/>
      <c r="FL809" s="62"/>
      <c r="FM809" s="62"/>
      <c r="FN809" s="62"/>
      <c r="FO809" s="62"/>
      <c r="FP809" s="62"/>
      <c r="FQ809" s="62"/>
      <c r="FR809" s="62"/>
      <c r="FS809" s="62"/>
      <c r="FT809" s="62"/>
      <c r="FU809" s="62"/>
      <c r="FV809" s="62"/>
    </row>
    <row r="810" spans="1:178" ht="13.8">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c r="AT810" s="62"/>
      <c r="AU810" s="62"/>
      <c r="AV810" s="62"/>
      <c r="AW810" s="62"/>
      <c r="AX810" s="62"/>
      <c r="AY810" s="62"/>
      <c r="AZ810" s="62"/>
      <c r="BA810" s="62"/>
      <c r="BB810" s="62"/>
      <c r="BC810" s="62"/>
      <c r="BD810" s="62"/>
      <c r="BE810" s="62"/>
      <c r="BF810" s="62"/>
      <c r="BG810" s="62"/>
      <c r="BH810" s="62"/>
      <c r="BI810" s="62"/>
      <c r="BJ810" s="62"/>
      <c r="BK810" s="62"/>
      <c r="BL810" s="62"/>
      <c r="BM810" s="62"/>
      <c r="BN810" s="62"/>
      <c r="BO810" s="62"/>
      <c r="BP810" s="62"/>
      <c r="BQ810" s="62"/>
      <c r="BR810" s="62"/>
      <c r="BS810" s="62"/>
      <c r="BT810" s="62"/>
      <c r="BU810" s="62"/>
      <c r="BV810" s="62"/>
      <c r="BW810" s="62"/>
      <c r="BX810" s="62"/>
      <c r="BY810" s="62"/>
      <c r="BZ810" s="62"/>
      <c r="CA810" s="62"/>
      <c r="CB810" s="62"/>
      <c r="CC810" s="62"/>
      <c r="CD810" s="62"/>
      <c r="CE810" s="62"/>
      <c r="CF810" s="62"/>
      <c r="CG810" s="62"/>
      <c r="CH810" s="62"/>
      <c r="CI810" s="62"/>
      <c r="CJ810" s="62"/>
      <c r="CK810" s="62"/>
      <c r="CL810" s="62"/>
      <c r="CM810" s="62"/>
      <c r="CN810" s="62"/>
      <c r="CO810" s="62"/>
      <c r="CP810" s="62"/>
      <c r="CQ810" s="62"/>
      <c r="CR810" s="62"/>
      <c r="CS810" s="62"/>
      <c r="CT810" s="62"/>
      <c r="CU810" s="62"/>
      <c r="CV810" s="62"/>
      <c r="CW810" s="62"/>
      <c r="CX810" s="62"/>
      <c r="CY810" s="62"/>
      <c r="CZ810" s="62"/>
      <c r="DA810" s="62"/>
      <c r="DB810" s="62"/>
      <c r="DC810" s="62"/>
      <c r="DD810" s="62"/>
      <c r="DE810" s="62"/>
      <c r="DF810" s="62"/>
      <c r="DG810" s="62"/>
      <c r="DH810" s="62"/>
      <c r="DI810" s="62"/>
      <c r="DJ810" s="62"/>
      <c r="DK810" s="62"/>
      <c r="DL810" s="62"/>
      <c r="DM810" s="62"/>
      <c r="DN810" s="62"/>
      <c r="DO810" s="62"/>
      <c r="DP810" s="62"/>
      <c r="DQ810" s="62"/>
      <c r="DR810" s="62"/>
      <c r="DS810" s="62"/>
      <c r="DT810" s="62"/>
      <c r="DU810" s="62"/>
      <c r="DV810" s="62"/>
      <c r="DW810" s="62"/>
      <c r="DX810" s="62"/>
      <c r="DY810" s="62"/>
      <c r="DZ810" s="62"/>
      <c r="EA810" s="62"/>
      <c r="EB810" s="62"/>
      <c r="EC810" s="62"/>
      <c r="ED810" s="62"/>
      <c r="EE810" s="62"/>
      <c r="EF810" s="62"/>
      <c r="EG810" s="62"/>
      <c r="EH810" s="62"/>
      <c r="EI810" s="62"/>
      <c r="EJ810" s="62"/>
      <c r="EK810" s="62"/>
      <c r="EL810" s="62"/>
      <c r="EM810" s="62"/>
      <c r="EN810" s="62"/>
      <c r="EO810" s="62"/>
      <c r="EP810" s="62"/>
      <c r="EQ810" s="62"/>
      <c r="ER810" s="62"/>
      <c r="ES810" s="62"/>
      <c r="ET810" s="62"/>
      <c r="EU810" s="62"/>
      <c r="EV810" s="62"/>
      <c r="EW810" s="62"/>
      <c r="EX810" s="62"/>
      <c r="EY810" s="62"/>
      <c r="EZ810" s="62"/>
      <c r="FA810" s="62"/>
      <c r="FB810" s="62"/>
      <c r="FC810" s="62"/>
      <c r="FD810" s="62"/>
      <c r="FE810" s="62"/>
      <c r="FF810" s="62"/>
      <c r="FG810" s="62"/>
      <c r="FH810" s="62"/>
      <c r="FI810" s="62"/>
      <c r="FJ810" s="62"/>
      <c r="FK810" s="62"/>
      <c r="FL810" s="62"/>
      <c r="FM810" s="62"/>
      <c r="FN810" s="62"/>
      <c r="FO810" s="62"/>
      <c r="FP810" s="62"/>
      <c r="FQ810" s="62"/>
      <c r="FR810" s="62"/>
      <c r="FS810" s="62"/>
      <c r="FT810" s="62"/>
      <c r="FU810" s="62"/>
      <c r="FV810" s="62"/>
    </row>
    <row r="811" spans="1:178" ht="13.8">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c r="AT811" s="62"/>
      <c r="AU811" s="62"/>
      <c r="AV811" s="62"/>
      <c r="AW811" s="62"/>
      <c r="AX811" s="62"/>
      <c r="AY811" s="62"/>
      <c r="AZ811" s="62"/>
      <c r="BA811" s="62"/>
      <c r="BB811" s="62"/>
      <c r="BC811" s="62"/>
      <c r="BD811" s="62"/>
      <c r="BE811" s="62"/>
      <c r="BF811" s="62"/>
      <c r="BG811" s="62"/>
      <c r="BH811" s="62"/>
      <c r="BI811" s="62"/>
      <c r="BJ811" s="62"/>
      <c r="BK811" s="62"/>
      <c r="BL811" s="62"/>
      <c r="BM811" s="62"/>
      <c r="BN811" s="62"/>
      <c r="BO811" s="62"/>
      <c r="BP811" s="62"/>
      <c r="BQ811" s="62"/>
      <c r="BR811" s="62"/>
      <c r="BS811" s="62"/>
      <c r="BT811" s="62"/>
      <c r="BU811" s="62"/>
      <c r="BV811" s="62"/>
      <c r="BW811" s="62"/>
      <c r="BX811" s="62"/>
      <c r="BY811" s="62"/>
      <c r="BZ811" s="62"/>
      <c r="CA811" s="62"/>
      <c r="CB811" s="62"/>
      <c r="CC811" s="62"/>
      <c r="CD811" s="62"/>
      <c r="CE811" s="62"/>
      <c r="CF811" s="62"/>
      <c r="CG811" s="62"/>
      <c r="CH811" s="62"/>
      <c r="CI811" s="62"/>
      <c r="CJ811" s="62"/>
      <c r="CK811" s="62"/>
      <c r="CL811" s="62"/>
      <c r="CM811" s="62"/>
      <c r="CN811" s="62"/>
      <c r="CO811" s="62"/>
      <c r="CP811" s="62"/>
      <c r="CQ811" s="62"/>
      <c r="CR811" s="62"/>
      <c r="CS811" s="62"/>
      <c r="CT811" s="62"/>
      <c r="CU811" s="62"/>
      <c r="CV811" s="62"/>
      <c r="CW811" s="62"/>
      <c r="CX811" s="62"/>
      <c r="CY811" s="62"/>
      <c r="CZ811" s="62"/>
      <c r="DA811" s="62"/>
      <c r="DB811" s="62"/>
      <c r="DC811" s="62"/>
      <c r="DD811" s="62"/>
      <c r="DE811" s="62"/>
      <c r="DF811" s="62"/>
      <c r="DG811" s="62"/>
      <c r="DH811" s="62"/>
      <c r="DI811" s="62"/>
      <c r="DJ811" s="62"/>
      <c r="DK811" s="62"/>
      <c r="DL811" s="62"/>
      <c r="DM811" s="62"/>
      <c r="DN811" s="62"/>
      <c r="DO811" s="62"/>
      <c r="DP811" s="62"/>
      <c r="DQ811" s="62"/>
      <c r="DR811" s="62"/>
      <c r="DS811" s="62"/>
      <c r="DT811" s="62"/>
      <c r="DU811" s="62"/>
      <c r="DV811" s="62"/>
      <c r="DW811" s="62"/>
      <c r="DX811" s="62"/>
      <c r="DY811" s="62"/>
      <c r="DZ811" s="62"/>
      <c r="EA811" s="62"/>
      <c r="EB811" s="62"/>
      <c r="EC811" s="62"/>
      <c r="ED811" s="62"/>
      <c r="EE811" s="62"/>
      <c r="EF811" s="62"/>
      <c r="EG811" s="62"/>
      <c r="EH811" s="62"/>
      <c r="EI811" s="62"/>
      <c r="EJ811" s="62"/>
      <c r="EK811" s="62"/>
      <c r="EL811" s="62"/>
      <c r="EM811" s="62"/>
      <c r="EN811" s="62"/>
      <c r="EO811" s="62"/>
      <c r="EP811" s="62"/>
      <c r="EQ811" s="62"/>
      <c r="ER811" s="62"/>
      <c r="ES811" s="62"/>
      <c r="ET811" s="62"/>
      <c r="EU811" s="62"/>
      <c r="EV811" s="62"/>
      <c r="EW811" s="62"/>
      <c r="EX811" s="62"/>
      <c r="EY811" s="62"/>
      <c r="EZ811" s="62"/>
      <c r="FA811" s="62"/>
      <c r="FB811" s="62"/>
      <c r="FC811" s="62"/>
      <c r="FD811" s="62"/>
      <c r="FE811" s="62"/>
      <c r="FF811" s="62"/>
      <c r="FG811" s="62"/>
      <c r="FH811" s="62"/>
      <c r="FI811" s="62"/>
      <c r="FJ811" s="62"/>
      <c r="FK811" s="62"/>
      <c r="FL811" s="62"/>
      <c r="FM811" s="62"/>
      <c r="FN811" s="62"/>
      <c r="FO811" s="62"/>
      <c r="FP811" s="62"/>
      <c r="FQ811" s="62"/>
      <c r="FR811" s="62"/>
      <c r="FS811" s="62"/>
      <c r="FT811" s="62"/>
      <c r="FU811" s="62"/>
      <c r="FV811" s="62"/>
    </row>
    <row r="812" spans="1:178" ht="13.8">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c r="AT812" s="62"/>
      <c r="AU812" s="62"/>
      <c r="AV812" s="62"/>
      <c r="AW812" s="62"/>
      <c r="AX812" s="62"/>
      <c r="AY812" s="62"/>
      <c r="AZ812" s="62"/>
      <c r="BA812" s="62"/>
      <c r="BB812" s="62"/>
      <c r="BC812" s="62"/>
      <c r="BD812" s="62"/>
      <c r="BE812" s="62"/>
      <c r="BF812" s="62"/>
      <c r="BG812" s="62"/>
      <c r="BH812" s="62"/>
      <c r="BI812" s="62"/>
      <c r="BJ812" s="62"/>
      <c r="BK812" s="62"/>
      <c r="BL812" s="62"/>
      <c r="BM812" s="62"/>
      <c r="BN812" s="62"/>
      <c r="BO812" s="62"/>
      <c r="BP812" s="62"/>
      <c r="BQ812" s="62"/>
      <c r="BR812" s="62"/>
      <c r="BS812" s="62"/>
      <c r="BT812" s="62"/>
      <c r="BU812" s="62"/>
      <c r="BV812" s="62"/>
      <c r="BW812" s="62"/>
      <c r="BX812" s="62"/>
      <c r="BY812" s="62"/>
      <c r="BZ812" s="62"/>
      <c r="CA812" s="62"/>
      <c r="CB812" s="62"/>
      <c r="CC812" s="62"/>
      <c r="CD812" s="62"/>
      <c r="CE812" s="62"/>
      <c r="CF812" s="62"/>
      <c r="CG812" s="62"/>
      <c r="CH812" s="62"/>
      <c r="CI812" s="62"/>
      <c r="CJ812" s="62"/>
      <c r="CK812" s="62"/>
      <c r="CL812" s="62"/>
      <c r="CM812" s="62"/>
      <c r="CN812" s="62"/>
      <c r="CO812" s="62"/>
      <c r="CP812" s="62"/>
      <c r="CQ812" s="62"/>
      <c r="CR812" s="62"/>
      <c r="CS812" s="62"/>
      <c r="CT812" s="62"/>
      <c r="CU812" s="62"/>
      <c r="CV812" s="62"/>
      <c r="CW812" s="62"/>
      <c r="CX812" s="62"/>
      <c r="CY812" s="62"/>
      <c r="CZ812" s="62"/>
      <c r="DA812" s="62"/>
      <c r="DB812" s="62"/>
      <c r="DC812" s="62"/>
      <c r="DD812" s="62"/>
      <c r="DE812" s="62"/>
      <c r="DF812" s="62"/>
      <c r="DG812" s="62"/>
      <c r="DH812" s="62"/>
      <c r="DI812" s="62"/>
      <c r="DJ812" s="62"/>
      <c r="DK812" s="62"/>
      <c r="DL812" s="62"/>
      <c r="DM812" s="62"/>
      <c r="DN812" s="62"/>
      <c r="DO812" s="62"/>
      <c r="DP812" s="62"/>
      <c r="DQ812" s="62"/>
      <c r="DR812" s="62"/>
      <c r="DS812" s="62"/>
      <c r="DT812" s="62"/>
      <c r="DU812" s="62"/>
      <c r="DV812" s="62"/>
      <c r="DW812" s="62"/>
      <c r="DX812" s="62"/>
      <c r="DY812" s="62"/>
      <c r="DZ812" s="62"/>
      <c r="EA812" s="62"/>
      <c r="EB812" s="62"/>
      <c r="EC812" s="62"/>
      <c r="ED812" s="62"/>
      <c r="EE812" s="62"/>
      <c r="EF812" s="62"/>
      <c r="EG812" s="62"/>
      <c r="EH812" s="62"/>
      <c r="EI812" s="62"/>
      <c r="EJ812" s="62"/>
      <c r="EK812" s="62"/>
      <c r="EL812" s="62"/>
      <c r="EM812" s="62"/>
      <c r="EN812" s="62"/>
      <c r="EO812" s="62"/>
      <c r="EP812" s="62"/>
      <c r="EQ812" s="62"/>
      <c r="ER812" s="62"/>
      <c r="ES812" s="62"/>
      <c r="ET812" s="62"/>
      <c r="EU812" s="62"/>
      <c r="EV812" s="62"/>
      <c r="EW812" s="62"/>
      <c r="EX812" s="62"/>
      <c r="EY812" s="62"/>
      <c r="EZ812" s="62"/>
      <c r="FA812" s="62"/>
      <c r="FB812" s="62"/>
      <c r="FC812" s="62"/>
      <c r="FD812" s="62"/>
      <c r="FE812" s="62"/>
      <c r="FF812" s="62"/>
      <c r="FG812" s="62"/>
      <c r="FH812" s="62"/>
      <c r="FI812" s="62"/>
      <c r="FJ812" s="62"/>
      <c r="FK812" s="62"/>
      <c r="FL812" s="62"/>
      <c r="FM812" s="62"/>
      <c r="FN812" s="62"/>
      <c r="FO812" s="62"/>
      <c r="FP812" s="62"/>
      <c r="FQ812" s="62"/>
      <c r="FR812" s="62"/>
      <c r="FS812" s="62"/>
      <c r="FT812" s="62"/>
      <c r="FU812" s="62"/>
      <c r="FV812" s="62"/>
    </row>
    <row r="813" spans="1:178" ht="13.8">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c r="AT813" s="62"/>
      <c r="AU813" s="62"/>
      <c r="AV813" s="62"/>
      <c r="AW813" s="62"/>
      <c r="AX813" s="62"/>
      <c r="AY813" s="62"/>
      <c r="AZ813" s="62"/>
      <c r="BA813" s="62"/>
      <c r="BB813" s="62"/>
      <c r="BC813" s="62"/>
      <c r="BD813" s="62"/>
      <c r="BE813" s="62"/>
      <c r="BF813" s="62"/>
      <c r="BG813" s="62"/>
      <c r="BH813" s="62"/>
      <c r="BI813" s="62"/>
      <c r="BJ813" s="62"/>
      <c r="BK813" s="62"/>
      <c r="BL813" s="62"/>
      <c r="BM813" s="62"/>
      <c r="BN813" s="62"/>
      <c r="BO813" s="62"/>
      <c r="BP813" s="62"/>
      <c r="BQ813" s="62"/>
      <c r="BR813" s="62"/>
      <c r="BS813" s="62"/>
      <c r="BT813" s="62"/>
      <c r="BU813" s="62"/>
      <c r="BV813" s="62"/>
      <c r="BW813" s="62"/>
      <c r="BX813" s="62"/>
      <c r="BY813" s="62"/>
      <c r="BZ813" s="62"/>
      <c r="CA813" s="62"/>
      <c r="CB813" s="62"/>
      <c r="CC813" s="62"/>
      <c r="CD813" s="62"/>
      <c r="CE813" s="62"/>
      <c r="CF813" s="62"/>
      <c r="CG813" s="62"/>
      <c r="CH813" s="62"/>
      <c r="CI813" s="62"/>
      <c r="CJ813" s="62"/>
      <c r="CK813" s="62"/>
      <c r="CL813" s="62"/>
      <c r="CM813" s="62"/>
      <c r="CN813" s="62"/>
      <c r="CO813" s="62"/>
      <c r="CP813" s="62"/>
      <c r="CQ813" s="62"/>
      <c r="CR813" s="62"/>
      <c r="CS813" s="62"/>
      <c r="CT813" s="62"/>
      <c r="CU813" s="62"/>
      <c r="CV813" s="62"/>
      <c r="CW813" s="62"/>
      <c r="CX813" s="62"/>
      <c r="CY813" s="62"/>
      <c r="CZ813" s="62"/>
      <c r="DA813" s="62"/>
      <c r="DB813" s="62"/>
      <c r="DC813" s="62"/>
      <c r="DD813" s="62"/>
      <c r="DE813" s="62"/>
      <c r="DF813" s="62"/>
      <c r="DG813" s="62"/>
      <c r="DH813" s="62"/>
      <c r="DI813" s="62"/>
      <c r="DJ813" s="62"/>
      <c r="DK813" s="62"/>
      <c r="DL813" s="62"/>
      <c r="DM813" s="62"/>
      <c r="DN813" s="62"/>
      <c r="DO813" s="62"/>
      <c r="DP813" s="62"/>
      <c r="DQ813" s="62"/>
      <c r="DR813" s="62"/>
      <c r="DS813" s="62"/>
      <c r="DT813" s="62"/>
      <c r="DU813" s="62"/>
      <c r="DV813" s="62"/>
      <c r="DW813" s="62"/>
      <c r="DX813" s="62"/>
      <c r="DY813" s="62"/>
      <c r="DZ813" s="62"/>
      <c r="EA813" s="62"/>
      <c r="EB813" s="62"/>
      <c r="EC813" s="62"/>
      <c r="ED813" s="62"/>
      <c r="EE813" s="62"/>
      <c r="EF813" s="62"/>
      <c r="EG813" s="62"/>
      <c r="EH813" s="62"/>
      <c r="EI813" s="62"/>
      <c r="EJ813" s="62"/>
      <c r="EK813" s="62"/>
      <c r="EL813" s="62"/>
      <c r="EM813" s="62"/>
      <c r="EN813" s="62"/>
      <c r="EO813" s="62"/>
      <c r="EP813" s="62"/>
      <c r="EQ813" s="62"/>
      <c r="ER813" s="62"/>
      <c r="ES813" s="62"/>
      <c r="ET813" s="62"/>
      <c r="EU813" s="62"/>
      <c r="EV813" s="62"/>
      <c r="EW813" s="62"/>
      <c r="EX813" s="62"/>
      <c r="EY813" s="62"/>
      <c r="EZ813" s="62"/>
      <c r="FA813" s="62"/>
      <c r="FB813" s="62"/>
      <c r="FC813" s="62"/>
      <c r="FD813" s="62"/>
      <c r="FE813" s="62"/>
      <c r="FF813" s="62"/>
      <c r="FG813" s="62"/>
      <c r="FH813" s="62"/>
      <c r="FI813" s="62"/>
      <c r="FJ813" s="62"/>
      <c r="FK813" s="62"/>
      <c r="FL813" s="62"/>
      <c r="FM813" s="62"/>
      <c r="FN813" s="62"/>
      <c r="FO813" s="62"/>
      <c r="FP813" s="62"/>
      <c r="FQ813" s="62"/>
      <c r="FR813" s="62"/>
      <c r="FS813" s="62"/>
      <c r="FT813" s="62"/>
      <c r="FU813" s="62"/>
      <c r="FV813" s="62"/>
    </row>
    <row r="814" spans="1:178" ht="13.8">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c r="AT814" s="62"/>
      <c r="AU814" s="62"/>
      <c r="AV814" s="62"/>
      <c r="AW814" s="62"/>
      <c r="AX814" s="62"/>
      <c r="AY814" s="62"/>
      <c r="AZ814" s="62"/>
      <c r="BA814" s="62"/>
      <c r="BB814" s="62"/>
      <c r="BC814" s="62"/>
      <c r="BD814" s="62"/>
      <c r="BE814" s="62"/>
      <c r="BF814" s="62"/>
      <c r="BG814" s="62"/>
      <c r="BH814" s="62"/>
      <c r="BI814" s="62"/>
      <c r="BJ814" s="62"/>
      <c r="BK814" s="62"/>
      <c r="BL814" s="62"/>
      <c r="BM814" s="62"/>
      <c r="BN814" s="62"/>
      <c r="BO814" s="62"/>
      <c r="BP814" s="62"/>
      <c r="BQ814" s="62"/>
      <c r="BR814" s="62"/>
      <c r="BS814" s="62"/>
      <c r="BT814" s="62"/>
      <c r="BU814" s="62"/>
      <c r="BV814" s="62"/>
      <c r="BW814" s="62"/>
      <c r="BX814" s="62"/>
      <c r="BY814" s="62"/>
      <c r="BZ814" s="62"/>
      <c r="CA814" s="62"/>
      <c r="CB814" s="62"/>
      <c r="CC814" s="62"/>
      <c r="CD814" s="62"/>
      <c r="CE814" s="62"/>
      <c r="CF814" s="62"/>
      <c r="CG814" s="62"/>
      <c r="CH814" s="62"/>
      <c r="CI814" s="62"/>
      <c r="CJ814" s="62"/>
      <c r="CK814" s="62"/>
      <c r="CL814" s="62"/>
      <c r="CM814" s="62"/>
      <c r="CN814" s="62"/>
      <c r="CO814" s="62"/>
      <c r="CP814" s="62"/>
      <c r="CQ814" s="62"/>
      <c r="CR814" s="62"/>
      <c r="CS814" s="62"/>
      <c r="CT814" s="62"/>
      <c r="CU814" s="62"/>
      <c r="CV814" s="62"/>
      <c r="CW814" s="62"/>
      <c r="CX814" s="62"/>
      <c r="CY814" s="62"/>
      <c r="CZ814" s="62"/>
      <c r="DA814" s="62"/>
      <c r="DB814" s="62"/>
      <c r="DC814" s="62"/>
      <c r="DD814" s="62"/>
      <c r="DE814" s="62"/>
      <c r="DF814" s="62"/>
      <c r="DG814" s="62"/>
      <c r="DH814" s="62"/>
      <c r="DI814" s="62"/>
      <c r="DJ814" s="62"/>
      <c r="DK814" s="62"/>
      <c r="DL814" s="62"/>
      <c r="DM814" s="62"/>
      <c r="DN814" s="62"/>
      <c r="DO814" s="62"/>
      <c r="DP814" s="62"/>
      <c r="DQ814" s="62"/>
      <c r="DR814" s="62"/>
      <c r="DS814" s="62"/>
      <c r="DT814" s="62"/>
      <c r="DU814" s="62"/>
      <c r="DV814" s="62"/>
      <c r="DW814" s="62"/>
      <c r="DX814" s="62"/>
      <c r="DY814" s="62"/>
      <c r="DZ814" s="62"/>
      <c r="EA814" s="62"/>
      <c r="EB814" s="62"/>
      <c r="EC814" s="62"/>
      <c r="ED814" s="62"/>
      <c r="EE814" s="62"/>
      <c r="EF814" s="62"/>
      <c r="EG814" s="62"/>
      <c r="EH814" s="62"/>
      <c r="EI814" s="62"/>
      <c r="EJ814" s="62"/>
      <c r="EK814" s="62"/>
      <c r="EL814" s="62"/>
      <c r="EM814" s="62"/>
      <c r="EN814" s="62"/>
      <c r="EO814" s="62"/>
      <c r="EP814" s="62"/>
      <c r="EQ814" s="62"/>
      <c r="ER814" s="62"/>
      <c r="ES814" s="62"/>
      <c r="ET814" s="62"/>
      <c r="EU814" s="62"/>
      <c r="EV814" s="62"/>
      <c r="EW814" s="62"/>
      <c r="EX814" s="62"/>
      <c r="EY814" s="62"/>
      <c r="EZ814" s="62"/>
      <c r="FA814" s="62"/>
      <c r="FB814" s="62"/>
      <c r="FC814" s="62"/>
      <c r="FD814" s="62"/>
      <c r="FE814" s="62"/>
      <c r="FF814" s="62"/>
      <c r="FG814" s="62"/>
      <c r="FH814" s="62"/>
      <c r="FI814" s="62"/>
      <c r="FJ814" s="62"/>
      <c r="FK814" s="62"/>
      <c r="FL814" s="62"/>
      <c r="FM814" s="62"/>
      <c r="FN814" s="62"/>
      <c r="FO814" s="62"/>
      <c r="FP814" s="62"/>
      <c r="FQ814" s="62"/>
      <c r="FR814" s="62"/>
      <c r="FS814" s="62"/>
      <c r="FT814" s="62"/>
      <c r="FU814" s="62"/>
      <c r="FV814" s="62"/>
    </row>
    <row r="815" spans="1:178" ht="13.8">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c r="AT815" s="62"/>
      <c r="AU815" s="62"/>
      <c r="AV815" s="62"/>
      <c r="AW815" s="62"/>
      <c r="AX815" s="62"/>
      <c r="AY815" s="62"/>
      <c r="AZ815" s="62"/>
      <c r="BA815" s="62"/>
      <c r="BB815" s="62"/>
      <c r="BC815" s="62"/>
      <c r="BD815" s="62"/>
      <c r="BE815" s="62"/>
      <c r="BF815" s="62"/>
      <c r="BG815" s="62"/>
      <c r="BH815" s="62"/>
      <c r="BI815" s="62"/>
      <c r="BJ815" s="62"/>
      <c r="BK815" s="62"/>
      <c r="BL815" s="62"/>
      <c r="BM815" s="62"/>
      <c r="BN815" s="62"/>
      <c r="BO815" s="62"/>
      <c r="BP815" s="62"/>
      <c r="BQ815" s="62"/>
      <c r="BR815" s="62"/>
      <c r="BS815" s="62"/>
      <c r="BT815" s="62"/>
      <c r="BU815" s="62"/>
      <c r="BV815" s="62"/>
      <c r="BW815" s="62"/>
      <c r="BX815" s="62"/>
      <c r="BY815" s="62"/>
      <c r="BZ815" s="62"/>
      <c r="CA815" s="62"/>
      <c r="CB815" s="62"/>
      <c r="CC815" s="62"/>
      <c r="CD815" s="62"/>
      <c r="CE815" s="62"/>
      <c r="CF815" s="62"/>
      <c r="CG815" s="62"/>
      <c r="CH815" s="62"/>
      <c r="CI815" s="62"/>
      <c r="CJ815" s="62"/>
      <c r="CK815" s="62"/>
      <c r="CL815" s="62"/>
      <c r="CM815" s="62"/>
      <c r="CN815" s="62"/>
      <c r="CO815" s="62"/>
      <c r="CP815" s="62"/>
      <c r="CQ815" s="62"/>
      <c r="CR815" s="62"/>
      <c r="CS815" s="62"/>
      <c r="CT815" s="62"/>
      <c r="CU815" s="62"/>
      <c r="CV815" s="62"/>
      <c r="CW815" s="62"/>
      <c r="CX815" s="62"/>
      <c r="CY815" s="62"/>
      <c r="CZ815" s="62"/>
      <c r="DA815" s="62"/>
      <c r="DB815" s="62"/>
      <c r="DC815" s="62"/>
      <c r="DD815" s="62"/>
      <c r="DE815" s="62"/>
      <c r="DF815" s="62"/>
      <c r="DG815" s="62"/>
      <c r="DH815" s="62"/>
      <c r="DI815" s="62"/>
      <c r="DJ815" s="62"/>
      <c r="DK815" s="62"/>
      <c r="DL815" s="62"/>
      <c r="DM815" s="62"/>
      <c r="DN815" s="62"/>
      <c r="DO815" s="62"/>
      <c r="DP815" s="62"/>
      <c r="DQ815" s="62"/>
      <c r="DR815" s="62"/>
      <c r="DS815" s="62"/>
      <c r="DT815" s="62"/>
      <c r="DU815" s="62"/>
      <c r="DV815" s="62"/>
      <c r="DW815" s="62"/>
      <c r="DX815" s="62"/>
      <c r="DY815" s="62"/>
      <c r="DZ815" s="62"/>
      <c r="EA815" s="62"/>
      <c r="EB815" s="62"/>
      <c r="EC815" s="62"/>
      <c r="ED815" s="62"/>
      <c r="EE815" s="62"/>
      <c r="EF815" s="62"/>
      <c r="EG815" s="62"/>
      <c r="EH815" s="62"/>
      <c r="EI815" s="62"/>
      <c r="EJ815" s="62"/>
      <c r="EK815" s="62"/>
      <c r="EL815" s="62"/>
      <c r="EM815" s="62"/>
      <c r="EN815" s="62"/>
      <c r="EO815" s="62"/>
      <c r="EP815" s="62"/>
      <c r="EQ815" s="62"/>
      <c r="ER815" s="62"/>
      <c r="ES815" s="62"/>
      <c r="ET815" s="62"/>
      <c r="EU815" s="62"/>
      <c r="EV815" s="62"/>
      <c r="EW815" s="62"/>
      <c r="EX815" s="62"/>
      <c r="EY815" s="62"/>
      <c r="EZ815" s="62"/>
      <c r="FA815" s="62"/>
      <c r="FB815" s="62"/>
      <c r="FC815" s="62"/>
      <c r="FD815" s="62"/>
      <c r="FE815" s="62"/>
      <c r="FF815" s="62"/>
      <c r="FG815" s="62"/>
      <c r="FH815" s="62"/>
      <c r="FI815" s="62"/>
      <c r="FJ815" s="62"/>
      <c r="FK815" s="62"/>
      <c r="FL815" s="62"/>
      <c r="FM815" s="62"/>
      <c r="FN815" s="62"/>
      <c r="FO815" s="62"/>
      <c r="FP815" s="62"/>
      <c r="FQ815" s="62"/>
      <c r="FR815" s="62"/>
      <c r="FS815" s="62"/>
      <c r="FT815" s="62"/>
      <c r="FU815" s="62"/>
      <c r="FV815" s="62"/>
    </row>
    <row r="816" spans="1:178" ht="13.8">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c r="AT816" s="62"/>
      <c r="AU816" s="62"/>
      <c r="AV816" s="62"/>
      <c r="AW816" s="62"/>
      <c r="AX816" s="62"/>
      <c r="AY816" s="62"/>
      <c r="AZ816" s="62"/>
      <c r="BA816" s="62"/>
      <c r="BB816" s="62"/>
      <c r="BC816" s="62"/>
      <c r="BD816" s="62"/>
      <c r="BE816" s="62"/>
      <c r="BF816" s="62"/>
      <c r="BG816" s="62"/>
      <c r="BH816" s="62"/>
      <c r="BI816" s="62"/>
      <c r="BJ816" s="62"/>
      <c r="BK816" s="62"/>
      <c r="BL816" s="62"/>
      <c r="BM816" s="62"/>
      <c r="BN816" s="62"/>
      <c r="BO816" s="62"/>
      <c r="BP816" s="62"/>
      <c r="BQ816" s="62"/>
      <c r="BR816" s="62"/>
      <c r="BS816" s="62"/>
      <c r="BT816" s="62"/>
      <c r="BU816" s="62"/>
      <c r="BV816" s="62"/>
      <c r="BW816" s="62"/>
      <c r="BX816" s="62"/>
      <c r="BY816" s="62"/>
      <c r="BZ816" s="62"/>
      <c r="CA816" s="62"/>
      <c r="CB816" s="62"/>
      <c r="CC816" s="62"/>
      <c r="CD816" s="62"/>
      <c r="CE816" s="62"/>
      <c r="CF816" s="62"/>
      <c r="CG816" s="62"/>
      <c r="CH816" s="62"/>
      <c r="CI816" s="62"/>
      <c r="CJ816" s="62"/>
      <c r="CK816" s="62"/>
      <c r="CL816" s="62"/>
      <c r="CM816" s="62"/>
      <c r="CN816" s="62"/>
      <c r="CO816" s="62"/>
      <c r="CP816" s="62"/>
      <c r="CQ816" s="62"/>
      <c r="CR816" s="62"/>
      <c r="CS816" s="62"/>
      <c r="CT816" s="62"/>
      <c r="CU816" s="62"/>
      <c r="CV816" s="62"/>
      <c r="CW816" s="62"/>
      <c r="CX816" s="62"/>
      <c r="CY816" s="62"/>
      <c r="CZ816" s="62"/>
      <c r="DA816" s="62"/>
      <c r="DB816" s="62"/>
      <c r="DC816" s="62"/>
      <c r="DD816" s="62"/>
      <c r="DE816" s="62"/>
      <c r="DF816" s="62"/>
      <c r="DG816" s="62"/>
      <c r="DH816" s="62"/>
      <c r="DI816" s="62"/>
      <c r="DJ816" s="62"/>
      <c r="DK816" s="62"/>
      <c r="DL816" s="62"/>
      <c r="DM816" s="62"/>
      <c r="DN816" s="62"/>
      <c r="DO816" s="62"/>
      <c r="DP816" s="62"/>
      <c r="DQ816" s="62"/>
      <c r="DR816" s="62"/>
      <c r="DS816" s="62"/>
      <c r="DT816" s="62"/>
      <c r="DU816" s="62"/>
      <c r="DV816" s="62"/>
      <c r="DW816" s="62"/>
      <c r="DX816" s="62"/>
      <c r="DY816" s="62"/>
      <c r="DZ816" s="62"/>
      <c r="EA816" s="62"/>
      <c r="EB816" s="62"/>
      <c r="EC816" s="62"/>
      <c r="ED816" s="62"/>
      <c r="EE816" s="62"/>
      <c r="EF816" s="62"/>
      <c r="EG816" s="62"/>
      <c r="EH816" s="62"/>
      <c r="EI816" s="62"/>
      <c r="EJ816" s="62"/>
      <c r="EK816" s="62"/>
      <c r="EL816" s="62"/>
      <c r="EM816" s="62"/>
      <c r="EN816" s="62"/>
      <c r="EO816" s="62"/>
      <c r="EP816" s="62"/>
      <c r="EQ816" s="62"/>
      <c r="ER816" s="62"/>
      <c r="ES816" s="62"/>
      <c r="ET816" s="62"/>
      <c r="EU816" s="62"/>
      <c r="EV816" s="62"/>
      <c r="EW816" s="62"/>
      <c r="EX816" s="62"/>
      <c r="EY816" s="62"/>
      <c r="EZ816" s="62"/>
      <c r="FA816" s="62"/>
      <c r="FB816" s="62"/>
      <c r="FC816" s="62"/>
      <c r="FD816" s="62"/>
      <c r="FE816" s="62"/>
      <c r="FF816" s="62"/>
      <c r="FG816" s="62"/>
      <c r="FH816" s="62"/>
      <c r="FI816" s="62"/>
      <c r="FJ816" s="62"/>
      <c r="FK816" s="62"/>
      <c r="FL816" s="62"/>
      <c r="FM816" s="62"/>
      <c r="FN816" s="62"/>
      <c r="FO816" s="62"/>
      <c r="FP816" s="62"/>
      <c r="FQ816" s="62"/>
      <c r="FR816" s="62"/>
      <c r="FS816" s="62"/>
      <c r="FT816" s="62"/>
      <c r="FU816" s="62"/>
      <c r="FV816" s="62"/>
    </row>
    <row r="817" spans="1:178" ht="13.8">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c r="AT817" s="62"/>
      <c r="AU817" s="62"/>
      <c r="AV817" s="62"/>
      <c r="AW817" s="62"/>
      <c r="AX817" s="62"/>
      <c r="AY817" s="62"/>
      <c r="AZ817" s="62"/>
      <c r="BA817" s="62"/>
      <c r="BB817" s="62"/>
      <c r="BC817" s="62"/>
      <c r="BD817" s="62"/>
      <c r="BE817" s="62"/>
      <c r="BF817" s="62"/>
      <c r="BG817" s="62"/>
      <c r="BH817" s="62"/>
      <c r="BI817" s="62"/>
      <c r="BJ817" s="62"/>
      <c r="BK817" s="62"/>
      <c r="BL817" s="62"/>
      <c r="BM817" s="62"/>
      <c r="BN817" s="62"/>
      <c r="BO817" s="62"/>
      <c r="BP817" s="62"/>
      <c r="BQ817" s="62"/>
      <c r="BR817" s="62"/>
      <c r="BS817" s="62"/>
      <c r="BT817" s="62"/>
      <c r="BU817" s="62"/>
      <c r="BV817" s="62"/>
      <c r="BW817" s="62"/>
      <c r="BX817" s="62"/>
      <c r="BY817" s="62"/>
      <c r="BZ817" s="62"/>
      <c r="CA817" s="62"/>
      <c r="CB817" s="62"/>
      <c r="CC817" s="62"/>
      <c r="CD817" s="62"/>
      <c r="CE817" s="62"/>
      <c r="CF817" s="62"/>
      <c r="CG817" s="62"/>
      <c r="CH817" s="62"/>
      <c r="CI817" s="62"/>
      <c r="CJ817" s="62"/>
      <c r="CK817" s="62"/>
      <c r="CL817" s="62"/>
      <c r="CM817" s="62"/>
      <c r="CN817" s="62"/>
      <c r="CO817" s="62"/>
      <c r="CP817" s="62"/>
      <c r="CQ817" s="62"/>
      <c r="CR817" s="62"/>
      <c r="CS817" s="62"/>
      <c r="CT817" s="62"/>
      <c r="CU817" s="62"/>
      <c r="CV817" s="62"/>
      <c r="CW817" s="62"/>
      <c r="CX817" s="62"/>
      <c r="CY817" s="62"/>
      <c r="CZ817" s="62"/>
      <c r="DA817" s="62"/>
      <c r="DB817" s="62"/>
      <c r="DC817" s="62"/>
      <c r="DD817" s="62"/>
      <c r="DE817" s="62"/>
      <c r="DF817" s="62"/>
      <c r="DG817" s="62"/>
      <c r="DH817" s="62"/>
      <c r="DI817" s="62"/>
      <c r="DJ817" s="62"/>
      <c r="DK817" s="62"/>
      <c r="DL817" s="62"/>
      <c r="DM817" s="62"/>
      <c r="DN817" s="62"/>
      <c r="DO817" s="62"/>
      <c r="DP817" s="62"/>
      <c r="DQ817" s="62"/>
      <c r="DR817" s="62"/>
      <c r="DS817" s="62"/>
      <c r="DT817" s="62"/>
      <c r="DU817" s="62"/>
      <c r="DV817" s="62"/>
      <c r="DW817" s="62"/>
      <c r="DX817" s="62"/>
      <c r="DY817" s="62"/>
      <c r="DZ817" s="62"/>
      <c r="EA817" s="62"/>
      <c r="EB817" s="62"/>
      <c r="EC817" s="62"/>
      <c r="ED817" s="62"/>
      <c r="EE817" s="62"/>
      <c r="EF817" s="62"/>
      <c r="EG817" s="62"/>
      <c r="EH817" s="62"/>
      <c r="EI817" s="62"/>
      <c r="EJ817" s="62"/>
      <c r="EK817" s="62"/>
      <c r="EL817" s="62"/>
      <c r="EM817" s="62"/>
      <c r="EN817" s="62"/>
      <c r="EO817" s="62"/>
      <c r="EP817" s="62"/>
      <c r="EQ817" s="62"/>
      <c r="ER817" s="62"/>
      <c r="ES817" s="62"/>
      <c r="ET817" s="62"/>
      <c r="EU817" s="62"/>
      <c r="EV817" s="62"/>
      <c r="EW817" s="62"/>
      <c r="EX817" s="62"/>
      <c r="EY817" s="62"/>
      <c r="EZ817" s="62"/>
      <c r="FA817" s="62"/>
      <c r="FB817" s="62"/>
      <c r="FC817" s="62"/>
      <c r="FD817" s="62"/>
      <c r="FE817" s="62"/>
      <c r="FF817" s="62"/>
      <c r="FG817" s="62"/>
      <c r="FH817" s="62"/>
      <c r="FI817" s="62"/>
      <c r="FJ817" s="62"/>
      <c r="FK817" s="62"/>
      <c r="FL817" s="62"/>
      <c r="FM817" s="62"/>
      <c r="FN817" s="62"/>
      <c r="FO817" s="62"/>
      <c r="FP817" s="62"/>
      <c r="FQ817" s="62"/>
      <c r="FR817" s="62"/>
      <c r="FS817" s="62"/>
      <c r="FT817" s="62"/>
      <c r="FU817" s="62"/>
      <c r="FV817" s="62"/>
    </row>
    <row r="818" spans="1:178" ht="13.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c r="AT818" s="62"/>
      <c r="AU818" s="62"/>
      <c r="AV818" s="62"/>
      <c r="AW818" s="62"/>
      <c r="AX818" s="62"/>
      <c r="AY818" s="62"/>
      <c r="AZ818" s="62"/>
      <c r="BA818" s="62"/>
      <c r="BB818" s="62"/>
      <c r="BC818" s="62"/>
      <c r="BD818" s="62"/>
      <c r="BE818" s="62"/>
      <c r="BF818" s="62"/>
      <c r="BG818" s="62"/>
      <c r="BH818" s="62"/>
      <c r="BI818" s="62"/>
      <c r="BJ818" s="62"/>
      <c r="BK818" s="62"/>
      <c r="BL818" s="62"/>
      <c r="BM818" s="62"/>
      <c r="BN818" s="62"/>
      <c r="BO818" s="62"/>
      <c r="BP818" s="62"/>
      <c r="BQ818" s="62"/>
      <c r="BR818" s="62"/>
      <c r="BS818" s="62"/>
      <c r="BT818" s="62"/>
      <c r="BU818" s="62"/>
      <c r="BV818" s="62"/>
      <c r="BW818" s="62"/>
      <c r="BX818" s="62"/>
      <c r="BY818" s="62"/>
      <c r="BZ818" s="62"/>
      <c r="CA818" s="62"/>
      <c r="CB818" s="62"/>
      <c r="CC818" s="62"/>
      <c r="CD818" s="62"/>
      <c r="CE818" s="62"/>
      <c r="CF818" s="62"/>
      <c r="CG818" s="62"/>
      <c r="CH818" s="62"/>
      <c r="CI818" s="62"/>
      <c r="CJ818" s="62"/>
      <c r="CK818" s="62"/>
      <c r="CL818" s="62"/>
      <c r="CM818" s="62"/>
      <c r="CN818" s="62"/>
      <c r="CO818" s="62"/>
      <c r="CP818" s="62"/>
      <c r="CQ818" s="62"/>
      <c r="CR818" s="62"/>
      <c r="CS818" s="62"/>
      <c r="CT818" s="62"/>
      <c r="CU818" s="62"/>
      <c r="CV818" s="62"/>
      <c r="CW818" s="62"/>
      <c r="CX818" s="62"/>
      <c r="CY818" s="62"/>
      <c r="CZ818" s="62"/>
      <c r="DA818" s="62"/>
      <c r="DB818" s="62"/>
      <c r="DC818" s="62"/>
      <c r="DD818" s="62"/>
      <c r="DE818" s="62"/>
      <c r="DF818" s="62"/>
      <c r="DG818" s="62"/>
      <c r="DH818" s="62"/>
      <c r="DI818" s="62"/>
      <c r="DJ818" s="62"/>
      <c r="DK818" s="62"/>
      <c r="DL818" s="62"/>
      <c r="DM818" s="62"/>
      <c r="DN818" s="62"/>
      <c r="DO818" s="62"/>
      <c r="DP818" s="62"/>
      <c r="DQ818" s="62"/>
      <c r="DR818" s="62"/>
      <c r="DS818" s="62"/>
      <c r="DT818" s="62"/>
      <c r="DU818" s="62"/>
      <c r="DV818" s="62"/>
      <c r="DW818" s="62"/>
      <c r="DX818" s="62"/>
      <c r="DY818" s="62"/>
      <c r="DZ818" s="62"/>
      <c r="EA818" s="62"/>
      <c r="EB818" s="62"/>
      <c r="EC818" s="62"/>
      <c r="ED818" s="62"/>
      <c r="EE818" s="62"/>
      <c r="EF818" s="62"/>
      <c r="EG818" s="62"/>
      <c r="EH818" s="62"/>
      <c r="EI818" s="62"/>
      <c r="EJ818" s="62"/>
      <c r="EK818" s="62"/>
      <c r="EL818" s="62"/>
      <c r="EM818" s="62"/>
      <c r="EN818" s="62"/>
      <c r="EO818" s="62"/>
      <c r="EP818" s="62"/>
      <c r="EQ818" s="62"/>
      <c r="ER818" s="62"/>
      <c r="ES818" s="62"/>
      <c r="ET818" s="62"/>
      <c r="EU818" s="62"/>
      <c r="EV818" s="62"/>
      <c r="EW818" s="62"/>
      <c r="EX818" s="62"/>
      <c r="EY818" s="62"/>
      <c r="EZ818" s="62"/>
      <c r="FA818" s="62"/>
      <c r="FB818" s="62"/>
      <c r="FC818" s="62"/>
      <c r="FD818" s="62"/>
      <c r="FE818" s="62"/>
      <c r="FF818" s="62"/>
      <c r="FG818" s="62"/>
      <c r="FH818" s="62"/>
      <c r="FI818" s="62"/>
      <c r="FJ818" s="62"/>
      <c r="FK818" s="62"/>
      <c r="FL818" s="62"/>
      <c r="FM818" s="62"/>
      <c r="FN818" s="62"/>
      <c r="FO818" s="62"/>
      <c r="FP818" s="62"/>
      <c r="FQ818" s="62"/>
      <c r="FR818" s="62"/>
      <c r="FS818" s="62"/>
      <c r="FT818" s="62"/>
      <c r="FU818" s="62"/>
      <c r="FV818" s="62"/>
    </row>
    <row r="819" spans="1:178" ht="13.8">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c r="AT819" s="62"/>
      <c r="AU819" s="62"/>
      <c r="AV819" s="62"/>
      <c r="AW819" s="62"/>
      <c r="AX819" s="62"/>
      <c r="AY819" s="62"/>
      <c r="AZ819" s="62"/>
      <c r="BA819" s="62"/>
      <c r="BB819" s="62"/>
      <c r="BC819" s="62"/>
      <c r="BD819" s="62"/>
      <c r="BE819" s="62"/>
      <c r="BF819" s="62"/>
      <c r="BG819" s="62"/>
      <c r="BH819" s="62"/>
      <c r="BI819" s="62"/>
      <c r="BJ819" s="62"/>
      <c r="BK819" s="62"/>
      <c r="BL819" s="62"/>
      <c r="BM819" s="62"/>
      <c r="BN819" s="62"/>
      <c r="BO819" s="62"/>
      <c r="BP819" s="62"/>
      <c r="BQ819" s="62"/>
      <c r="BR819" s="62"/>
      <c r="BS819" s="62"/>
      <c r="BT819" s="62"/>
      <c r="BU819" s="62"/>
      <c r="BV819" s="62"/>
      <c r="BW819" s="62"/>
      <c r="BX819" s="62"/>
      <c r="BY819" s="62"/>
      <c r="BZ819" s="62"/>
      <c r="CA819" s="62"/>
      <c r="CB819" s="62"/>
      <c r="CC819" s="62"/>
      <c r="CD819" s="62"/>
      <c r="CE819" s="62"/>
      <c r="CF819" s="62"/>
      <c r="CG819" s="62"/>
      <c r="CH819" s="62"/>
      <c r="CI819" s="62"/>
      <c r="CJ819" s="62"/>
      <c r="CK819" s="62"/>
      <c r="CL819" s="62"/>
      <c r="CM819" s="62"/>
      <c r="CN819" s="62"/>
      <c r="CO819" s="62"/>
      <c r="CP819" s="62"/>
      <c r="CQ819" s="62"/>
      <c r="CR819" s="62"/>
      <c r="CS819" s="62"/>
      <c r="CT819" s="62"/>
      <c r="CU819" s="62"/>
      <c r="CV819" s="62"/>
      <c r="CW819" s="62"/>
      <c r="CX819" s="62"/>
      <c r="CY819" s="62"/>
      <c r="CZ819" s="62"/>
      <c r="DA819" s="62"/>
      <c r="DB819" s="62"/>
      <c r="DC819" s="62"/>
      <c r="DD819" s="62"/>
      <c r="DE819" s="62"/>
      <c r="DF819" s="62"/>
      <c r="DG819" s="62"/>
      <c r="DH819" s="62"/>
      <c r="DI819" s="62"/>
      <c r="DJ819" s="62"/>
      <c r="DK819" s="62"/>
      <c r="DL819" s="62"/>
      <c r="DM819" s="62"/>
      <c r="DN819" s="62"/>
      <c r="DO819" s="62"/>
      <c r="DP819" s="62"/>
      <c r="DQ819" s="62"/>
      <c r="DR819" s="62"/>
      <c r="DS819" s="62"/>
      <c r="DT819" s="62"/>
      <c r="DU819" s="62"/>
      <c r="DV819" s="62"/>
      <c r="DW819" s="62"/>
      <c r="DX819" s="62"/>
      <c r="DY819" s="62"/>
      <c r="DZ819" s="62"/>
      <c r="EA819" s="62"/>
      <c r="EB819" s="62"/>
      <c r="EC819" s="62"/>
      <c r="ED819" s="62"/>
      <c r="EE819" s="62"/>
      <c r="EF819" s="62"/>
      <c r="EG819" s="62"/>
      <c r="EH819" s="62"/>
      <c r="EI819" s="62"/>
      <c r="EJ819" s="62"/>
      <c r="EK819" s="62"/>
      <c r="EL819" s="62"/>
      <c r="EM819" s="62"/>
      <c r="EN819" s="62"/>
      <c r="EO819" s="62"/>
      <c r="EP819" s="62"/>
      <c r="EQ819" s="62"/>
      <c r="ER819" s="62"/>
      <c r="ES819" s="62"/>
      <c r="ET819" s="62"/>
      <c r="EU819" s="62"/>
      <c r="EV819" s="62"/>
      <c r="EW819" s="62"/>
      <c r="EX819" s="62"/>
      <c r="EY819" s="62"/>
      <c r="EZ819" s="62"/>
      <c r="FA819" s="62"/>
      <c r="FB819" s="62"/>
      <c r="FC819" s="62"/>
      <c r="FD819" s="62"/>
      <c r="FE819" s="62"/>
      <c r="FF819" s="62"/>
      <c r="FG819" s="62"/>
      <c r="FH819" s="62"/>
      <c r="FI819" s="62"/>
      <c r="FJ819" s="62"/>
      <c r="FK819" s="62"/>
      <c r="FL819" s="62"/>
      <c r="FM819" s="62"/>
      <c r="FN819" s="62"/>
      <c r="FO819" s="62"/>
      <c r="FP819" s="62"/>
      <c r="FQ819" s="62"/>
      <c r="FR819" s="62"/>
      <c r="FS819" s="62"/>
      <c r="FT819" s="62"/>
      <c r="FU819" s="62"/>
      <c r="FV819" s="62"/>
    </row>
    <row r="820" spans="1:178" ht="13.8">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c r="AT820" s="62"/>
      <c r="AU820" s="62"/>
      <c r="AV820" s="62"/>
      <c r="AW820" s="62"/>
      <c r="AX820" s="62"/>
      <c r="AY820" s="62"/>
      <c r="AZ820" s="62"/>
      <c r="BA820" s="62"/>
      <c r="BB820" s="62"/>
      <c r="BC820" s="62"/>
      <c r="BD820" s="62"/>
      <c r="BE820" s="62"/>
      <c r="BF820" s="62"/>
      <c r="BG820" s="62"/>
      <c r="BH820" s="62"/>
      <c r="BI820" s="62"/>
      <c r="BJ820" s="62"/>
      <c r="BK820" s="62"/>
      <c r="BL820" s="62"/>
      <c r="BM820" s="62"/>
      <c r="BN820" s="62"/>
      <c r="BO820" s="62"/>
      <c r="BP820" s="62"/>
      <c r="BQ820" s="62"/>
      <c r="BR820" s="62"/>
      <c r="BS820" s="62"/>
      <c r="BT820" s="62"/>
      <c r="BU820" s="62"/>
      <c r="BV820" s="62"/>
      <c r="BW820" s="62"/>
      <c r="BX820" s="62"/>
      <c r="BY820" s="62"/>
      <c r="BZ820" s="62"/>
      <c r="CA820" s="62"/>
      <c r="CB820" s="62"/>
      <c r="CC820" s="62"/>
      <c r="CD820" s="62"/>
      <c r="CE820" s="62"/>
      <c r="CF820" s="62"/>
      <c r="CG820" s="62"/>
      <c r="CH820" s="62"/>
      <c r="CI820" s="62"/>
      <c r="CJ820" s="62"/>
      <c r="CK820" s="62"/>
      <c r="CL820" s="62"/>
      <c r="CM820" s="62"/>
      <c r="CN820" s="62"/>
      <c r="CO820" s="62"/>
      <c r="CP820" s="62"/>
      <c r="CQ820" s="62"/>
      <c r="CR820" s="62"/>
      <c r="CS820" s="62"/>
      <c r="CT820" s="62"/>
      <c r="CU820" s="62"/>
      <c r="CV820" s="62"/>
      <c r="CW820" s="62"/>
      <c r="CX820" s="62"/>
      <c r="CY820" s="62"/>
      <c r="CZ820" s="62"/>
      <c r="DA820" s="62"/>
      <c r="DB820" s="62"/>
      <c r="DC820" s="62"/>
      <c r="DD820" s="62"/>
      <c r="DE820" s="62"/>
      <c r="DF820" s="62"/>
      <c r="DG820" s="62"/>
      <c r="DH820" s="62"/>
      <c r="DI820" s="62"/>
      <c r="DJ820" s="62"/>
      <c r="DK820" s="62"/>
      <c r="DL820" s="62"/>
      <c r="DM820" s="62"/>
      <c r="DN820" s="62"/>
      <c r="DO820" s="62"/>
      <c r="DP820" s="62"/>
      <c r="DQ820" s="62"/>
      <c r="DR820" s="62"/>
      <c r="DS820" s="62"/>
      <c r="DT820" s="62"/>
      <c r="DU820" s="62"/>
      <c r="DV820" s="62"/>
      <c r="DW820" s="62"/>
      <c r="DX820" s="62"/>
      <c r="DY820" s="62"/>
      <c r="DZ820" s="62"/>
      <c r="EA820" s="62"/>
      <c r="EB820" s="62"/>
      <c r="EC820" s="62"/>
      <c r="ED820" s="62"/>
      <c r="EE820" s="62"/>
      <c r="EF820" s="62"/>
      <c r="EG820" s="62"/>
      <c r="EH820" s="62"/>
      <c r="EI820" s="62"/>
      <c r="EJ820" s="62"/>
      <c r="EK820" s="62"/>
      <c r="EL820" s="62"/>
      <c r="EM820" s="62"/>
      <c r="EN820" s="62"/>
      <c r="EO820" s="62"/>
      <c r="EP820" s="62"/>
      <c r="EQ820" s="62"/>
      <c r="ER820" s="62"/>
      <c r="ES820" s="62"/>
      <c r="ET820" s="62"/>
      <c r="EU820" s="62"/>
      <c r="EV820" s="62"/>
      <c r="EW820" s="62"/>
      <c r="EX820" s="62"/>
      <c r="EY820" s="62"/>
      <c r="EZ820" s="62"/>
      <c r="FA820" s="62"/>
      <c r="FB820" s="62"/>
      <c r="FC820" s="62"/>
      <c r="FD820" s="62"/>
      <c r="FE820" s="62"/>
      <c r="FF820" s="62"/>
      <c r="FG820" s="62"/>
      <c r="FH820" s="62"/>
      <c r="FI820" s="62"/>
      <c r="FJ820" s="62"/>
      <c r="FK820" s="62"/>
      <c r="FL820" s="62"/>
      <c r="FM820" s="62"/>
      <c r="FN820" s="62"/>
      <c r="FO820" s="62"/>
      <c r="FP820" s="62"/>
      <c r="FQ820" s="62"/>
      <c r="FR820" s="62"/>
      <c r="FS820" s="62"/>
      <c r="FT820" s="62"/>
      <c r="FU820" s="62"/>
      <c r="FV820" s="62"/>
    </row>
    <row r="821" spans="1:178" ht="13.8">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c r="AT821" s="62"/>
      <c r="AU821" s="62"/>
      <c r="AV821" s="62"/>
      <c r="AW821" s="62"/>
      <c r="AX821" s="62"/>
      <c r="AY821" s="62"/>
      <c r="AZ821" s="62"/>
      <c r="BA821" s="62"/>
      <c r="BB821" s="62"/>
      <c r="BC821" s="62"/>
      <c r="BD821" s="62"/>
      <c r="BE821" s="62"/>
      <c r="BF821" s="62"/>
      <c r="BG821" s="62"/>
      <c r="BH821" s="62"/>
      <c r="BI821" s="62"/>
      <c r="BJ821" s="62"/>
      <c r="BK821" s="62"/>
      <c r="BL821" s="62"/>
      <c r="BM821" s="62"/>
      <c r="BN821" s="62"/>
      <c r="BO821" s="62"/>
      <c r="BP821" s="62"/>
      <c r="BQ821" s="62"/>
      <c r="BR821" s="62"/>
      <c r="BS821" s="62"/>
      <c r="BT821" s="62"/>
      <c r="BU821" s="62"/>
      <c r="BV821" s="62"/>
      <c r="BW821" s="62"/>
      <c r="BX821" s="62"/>
      <c r="BY821" s="62"/>
      <c r="BZ821" s="62"/>
      <c r="CA821" s="62"/>
      <c r="CB821" s="62"/>
      <c r="CC821" s="62"/>
      <c r="CD821" s="62"/>
      <c r="CE821" s="62"/>
      <c r="CF821" s="62"/>
      <c r="CG821" s="62"/>
      <c r="CH821" s="62"/>
      <c r="CI821" s="62"/>
      <c r="CJ821" s="62"/>
      <c r="CK821" s="62"/>
      <c r="CL821" s="62"/>
      <c r="CM821" s="62"/>
      <c r="CN821" s="62"/>
      <c r="CO821" s="62"/>
      <c r="CP821" s="62"/>
      <c r="CQ821" s="62"/>
      <c r="CR821" s="62"/>
      <c r="CS821" s="62"/>
      <c r="CT821" s="62"/>
      <c r="CU821" s="62"/>
      <c r="CV821" s="62"/>
      <c r="CW821" s="62"/>
      <c r="CX821" s="62"/>
      <c r="CY821" s="62"/>
      <c r="CZ821" s="62"/>
      <c r="DA821" s="62"/>
      <c r="DB821" s="62"/>
      <c r="DC821" s="62"/>
      <c r="DD821" s="62"/>
      <c r="DE821" s="62"/>
      <c r="DF821" s="62"/>
      <c r="DG821" s="62"/>
      <c r="DH821" s="62"/>
      <c r="DI821" s="62"/>
      <c r="DJ821" s="62"/>
      <c r="DK821" s="62"/>
      <c r="DL821" s="62"/>
      <c r="DM821" s="62"/>
      <c r="DN821" s="62"/>
      <c r="DO821" s="62"/>
      <c r="DP821" s="62"/>
      <c r="DQ821" s="62"/>
      <c r="DR821" s="62"/>
      <c r="DS821" s="62"/>
      <c r="DT821" s="62"/>
      <c r="DU821" s="62"/>
      <c r="DV821" s="62"/>
      <c r="DW821" s="62"/>
      <c r="DX821" s="62"/>
      <c r="DY821" s="62"/>
      <c r="DZ821" s="62"/>
      <c r="EA821" s="62"/>
      <c r="EB821" s="62"/>
      <c r="EC821" s="62"/>
      <c r="ED821" s="62"/>
      <c r="EE821" s="62"/>
      <c r="EF821" s="62"/>
      <c r="EG821" s="62"/>
      <c r="EH821" s="62"/>
      <c r="EI821" s="62"/>
      <c r="EJ821" s="62"/>
      <c r="EK821" s="62"/>
      <c r="EL821" s="62"/>
      <c r="EM821" s="62"/>
      <c r="EN821" s="62"/>
      <c r="EO821" s="62"/>
      <c r="EP821" s="62"/>
      <c r="EQ821" s="62"/>
      <c r="ER821" s="62"/>
      <c r="ES821" s="62"/>
      <c r="ET821" s="62"/>
      <c r="EU821" s="62"/>
      <c r="EV821" s="62"/>
      <c r="EW821" s="62"/>
      <c r="EX821" s="62"/>
      <c r="EY821" s="62"/>
      <c r="EZ821" s="62"/>
      <c r="FA821" s="62"/>
      <c r="FB821" s="62"/>
      <c r="FC821" s="62"/>
      <c r="FD821" s="62"/>
      <c r="FE821" s="62"/>
      <c r="FF821" s="62"/>
      <c r="FG821" s="62"/>
      <c r="FH821" s="62"/>
      <c r="FI821" s="62"/>
      <c r="FJ821" s="62"/>
      <c r="FK821" s="62"/>
      <c r="FL821" s="62"/>
      <c r="FM821" s="62"/>
      <c r="FN821" s="62"/>
      <c r="FO821" s="62"/>
      <c r="FP821" s="62"/>
      <c r="FQ821" s="62"/>
      <c r="FR821" s="62"/>
      <c r="FS821" s="62"/>
      <c r="FT821" s="62"/>
      <c r="FU821" s="62"/>
      <c r="FV821" s="62"/>
    </row>
    <row r="822" spans="1:178" ht="13.8">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c r="AT822" s="62"/>
      <c r="AU822" s="62"/>
      <c r="AV822" s="62"/>
      <c r="AW822" s="62"/>
      <c r="AX822" s="62"/>
      <c r="AY822" s="62"/>
      <c r="AZ822" s="62"/>
      <c r="BA822" s="62"/>
      <c r="BB822" s="62"/>
      <c r="BC822" s="62"/>
      <c r="BD822" s="62"/>
      <c r="BE822" s="62"/>
      <c r="BF822" s="62"/>
      <c r="BG822" s="62"/>
      <c r="BH822" s="62"/>
      <c r="BI822" s="62"/>
      <c r="BJ822" s="62"/>
      <c r="BK822" s="62"/>
      <c r="BL822" s="62"/>
      <c r="BM822" s="62"/>
      <c r="BN822" s="62"/>
      <c r="BO822" s="62"/>
      <c r="BP822" s="62"/>
      <c r="BQ822" s="62"/>
      <c r="BR822" s="62"/>
      <c r="BS822" s="62"/>
      <c r="BT822" s="62"/>
      <c r="BU822" s="62"/>
      <c r="BV822" s="62"/>
      <c r="BW822" s="62"/>
      <c r="BX822" s="62"/>
      <c r="BY822" s="62"/>
      <c r="BZ822" s="62"/>
      <c r="CA822" s="62"/>
      <c r="CB822" s="62"/>
      <c r="CC822" s="62"/>
      <c r="CD822" s="62"/>
      <c r="CE822" s="62"/>
      <c r="CF822" s="62"/>
      <c r="CG822" s="62"/>
      <c r="CH822" s="62"/>
      <c r="CI822" s="62"/>
      <c r="CJ822" s="62"/>
      <c r="CK822" s="62"/>
      <c r="CL822" s="62"/>
      <c r="CM822" s="62"/>
      <c r="CN822" s="62"/>
      <c r="CO822" s="62"/>
      <c r="CP822" s="62"/>
      <c r="CQ822" s="62"/>
      <c r="CR822" s="62"/>
      <c r="CS822" s="62"/>
      <c r="CT822" s="62"/>
      <c r="CU822" s="62"/>
      <c r="CV822" s="62"/>
      <c r="CW822" s="62"/>
      <c r="CX822" s="62"/>
      <c r="CY822" s="62"/>
      <c r="CZ822" s="62"/>
      <c r="DA822" s="62"/>
      <c r="DB822" s="62"/>
      <c r="DC822" s="62"/>
      <c r="DD822" s="62"/>
      <c r="DE822" s="62"/>
      <c r="DF822" s="62"/>
      <c r="DG822" s="62"/>
      <c r="DH822" s="62"/>
      <c r="DI822" s="62"/>
      <c r="DJ822" s="62"/>
      <c r="DK822" s="62"/>
      <c r="DL822" s="62"/>
      <c r="DM822" s="62"/>
      <c r="DN822" s="62"/>
      <c r="DO822" s="62"/>
      <c r="DP822" s="62"/>
      <c r="DQ822" s="62"/>
      <c r="DR822" s="62"/>
      <c r="DS822" s="62"/>
      <c r="DT822" s="62"/>
      <c r="DU822" s="62"/>
      <c r="DV822" s="62"/>
      <c r="DW822" s="62"/>
      <c r="DX822" s="62"/>
      <c r="DY822" s="62"/>
      <c r="DZ822" s="62"/>
      <c r="EA822" s="62"/>
      <c r="EB822" s="62"/>
      <c r="EC822" s="62"/>
      <c r="ED822" s="62"/>
      <c r="EE822" s="62"/>
      <c r="EF822" s="62"/>
      <c r="EG822" s="62"/>
      <c r="EH822" s="62"/>
      <c r="EI822" s="62"/>
      <c r="EJ822" s="62"/>
      <c r="EK822" s="62"/>
      <c r="EL822" s="62"/>
      <c r="EM822" s="62"/>
      <c r="EN822" s="62"/>
      <c r="EO822" s="62"/>
      <c r="EP822" s="62"/>
      <c r="EQ822" s="62"/>
      <c r="ER822" s="62"/>
      <c r="ES822" s="62"/>
      <c r="ET822" s="62"/>
      <c r="EU822" s="62"/>
      <c r="EV822" s="62"/>
      <c r="EW822" s="62"/>
      <c r="EX822" s="62"/>
      <c r="EY822" s="62"/>
      <c r="EZ822" s="62"/>
      <c r="FA822" s="62"/>
      <c r="FB822" s="62"/>
      <c r="FC822" s="62"/>
      <c r="FD822" s="62"/>
      <c r="FE822" s="62"/>
      <c r="FF822" s="62"/>
      <c r="FG822" s="62"/>
      <c r="FH822" s="62"/>
      <c r="FI822" s="62"/>
      <c r="FJ822" s="62"/>
      <c r="FK822" s="62"/>
      <c r="FL822" s="62"/>
      <c r="FM822" s="62"/>
      <c r="FN822" s="62"/>
      <c r="FO822" s="62"/>
      <c r="FP822" s="62"/>
      <c r="FQ822" s="62"/>
      <c r="FR822" s="62"/>
      <c r="FS822" s="62"/>
      <c r="FT822" s="62"/>
      <c r="FU822" s="62"/>
      <c r="FV822" s="62"/>
    </row>
    <row r="823" spans="1:178" ht="13.8">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c r="AT823" s="62"/>
      <c r="AU823" s="62"/>
      <c r="AV823" s="62"/>
      <c r="AW823" s="62"/>
      <c r="AX823" s="62"/>
      <c r="AY823" s="62"/>
      <c r="AZ823" s="62"/>
      <c r="BA823" s="62"/>
      <c r="BB823" s="62"/>
      <c r="BC823" s="62"/>
      <c r="BD823" s="62"/>
      <c r="BE823" s="62"/>
      <c r="BF823" s="62"/>
      <c r="BG823" s="62"/>
      <c r="BH823" s="62"/>
      <c r="BI823" s="62"/>
      <c r="BJ823" s="62"/>
      <c r="BK823" s="62"/>
      <c r="BL823" s="62"/>
      <c r="BM823" s="62"/>
      <c r="BN823" s="62"/>
      <c r="BO823" s="62"/>
      <c r="BP823" s="62"/>
      <c r="BQ823" s="62"/>
      <c r="BR823" s="62"/>
      <c r="BS823" s="62"/>
      <c r="BT823" s="62"/>
      <c r="BU823" s="62"/>
      <c r="BV823" s="62"/>
      <c r="BW823" s="62"/>
      <c r="BX823" s="62"/>
      <c r="BY823" s="62"/>
      <c r="BZ823" s="62"/>
      <c r="CA823" s="62"/>
      <c r="CB823" s="62"/>
      <c r="CC823" s="62"/>
      <c r="CD823" s="62"/>
      <c r="CE823" s="62"/>
      <c r="CF823" s="62"/>
      <c r="CG823" s="62"/>
      <c r="CH823" s="62"/>
      <c r="CI823" s="62"/>
      <c r="CJ823" s="62"/>
      <c r="CK823" s="62"/>
      <c r="CL823" s="62"/>
      <c r="CM823" s="62"/>
      <c r="CN823" s="62"/>
      <c r="CO823" s="62"/>
      <c r="CP823" s="62"/>
      <c r="CQ823" s="62"/>
      <c r="CR823" s="62"/>
      <c r="CS823" s="62"/>
      <c r="CT823" s="62"/>
      <c r="CU823" s="62"/>
      <c r="CV823" s="62"/>
      <c r="CW823" s="62"/>
      <c r="CX823" s="62"/>
      <c r="CY823" s="62"/>
      <c r="CZ823" s="62"/>
      <c r="DA823" s="62"/>
      <c r="DB823" s="62"/>
      <c r="DC823" s="62"/>
      <c r="DD823" s="62"/>
      <c r="DE823" s="62"/>
      <c r="DF823" s="62"/>
      <c r="DG823" s="62"/>
      <c r="DH823" s="62"/>
      <c r="DI823" s="62"/>
      <c r="DJ823" s="62"/>
      <c r="DK823" s="62"/>
      <c r="DL823" s="62"/>
      <c r="DM823" s="62"/>
      <c r="DN823" s="62"/>
      <c r="DO823" s="62"/>
      <c r="DP823" s="62"/>
      <c r="DQ823" s="62"/>
      <c r="DR823" s="62"/>
      <c r="DS823" s="62"/>
      <c r="DT823" s="62"/>
      <c r="DU823" s="62"/>
      <c r="DV823" s="62"/>
      <c r="DW823" s="62"/>
      <c r="DX823" s="62"/>
      <c r="DY823" s="62"/>
      <c r="DZ823" s="62"/>
      <c r="EA823" s="62"/>
      <c r="EB823" s="62"/>
      <c r="EC823" s="62"/>
      <c r="ED823" s="62"/>
      <c r="EE823" s="62"/>
      <c r="EF823" s="62"/>
      <c r="EG823" s="62"/>
      <c r="EH823" s="62"/>
      <c r="EI823" s="62"/>
      <c r="EJ823" s="62"/>
      <c r="EK823" s="62"/>
      <c r="EL823" s="62"/>
      <c r="EM823" s="62"/>
      <c r="EN823" s="62"/>
      <c r="EO823" s="62"/>
      <c r="EP823" s="62"/>
      <c r="EQ823" s="62"/>
      <c r="ER823" s="62"/>
      <c r="ES823" s="62"/>
      <c r="ET823" s="62"/>
      <c r="EU823" s="62"/>
      <c r="EV823" s="62"/>
      <c r="EW823" s="62"/>
      <c r="EX823" s="62"/>
      <c r="EY823" s="62"/>
      <c r="EZ823" s="62"/>
      <c r="FA823" s="62"/>
      <c r="FB823" s="62"/>
      <c r="FC823" s="62"/>
      <c r="FD823" s="62"/>
      <c r="FE823" s="62"/>
      <c r="FF823" s="62"/>
      <c r="FG823" s="62"/>
      <c r="FH823" s="62"/>
      <c r="FI823" s="62"/>
      <c r="FJ823" s="62"/>
      <c r="FK823" s="62"/>
      <c r="FL823" s="62"/>
      <c r="FM823" s="62"/>
      <c r="FN823" s="62"/>
      <c r="FO823" s="62"/>
      <c r="FP823" s="62"/>
      <c r="FQ823" s="62"/>
      <c r="FR823" s="62"/>
      <c r="FS823" s="62"/>
      <c r="FT823" s="62"/>
      <c r="FU823" s="62"/>
      <c r="FV823" s="62"/>
    </row>
    <row r="824" spans="1:178" ht="13.8">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c r="AT824" s="62"/>
      <c r="AU824" s="62"/>
      <c r="AV824" s="62"/>
      <c r="AW824" s="62"/>
      <c r="AX824" s="62"/>
      <c r="AY824" s="62"/>
      <c r="AZ824" s="62"/>
      <c r="BA824" s="62"/>
      <c r="BB824" s="62"/>
      <c r="BC824" s="62"/>
      <c r="BD824" s="62"/>
      <c r="BE824" s="62"/>
      <c r="BF824" s="62"/>
      <c r="BG824" s="62"/>
      <c r="BH824" s="62"/>
      <c r="BI824" s="62"/>
      <c r="BJ824" s="62"/>
      <c r="BK824" s="62"/>
      <c r="BL824" s="62"/>
      <c r="BM824" s="62"/>
      <c r="BN824" s="62"/>
      <c r="BO824" s="62"/>
      <c r="BP824" s="62"/>
      <c r="BQ824" s="62"/>
      <c r="BR824" s="62"/>
      <c r="BS824" s="62"/>
      <c r="BT824" s="62"/>
      <c r="BU824" s="62"/>
      <c r="BV824" s="62"/>
      <c r="BW824" s="62"/>
      <c r="BX824" s="62"/>
      <c r="BY824" s="62"/>
      <c r="BZ824" s="62"/>
      <c r="CA824" s="62"/>
      <c r="CB824" s="62"/>
      <c r="CC824" s="62"/>
      <c r="CD824" s="62"/>
      <c r="CE824" s="62"/>
      <c r="CF824" s="62"/>
      <c r="CG824" s="62"/>
      <c r="CH824" s="62"/>
      <c r="CI824" s="62"/>
      <c r="CJ824" s="62"/>
      <c r="CK824" s="62"/>
      <c r="CL824" s="62"/>
      <c r="CM824" s="62"/>
      <c r="CN824" s="62"/>
      <c r="CO824" s="62"/>
      <c r="CP824" s="62"/>
      <c r="CQ824" s="62"/>
      <c r="CR824" s="62"/>
      <c r="CS824" s="62"/>
      <c r="CT824" s="62"/>
      <c r="CU824" s="62"/>
      <c r="CV824" s="62"/>
      <c r="CW824" s="62"/>
      <c r="CX824" s="62"/>
      <c r="CY824" s="62"/>
      <c r="CZ824" s="62"/>
      <c r="DA824" s="62"/>
      <c r="DB824" s="62"/>
      <c r="DC824" s="62"/>
      <c r="DD824" s="62"/>
      <c r="DE824" s="62"/>
      <c r="DF824" s="62"/>
      <c r="DG824" s="62"/>
      <c r="DH824" s="62"/>
      <c r="DI824" s="62"/>
      <c r="DJ824" s="62"/>
      <c r="DK824" s="62"/>
      <c r="DL824" s="62"/>
      <c r="DM824" s="62"/>
      <c r="DN824" s="62"/>
      <c r="DO824" s="62"/>
      <c r="DP824" s="62"/>
      <c r="DQ824" s="62"/>
      <c r="DR824" s="62"/>
      <c r="DS824" s="62"/>
      <c r="DT824" s="62"/>
      <c r="DU824" s="62"/>
      <c r="DV824" s="62"/>
      <c r="DW824" s="62"/>
      <c r="DX824" s="62"/>
      <c r="DY824" s="62"/>
      <c r="DZ824" s="62"/>
      <c r="EA824" s="62"/>
      <c r="EB824" s="62"/>
      <c r="EC824" s="62"/>
      <c r="ED824" s="62"/>
      <c r="EE824" s="62"/>
      <c r="EF824" s="62"/>
      <c r="EG824" s="62"/>
      <c r="EH824" s="62"/>
      <c r="EI824" s="62"/>
      <c r="EJ824" s="62"/>
      <c r="EK824" s="62"/>
      <c r="EL824" s="62"/>
      <c r="EM824" s="62"/>
      <c r="EN824" s="62"/>
      <c r="EO824" s="62"/>
      <c r="EP824" s="62"/>
      <c r="EQ824" s="62"/>
      <c r="ER824" s="62"/>
      <c r="ES824" s="62"/>
      <c r="ET824" s="62"/>
      <c r="EU824" s="62"/>
      <c r="EV824" s="62"/>
      <c r="EW824" s="62"/>
      <c r="EX824" s="62"/>
      <c r="EY824" s="62"/>
      <c r="EZ824" s="62"/>
      <c r="FA824" s="62"/>
      <c r="FB824" s="62"/>
      <c r="FC824" s="62"/>
      <c r="FD824" s="62"/>
      <c r="FE824" s="62"/>
      <c r="FF824" s="62"/>
      <c r="FG824" s="62"/>
      <c r="FH824" s="62"/>
      <c r="FI824" s="62"/>
      <c r="FJ824" s="62"/>
      <c r="FK824" s="62"/>
      <c r="FL824" s="62"/>
      <c r="FM824" s="62"/>
      <c r="FN824" s="62"/>
      <c r="FO824" s="62"/>
      <c r="FP824" s="62"/>
      <c r="FQ824" s="62"/>
      <c r="FR824" s="62"/>
      <c r="FS824" s="62"/>
      <c r="FT824" s="62"/>
      <c r="FU824" s="62"/>
      <c r="FV824" s="62"/>
    </row>
    <row r="825" spans="1:178" ht="13.8">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c r="AT825" s="62"/>
      <c r="AU825" s="62"/>
      <c r="AV825" s="62"/>
      <c r="AW825" s="62"/>
      <c r="AX825" s="62"/>
      <c r="AY825" s="62"/>
      <c r="AZ825" s="62"/>
      <c r="BA825" s="62"/>
      <c r="BB825" s="62"/>
      <c r="BC825" s="62"/>
      <c r="BD825" s="62"/>
      <c r="BE825" s="62"/>
      <c r="BF825" s="62"/>
      <c r="BG825" s="62"/>
      <c r="BH825" s="62"/>
      <c r="BI825" s="62"/>
      <c r="BJ825" s="62"/>
      <c r="BK825" s="62"/>
      <c r="BL825" s="62"/>
      <c r="BM825" s="62"/>
      <c r="BN825" s="62"/>
      <c r="BO825" s="62"/>
      <c r="BP825" s="62"/>
      <c r="BQ825" s="62"/>
      <c r="BR825" s="62"/>
      <c r="BS825" s="62"/>
      <c r="BT825" s="62"/>
      <c r="BU825" s="62"/>
      <c r="BV825" s="62"/>
      <c r="BW825" s="62"/>
      <c r="BX825" s="62"/>
      <c r="BY825" s="62"/>
      <c r="BZ825" s="62"/>
      <c r="CA825" s="62"/>
      <c r="CB825" s="62"/>
      <c r="CC825" s="62"/>
      <c r="CD825" s="62"/>
      <c r="CE825" s="62"/>
      <c r="CF825" s="62"/>
      <c r="CG825" s="62"/>
      <c r="CH825" s="62"/>
      <c r="CI825" s="62"/>
      <c r="CJ825" s="62"/>
      <c r="CK825" s="62"/>
      <c r="CL825" s="62"/>
      <c r="CM825" s="62"/>
      <c r="CN825" s="62"/>
      <c r="CO825" s="62"/>
      <c r="CP825" s="62"/>
      <c r="CQ825" s="62"/>
      <c r="CR825" s="62"/>
      <c r="CS825" s="62"/>
      <c r="CT825" s="62"/>
      <c r="CU825" s="62"/>
      <c r="CV825" s="62"/>
      <c r="CW825" s="62"/>
      <c r="CX825" s="62"/>
      <c r="CY825" s="62"/>
      <c r="CZ825" s="62"/>
      <c r="DA825" s="62"/>
      <c r="DB825" s="62"/>
      <c r="DC825" s="62"/>
      <c r="DD825" s="62"/>
      <c r="DE825" s="62"/>
      <c r="DF825" s="62"/>
      <c r="DG825" s="62"/>
      <c r="DH825" s="62"/>
      <c r="DI825" s="62"/>
      <c r="DJ825" s="62"/>
      <c r="DK825" s="62"/>
      <c r="DL825" s="62"/>
      <c r="DM825" s="62"/>
      <c r="DN825" s="62"/>
      <c r="DO825" s="62"/>
      <c r="DP825" s="62"/>
      <c r="DQ825" s="62"/>
      <c r="DR825" s="62"/>
      <c r="DS825" s="62"/>
      <c r="DT825" s="62"/>
      <c r="DU825" s="62"/>
      <c r="DV825" s="62"/>
      <c r="DW825" s="62"/>
      <c r="DX825" s="62"/>
      <c r="DY825" s="62"/>
      <c r="DZ825" s="62"/>
      <c r="EA825" s="62"/>
      <c r="EB825" s="62"/>
      <c r="EC825" s="62"/>
      <c r="ED825" s="62"/>
      <c r="EE825" s="62"/>
      <c r="EF825" s="62"/>
      <c r="EG825" s="62"/>
      <c r="EH825" s="62"/>
      <c r="EI825" s="62"/>
      <c r="EJ825" s="62"/>
      <c r="EK825" s="62"/>
      <c r="EL825" s="62"/>
      <c r="EM825" s="62"/>
      <c r="EN825" s="62"/>
      <c r="EO825" s="62"/>
      <c r="EP825" s="62"/>
      <c r="EQ825" s="62"/>
      <c r="ER825" s="62"/>
      <c r="ES825" s="62"/>
      <c r="ET825" s="62"/>
      <c r="EU825" s="62"/>
      <c r="EV825" s="62"/>
      <c r="EW825" s="62"/>
      <c r="EX825" s="62"/>
      <c r="EY825" s="62"/>
      <c r="EZ825" s="62"/>
      <c r="FA825" s="62"/>
      <c r="FB825" s="62"/>
      <c r="FC825" s="62"/>
      <c r="FD825" s="62"/>
      <c r="FE825" s="62"/>
      <c r="FF825" s="62"/>
      <c r="FG825" s="62"/>
      <c r="FH825" s="62"/>
      <c r="FI825" s="62"/>
      <c r="FJ825" s="62"/>
      <c r="FK825" s="62"/>
      <c r="FL825" s="62"/>
      <c r="FM825" s="62"/>
      <c r="FN825" s="62"/>
      <c r="FO825" s="62"/>
      <c r="FP825" s="62"/>
      <c r="FQ825" s="62"/>
      <c r="FR825" s="62"/>
      <c r="FS825" s="62"/>
      <c r="FT825" s="62"/>
      <c r="FU825" s="62"/>
      <c r="FV825" s="62"/>
    </row>
    <row r="826" spans="1:178" ht="13.8">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c r="AT826" s="62"/>
      <c r="AU826" s="62"/>
      <c r="AV826" s="62"/>
      <c r="AW826" s="62"/>
      <c r="AX826" s="62"/>
      <c r="AY826" s="62"/>
      <c r="AZ826" s="62"/>
      <c r="BA826" s="62"/>
      <c r="BB826" s="62"/>
      <c r="BC826" s="62"/>
      <c r="BD826" s="62"/>
      <c r="BE826" s="62"/>
      <c r="BF826" s="62"/>
      <c r="BG826" s="62"/>
      <c r="BH826" s="62"/>
      <c r="BI826" s="62"/>
      <c r="BJ826" s="62"/>
      <c r="BK826" s="62"/>
      <c r="BL826" s="62"/>
      <c r="BM826" s="62"/>
      <c r="BN826" s="62"/>
      <c r="BO826" s="62"/>
      <c r="BP826" s="62"/>
      <c r="BQ826" s="62"/>
      <c r="BR826" s="62"/>
      <c r="BS826" s="62"/>
      <c r="BT826" s="62"/>
      <c r="BU826" s="62"/>
      <c r="BV826" s="62"/>
      <c r="BW826" s="62"/>
      <c r="BX826" s="62"/>
      <c r="BY826" s="62"/>
      <c r="BZ826" s="62"/>
      <c r="CA826" s="62"/>
      <c r="CB826" s="62"/>
      <c r="CC826" s="62"/>
      <c r="CD826" s="62"/>
      <c r="CE826" s="62"/>
      <c r="CF826" s="62"/>
      <c r="CG826" s="62"/>
      <c r="CH826" s="62"/>
      <c r="CI826" s="62"/>
      <c r="CJ826" s="62"/>
      <c r="CK826" s="62"/>
      <c r="CL826" s="62"/>
      <c r="CM826" s="62"/>
      <c r="CN826" s="62"/>
      <c r="CO826" s="62"/>
      <c r="CP826" s="62"/>
      <c r="CQ826" s="62"/>
      <c r="CR826" s="62"/>
      <c r="CS826" s="62"/>
      <c r="CT826" s="62"/>
      <c r="CU826" s="62"/>
      <c r="CV826" s="62"/>
      <c r="CW826" s="62"/>
      <c r="CX826" s="62"/>
      <c r="CY826" s="62"/>
      <c r="CZ826" s="62"/>
      <c r="DA826" s="62"/>
      <c r="DB826" s="62"/>
      <c r="DC826" s="62"/>
      <c r="DD826" s="62"/>
      <c r="DE826" s="62"/>
      <c r="DF826" s="62"/>
      <c r="DG826" s="62"/>
      <c r="DH826" s="62"/>
      <c r="DI826" s="62"/>
      <c r="DJ826" s="62"/>
      <c r="DK826" s="62"/>
      <c r="DL826" s="62"/>
      <c r="DM826" s="62"/>
      <c r="DN826" s="62"/>
      <c r="DO826" s="62"/>
      <c r="DP826" s="62"/>
      <c r="DQ826" s="62"/>
      <c r="DR826" s="62"/>
      <c r="DS826" s="62"/>
      <c r="DT826" s="62"/>
      <c r="DU826" s="62"/>
      <c r="DV826" s="62"/>
      <c r="DW826" s="62"/>
      <c r="DX826" s="62"/>
      <c r="DY826" s="62"/>
      <c r="DZ826" s="62"/>
      <c r="EA826" s="62"/>
      <c r="EB826" s="62"/>
      <c r="EC826" s="62"/>
      <c r="ED826" s="62"/>
      <c r="EE826" s="62"/>
      <c r="EF826" s="62"/>
      <c r="EG826" s="62"/>
      <c r="EH826" s="62"/>
      <c r="EI826" s="62"/>
      <c r="EJ826" s="62"/>
      <c r="EK826" s="62"/>
      <c r="EL826" s="62"/>
      <c r="EM826" s="62"/>
      <c r="EN826" s="62"/>
      <c r="EO826" s="62"/>
      <c r="EP826" s="62"/>
      <c r="EQ826" s="62"/>
      <c r="ER826" s="62"/>
      <c r="ES826" s="62"/>
      <c r="ET826" s="62"/>
      <c r="EU826" s="62"/>
      <c r="EV826" s="62"/>
      <c r="EW826" s="62"/>
      <c r="EX826" s="62"/>
      <c r="EY826" s="62"/>
      <c r="EZ826" s="62"/>
      <c r="FA826" s="62"/>
      <c r="FB826" s="62"/>
      <c r="FC826" s="62"/>
      <c r="FD826" s="62"/>
      <c r="FE826" s="62"/>
      <c r="FF826" s="62"/>
      <c r="FG826" s="62"/>
      <c r="FH826" s="62"/>
      <c r="FI826" s="62"/>
      <c r="FJ826" s="62"/>
      <c r="FK826" s="62"/>
      <c r="FL826" s="62"/>
      <c r="FM826" s="62"/>
      <c r="FN826" s="62"/>
      <c r="FO826" s="62"/>
      <c r="FP826" s="62"/>
      <c r="FQ826" s="62"/>
      <c r="FR826" s="62"/>
      <c r="FS826" s="62"/>
      <c r="FT826" s="62"/>
      <c r="FU826" s="62"/>
      <c r="FV826" s="62"/>
    </row>
    <row r="827" spans="1:178" ht="13.8">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c r="AT827" s="62"/>
      <c r="AU827" s="62"/>
      <c r="AV827" s="62"/>
      <c r="AW827" s="62"/>
      <c r="AX827" s="62"/>
      <c r="AY827" s="62"/>
      <c r="AZ827" s="62"/>
      <c r="BA827" s="62"/>
      <c r="BB827" s="62"/>
      <c r="BC827" s="62"/>
      <c r="BD827" s="62"/>
      <c r="BE827" s="62"/>
      <c r="BF827" s="62"/>
      <c r="BG827" s="62"/>
      <c r="BH827" s="62"/>
      <c r="BI827" s="62"/>
      <c r="BJ827" s="62"/>
      <c r="BK827" s="62"/>
      <c r="BL827" s="62"/>
      <c r="BM827" s="62"/>
      <c r="BN827" s="62"/>
      <c r="BO827" s="62"/>
      <c r="BP827" s="62"/>
      <c r="BQ827" s="62"/>
      <c r="BR827" s="62"/>
      <c r="BS827" s="62"/>
      <c r="BT827" s="62"/>
      <c r="BU827" s="62"/>
      <c r="BV827" s="62"/>
      <c r="BW827" s="62"/>
      <c r="BX827" s="62"/>
      <c r="BY827" s="62"/>
      <c r="BZ827" s="62"/>
      <c r="CA827" s="62"/>
      <c r="CB827" s="62"/>
      <c r="CC827" s="62"/>
      <c r="CD827" s="62"/>
      <c r="CE827" s="62"/>
      <c r="CF827" s="62"/>
      <c r="CG827" s="62"/>
      <c r="CH827" s="62"/>
      <c r="CI827" s="62"/>
      <c r="CJ827" s="62"/>
      <c r="CK827" s="62"/>
      <c r="CL827" s="62"/>
      <c r="CM827" s="62"/>
      <c r="CN827" s="62"/>
      <c r="CO827" s="62"/>
      <c r="CP827" s="62"/>
      <c r="CQ827" s="62"/>
      <c r="CR827" s="62"/>
      <c r="CS827" s="62"/>
      <c r="CT827" s="62"/>
      <c r="CU827" s="62"/>
      <c r="CV827" s="62"/>
      <c r="CW827" s="62"/>
      <c r="CX827" s="62"/>
      <c r="CY827" s="62"/>
      <c r="CZ827" s="62"/>
      <c r="DA827" s="62"/>
      <c r="DB827" s="62"/>
      <c r="DC827" s="62"/>
      <c r="DD827" s="62"/>
      <c r="DE827" s="62"/>
      <c r="DF827" s="62"/>
      <c r="DG827" s="62"/>
      <c r="DH827" s="62"/>
      <c r="DI827" s="62"/>
      <c r="DJ827" s="62"/>
      <c r="DK827" s="62"/>
      <c r="DL827" s="62"/>
      <c r="DM827" s="62"/>
      <c r="DN827" s="62"/>
      <c r="DO827" s="62"/>
      <c r="DP827" s="62"/>
      <c r="DQ827" s="62"/>
      <c r="DR827" s="62"/>
      <c r="DS827" s="62"/>
      <c r="DT827" s="62"/>
      <c r="DU827" s="62"/>
      <c r="DV827" s="62"/>
      <c r="DW827" s="62"/>
      <c r="DX827" s="62"/>
      <c r="DY827" s="62"/>
      <c r="DZ827" s="62"/>
      <c r="EA827" s="62"/>
      <c r="EB827" s="62"/>
      <c r="EC827" s="62"/>
      <c r="ED827" s="62"/>
      <c r="EE827" s="62"/>
      <c r="EF827" s="62"/>
      <c r="EG827" s="62"/>
      <c r="EH827" s="62"/>
      <c r="EI827" s="62"/>
      <c r="EJ827" s="62"/>
      <c r="EK827" s="62"/>
      <c r="EL827" s="62"/>
      <c r="EM827" s="62"/>
      <c r="EN827" s="62"/>
      <c r="EO827" s="62"/>
      <c r="EP827" s="62"/>
      <c r="EQ827" s="62"/>
      <c r="ER827" s="62"/>
      <c r="ES827" s="62"/>
      <c r="ET827" s="62"/>
      <c r="EU827" s="62"/>
      <c r="EV827" s="62"/>
      <c r="EW827" s="62"/>
      <c r="EX827" s="62"/>
      <c r="EY827" s="62"/>
      <c r="EZ827" s="62"/>
      <c r="FA827" s="62"/>
      <c r="FB827" s="62"/>
      <c r="FC827" s="62"/>
      <c r="FD827" s="62"/>
      <c r="FE827" s="62"/>
      <c r="FF827" s="62"/>
      <c r="FG827" s="62"/>
      <c r="FH827" s="62"/>
      <c r="FI827" s="62"/>
      <c r="FJ827" s="62"/>
      <c r="FK827" s="62"/>
      <c r="FL827" s="62"/>
      <c r="FM827" s="62"/>
      <c r="FN827" s="62"/>
      <c r="FO827" s="62"/>
      <c r="FP827" s="62"/>
      <c r="FQ827" s="62"/>
      <c r="FR827" s="62"/>
      <c r="FS827" s="62"/>
      <c r="FT827" s="62"/>
      <c r="FU827" s="62"/>
      <c r="FV827" s="62"/>
    </row>
    <row r="828" spans="1:178" ht="13.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c r="AT828" s="62"/>
      <c r="AU828" s="62"/>
      <c r="AV828" s="62"/>
      <c r="AW828" s="62"/>
      <c r="AX828" s="62"/>
      <c r="AY828" s="62"/>
      <c r="AZ828" s="62"/>
      <c r="BA828" s="62"/>
      <c r="BB828" s="62"/>
      <c r="BC828" s="62"/>
      <c r="BD828" s="62"/>
      <c r="BE828" s="62"/>
      <c r="BF828" s="62"/>
      <c r="BG828" s="62"/>
      <c r="BH828" s="62"/>
      <c r="BI828" s="62"/>
      <c r="BJ828" s="62"/>
      <c r="BK828" s="62"/>
      <c r="BL828" s="62"/>
      <c r="BM828" s="62"/>
      <c r="BN828" s="62"/>
      <c r="BO828" s="62"/>
      <c r="BP828" s="62"/>
      <c r="BQ828" s="62"/>
      <c r="BR828" s="62"/>
      <c r="BS828" s="62"/>
      <c r="BT828" s="62"/>
      <c r="BU828" s="62"/>
      <c r="BV828" s="62"/>
      <c r="BW828" s="62"/>
      <c r="BX828" s="62"/>
      <c r="BY828" s="62"/>
      <c r="BZ828" s="62"/>
      <c r="CA828" s="62"/>
      <c r="CB828" s="62"/>
      <c r="CC828" s="62"/>
      <c r="CD828" s="62"/>
      <c r="CE828" s="62"/>
      <c r="CF828" s="62"/>
      <c r="CG828" s="62"/>
      <c r="CH828" s="62"/>
      <c r="CI828" s="62"/>
      <c r="CJ828" s="62"/>
      <c r="CK828" s="62"/>
      <c r="CL828" s="62"/>
      <c r="CM828" s="62"/>
      <c r="CN828" s="62"/>
      <c r="CO828" s="62"/>
      <c r="CP828" s="62"/>
      <c r="CQ828" s="62"/>
      <c r="CR828" s="62"/>
      <c r="CS828" s="62"/>
      <c r="CT828" s="62"/>
      <c r="CU828" s="62"/>
      <c r="CV828" s="62"/>
      <c r="CW828" s="62"/>
      <c r="CX828" s="62"/>
      <c r="CY828" s="62"/>
      <c r="CZ828" s="62"/>
      <c r="DA828" s="62"/>
      <c r="DB828" s="62"/>
      <c r="DC828" s="62"/>
      <c r="DD828" s="62"/>
      <c r="DE828" s="62"/>
      <c r="DF828" s="62"/>
      <c r="DG828" s="62"/>
      <c r="DH828" s="62"/>
      <c r="DI828" s="62"/>
      <c r="DJ828" s="62"/>
      <c r="DK828" s="62"/>
      <c r="DL828" s="62"/>
      <c r="DM828" s="62"/>
      <c r="DN828" s="62"/>
      <c r="DO828" s="62"/>
      <c r="DP828" s="62"/>
      <c r="DQ828" s="62"/>
      <c r="DR828" s="62"/>
      <c r="DS828" s="62"/>
      <c r="DT828" s="62"/>
      <c r="DU828" s="62"/>
      <c r="DV828" s="62"/>
      <c r="DW828" s="62"/>
      <c r="DX828" s="62"/>
      <c r="DY828" s="62"/>
      <c r="DZ828" s="62"/>
      <c r="EA828" s="62"/>
      <c r="EB828" s="62"/>
      <c r="EC828" s="62"/>
      <c r="ED828" s="62"/>
      <c r="EE828" s="62"/>
      <c r="EF828" s="62"/>
      <c r="EG828" s="62"/>
      <c r="EH828" s="62"/>
      <c r="EI828" s="62"/>
      <c r="EJ828" s="62"/>
      <c r="EK828" s="62"/>
      <c r="EL828" s="62"/>
      <c r="EM828" s="62"/>
      <c r="EN828" s="62"/>
      <c r="EO828" s="62"/>
      <c r="EP828" s="62"/>
      <c r="EQ828" s="62"/>
      <c r="ER828" s="62"/>
      <c r="ES828" s="62"/>
      <c r="ET828" s="62"/>
      <c r="EU828" s="62"/>
      <c r="EV828" s="62"/>
      <c r="EW828" s="62"/>
      <c r="EX828" s="62"/>
      <c r="EY828" s="62"/>
      <c r="EZ828" s="62"/>
      <c r="FA828" s="62"/>
      <c r="FB828" s="62"/>
      <c r="FC828" s="62"/>
      <c r="FD828" s="62"/>
      <c r="FE828" s="62"/>
      <c r="FF828" s="62"/>
      <c r="FG828" s="62"/>
      <c r="FH828" s="62"/>
      <c r="FI828" s="62"/>
      <c r="FJ828" s="62"/>
      <c r="FK828" s="62"/>
      <c r="FL828" s="62"/>
      <c r="FM828" s="62"/>
      <c r="FN828" s="62"/>
      <c r="FO828" s="62"/>
      <c r="FP828" s="62"/>
      <c r="FQ828" s="62"/>
      <c r="FR828" s="62"/>
      <c r="FS828" s="62"/>
      <c r="FT828" s="62"/>
      <c r="FU828" s="62"/>
      <c r="FV828" s="62"/>
    </row>
    <row r="829" spans="1:178" ht="13.8">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c r="AT829" s="62"/>
      <c r="AU829" s="62"/>
      <c r="AV829" s="62"/>
      <c r="AW829" s="62"/>
      <c r="AX829" s="62"/>
      <c r="AY829" s="62"/>
      <c r="AZ829" s="62"/>
      <c r="BA829" s="62"/>
      <c r="BB829" s="62"/>
      <c r="BC829" s="62"/>
      <c r="BD829" s="62"/>
      <c r="BE829" s="62"/>
      <c r="BF829" s="62"/>
      <c r="BG829" s="62"/>
      <c r="BH829" s="62"/>
      <c r="BI829" s="62"/>
      <c r="BJ829" s="62"/>
      <c r="BK829" s="62"/>
      <c r="BL829" s="62"/>
      <c r="BM829" s="62"/>
      <c r="BN829" s="62"/>
      <c r="BO829" s="62"/>
      <c r="BP829" s="62"/>
      <c r="BQ829" s="62"/>
      <c r="BR829" s="62"/>
      <c r="BS829" s="62"/>
      <c r="BT829" s="62"/>
      <c r="BU829" s="62"/>
      <c r="BV829" s="62"/>
      <c r="BW829" s="62"/>
      <c r="BX829" s="62"/>
      <c r="BY829" s="62"/>
      <c r="BZ829" s="62"/>
      <c r="CA829" s="62"/>
      <c r="CB829" s="62"/>
      <c r="CC829" s="62"/>
      <c r="CD829" s="62"/>
      <c r="CE829" s="62"/>
      <c r="CF829" s="62"/>
      <c r="CG829" s="62"/>
      <c r="CH829" s="62"/>
      <c r="CI829" s="62"/>
      <c r="CJ829" s="62"/>
      <c r="CK829" s="62"/>
      <c r="CL829" s="62"/>
      <c r="CM829" s="62"/>
      <c r="CN829" s="62"/>
      <c r="CO829" s="62"/>
      <c r="CP829" s="62"/>
      <c r="CQ829" s="62"/>
      <c r="CR829" s="62"/>
      <c r="CS829" s="62"/>
      <c r="CT829" s="62"/>
      <c r="CU829" s="62"/>
      <c r="CV829" s="62"/>
      <c r="CW829" s="62"/>
      <c r="CX829" s="62"/>
      <c r="CY829" s="62"/>
      <c r="CZ829" s="62"/>
      <c r="DA829" s="62"/>
      <c r="DB829" s="62"/>
      <c r="DC829" s="62"/>
      <c r="DD829" s="62"/>
      <c r="DE829" s="62"/>
      <c r="DF829" s="62"/>
      <c r="DG829" s="62"/>
      <c r="DH829" s="62"/>
      <c r="DI829" s="62"/>
      <c r="DJ829" s="62"/>
      <c r="DK829" s="62"/>
      <c r="DL829" s="62"/>
      <c r="DM829" s="62"/>
      <c r="DN829" s="62"/>
      <c r="DO829" s="62"/>
      <c r="DP829" s="62"/>
      <c r="DQ829" s="62"/>
      <c r="DR829" s="62"/>
      <c r="DS829" s="62"/>
      <c r="DT829" s="62"/>
      <c r="DU829" s="62"/>
      <c r="DV829" s="62"/>
      <c r="DW829" s="62"/>
      <c r="DX829" s="62"/>
      <c r="DY829" s="62"/>
      <c r="DZ829" s="62"/>
      <c r="EA829" s="62"/>
      <c r="EB829" s="62"/>
      <c r="EC829" s="62"/>
      <c r="ED829" s="62"/>
      <c r="EE829" s="62"/>
      <c r="EF829" s="62"/>
      <c r="EG829" s="62"/>
      <c r="EH829" s="62"/>
      <c r="EI829" s="62"/>
      <c r="EJ829" s="62"/>
      <c r="EK829" s="62"/>
      <c r="EL829" s="62"/>
      <c r="EM829" s="62"/>
      <c r="EN829" s="62"/>
      <c r="EO829" s="62"/>
      <c r="EP829" s="62"/>
      <c r="EQ829" s="62"/>
      <c r="ER829" s="62"/>
      <c r="ES829" s="62"/>
      <c r="ET829" s="62"/>
      <c r="EU829" s="62"/>
      <c r="EV829" s="62"/>
      <c r="EW829" s="62"/>
      <c r="EX829" s="62"/>
      <c r="EY829" s="62"/>
      <c r="EZ829" s="62"/>
      <c r="FA829" s="62"/>
      <c r="FB829" s="62"/>
      <c r="FC829" s="62"/>
      <c r="FD829" s="62"/>
      <c r="FE829" s="62"/>
      <c r="FF829" s="62"/>
      <c r="FG829" s="62"/>
      <c r="FH829" s="62"/>
      <c r="FI829" s="62"/>
      <c r="FJ829" s="62"/>
      <c r="FK829" s="62"/>
      <c r="FL829" s="62"/>
      <c r="FM829" s="62"/>
      <c r="FN829" s="62"/>
      <c r="FO829" s="62"/>
      <c r="FP829" s="62"/>
      <c r="FQ829" s="62"/>
      <c r="FR829" s="62"/>
      <c r="FS829" s="62"/>
      <c r="FT829" s="62"/>
      <c r="FU829" s="62"/>
      <c r="FV829" s="62"/>
    </row>
    <row r="830" spans="1:178" ht="13.8">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c r="AT830" s="62"/>
      <c r="AU830" s="62"/>
      <c r="AV830" s="62"/>
      <c r="AW830" s="62"/>
      <c r="AX830" s="62"/>
      <c r="AY830" s="62"/>
      <c r="AZ830" s="62"/>
      <c r="BA830" s="62"/>
      <c r="BB830" s="62"/>
      <c r="BC830" s="62"/>
      <c r="BD830" s="62"/>
      <c r="BE830" s="62"/>
      <c r="BF830" s="62"/>
      <c r="BG830" s="62"/>
      <c r="BH830" s="62"/>
      <c r="BI830" s="62"/>
      <c r="BJ830" s="62"/>
      <c r="BK830" s="62"/>
      <c r="BL830" s="62"/>
      <c r="BM830" s="62"/>
      <c r="BN830" s="62"/>
      <c r="BO830" s="62"/>
      <c r="BP830" s="62"/>
      <c r="BQ830" s="62"/>
      <c r="BR830" s="62"/>
      <c r="BS830" s="62"/>
      <c r="BT830" s="62"/>
      <c r="BU830" s="62"/>
      <c r="BV830" s="62"/>
      <c r="BW830" s="62"/>
      <c r="BX830" s="62"/>
      <c r="BY830" s="62"/>
      <c r="BZ830" s="62"/>
      <c r="CA830" s="62"/>
      <c r="CB830" s="62"/>
      <c r="CC830" s="62"/>
      <c r="CD830" s="62"/>
      <c r="CE830" s="62"/>
      <c r="CF830" s="62"/>
      <c r="CG830" s="62"/>
      <c r="CH830" s="62"/>
      <c r="CI830" s="62"/>
      <c r="CJ830" s="62"/>
      <c r="CK830" s="62"/>
      <c r="CL830" s="62"/>
      <c r="CM830" s="62"/>
      <c r="CN830" s="62"/>
      <c r="CO830" s="62"/>
      <c r="CP830" s="62"/>
      <c r="CQ830" s="62"/>
      <c r="CR830" s="62"/>
      <c r="CS830" s="62"/>
      <c r="CT830" s="62"/>
      <c r="CU830" s="62"/>
      <c r="CV830" s="62"/>
      <c r="CW830" s="62"/>
      <c r="CX830" s="62"/>
      <c r="CY830" s="62"/>
      <c r="CZ830" s="62"/>
      <c r="DA830" s="62"/>
      <c r="DB830" s="62"/>
      <c r="DC830" s="62"/>
      <c r="DD830" s="62"/>
      <c r="DE830" s="62"/>
      <c r="DF830" s="62"/>
      <c r="DG830" s="62"/>
      <c r="DH830" s="62"/>
      <c r="DI830" s="62"/>
      <c r="DJ830" s="62"/>
      <c r="DK830" s="62"/>
      <c r="DL830" s="62"/>
      <c r="DM830" s="62"/>
      <c r="DN830" s="62"/>
      <c r="DO830" s="62"/>
      <c r="DP830" s="62"/>
      <c r="DQ830" s="62"/>
      <c r="DR830" s="62"/>
      <c r="DS830" s="62"/>
      <c r="DT830" s="62"/>
      <c r="DU830" s="62"/>
      <c r="DV830" s="62"/>
      <c r="DW830" s="62"/>
      <c r="DX830" s="62"/>
      <c r="DY830" s="62"/>
      <c r="DZ830" s="62"/>
      <c r="EA830" s="62"/>
      <c r="EB830" s="62"/>
      <c r="EC830" s="62"/>
      <c r="ED830" s="62"/>
      <c r="EE830" s="62"/>
      <c r="EF830" s="62"/>
      <c r="EG830" s="62"/>
      <c r="EH830" s="62"/>
      <c r="EI830" s="62"/>
      <c r="EJ830" s="62"/>
      <c r="EK830" s="62"/>
      <c r="EL830" s="62"/>
      <c r="EM830" s="62"/>
      <c r="EN830" s="62"/>
      <c r="EO830" s="62"/>
      <c r="EP830" s="62"/>
      <c r="EQ830" s="62"/>
      <c r="ER830" s="62"/>
      <c r="ES830" s="62"/>
      <c r="ET830" s="62"/>
      <c r="EU830" s="62"/>
      <c r="EV830" s="62"/>
      <c r="EW830" s="62"/>
      <c r="EX830" s="62"/>
      <c r="EY830" s="62"/>
      <c r="EZ830" s="62"/>
      <c r="FA830" s="62"/>
      <c r="FB830" s="62"/>
      <c r="FC830" s="62"/>
      <c r="FD830" s="62"/>
      <c r="FE830" s="62"/>
      <c r="FF830" s="62"/>
      <c r="FG830" s="62"/>
      <c r="FH830" s="62"/>
      <c r="FI830" s="62"/>
      <c r="FJ830" s="62"/>
      <c r="FK830" s="62"/>
      <c r="FL830" s="62"/>
      <c r="FM830" s="62"/>
      <c r="FN830" s="62"/>
      <c r="FO830" s="62"/>
      <c r="FP830" s="62"/>
      <c r="FQ830" s="62"/>
      <c r="FR830" s="62"/>
      <c r="FS830" s="62"/>
      <c r="FT830" s="62"/>
      <c r="FU830" s="62"/>
      <c r="FV830" s="62"/>
    </row>
    <row r="831" spans="1:178" ht="13.8">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c r="AT831" s="62"/>
      <c r="AU831" s="62"/>
      <c r="AV831" s="62"/>
      <c r="AW831" s="62"/>
      <c r="AX831" s="62"/>
      <c r="AY831" s="62"/>
      <c r="AZ831" s="62"/>
      <c r="BA831" s="62"/>
      <c r="BB831" s="62"/>
      <c r="BC831" s="62"/>
      <c r="BD831" s="62"/>
      <c r="BE831" s="62"/>
      <c r="BF831" s="62"/>
      <c r="BG831" s="62"/>
      <c r="BH831" s="62"/>
      <c r="BI831" s="62"/>
      <c r="BJ831" s="62"/>
      <c r="BK831" s="62"/>
      <c r="BL831" s="62"/>
      <c r="BM831" s="62"/>
      <c r="BN831" s="62"/>
      <c r="BO831" s="62"/>
      <c r="BP831" s="62"/>
      <c r="BQ831" s="62"/>
      <c r="BR831" s="62"/>
      <c r="BS831" s="62"/>
      <c r="BT831" s="62"/>
      <c r="BU831" s="62"/>
      <c r="BV831" s="62"/>
      <c r="BW831" s="62"/>
      <c r="BX831" s="62"/>
      <c r="BY831" s="62"/>
      <c r="BZ831" s="62"/>
      <c r="CA831" s="62"/>
      <c r="CB831" s="62"/>
      <c r="CC831" s="62"/>
      <c r="CD831" s="62"/>
      <c r="CE831" s="62"/>
      <c r="CF831" s="62"/>
      <c r="CG831" s="62"/>
      <c r="CH831" s="62"/>
      <c r="CI831" s="62"/>
      <c r="CJ831" s="62"/>
      <c r="CK831" s="62"/>
      <c r="CL831" s="62"/>
      <c r="CM831" s="62"/>
      <c r="CN831" s="62"/>
      <c r="CO831" s="62"/>
      <c r="CP831" s="62"/>
      <c r="CQ831" s="62"/>
      <c r="CR831" s="62"/>
      <c r="CS831" s="62"/>
      <c r="CT831" s="62"/>
      <c r="CU831" s="62"/>
      <c r="CV831" s="62"/>
      <c r="CW831" s="62"/>
      <c r="CX831" s="62"/>
      <c r="CY831" s="62"/>
      <c r="CZ831" s="62"/>
      <c r="DA831" s="62"/>
      <c r="DB831" s="62"/>
      <c r="DC831" s="62"/>
      <c r="DD831" s="62"/>
      <c r="DE831" s="62"/>
      <c r="DF831" s="62"/>
      <c r="DG831" s="62"/>
      <c r="DH831" s="62"/>
      <c r="DI831" s="62"/>
      <c r="DJ831" s="62"/>
      <c r="DK831" s="62"/>
      <c r="DL831" s="62"/>
      <c r="DM831" s="62"/>
      <c r="DN831" s="62"/>
      <c r="DO831" s="62"/>
      <c r="DP831" s="62"/>
      <c r="DQ831" s="62"/>
      <c r="DR831" s="62"/>
      <c r="DS831" s="62"/>
      <c r="DT831" s="62"/>
      <c r="DU831" s="62"/>
      <c r="DV831" s="62"/>
      <c r="DW831" s="62"/>
      <c r="DX831" s="62"/>
      <c r="DY831" s="62"/>
      <c r="DZ831" s="62"/>
      <c r="EA831" s="62"/>
      <c r="EB831" s="62"/>
      <c r="EC831" s="62"/>
      <c r="ED831" s="62"/>
      <c r="EE831" s="62"/>
      <c r="EF831" s="62"/>
      <c r="EG831" s="62"/>
      <c r="EH831" s="62"/>
      <c r="EI831" s="62"/>
      <c r="EJ831" s="62"/>
      <c r="EK831" s="62"/>
      <c r="EL831" s="62"/>
      <c r="EM831" s="62"/>
      <c r="EN831" s="62"/>
      <c r="EO831" s="62"/>
      <c r="EP831" s="62"/>
      <c r="EQ831" s="62"/>
      <c r="ER831" s="62"/>
      <c r="ES831" s="62"/>
      <c r="ET831" s="62"/>
      <c r="EU831" s="62"/>
      <c r="EV831" s="62"/>
      <c r="EW831" s="62"/>
      <c r="EX831" s="62"/>
      <c r="EY831" s="62"/>
      <c r="EZ831" s="62"/>
      <c r="FA831" s="62"/>
      <c r="FB831" s="62"/>
      <c r="FC831" s="62"/>
      <c r="FD831" s="62"/>
      <c r="FE831" s="62"/>
      <c r="FF831" s="62"/>
      <c r="FG831" s="62"/>
      <c r="FH831" s="62"/>
      <c r="FI831" s="62"/>
      <c r="FJ831" s="62"/>
      <c r="FK831" s="62"/>
      <c r="FL831" s="62"/>
      <c r="FM831" s="62"/>
      <c r="FN831" s="62"/>
      <c r="FO831" s="62"/>
      <c r="FP831" s="62"/>
      <c r="FQ831" s="62"/>
      <c r="FR831" s="62"/>
      <c r="FS831" s="62"/>
      <c r="FT831" s="62"/>
      <c r="FU831" s="62"/>
      <c r="FV831" s="62"/>
    </row>
    <row r="832" spans="1:178" ht="13.8">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c r="AT832" s="62"/>
      <c r="AU832" s="62"/>
      <c r="AV832" s="62"/>
      <c r="AW832" s="62"/>
      <c r="AX832" s="62"/>
      <c r="AY832" s="62"/>
      <c r="AZ832" s="62"/>
      <c r="BA832" s="62"/>
      <c r="BB832" s="62"/>
      <c r="BC832" s="62"/>
      <c r="BD832" s="62"/>
      <c r="BE832" s="62"/>
      <c r="BF832" s="62"/>
      <c r="BG832" s="62"/>
      <c r="BH832" s="62"/>
      <c r="BI832" s="62"/>
      <c r="BJ832" s="62"/>
      <c r="BK832" s="62"/>
      <c r="BL832" s="62"/>
      <c r="BM832" s="62"/>
      <c r="BN832" s="62"/>
      <c r="BO832" s="62"/>
      <c r="BP832" s="62"/>
      <c r="BQ832" s="62"/>
      <c r="BR832" s="62"/>
      <c r="BS832" s="62"/>
      <c r="BT832" s="62"/>
      <c r="BU832" s="62"/>
      <c r="BV832" s="62"/>
      <c r="BW832" s="62"/>
      <c r="BX832" s="62"/>
      <c r="BY832" s="62"/>
      <c r="BZ832" s="62"/>
      <c r="CA832" s="62"/>
      <c r="CB832" s="62"/>
      <c r="CC832" s="62"/>
      <c r="CD832" s="62"/>
      <c r="CE832" s="62"/>
      <c r="CF832" s="62"/>
      <c r="CG832" s="62"/>
      <c r="CH832" s="62"/>
      <c r="CI832" s="62"/>
      <c r="CJ832" s="62"/>
      <c r="CK832" s="62"/>
      <c r="CL832" s="62"/>
      <c r="CM832" s="62"/>
      <c r="CN832" s="62"/>
      <c r="CO832" s="62"/>
      <c r="CP832" s="62"/>
      <c r="CQ832" s="62"/>
      <c r="CR832" s="62"/>
      <c r="CS832" s="62"/>
      <c r="CT832" s="62"/>
      <c r="CU832" s="62"/>
      <c r="CV832" s="62"/>
      <c r="CW832" s="62"/>
      <c r="CX832" s="62"/>
      <c r="CY832" s="62"/>
      <c r="CZ832" s="62"/>
      <c r="DA832" s="62"/>
      <c r="DB832" s="62"/>
      <c r="DC832" s="62"/>
      <c r="DD832" s="62"/>
      <c r="DE832" s="62"/>
      <c r="DF832" s="62"/>
      <c r="DG832" s="62"/>
      <c r="DH832" s="62"/>
      <c r="DI832" s="62"/>
      <c r="DJ832" s="62"/>
      <c r="DK832" s="62"/>
      <c r="DL832" s="62"/>
      <c r="DM832" s="62"/>
      <c r="DN832" s="62"/>
      <c r="DO832" s="62"/>
      <c r="DP832" s="62"/>
      <c r="DQ832" s="62"/>
      <c r="DR832" s="62"/>
      <c r="DS832" s="62"/>
      <c r="DT832" s="62"/>
      <c r="DU832" s="62"/>
      <c r="DV832" s="62"/>
      <c r="DW832" s="62"/>
      <c r="DX832" s="62"/>
      <c r="DY832" s="62"/>
      <c r="DZ832" s="62"/>
      <c r="EA832" s="62"/>
      <c r="EB832" s="62"/>
      <c r="EC832" s="62"/>
      <c r="ED832" s="62"/>
      <c r="EE832" s="62"/>
      <c r="EF832" s="62"/>
      <c r="EG832" s="62"/>
      <c r="EH832" s="62"/>
      <c r="EI832" s="62"/>
      <c r="EJ832" s="62"/>
      <c r="EK832" s="62"/>
      <c r="EL832" s="62"/>
      <c r="EM832" s="62"/>
      <c r="EN832" s="62"/>
      <c r="EO832" s="62"/>
      <c r="EP832" s="62"/>
      <c r="EQ832" s="62"/>
      <c r="ER832" s="62"/>
      <c r="ES832" s="62"/>
      <c r="ET832" s="62"/>
      <c r="EU832" s="62"/>
      <c r="EV832" s="62"/>
      <c r="EW832" s="62"/>
      <c r="EX832" s="62"/>
      <c r="EY832" s="62"/>
      <c r="EZ832" s="62"/>
      <c r="FA832" s="62"/>
      <c r="FB832" s="62"/>
      <c r="FC832" s="62"/>
      <c r="FD832" s="62"/>
      <c r="FE832" s="62"/>
      <c r="FF832" s="62"/>
      <c r="FG832" s="62"/>
      <c r="FH832" s="62"/>
      <c r="FI832" s="62"/>
      <c r="FJ832" s="62"/>
      <c r="FK832" s="62"/>
      <c r="FL832" s="62"/>
      <c r="FM832" s="62"/>
      <c r="FN832" s="62"/>
      <c r="FO832" s="62"/>
      <c r="FP832" s="62"/>
      <c r="FQ832" s="62"/>
      <c r="FR832" s="62"/>
      <c r="FS832" s="62"/>
      <c r="FT832" s="62"/>
      <c r="FU832" s="62"/>
      <c r="FV832" s="62"/>
    </row>
    <row r="833" spans="1:178" ht="13.8">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c r="AT833" s="62"/>
      <c r="AU833" s="62"/>
      <c r="AV833" s="62"/>
      <c r="AW833" s="62"/>
      <c r="AX833" s="62"/>
      <c r="AY833" s="62"/>
      <c r="AZ833" s="62"/>
      <c r="BA833" s="62"/>
      <c r="BB833" s="62"/>
      <c r="BC833" s="62"/>
      <c r="BD833" s="62"/>
      <c r="BE833" s="62"/>
      <c r="BF833" s="62"/>
      <c r="BG833" s="62"/>
      <c r="BH833" s="62"/>
      <c r="BI833" s="62"/>
      <c r="BJ833" s="62"/>
      <c r="BK833" s="62"/>
      <c r="BL833" s="62"/>
      <c r="BM833" s="62"/>
      <c r="BN833" s="62"/>
      <c r="BO833" s="62"/>
      <c r="BP833" s="62"/>
      <c r="BQ833" s="62"/>
      <c r="BR833" s="62"/>
      <c r="BS833" s="62"/>
      <c r="BT833" s="62"/>
      <c r="BU833" s="62"/>
      <c r="BV833" s="62"/>
      <c r="BW833" s="62"/>
      <c r="BX833" s="62"/>
      <c r="BY833" s="62"/>
      <c r="BZ833" s="62"/>
      <c r="CA833" s="62"/>
      <c r="CB833" s="62"/>
      <c r="CC833" s="62"/>
      <c r="CD833" s="62"/>
      <c r="CE833" s="62"/>
      <c r="CF833" s="62"/>
      <c r="CG833" s="62"/>
      <c r="CH833" s="62"/>
      <c r="CI833" s="62"/>
      <c r="CJ833" s="62"/>
      <c r="CK833" s="62"/>
      <c r="CL833" s="62"/>
      <c r="CM833" s="62"/>
      <c r="CN833" s="62"/>
      <c r="CO833" s="62"/>
      <c r="CP833" s="62"/>
      <c r="CQ833" s="62"/>
      <c r="CR833" s="62"/>
      <c r="CS833" s="62"/>
      <c r="CT833" s="62"/>
      <c r="CU833" s="62"/>
      <c r="CV833" s="62"/>
      <c r="CW833" s="62"/>
      <c r="CX833" s="62"/>
      <c r="CY833" s="62"/>
      <c r="CZ833" s="62"/>
      <c r="DA833" s="62"/>
      <c r="DB833" s="62"/>
      <c r="DC833" s="62"/>
      <c r="DD833" s="62"/>
      <c r="DE833" s="62"/>
      <c r="DF833" s="62"/>
      <c r="DG833" s="62"/>
      <c r="DH833" s="62"/>
      <c r="DI833" s="62"/>
      <c r="DJ833" s="62"/>
      <c r="DK833" s="62"/>
      <c r="DL833" s="62"/>
      <c r="DM833" s="62"/>
      <c r="DN833" s="62"/>
      <c r="DO833" s="62"/>
      <c r="DP833" s="62"/>
      <c r="DQ833" s="62"/>
      <c r="DR833" s="62"/>
      <c r="DS833" s="62"/>
      <c r="DT833" s="62"/>
      <c r="DU833" s="62"/>
      <c r="DV833" s="62"/>
      <c r="DW833" s="62"/>
      <c r="DX833" s="62"/>
      <c r="DY833" s="62"/>
      <c r="DZ833" s="62"/>
      <c r="EA833" s="62"/>
      <c r="EB833" s="62"/>
      <c r="EC833" s="62"/>
      <c r="ED833" s="62"/>
      <c r="EE833" s="62"/>
      <c r="EF833" s="62"/>
      <c r="EG833" s="62"/>
      <c r="EH833" s="62"/>
      <c r="EI833" s="62"/>
      <c r="EJ833" s="62"/>
      <c r="EK833" s="62"/>
      <c r="EL833" s="62"/>
      <c r="EM833" s="62"/>
      <c r="EN833" s="62"/>
      <c r="EO833" s="62"/>
      <c r="EP833" s="62"/>
      <c r="EQ833" s="62"/>
      <c r="ER833" s="62"/>
      <c r="ES833" s="62"/>
      <c r="ET833" s="62"/>
      <c r="EU833" s="62"/>
      <c r="EV833" s="62"/>
      <c r="EW833" s="62"/>
      <c r="EX833" s="62"/>
      <c r="EY833" s="62"/>
      <c r="EZ833" s="62"/>
      <c r="FA833" s="62"/>
      <c r="FB833" s="62"/>
      <c r="FC833" s="62"/>
      <c r="FD833" s="62"/>
      <c r="FE833" s="62"/>
      <c r="FF833" s="62"/>
      <c r="FG833" s="62"/>
      <c r="FH833" s="62"/>
      <c r="FI833" s="62"/>
      <c r="FJ833" s="62"/>
      <c r="FK833" s="62"/>
      <c r="FL833" s="62"/>
      <c r="FM833" s="62"/>
      <c r="FN833" s="62"/>
      <c r="FO833" s="62"/>
      <c r="FP833" s="62"/>
      <c r="FQ833" s="62"/>
      <c r="FR833" s="62"/>
      <c r="FS833" s="62"/>
      <c r="FT833" s="62"/>
      <c r="FU833" s="62"/>
      <c r="FV833" s="62"/>
    </row>
    <row r="834" spans="1:178" ht="13.8">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c r="AT834" s="62"/>
      <c r="AU834" s="62"/>
      <c r="AV834" s="62"/>
      <c r="AW834" s="62"/>
      <c r="AX834" s="62"/>
      <c r="AY834" s="62"/>
      <c r="AZ834" s="62"/>
      <c r="BA834" s="62"/>
      <c r="BB834" s="62"/>
      <c r="BC834" s="62"/>
      <c r="BD834" s="62"/>
      <c r="BE834" s="62"/>
      <c r="BF834" s="62"/>
      <c r="BG834" s="62"/>
      <c r="BH834" s="62"/>
      <c r="BI834" s="62"/>
      <c r="BJ834" s="62"/>
      <c r="BK834" s="62"/>
      <c r="BL834" s="62"/>
      <c r="BM834" s="62"/>
      <c r="BN834" s="62"/>
      <c r="BO834" s="62"/>
      <c r="BP834" s="62"/>
      <c r="BQ834" s="62"/>
      <c r="BR834" s="62"/>
      <c r="BS834" s="62"/>
      <c r="BT834" s="62"/>
      <c r="BU834" s="62"/>
      <c r="BV834" s="62"/>
      <c r="BW834" s="62"/>
      <c r="BX834" s="62"/>
      <c r="BY834" s="62"/>
      <c r="BZ834" s="62"/>
      <c r="CA834" s="62"/>
      <c r="CB834" s="62"/>
      <c r="CC834" s="62"/>
      <c r="CD834" s="62"/>
      <c r="CE834" s="62"/>
      <c r="CF834" s="62"/>
      <c r="CG834" s="62"/>
      <c r="CH834" s="62"/>
      <c r="CI834" s="62"/>
      <c r="CJ834" s="62"/>
      <c r="CK834" s="62"/>
      <c r="CL834" s="62"/>
      <c r="CM834" s="62"/>
      <c r="CN834" s="62"/>
      <c r="CO834" s="62"/>
      <c r="CP834" s="62"/>
      <c r="CQ834" s="62"/>
      <c r="CR834" s="62"/>
      <c r="CS834" s="62"/>
      <c r="CT834" s="62"/>
      <c r="CU834" s="62"/>
      <c r="CV834" s="62"/>
      <c r="CW834" s="62"/>
      <c r="CX834" s="62"/>
      <c r="CY834" s="62"/>
      <c r="CZ834" s="62"/>
      <c r="DA834" s="62"/>
      <c r="DB834" s="62"/>
      <c r="DC834" s="62"/>
      <c r="DD834" s="62"/>
      <c r="DE834" s="62"/>
      <c r="DF834" s="62"/>
      <c r="DG834" s="62"/>
      <c r="DH834" s="62"/>
      <c r="DI834" s="62"/>
      <c r="DJ834" s="62"/>
      <c r="DK834" s="62"/>
      <c r="DL834" s="62"/>
      <c r="DM834" s="62"/>
      <c r="DN834" s="62"/>
      <c r="DO834" s="62"/>
      <c r="DP834" s="62"/>
      <c r="DQ834" s="62"/>
      <c r="DR834" s="62"/>
      <c r="DS834" s="62"/>
      <c r="DT834" s="62"/>
      <c r="DU834" s="62"/>
      <c r="DV834" s="62"/>
      <c r="DW834" s="62"/>
      <c r="DX834" s="62"/>
      <c r="DY834" s="62"/>
      <c r="DZ834" s="62"/>
      <c r="EA834" s="62"/>
      <c r="EB834" s="62"/>
      <c r="EC834" s="62"/>
      <c r="ED834" s="62"/>
      <c r="EE834" s="62"/>
      <c r="EF834" s="62"/>
      <c r="EG834" s="62"/>
      <c r="EH834" s="62"/>
      <c r="EI834" s="62"/>
      <c r="EJ834" s="62"/>
      <c r="EK834" s="62"/>
      <c r="EL834" s="62"/>
      <c r="EM834" s="62"/>
      <c r="EN834" s="62"/>
      <c r="EO834" s="62"/>
      <c r="EP834" s="62"/>
      <c r="EQ834" s="62"/>
      <c r="ER834" s="62"/>
      <c r="ES834" s="62"/>
      <c r="ET834" s="62"/>
      <c r="EU834" s="62"/>
      <c r="EV834" s="62"/>
      <c r="EW834" s="62"/>
      <c r="EX834" s="62"/>
      <c r="EY834" s="62"/>
      <c r="EZ834" s="62"/>
      <c r="FA834" s="62"/>
      <c r="FB834" s="62"/>
      <c r="FC834" s="62"/>
      <c r="FD834" s="62"/>
      <c r="FE834" s="62"/>
      <c r="FF834" s="62"/>
      <c r="FG834" s="62"/>
      <c r="FH834" s="62"/>
      <c r="FI834" s="62"/>
      <c r="FJ834" s="62"/>
      <c r="FK834" s="62"/>
      <c r="FL834" s="62"/>
      <c r="FM834" s="62"/>
      <c r="FN834" s="62"/>
      <c r="FO834" s="62"/>
      <c r="FP834" s="62"/>
      <c r="FQ834" s="62"/>
      <c r="FR834" s="62"/>
      <c r="FS834" s="62"/>
      <c r="FT834" s="62"/>
      <c r="FU834" s="62"/>
      <c r="FV834" s="62"/>
    </row>
    <row r="835" spans="1:178" ht="13.8">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c r="AT835" s="62"/>
      <c r="AU835" s="62"/>
      <c r="AV835" s="62"/>
      <c r="AW835" s="62"/>
      <c r="AX835" s="62"/>
      <c r="AY835" s="62"/>
      <c r="AZ835" s="62"/>
      <c r="BA835" s="62"/>
      <c r="BB835" s="62"/>
      <c r="BC835" s="62"/>
      <c r="BD835" s="62"/>
      <c r="BE835" s="62"/>
      <c r="BF835" s="62"/>
      <c r="BG835" s="62"/>
      <c r="BH835" s="62"/>
      <c r="BI835" s="62"/>
      <c r="BJ835" s="62"/>
      <c r="BK835" s="62"/>
      <c r="BL835" s="62"/>
      <c r="BM835" s="62"/>
      <c r="BN835" s="62"/>
      <c r="BO835" s="62"/>
      <c r="BP835" s="62"/>
      <c r="BQ835" s="62"/>
      <c r="BR835" s="62"/>
      <c r="BS835" s="62"/>
      <c r="BT835" s="62"/>
      <c r="BU835" s="62"/>
      <c r="BV835" s="62"/>
      <c r="BW835" s="62"/>
      <c r="BX835" s="62"/>
      <c r="BY835" s="62"/>
      <c r="BZ835" s="62"/>
      <c r="CA835" s="62"/>
      <c r="CB835" s="62"/>
      <c r="CC835" s="62"/>
      <c r="CD835" s="62"/>
      <c r="CE835" s="62"/>
      <c r="CF835" s="62"/>
      <c r="CG835" s="62"/>
      <c r="CH835" s="62"/>
      <c r="CI835" s="62"/>
      <c r="CJ835" s="62"/>
      <c r="CK835" s="62"/>
      <c r="CL835" s="62"/>
      <c r="CM835" s="62"/>
      <c r="CN835" s="62"/>
      <c r="CO835" s="62"/>
      <c r="CP835" s="62"/>
      <c r="CQ835" s="62"/>
      <c r="CR835" s="62"/>
      <c r="CS835" s="62"/>
      <c r="CT835" s="62"/>
      <c r="CU835" s="62"/>
      <c r="CV835" s="62"/>
      <c r="CW835" s="62"/>
      <c r="CX835" s="62"/>
      <c r="CY835" s="62"/>
      <c r="CZ835" s="62"/>
      <c r="DA835" s="62"/>
      <c r="DB835" s="62"/>
      <c r="DC835" s="62"/>
      <c r="DD835" s="62"/>
      <c r="DE835" s="62"/>
      <c r="DF835" s="62"/>
      <c r="DG835" s="62"/>
      <c r="DH835" s="62"/>
      <c r="DI835" s="62"/>
      <c r="DJ835" s="62"/>
      <c r="DK835" s="62"/>
      <c r="DL835" s="62"/>
      <c r="DM835" s="62"/>
      <c r="DN835" s="62"/>
      <c r="DO835" s="62"/>
      <c r="DP835" s="62"/>
      <c r="DQ835" s="62"/>
      <c r="DR835" s="62"/>
      <c r="DS835" s="62"/>
      <c r="DT835" s="62"/>
      <c r="DU835" s="62"/>
      <c r="DV835" s="62"/>
      <c r="DW835" s="62"/>
      <c r="DX835" s="62"/>
      <c r="DY835" s="62"/>
      <c r="DZ835" s="62"/>
      <c r="EA835" s="62"/>
      <c r="EB835" s="62"/>
      <c r="EC835" s="62"/>
      <c r="ED835" s="62"/>
      <c r="EE835" s="62"/>
      <c r="EF835" s="62"/>
      <c r="EG835" s="62"/>
      <c r="EH835" s="62"/>
      <c r="EI835" s="62"/>
      <c r="EJ835" s="62"/>
      <c r="EK835" s="62"/>
      <c r="EL835" s="62"/>
      <c r="EM835" s="62"/>
      <c r="EN835" s="62"/>
      <c r="EO835" s="62"/>
      <c r="EP835" s="62"/>
      <c r="EQ835" s="62"/>
      <c r="ER835" s="62"/>
      <c r="ES835" s="62"/>
      <c r="ET835" s="62"/>
      <c r="EU835" s="62"/>
      <c r="EV835" s="62"/>
      <c r="EW835" s="62"/>
      <c r="EX835" s="62"/>
      <c r="EY835" s="62"/>
      <c r="EZ835" s="62"/>
      <c r="FA835" s="62"/>
      <c r="FB835" s="62"/>
      <c r="FC835" s="62"/>
      <c r="FD835" s="62"/>
      <c r="FE835" s="62"/>
      <c r="FF835" s="62"/>
      <c r="FG835" s="62"/>
      <c r="FH835" s="62"/>
      <c r="FI835" s="62"/>
      <c r="FJ835" s="62"/>
      <c r="FK835" s="62"/>
      <c r="FL835" s="62"/>
      <c r="FM835" s="62"/>
      <c r="FN835" s="62"/>
      <c r="FO835" s="62"/>
      <c r="FP835" s="62"/>
      <c r="FQ835" s="62"/>
      <c r="FR835" s="62"/>
      <c r="FS835" s="62"/>
      <c r="FT835" s="62"/>
      <c r="FU835" s="62"/>
      <c r="FV835" s="62"/>
    </row>
    <row r="836" spans="1:178" ht="13.8">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c r="AT836" s="62"/>
      <c r="AU836" s="62"/>
      <c r="AV836" s="62"/>
      <c r="AW836" s="62"/>
      <c r="AX836" s="62"/>
      <c r="AY836" s="62"/>
      <c r="AZ836" s="62"/>
      <c r="BA836" s="62"/>
      <c r="BB836" s="62"/>
      <c r="BC836" s="62"/>
      <c r="BD836" s="62"/>
      <c r="BE836" s="62"/>
      <c r="BF836" s="62"/>
      <c r="BG836" s="62"/>
      <c r="BH836" s="62"/>
      <c r="BI836" s="62"/>
      <c r="BJ836" s="62"/>
      <c r="BK836" s="62"/>
      <c r="BL836" s="62"/>
      <c r="BM836" s="62"/>
      <c r="BN836" s="62"/>
      <c r="BO836" s="62"/>
      <c r="BP836" s="62"/>
      <c r="BQ836" s="62"/>
      <c r="BR836" s="62"/>
      <c r="BS836" s="62"/>
      <c r="BT836" s="62"/>
      <c r="BU836" s="62"/>
      <c r="BV836" s="62"/>
      <c r="BW836" s="62"/>
      <c r="BX836" s="62"/>
      <c r="BY836" s="62"/>
      <c r="BZ836" s="62"/>
      <c r="CA836" s="62"/>
      <c r="CB836" s="62"/>
      <c r="CC836" s="62"/>
      <c r="CD836" s="62"/>
      <c r="CE836" s="62"/>
      <c r="CF836" s="62"/>
      <c r="CG836" s="62"/>
      <c r="CH836" s="62"/>
      <c r="CI836" s="62"/>
      <c r="CJ836" s="62"/>
      <c r="CK836" s="62"/>
      <c r="CL836" s="62"/>
      <c r="CM836" s="62"/>
      <c r="CN836" s="62"/>
      <c r="CO836" s="62"/>
      <c r="CP836" s="62"/>
      <c r="CQ836" s="62"/>
      <c r="CR836" s="62"/>
      <c r="CS836" s="62"/>
      <c r="CT836" s="62"/>
      <c r="CU836" s="62"/>
      <c r="CV836" s="62"/>
      <c r="CW836" s="62"/>
      <c r="CX836" s="62"/>
      <c r="CY836" s="62"/>
      <c r="CZ836" s="62"/>
      <c r="DA836" s="62"/>
      <c r="DB836" s="62"/>
      <c r="DC836" s="62"/>
      <c r="DD836" s="62"/>
      <c r="DE836" s="62"/>
      <c r="DF836" s="62"/>
      <c r="DG836" s="62"/>
      <c r="DH836" s="62"/>
      <c r="DI836" s="62"/>
      <c r="DJ836" s="62"/>
      <c r="DK836" s="62"/>
      <c r="DL836" s="62"/>
      <c r="DM836" s="62"/>
      <c r="DN836" s="62"/>
      <c r="DO836" s="62"/>
      <c r="DP836" s="62"/>
      <c r="DQ836" s="62"/>
      <c r="DR836" s="62"/>
      <c r="DS836" s="62"/>
      <c r="DT836" s="62"/>
      <c r="DU836" s="62"/>
      <c r="DV836" s="62"/>
      <c r="DW836" s="62"/>
      <c r="DX836" s="62"/>
      <c r="DY836" s="62"/>
      <c r="DZ836" s="62"/>
      <c r="EA836" s="62"/>
      <c r="EB836" s="62"/>
      <c r="EC836" s="62"/>
      <c r="ED836" s="62"/>
      <c r="EE836" s="62"/>
      <c r="EF836" s="62"/>
      <c r="EG836" s="62"/>
      <c r="EH836" s="62"/>
      <c r="EI836" s="62"/>
      <c r="EJ836" s="62"/>
      <c r="EK836" s="62"/>
      <c r="EL836" s="62"/>
      <c r="EM836" s="62"/>
      <c r="EN836" s="62"/>
      <c r="EO836" s="62"/>
      <c r="EP836" s="62"/>
      <c r="EQ836" s="62"/>
      <c r="ER836" s="62"/>
      <c r="ES836" s="62"/>
      <c r="ET836" s="62"/>
      <c r="EU836" s="62"/>
      <c r="EV836" s="62"/>
      <c r="EW836" s="62"/>
      <c r="EX836" s="62"/>
      <c r="EY836" s="62"/>
      <c r="EZ836" s="62"/>
      <c r="FA836" s="62"/>
      <c r="FB836" s="62"/>
      <c r="FC836" s="62"/>
      <c r="FD836" s="62"/>
      <c r="FE836" s="62"/>
      <c r="FF836" s="62"/>
      <c r="FG836" s="62"/>
      <c r="FH836" s="62"/>
      <c r="FI836" s="62"/>
      <c r="FJ836" s="62"/>
      <c r="FK836" s="62"/>
      <c r="FL836" s="62"/>
      <c r="FM836" s="62"/>
      <c r="FN836" s="62"/>
      <c r="FO836" s="62"/>
      <c r="FP836" s="62"/>
      <c r="FQ836" s="62"/>
      <c r="FR836" s="62"/>
      <c r="FS836" s="62"/>
      <c r="FT836" s="62"/>
      <c r="FU836" s="62"/>
      <c r="FV836" s="62"/>
    </row>
    <row r="837" spans="1:178" ht="13.8">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c r="AT837" s="62"/>
      <c r="AU837" s="62"/>
      <c r="AV837" s="62"/>
      <c r="AW837" s="62"/>
      <c r="AX837" s="62"/>
      <c r="AY837" s="62"/>
      <c r="AZ837" s="62"/>
      <c r="BA837" s="62"/>
      <c r="BB837" s="62"/>
      <c r="BC837" s="62"/>
      <c r="BD837" s="62"/>
      <c r="BE837" s="62"/>
      <c r="BF837" s="62"/>
      <c r="BG837" s="62"/>
      <c r="BH837" s="62"/>
      <c r="BI837" s="62"/>
      <c r="BJ837" s="62"/>
      <c r="BK837" s="62"/>
      <c r="BL837" s="62"/>
      <c r="BM837" s="62"/>
      <c r="BN837" s="62"/>
      <c r="BO837" s="62"/>
      <c r="BP837" s="62"/>
      <c r="BQ837" s="62"/>
      <c r="BR837" s="62"/>
      <c r="BS837" s="62"/>
      <c r="BT837" s="62"/>
      <c r="BU837" s="62"/>
      <c r="BV837" s="62"/>
      <c r="BW837" s="62"/>
      <c r="BX837" s="62"/>
      <c r="BY837" s="62"/>
      <c r="BZ837" s="62"/>
      <c r="CA837" s="62"/>
      <c r="CB837" s="62"/>
      <c r="CC837" s="62"/>
      <c r="CD837" s="62"/>
      <c r="CE837" s="62"/>
      <c r="CF837" s="62"/>
      <c r="CG837" s="62"/>
      <c r="CH837" s="62"/>
      <c r="CI837" s="62"/>
      <c r="CJ837" s="62"/>
      <c r="CK837" s="62"/>
      <c r="CL837" s="62"/>
      <c r="CM837" s="62"/>
      <c r="CN837" s="62"/>
      <c r="CO837" s="62"/>
      <c r="CP837" s="62"/>
      <c r="CQ837" s="62"/>
      <c r="CR837" s="62"/>
      <c r="CS837" s="62"/>
      <c r="CT837" s="62"/>
      <c r="CU837" s="62"/>
      <c r="CV837" s="62"/>
      <c r="CW837" s="62"/>
      <c r="CX837" s="62"/>
      <c r="CY837" s="62"/>
      <c r="CZ837" s="62"/>
      <c r="DA837" s="62"/>
      <c r="DB837" s="62"/>
      <c r="DC837" s="62"/>
      <c r="DD837" s="62"/>
      <c r="DE837" s="62"/>
      <c r="DF837" s="62"/>
      <c r="DG837" s="62"/>
      <c r="DH837" s="62"/>
      <c r="DI837" s="62"/>
      <c r="DJ837" s="62"/>
      <c r="DK837" s="62"/>
      <c r="DL837" s="62"/>
      <c r="DM837" s="62"/>
      <c r="DN837" s="62"/>
      <c r="DO837" s="62"/>
      <c r="DP837" s="62"/>
      <c r="DQ837" s="62"/>
      <c r="DR837" s="62"/>
      <c r="DS837" s="62"/>
      <c r="DT837" s="62"/>
      <c r="DU837" s="62"/>
      <c r="DV837" s="62"/>
      <c r="DW837" s="62"/>
      <c r="DX837" s="62"/>
      <c r="DY837" s="62"/>
      <c r="DZ837" s="62"/>
      <c r="EA837" s="62"/>
      <c r="EB837" s="62"/>
      <c r="EC837" s="62"/>
      <c r="ED837" s="62"/>
      <c r="EE837" s="62"/>
      <c r="EF837" s="62"/>
      <c r="EG837" s="62"/>
      <c r="EH837" s="62"/>
      <c r="EI837" s="62"/>
      <c r="EJ837" s="62"/>
      <c r="EK837" s="62"/>
      <c r="EL837" s="62"/>
      <c r="EM837" s="62"/>
      <c r="EN837" s="62"/>
      <c r="EO837" s="62"/>
      <c r="EP837" s="62"/>
      <c r="EQ837" s="62"/>
      <c r="ER837" s="62"/>
      <c r="ES837" s="62"/>
      <c r="ET837" s="62"/>
      <c r="EU837" s="62"/>
      <c r="EV837" s="62"/>
      <c r="EW837" s="62"/>
      <c r="EX837" s="62"/>
      <c r="EY837" s="62"/>
      <c r="EZ837" s="62"/>
      <c r="FA837" s="62"/>
      <c r="FB837" s="62"/>
      <c r="FC837" s="62"/>
      <c r="FD837" s="62"/>
      <c r="FE837" s="62"/>
      <c r="FF837" s="62"/>
      <c r="FG837" s="62"/>
      <c r="FH837" s="62"/>
      <c r="FI837" s="62"/>
      <c r="FJ837" s="62"/>
      <c r="FK837" s="62"/>
      <c r="FL837" s="62"/>
      <c r="FM837" s="62"/>
      <c r="FN837" s="62"/>
      <c r="FO837" s="62"/>
      <c r="FP837" s="62"/>
      <c r="FQ837" s="62"/>
      <c r="FR837" s="62"/>
      <c r="FS837" s="62"/>
      <c r="FT837" s="62"/>
      <c r="FU837" s="62"/>
      <c r="FV837" s="62"/>
    </row>
    <row r="838" spans="1:178" ht="1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c r="AT838" s="62"/>
      <c r="AU838" s="62"/>
      <c r="AV838" s="62"/>
      <c r="AW838" s="62"/>
      <c r="AX838" s="62"/>
      <c r="AY838" s="62"/>
      <c r="AZ838" s="62"/>
      <c r="BA838" s="62"/>
      <c r="BB838" s="62"/>
      <c r="BC838" s="62"/>
      <c r="BD838" s="62"/>
      <c r="BE838" s="62"/>
      <c r="BF838" s="62"/>
      <c r="BG838" s="62"/>
      <c r="BH838" s="62"/>
      <c r="BI838" s="62"/>
      <c r="BJ838" s="62"/>
      <c r="BK838" s="62"/>
      <c r="BL838" s="62"/>
      <c r="BM838" s="62"/>
      <c r="BN838" s="62"/>
      <c r="BO838" s="62"/>
      <c r="BP838" s="62"/>
      <c r="BQ838" s="62"/>
      <c r="BR838" s="62"/>
      <c r="BS838" s="62"/>
      <c r="BT838" s="62"/>
      <c r="BU838" s="62"/>
      <c r="BV838" s="62"/>
      <c r="BW838" s="62"/>
      <c r="BX838" s="62"/>
      <c r="BY838" s="62"/>
      <c r="BZ838" s="62"/>
      <c r="CA838" s="62"/>
      <c r="CB838" s="62"/>
      <c r="CC838" s="62"/>
      <c r="CD838" s="62"/>
      <c r="CE838" s="62"/>
      <c r="CF838" s="62"/>
      <c r="CG838" s="62"/>
      <c r="CH838" s="62"/>
      <c r="CI838" s="62"/>
      <c r="CJ838" s="62"/>
      <c r="CK838" s="62"/>
      <c r="CL838" s="62"/>
      <c r="CM838" s="62"/>
      <c r="CN838" s="62"/>
      <c r="CO838" s="62"/>
      <c r="CP838" s="62"/>
      <c r="CQ838" s="62"/>
      <c r="CR838" s="62"/>
      <c r="CS838" s="62"/>
      <c r="CT838" s="62"/>
      <c r="CU838" s="62"/>
      <c r="CV838" s="62"/>
      <c r="CW838" s="62"/>
      <c r="CX838" s="62"/>
      <c r="CY838" s="62"/>
      <c r="CZ838" s="62"/>
      <c r="DA838" s="62"/>
      <c r="DB838" s="62"/>
      <c r="DC838" s="62"/>
      <c r="DD838" s="62"/>
      <c r="DE838" s="62"/>
      <c r="DF838" s="62"/>
      <c r="DG838" s="62"/>
      <c r="DH838" s="62"/>
      <c r="DI838" s="62"/>
      <c r="DJ838" s="62"/>
      <c r="DK838" s="62"/>
      <c r="DL838" s="62"/>
      <c r="DM838" s="62"/>
      <c r="DN838" s="62"/>
      <c r="DO838" s="62"/>
      <c r="DP838" s="62"/>
      <c r="DQ838" s="62"/>
      <c r="DR838" s="62"/>
      <c r="DS838" s="62"/>
      <c r="DT838" s="62"/>
      <c r="DU838" s="62"/>
      <c r="DV838" s="62"/>
      <c r="DW838" s="62"/>
      <c r="DX838" s="62"/>
      <c r="DY838" s="62"/>
      <c r="DZ838" s="62"/>
      <c r="EA838" s="62"/>
      <c r="EB838" s="62"/>
      <c r="EC838" s="62"/>
      <c r="ED838" s="62"/>
      <c r="EE838" s="62"/>
      <c r="EF838" s="62"/>
      <c r="EG838" s="62"/>
      <c r="EH838" s="62"/>
      <c r="EI838" s="62"/>
      <c r="EJ838" s="62"/>
      <c r="EK838" s="62"/>
      <c r="EL838" s="62"/>
      <c r="EM838" s="62"/>
      <c r="EN838" s="62"/>
      <c r="EO838" s="62"/>
      <c r="EP838" s="62"/>
      <c r="EQ838" s="62"/>
      <c r="ER838" s="62"/>
      <c r="ES838" s="62"/>
      <c r="ET838" s="62"/>
      <c r="EU838" s="62"/>
      <c r="EV838" s="62"/>
      <c r="EW838" s="62"/>
      <c r="EX838" s="62"/>
      <c r="EY838" s="62"/>
      <c r="EZ838" s="62"/>
      <c r="FA838" s="62"/>
      <c r="FB838" s="62"/>
      <c r="FC838" s="62"/>
      <c r="FD838" s="62"/>
      <c r="FE838" s="62"/>
      <c r="FF838" s="62"/>
      <c r="FG838" s="62"/>
      <c r="FH838" s="62"/>
      <c r="FI838" s="62"/>
      <c r="FJ838" s="62"/>
      <c r="FK838" s="62"/>
      <c r="FL838" s="62"/>
      <c r="FM838" s="62"/>
      <c r="FN838" s="62"/>
      <c r="FO838" s="62"/>
      <c r="FP838" s="62"/>
      <c r="FQ838" s="62"/>
      <c r="FR838" s="62"/>
      <c r="FS838" s="62"/>
      <c r="FT838" s="62"/>
      <c r="FU838" s="62"/>
      <c r="FV838" s="62"/>
    </row>
    <row r="839" spans="1:178" ht="13.8">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c r="AT839" s="62"/>
      <c r="AU839" s="62"/>
      <c r="AV839" s="62"/>
      <c r="AW839" s="62"/>
      <c r="AX839" s="62"/>
      <c r="AY839" s="62"/>
      <c r="AZ839" s="62"/>
      <c r="BA839" s="62"/>
      <c r="BB839" s="62"/>
      <c r="BC839" s="62"/>
      <c r="BD839" s="62"/>
      <c r="BE839" s="62"/>
      <c r="BF839" s="62"/>
      <c r="BG839" s="62"/>
      <c r="BH839" s="62"/>
      <c r="BI839" s="62"/>
      <c r="BJ839" s="62"/>
      <c r="BK839" s="62"/>
      <c r="BL839" s="62"/>
      <c r="BM839" s="62"/>
      <c r="BN839" s="62"/>
      <c r="BO839" s="62"/>
      <c r="BP839" s="62"/>
      <c r="BQ839" s="62"/>
      <c r="BR839" s="62"/>
      <c r="BS839" s="62"/>
      <c r="BT839" s="62"/>
      <c r="BU839" s="62"/>
      <c r="BV839" s="62"/>
      <c r="BW839" s="62"/>
      <c r="BX839" s="62"/>
      <c r="BY839" s="62"/>
      <c r="BZ839" s="62"/>
      <c r="CA839" s="62"/>
      <c r="CB839" s="62"/>
      <c r="CC839" s="62"/>
      <c r="CD839" s="62"/>
      <c r="CE839" s="62"/>
      <c r="CF839" s="62"/>
      <c r="CG839" s="62"/>
      <c r="CH839" s="62"/>
      <c r="CI839" s="62"/>
      <c r="CJ839" s="62"/>
      <c r="CK839" s="62"/>
      <c r="CL839" s="62"/>
      <c r="CM839" s="62"/>
      <c r="CN839" s="62"/>
      <c r="CO839" s="62"/>
      <c r="CP839" s="62"/>
      <c r="CQ839" s="62"/>
      <c r="CR839" s="62"/>
      <c r="CS839" s="62"/>
      <c r="CT839" s="62"/>
      <c r="CU839" s="62"/>
      <c r="CV839" s="62"/>
      <c r="CW839" s="62"/>
      <c r="CX839" s="62"/>
      <c r="CY839" s="62"/>
      <c r="CZ839" s="62"/>
      <c r="DA839" s="62"/>
      <c r="DB839" s="62"/>
      <c r="DC839" s="62"/>
      <c r="DD839" s="62"/>
      <c r="DE839" s="62"/>
      <c r="DF839" s="62"/>
      <c r="DG839" s="62"/>
      <c r="DH839" s="62"/>
      <c r="DI839" s="62"/>
      <c r="DJ839" s="62"/>
      <c r="DK839" s="62"/>
      <c r="DL839" s="62"/>
      <c r="DM839" s="62"/>
      <c r="DN839" s="62"/>
      <c r="DO839" s="62"/>
      <c r="DP839" s="62"/>
      <c r="DQ839" s="62"/>
      <c r="DR839" s="62"/>
      <c r="DS839" s="62"/>
      <c r="DT839" s="62"/>
      <c r="DU839" s="62"/>
      <c r="DV839" s="62"/>
      <c r="DW839" s="62"/>
      <c r="DX839" s="62"/>
      <c r="DY839" s="62"/>
      <c r="DZ839" s="62"/>
      <c r="EA839" s="62"/>
      <c r="EB839" s="62"/>
      <c r="EC839" s="62"/>
      <c r="ED839" s="62"/>
      <c r="EE839" s="62"/>
      <c r="EF839" s="62"/>
      <c r="EG839" s="62"/>
      <c r="EH839" s="62"/>
      <c r="EI839" s="62"/>
      <c r="EJ839" s="62"/>
      <c r="EK839" s="62"/>
      <c r="EL839" s="62"/>
      <c r="EM839" s="62"/>
      <c r="EN839" s="62"/>
      <c r="EO839" s="62"/>
      <c r="EP839" s="62"/>
      <c r="EQ839" s="62"/>
      <c r="ER839" s="62"/>
      <c r="ES839" s="62"/>
      <c r="ET839" s="62"/>
      <c r="EU839" s="62"/>
      <c r="EV839" s="62"/>
      <c r="EW839" s="62"/>
      <c r="EX839" s="62"/>
      <c r="EY839" s="62"/>
      <c r="EZ839" s="62"/>
      <c r="FA839" s="62"/>
      <c r="FB839" s="62"/>
      <c r="FC839" s="62"/>
      <c r="FD839" s="62"/>
      <c r="FE839" s="62"/>
      <c r="FF839" s="62"/>
      <c r="FG839" s="62"/>
      <c r="FH839" s="62"/>
      <c r="FI839" s="62"/>
      <c r="FJ839" s="62"/>
      <c r="FK839" s="62"/>
      <c r="FL839" s="62"/>
      <c r="FM839" s="62"/>
      <c r="FN839" s="62"/>
      <c r="FO839" s="62"/>
      <c r="FP839" s="62"/>
      <c r="FQ839" s="62"/>
      <c r="FR839" s="62"/>
      <c r="FS839" s="62"/>
      <c r="FT839" s="62"/>
      <c r="FU839" s="62"/>
      <c r="FV839" s="62"/>
    </row>
    <row r="840" spans="1:178" ht="13.8">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c r="AT840" s="62"/>
      <c r="AU840" s="62"/>
      <c r="AV840" s="62"/>
      <c r="AW840" s="62"/>
      <c r="AX840" s="62"/>
      <c r="AY840" s="62"/>
      <c r="AZ840" s="62"/>
      <c r="BA840" s="62"/>
      <c r="BB840" s="62"/>
      <c r="BC840" s="62"/>
      <c r="BD840" s="62"/>
      <c r="BE840" s="62"/>
      <c r="BF840" s="62"/>
      <c r="BG840" s="62"/>
      <c r="BH840" s="62"/>
      <c r="BI840" s="62"/>
      <c r="BJ840" s="62"/>
      <c r="BK840" s="62"/>
      <c r="BL840" s="62"/>
      <c r="BM840" s="62"/>
      <c r="BN840" s="62"/>
      <c r="BO840" s="62"/>
      <c r="BP840" s="62"/>
      <c r="BQ840" s="62"/>
      <c r="BR840" s="62"/>
      <c r="BS840" s="62"/>
      <c r="BT840" s="62"/>
      <c r="BU840" s="62"/>
      <c r="BV840" s="62"/>
      <c r="BW840" s="62"/>
      <c r="BX840" s="62"/>
      <c r="BY840" s="62"/>
      <c r="BZ840" s="62"/>
      <c r="CA840" s="62"/>
      <c r="CB840" s="62"/>
      <c r="CC840" s="62"/>
      <c r="CD840" s="62"/>
      <c r="CE840" s="62"/>
      <c r="CF840" s="62"/>
      <c r="CG840" s="62"/>
      <c r="CH840" s="62"/>
      <c r="CI840" s="62"/>
      <c r="CJ840" s="62"/>
      <c r="CK840" s="62"/>
      <c r="CL840" s="62"/>
      <c r="CM840" s="62"/>
      <c r="CN840" s="62"/>
      <c r="CO840" s="62"/>
      <c r="CP840" s="62"/>
      <c r="CQ840" s="62"/>
      <c r="CR840" s="62"/>
      <c r="CS840" s="62"/>
      <c r="CT840" s="62"/>
      <c r="CU840" s="62"/>
      <c r="CV840" s="62"/>
      <c r="CW840" s="62"/>
      <c r="CX840" s="62"/>
      <c r="CY840" s="62"/>
      <c r="CZ840" s="62"/>
      <c r="DA840" s="62"/>
      <c r="DB840" s="62"/>
      <c r="DC840" s="62"/>
      <c r="DD840" s="62"/>
      <c r="DE840" s="62"/>
      <c r="DF840" s="62"/>
      <c r="DG840" s="62"/>
      <c r="DH840" s="62"/>
      <c r="DI840" s="62"/>
      <c r="DJ840" s="62"/>
      <c r="DK840" s="62"/>
      <c r="DL840" s="62"/>
      <c r="DM840" s="62"/>
      <c r="DN840" s="62"/>
      <c r="DO840" s="62"/>
      <c r="DP840" s="62"/>
      <c r="DQ840" s="62"/>
      <c r="DR840" s="62"/>
      <c r="DS840" s="62"/>
      <c r="DT840" s="62"/>
      <c r="DU840" s="62"/>
      <c r="DV840" s="62"/>
      <c r="DW840" s="62"/>
      <c r="DX840" s="62"/>
      <c r="DY840" s="62"/>
      <c r="DZ840" s="62"/>
      <c r="EA840" s="62"/>
      <c r="EB840" s="62"/>
      <c r="EC840" s="62"/>
      <c r="ED840" s="62"/>
      <c r="EE840" s="62"/>
      <c r="EF840" s="62"/>
      <c r="EG840" s="62"/>
      <c r="EH840" s="62"/>
      <c r="EI840" s="62"/>
      <c r="EJ840" s="62"/>
      <c r="EK840" s="62"/>
      <c r="EL840" s="62"/>
      <c r="EM840" s="62"/>
      <c r="EN840" s="62"/>
      <c r="EO840" s="62"/>
      <c r="EP840" s="62"/>
      <c r="EQ840" s="62"/>
      <c r="ER840" s="62"/>
      <c r="ES840" s="62"/>
      <c r="ET840" s="62"/>
      <c r="EU840" s="62"/>
      <c r="EV840" s="62"/>
      <c r="EW840" s="62"/>
      <c r="EX840" s="62"/>
      <c r="EY840" s="62"/>
      <c r="EZ840" s="62"/>
      <c r="FA840" s="62"/>
      <c r="FB840" s="62"/>
      <c r="FC840" s="62"/>
      <c r="FD840" s="62"/>
      <c r="FE840" s="62"/>
      <c r="FF840" s="62"/>
      <c r="FG840" s="62"/>
      <c r="FH840" s="62"/>
      <c r="FI840" s="62"/>
      <c r="FJ840" s="62"/>
      <c r="FK840" s="62"/>
      <c r="FL840" s="62"/>
      <c r="FM840" s="62"/>
      <c r="FN840" s="62"/>
      <c r="FO840" s="62"/>
      <c r="FP840" s="62"/>
      <c r="FQ840" s="62"/>
      <c r="FR840" s="62"/>
      <c r="FS840" s="62"/>
      <c r="FT840" s="62"/>
      <c r="FU840" s="62"/>
      <c r="FV840" s="62"/>
    </row>
    <row r="841" spans="1:178" ht="13.8">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c r="AX841" s="62"/>
      <c r="AY841" s="62"/>
      <c r="AZ841" s="62"/>
      <c r="BA841" s="62"/>
      <c r="BB841" s="62"/>
      <c r="BC841" s="62"/>
      <c r="BD841" s="62"/>
      <c r="BE841" s="62"/>
      <c r="BF841" s="62"/>
      <c r="BG841" s="62"/>
      <c r="BH841" s="62"/>
      <c r="BI841" s="62"/>
      <c r="BJ841" s="62"/>
      <c r="BK841" s="62"/>
      <c r="BL841" s="62"/>
      <c r="BM841" s="62"/>
      <c r="BN841" s="62"/>
      <c r="BO841" s="62"/>
      <c r="BP841" s="62"/>
      <c r="BQ841" s="62"/>
      <c r="BR841" s="62"/>
      <c r="BS841" s="62"/>
      <c r="BT841" s="62"/>
      <c r="BU841" s="62"/>
      <c r="BV841" s="62"/>
      <c r="BW841" s="62"/>
      <c r="BX841" s="62"/>
      <c r="BY841" s="62"/>
      <c r="BZ841" s="62"/>
      <c r="CA841" s="62"/>
      <c r="CB841" s="62"/>
      <c r="CC841" s="62"/>
      <c r="CD841" s="62"/>
      <c r="CE841" s="62"/>
      <c r="CF841" s="62"/>
      <c r="CG841" s="62"/>
      <c r="CH841" s="62"/>
      <c r="CI841" s="62"/>
      <c r="CJ841" s="62"/>
      <c r="CK841" s="62"/>
      <c r="CL841" s="62"/>
      <c r="CM841" s="62"/>
      <c r="CN841" s="62"/>
      <c r="CO841" s="62"/>
      <c r="CP841" s="62"/>
      <c r="CQ841" s="62"/>
      <c r="CR841" s="62"/>
      <c r="CS841" s="62"/>
      <c r="CT841" s="62"/>
      <c r="CU841" s="62"/>
      <c r="CV841" s="62"/>
      <c r="CW841" s="62"/>
      <c r="CX841" s="62"/>
      <c r="CY841" s="62"/>
      <c r="CZ841" s="62"/>
      <c r="DA841" s="62"/>
      <c r="DB841" s="62"/>
      <c r="DC841" s="62"/>
      <c r="DD841" s="62"/>
      <c r="DE841" s="62"/>
      <c r="DF841" s="62"/>
      <c r="DG841" s="62"/>
      <c r="DH841" s="62"/>
      <c r="DI841" s="62"/>
      <c r="DJ841" s="62"/>
      <c r="DK841" s="62"/>
      <c r="DL841" s="62"/>
      <c r="DM841" s="62"/>
      <c r="DN841" s="62"/>
      <c r="DO841" s="62"/>
      <c r="DP841" s="62"/>
      <c r="DQ841" s="62"/>
      <c r="DR841" s="62"/>
      <c r="DS841" s="62"/>
      <c r="DT841" s="62"/>
      <c r="DU841" s="62"/>
      <c r="DV841" s="62"/>
      <c r="DW841" s="62"/>
      <c r="DX841" s="62"/>
      <c r="DY841" s="62"/>
      <c r="DZ841" s="62"/>
      <c r="EA841" s="62"/>
      <c r="EB841" s="62"/>
      <c r="EC841" s="62"/>
      <c r="ED841" s="62"/>
      <c r="EE841" s="62"/>
      <c r="EF841" s="62"/>
      <c r="EG841" s="62"/>
      <c r="EH841" s="62"/>
      <c r="EI841" s="62"/>
      <c r="EJ841" s="62"/>
      <c r="EK841" s="62"/>
      <c r="EL841" s="62"/>
      <c r="EM841" s="62"/>
      <c r="EN841" s="62"/>
      <c r="EO841" s="62"/>
      <c r="EP841" s="62"/>
      <c r="EQ841" s="62"/>
      <c r="ER841" s="62"/>
      <c r="ES841" s="62"/>
      <c r="ET841" s="62"/>
      <c r="EU841" s="62"/>
      <c r="EV841" s="62"/>
      <c r="EW841" s="62"/>
      <c r="EX841" s="62"/>
      <c r="EY841" s="62"/>
      <c r="EZ841" s="62"/>
      <c r="FA841" s="62"/>
      <c r="FB841" s="62"/>
      <c r="FC841" s="62"/>
      <c r="FD841" s="62"/>
      <c r="FE841" s="62"/>
      <c r="FF841" s="62"/>
      <c r="FG841" s="62"/>
      <c r="FH841" s="62"/>
      <c r="FI841" s="62"/>
      <c r="FJ841" s="62"/>
      <c r="FK841" s="62"/>
      <c r="FL841" s="62"/>
      <c r="FM841" s="62"/>
      <c r="FN841" s="62"/>
      <c r="FO841" s="62"/>
      <c r="FP841" s="62"/>
      <c r="FQ841" s="62"/>
      <c r="FR841" s="62"/>
      <c r="FS841" s="62"/>
      <c r="FT841" s="62"/>
      <c r="FU841" s="62"/>
      <c r="FV841" s="62"/>
    </row>
    <row r="842" spans="1:178" ht="13.8">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c r="AT842" s="62"/>
      <c r="AU842" s="62"/>
      <c r="AV842" s="62"/>
      <c r="AW842" s="62"/>
      <c r="AX842" s="62"/>
      <c r="AY842" s="62"/>
      <c r="AZ842" s="62"/>
      <c r="BA842" s="62"/>
      <c r="BB842" s="62"/>
      <c r="BC842" s="62"/>
      <c r="BD842" s="62"/>
      <c r="BE842" s="62"/>
      <c r="BF842" s="62"/>
      <c r="BG842" s="62"/>
      <c r="BH842" s="62"/>
      <c r="BI842" s="62"/>
      <c r="BJ842" s="62"/>
      <c r="BK842" s="62"/>
      <c r="BL842" s="62"/>
      <c r="BM842" s="62"/>
      <c r="BN842" s="62"/>
      <c r="BO842" s="62"/>
      <c r="BP842" s="62"/>
      <c r="BQ842" s="62"/>
      <c r="BR842" s="62"/>
      <c r="BS842" s="62"/>
      <c r="BT842" s="62"/>
      <c r="BU842" s="62"/>
      <c r="BV842" s="62"/>
      <c r="BW842" s="62"/>
      <c r="BX842" s="62"/>
      <c r="BY842" s="62"/>
      <c r="BZ842" s="62"/>
      <c r="CA842" s="62"/>
      <c r="CB842" s="62"/>
      <c r="CC842" s="62"/>
      <c r="CD842" s="62"/>
      <c r="CE842" s="62"/>
      <c r="CF842" s="62"/>
      <c r="CG842" s="62"/>
      <c r="CH842" s="62"/>
      <c r="CI842" s="62"/>
      <c r="CJ842" s="62"/>
      <c r="CK842" s="62"/>
      <c r="CL842" s="62"/>
      <c r="CM842" s="62"/>
      <c r="CN842" s="62"/>
      <c r="CO842" s="62"/>
      <c r="CP842" s="62"/>
      <c r="CQ842" s="62"/>
      <c r="CR842" s="62"/>
      <c r="CS842" s="62"/>
      <c r="CT842" s="62"/>
      <c r="CU842" s="62"/>
      <c r="CV842" s="62"/>
      <c r="CW842" s="62"/>
      <c r="CX842" s="62"/>
      <c r="CY842" s="62"/>
      <c r="CZ842" s="62"/>
      <c r="DA842" s="62"/>
      <c r="DB842" s="62"/>
      <c r="DC842" s="62"/>
      <c r="DD842" s="62"/>
      <c r="DE842" s="62"/>
      <c r="DF842" s="62"/>
      <c r="DG842" s="62"/>
      <c r="DH842" s="62"/>
      <c r="DI842" s="62"/>
      <c r="DJ842" s="62"/>
      <c r="DK842" s="62"/>
      <c r="DL842" s="62"/>
      <c r="DM842" s="62"/>
      <c r="DN842" s="62"/>
      <c r="DO842" s="62"/>
      <c r="DP842" s="62"/>
      <c r="DQ842" s="62"/>
      <c r="DR842" s="62"/>
      <c r="DS842" s="62"/>
      <c r="DT842" s="62"/>
      <c r="DU842" s="62"/>
      <c r="DV842" s="62"/>
      <c r="DW842" s="62"/>
      <c r="DX842" s="62"/>
      <c r="DY842" s="62"/>
      <c r="DZ842" s="62"/>
      <c r="EA842" s="62"/>
      <c r="EB842" s="62"/>
      <c r="EC842" s="62"/>
      <c r="ED842" s="62"/>
      <c r="EE842" s="62"/>
      <c r="EF842" s="62"/>
      <c r="EG842" s="62"/>
      <c r="EH842" s="62"/>
      <c r="EI842" s="62"/>
      <c r="EJ842" s="62"/>
      <c r="EK842" s="62"/>
      <c r="EL842" s="62"/>
      <c r="EM842" s="62"/>
      <c r="EN842" s="62"/>
      <c r="EO842" s="62"/>
      <c r="EP842" s="62"/>
      <c r="EQ842" s="62"/>
      <c r="ER842" s="62"/>
      <c r="ES842" s="62"/>
      <c r="ET842" s="62"/>
      <c r="EU842" s="62"/>
      <c r="EV842" s="62"/>
      <c r="EW842" s="62"/>
      <c r="EX842" s="62"/>
      <c r="EY842" s="62"/>
      <c r="EZ842" s="62"/>
      <c r="FA842" s="62"/>
      <c r="FB842" s="62"/>
      <c r="FC842" s="62"/>
      <c r="FD842" s="62"/>
      <c r="FE842" s="62"/>
      <c r="FF842" s="62"/>
      <c r="FG842" s="62"/>
      <c r="FH842" s="62"/>
      <c r="FI842" s="62"/>
      <c r="FJ842" s="62"/>
      <c r="FK842" s="62"/>
      <c r="FL842" s="62"/>
      <c r="FM842" s="62"/>
      <c r="FN842" s="62"/>
      <c r="FO842" s="62"/>
      <c r="FP842" s="62"/>
      <c r="FQ842" s="62"/>
      <c r="FR842" s="62"/>
      <c r="FS842" s="62"/>
      <c r="FT842" s="62"/>
      <c r="FU842" s="62"/>
      <c r="FV842" s="62"/>
    </row>
    <row r="843" spans="1:178" ht="13.8">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c r="AT843" s="62"/>
      <c r="AU843" s="62"/>
      <c r="AV843" s="62"/>
      <c r="AW843" s="62"/>
      <c r="AX843" s="62"/>
      <c r="AY843" s="62"/>
      <c r="AZ843" s="62"/>
      <c r="BA843" s="62"/>
      <c r="BB843" s="62"/>
      <c r="BC843" s="62"/>
      <c r="BD843" s="62"/>
      <c r="BE843" s="62"/>
      <c r="BF843" s="62"/>
      <c r="BG843" s="62"/>
      <c r="BH843" s="62"/>
      <c r="BI843" s="62"/>
      <c r="BJ843" s="62"/>
      <c r="BK843" s="62"/>
      <c r="BL843" s="62"/>
      <c r="BM843" s="62"/>
      <c r="BN843" s="62"/>
      <c r="BO843" s="62"/>
      <c r="BP843" s="62"/>
      <c r="BQ843" s="62"/>
      <c r="BR843" s="62"/>
      <c r="BS843" s="62"/>
      <c r="BT843" s="62"/>
      <c r="BU843" s="62"/>
      <c r="BV843" s="62"/>
      <c r="BW843" s="62"/>
      <c r="BX843" s="62"/>
      <c r="BY843" s="62"/>
      <c r="BZ843" s="62"/>
      <c r="CA843" s="62"/>
      <c r="CB843" s="62"/>
      <c r="CC843" s="62"/>
      <c r="CD843" s="62"/>
      <c r="CE843" s="62"/>
      <c r="CF843" s="62"/>
      <c r="CG843" s="62"/>
      <c r="CH843" s="62"/>
      <c r="CI843" s="62"/>
      <c r="CJ843" s="62"/>
      <c r="CK843" s="62"/>
      <c r="CL843" s="62"/>
      <c r="CM843" s="62"/>
      <c r="CN843" s="62"/>
      <c r="CO843" s="62"/>
      <c r="CP843" s="62"/>
      <c r="CQ843" s="62"/>
      <c r="CR843" s="62"/>
      <c r="CS843" s="62"/>
      <c r="CT843" s="62"/>
      <c r="CU843" s="62"/>
      <c r="CV843" s="62"/>
      <c r="CW843" s="62"/>
      <c r="CX843" s="62"/>
      <c r="CY843" s="62"/>
      <c r="CZ843" s="62"/>
      <c r="DA843" s="62"/>
      <c r="DB843" s="62"/>
      <c r="DC843" s="62"/>
      <c r="DD843" s="62"/>
      <c r="DE843" s="62"/>
      <c r="DF843" s="62"/>
      <c r="DG843" s="62"/>
      <c r="DH843" s="62"/>
      <c r="DI843" s="62"/>
      <c r="DJ843" s="62"/>
      <c r="DK843" s="62"/>
      <c r="DL843" s="62"/>
      <c r="DM843" s="62"/>
      <c r="DN843" s="62"/>
      <c r="DO843" s="62"/>
      <c r="DP843" s="62"/>
      <c r="DQ843" s="62"/>
      <c r="DR843" s="62"/>
      <c r="DS843" s="62"/>
      <c r="DT843" s="62"/>
      <c r="DU843" s="62"/>
      <c r="DV843" s="62"/>
      <c r="DW843" s="62"/>
      <c r="DX843" s="62"/>
      <c r="DY843" s="62"/>
      <c r="DZ843" s="62"/>
      <c r="EA843" s="62"/>
      <c r="EB843" s="62"/>
      <c r="EC843" s="62"/>
      <c r="ED843" s="62"/>
      <c r="EE843" s="62"/>
      <c r="EF843" s="62"/>
      <c r="EG843" s="62"/>
      <c r="EH843" s="62"/>
      <c r="EI843" s="62"/>
      <c r="EJ843" s="62"/>
      <c r="EK843" s="62"/>
      <c r="EL843" s="62"/>
      <c r="EM843" s="62"/>
      <c r="EN843" s="62"/>
      <c r="EO843" s="62"/>
      <c r="EP843" s="62"/>
      <c r="EQ843" s="62"/>
      <c r="ER843" s="62"/>
      <c r="ES843" s="62"/>
      <c r="ET843" s="62"/>
      <c r="EU843" s="62"/>
      <c r="EV843" s="62"/>
      <c r="EW843" s="62"/>
      <c r="EX843" s="62"/>
      <c r="EY843" s="62"/>
      <c r="EZ843" s="62"/>
      <c r="FA843" s="62"/>
      <c r="FB843" s="62"/>
      <c r="FC843" s="62"/>
      <c r="FD843" s="62"/>
      <c r="FE843" s="62"/>
      <c r="FF843" s="62"/>
      <c r="FG843" s="62"/>
      <c r="FH843" s="62"/>
      <c r="FI843" s="62"/>
      <c r="FJ843" s="62"/>
      <c r="FK843" s="62"/>
      <c r="FL843" s="62"/>
      <c r="FM843" s="62"/>
      <c r="FN843" s="62"/>
      <c r="FO843" s="62"/>
      <c r="FP843" s="62"/>
      <c r="FQ843" s="62"/>
      <c r="FR843" s="62"/>
      <c r="FS843" s="62"/>
      <c r="FT843" s="62"/>
      <c r="FU843" s="62"/>
      <c r="FV843" s="62"/>
    </row>
    <row r="844" spans="1:178" ht="13.8">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c r="AT844" s="62"/>
      <c r="AU844" s="62"/>
      <c r="AV844" s="62"/>
      <c r="AW844" s="62"/>
      <c r="AX844" s="62"/>
      <c r="AY844" s="62"/>
      <c r="AZ844" s="62"/>
      <c r="BA844" s="62"/>
      <c r="BB844" s="62"/>
      <c r="BC844" s="62"/>
      <c r="BD844" s="62"/>
      <c r="BE844" s="62"/>
      <c r="BF844" s="62"/>
      <c r="BG844" s="62"/>
      <c r="BH844" s="62"/>
      <c r="BI844" s="62"/>
      <c r="BJ844" s="62"/>
      <c r="BK844" s="62"/>
      <c r="BL844" s="62"/>
      <c r="BM844" s="62"/>
      <c r="BN844" s="62"/>
      <c r="BO844" s="62"/>
      <c r="BP844" s="62"/>
      <c r="BQ844" s="62"/>
      <c r="BR844" s="62"/>
      <c r="BS844" s="62"/>
      <c r="BT844" s="62"/>
      <c r="BU844" s="62"/>
      <c r="BV844" s="62"/>
      <c r="BW844" s="62"/>
      <c r="BX844" s="62"/>
      <c r="BY844" s="62"/>
      <c r="BZ844" s="62"/>
      <c r="CA844" s="62"/>
      <c r="CB844" s="62"/>
      <c r="CC844" s="62"/>
      <c r="CD844" s="62"/>
      <c r="CE844" s="62"/>
      <c r="CF844" s="62"/>
      <c r="CG844" s="62"/>
      <c r="CH844" s="62"/>
      <c r="CI844" s="62"/>
      <c r="CJ844" s="62"/>
      <c r="CK844" s="62"/>
      <c r="CL844" s="62"/>
      <c r="CM844" s="62"/>
      <c r="CN844" s="62"/>
      <c r="CO844" s="62"/>
      <c r="CP844" s="62"/>
      <c r="CQ844" s="62"/>
      <c r="CR844" s="62"/>
      <c r="CS844" s="62"/>
      <c r="CT844" s="62"/>
      <c r="CU844" s="62"/>
      <c r="CV844" s="62"/>
      <c r="CW844" s="62"/>
      <c r="CX844" s="62"/>
      <c r="CY844" s="62"/>
      <c r="CZ844" s="62"/>
      <c r="DA844" s="62"/>
      <c r="DB844" s="62"/>
      <c r="DC844" s="62"/>
      <c r="DD844" s="62"/>
      <c r="DE844" s="62"/>
      <c r="DF844" s="62"/>
      <c r="DG844" s="62"/>
      <c r="DH844" s="62"/>
      <c r="DI844" s="62"/>
      <c r="DJ844" s="62"/>
      <c r="DK844" s="62"/>
      <c r="DL844" s="62"/>
      <c r="DM844" s="62"/>
      <c r="DN844" s="62"/>
      <c r="DO844" s="62"/>
      <c r="DP844" s="62"/>
      <c r="DQ844" s="62"/>
      <c r="DR844" s="62"/>
      <c r="DS844" s="62"/>
      <c r="DT844" s="62"/>
      <c r="DU844" s="62"/>
      <c r="DV844" s="62"/>
      <c r="DW844" s="62"/>
      <c r="DX844" s="62"/>
      <c r="DY844" s="62"/>
      <c r="DZ844" s="62"/>
      <c r="EA844" s="62"/>
      <c r="EB844" s="62"/>
      <c r="EC844" s="62"/>
      <c r="ED844" s="62"/>
      <c r="EE844" s="62"/>
      <c r="EF844" s="62"/>
      <c r="EG844" s="62"/>
      <c r="EH844" s="62"/>
      <c r="EI844" s="62"/>
      <c r="EJ844" s="62"/>
      <c r="EK844" s="62"/>
      <c r="EL844" s="62"/>
      <c r="EM844" s="62"/>
      <c r="EN844" s="62"/>
      <c r="EO844" s="62"/>
      <c r="EP844" s="62"/>
      <c r="EQ844" s="62"/>
      <c r="ER844" s="62"/>
      <c r="ES844" s="62"/>
      <c r="ET844" s="62"/>
      <c r="EU844" s="62"/>
      <c r="EV844" s="62"/>
      <c r="EW844" s="62"/>
      <c r="EX844" s="62"/>
      <c r="EY844" s="62"/>
      <c r="EZ844" s="62"/>
      <c r="FA844" s="62"/>
      <c r="FB844" s="62"/>
      <c r="FC844" s="62"/>
      <c r="FD844" s="62"/>
      <c r="FE844" s="62"/>
      <c r="FF844" s="62"/>
      <c r="FG844" s="62"/>
      <c r="FH844" s="62"/>
      <c r="FI844" s="62"/>
      <c r="FJ844" s="62"/>
      <c r="FK844" s="62"/>
      <c r="FL844" s="62"/>
      <c r="FM844" s="62"/>
      <c r="FN844" s="62"/>
      <c r="FO844" s="62"/>
      <c r="FP844" s="62"/>
      <c r="FQ844" s="62"/>
      <c r="FR844" s="62"/>
      <c r="FS844" s="62"/>
      <c r="FT844" s="62"/>
      <c r="FU844" s="62"/>
      <c r="FV844" s="62"/>
    </row>
    <row r="845" spans="1:178" ht="13.8">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c r="AT845" s="62"/>
      <c r="AU845" s="62"/>
      <c r="AV845" s="62"/>
      <c r="AW845" s="62"/>
      <c r="AX845" s="62"/>
      <c r="AY845" s="62"/>
      <c r="AZ845" s="62"/>
      <c r="BA845" s="62"/>
      <c r="BB845" s="62"/>
      <c r="BC845" s="62"/>
      <c r="BD845" s="62"/>
      <c r="BE845" s="62"/>
      <c r="BF845" s="62"/>
      <c r="BG845" s="62"/>
      <c r="BH845" s="62"/>
      <c r="BI845" s="62"/>
      <c r="BJ845" s="62"/>
      <c r="BK845" s="62"/>
      <c r="BL845" s="62"/>
      <c r="BM845" s="62"/>
      <c r="BN845" s="62"/>
      <c r="BO845" s="62"/>
      <c r="BP845" s="62"/>
      <c r="BQ845" s="62"/>
      <c r="BR845" s="62"/>
      <c r="BS845" s="62"/>
      <c r="BT845" s="62"/>
      <c r="BU845" s="62"/>
      <c r="BV845" s="62"/>
      <c r="BW845" s="62"/>
      <c r="BX845" s="62"/>
      <c r="BY845" s="62"/>
      <c r="BZ845" s="62"/>
      <c r="CA845" s="62"/>
      <c r="CB845" s="62"/>
      <c r="CC845" s="62"/>
      <c r="CD845" s="62"/>
      <c r="CE845" s="62"/>
      <c r="CF845" s="62"/>
      <c r="CG845" s="62"/>
      <c r="CH845" s="62"/>
      <c r="CI845" s="62"/>
      <c r="CJ845" s="62"/>
      <c r="CK845" s="62"/>
      <c r="CL845" s="62"/>
      <c r="CM845" s="62"/>
      <c r="CN845" s="62"/>
      <c r="CO845" s="62"/>
      <c r="CP845" s="62"/>
      <c r="CQ845" s="62"/>
      <c r="CR845" s="62"/>
      <c r="CS845" s="62"/>
      <c r="CT845" s="62"/>
      <c r="CU845" s="62"/>
      <c r="CV845" s="62"/>
      <c r="CW845" s="62"/>
      <c r="CX845" s="62"/>
      <c r="CY845" s="62"/>
      <c r="CZ845" s="62"/>
      <c r="DA845" s="62"/>
      <c r="DB845" s="62"/>
      <c r="DC845" s="62"/>
      <c r="DD845" s="62"/>
      <c r="DE845" s="62"/>
      <c r="DF845" s="62"/>
      <c r="DG845" s="62"/>
      <c r="DH845" s="62"/>
      <c r="DI845" s="62"/>
      <c r="DJ845" s="62"/>
      <c r="DK845" s="62"/>
      <c r="DL845" s="62"/>
      <c r="DM845" s="62"/>
      <c r="DN845" s="62"/>
      <c r="DO845" s="62"/>
      <c r="DP845" s="62"/>
      <c r="DQ845" s="62"/>
      <c r="DR845" s="62"/>
      <c r="DS845" s="62"/>
      <c r="DT845" s="62"/>
      <c r="DU845" s="62"/>
      <c r="DV845" s="62"/>
      <c r="DW845" s="62"/>
      <c r="DX845" s="62"/>
      <c r="DY845" s="62"/>
      <c r="DZ845" s="62"/>
      <c r="EA845" s="62"/>
      <c r="EB845" s="62"/>
      <c r="EC845" s="62"/>
      <c r="ED845" s="62"/>
      <c r="EE845" s="62"/>
      <c r="EF845" s="62"/>
      <c r="EG845" s="62"/>
      <c r="EH845" s="62"/>
      <c r="EI845" s="62"/>
      <c r="EJ845" s="62"/>
      <c r="EK845" s="62"/>
      <c r="EL845" s="62"/>
      <c r="EM845" s="62"/>
      <c r="EN845" s="62"/>
      <c r="EO845" s="62"/>
      <c r="EP845" s="62"/>
      <c r="EQ845" s="62"/>
      <c r="ER845" s="62"/>
      <c r="ES845" s="62"/>
      <c r="ET845" s="62"/>
      <c r="EU845" s="62"/>
      <c r="EV845" s="62"/>
      <c r="EW845" s="62"/>
      <c r="EX845" s="62"/>
      <c r="EY845" s="62"/>
      <c r="EZ845" s="62"/>
      <c r="FA845" s="62"/>
      <c r="FB845" s="62"/>
      <c r="FC845" s="62"/>
      <c r="FD845" s="62"/>
      <c r="FE845" s="62"/>
      <c r="FF845" s="62"/>
      <c r="FG845" s="62"/>
      <c r="FH845" s="62"/>
      <c r="FI845" s="62"/>
      <c r="FJ845" s="62"/>
      <c r="FK845" s="62"/>
      <c r="FL845" s="62"/>
      <c r="FM845" s="62"/>
      <c r="FN845" s="62"/>
      <c r="FO845" s="62"/>
      <c r="FP845" s="62"/>
      <c r="FQ845" s="62"/>
      <c r="FR845" s="62"/>
      <c r="FS845" s="62"/>
      <c r="FT845" s="62"/>
      <c r="FU845" s="62"/>
      <c r="FV845" s="62"/>
    </row>
    <row r="846" spans="1:178" ht="13.8">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c r="AT846" s="62"/>
      <c r="AU846" s="62"/>
      <c r="AV846" s="62"/>
      <c r="AW846" s="62"/>
      <c r="AX846" s="62"/>
      <c r="AY846" s="62"/>
      <c r="AZ846" s="62"/>
      <c r="BA846" s="62"/>
      <c r="BB846" s="62"/>
      <c r="BC846" s="62"/>
      <c r="BD846" s="62"/>
      <c r="BE846" s="62"/>
      <c r="BF846" s="62"/>
      <c r="BG846" s="62"/>
      <c r="BH846" s="62"/>
      <c r="BI846" s="62"/>
      <c r="BJ846" s="62"/>
      <c r="BK846" s="62"/>
      <c r="BL846" s="62"/>
      <c r="BM846" s="62"/>
      <c r="BN846" s="62"/>
      <c r="BO846" s="62"/>
      <c r="BP846" s="62"/>
      <c r="BQ846" s="62"/>
      <c r="BR846" s="62"/>
      <c r="BS846" s="62"/>
      <c r="BT846" s="62"/>
      <c r="BU846" s="62"/>
      <c r="BV846" s="62"/>
      <c r="BW846" s="62"/>
      <c r="BX846" s="62"/>
      <c r="BY846" s="62"/>
      <c r="BZ846" s="62"/>
      <c r="CA846" s="62"/>
      <c r="CB846" s="62"/>
      <c r="CC846" s="62"/>
      <c r="CD846" s="62"/>
      <c r="CE846" s="62"/>
      <c r="CF846" s="62"/>
      <c r="CG846" s="62"/>
      <c r="CH846" s="62"/>
      <c r="CI846" s="62"/>
      <c r="CJ846" s="62"/>
      <c r="CK846" s="62"/>
      <c r="CL846" s="62"/>
      <c r="CM846" s="62"/>
      <c r="CN846" s="62"/>
      <c r="CO846" s="62"/>
      <c r="CP846" s="62"/>
      <c r="CQ846" s="62"/>
      <c r="CR846" s="62"/>
      <c r="CS846" s="62"/>
      <c r="CT846" s="62"/>
      <c r="CU846" s="62"/>
      <c r="CV846" s="62"/>
      <c r="CW846" s="62"/>
      <c r="CX846" s="62"/>
      <c r="CY846" s="62"/>
      <c r="CZ846" s="62"/>
      <c r="DA846" s="62"/>
      <c r="DB846" s="62"/>
      <c r="DC846" s="62"/>
      <c r="DD846" s="62"/>
      <c r="DE846" s="62"/>
      <c r="DF846" s="62"/>
      <c r="DG846" s="62"/>
      <c r="DH846" s="62"/>
      <c r="DI846" s="62"/>
      <c r="DJ846" s="62"/>
      <c r="DK846" s="62"/>
      <c r="DL846" s="62"/>
      <c r="DM846" s="62"/>
      <c r="DN846" s="62"/>
      <c r="DO846" s="62"/>
      <c r="DP846" s="62"/>
      <c r="DQ846" s="62"/>
      <c r="DR846" s="62"/>
      <c r="DS846" s="62"/>
      <c r="DT846" s="62"/>
      <c r="DU846" s="62"/>
      <c r="DV846" s="62"/>
      <c r="DW846" s="62"/>
      <c r="DX846" s="62"/>
      <c r="DY846" s="62"/>
      <c r="DZ846" s="62"/>
      <c r="EA846" s="62"/>
      <c r="EB846" s="62"/>
      <c r="EC846" s="62"/>
      <c r="ED846" s="62"/>
      <c r="EE846" s="62"/>
      <c r="EF846" s="62"/>
      <c r="EG846" s="62"/>
      <c r="EH846" s="62"/>
      <c r="EI846" s="62"/>
      <c r="EJ846" s="62"/>
      <c r="EK846" s="62"/>
      <c r="EL846" s="62"/>
      <c r="EM846" s="62"/>
      <c r="EN846" s="62"/>
      <c r="EO846" s="62"/>
      <c r="EP846" s="62"/>
      <c r="EQ846" s="62"/>
      <c r="ER846" s="62"/>
      <c r="ES846" s="62"/>
      <c r="ET846" s="62"/>
      <c r="EU846" s="62"/>
      <c r="EV846" s="62"/>
      <c r="EW846" s="62"/>
      <c r="EX846" s="62"/>
      <c r="EY846" s="62"/>
      <c r="EZ846" s="62"/>
      <c r="FA846" s="62"/>
      <c r="FB846" s="62"/>
      <c r="FC846" s="62"/>
      <c r="FD846" s="62"/>
      <c r="FE846" s="62"/>
      <c r="FF846" s="62"/>
      <c r="FG846" s="62"/>
      <c r="FH846" s="62"/>
      <c r="FI846" s="62"/>
      <c r="FJ846" s="62"/>
      <c r="FK846" s="62"/>
      <c r="FL846" s="62"/>
      <c r="FM846" s="62"/>
      <c r="FN846" s="62"/>
      <c r="FO846" s="62"/>
      <c r="FP846" s="62"/>
      <c r="FQ846" s="62"/>
      <c r="FR846" s="62"/>
      <c r="FS846" s="62"/>
      <c r="FT846" s="62"/>
      <c r="FU846" s="62"/>
      <c r="FV846" s="62"/>
    </row>
    <row r="847" spans="1:178" ht="13.8">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c r="AT847" s="62"/>
      <c r="AU847" s="62"/>
      <c r="AV847" s="62"/>
      <c r="AW847" s="62"/>
      <c r="AX847" s="62"/>
      <c r="AY847" s="62"/>
      <c r="AZ847" s="62"/>
      <c r="BA847" s="62"/>
      <c r="BB847" s="62"/>
      <c r="BC847" s="62"/>
      <c r="BD847" s="62"/>
      <c r="BE847" s="62"/>
      <c r="BF847" s="62"/>
      <c r="BG847" s="62"/>
      <c r="BH847" s="62"/>
      <c r="BI847" s="62"/>
      <c r="BJ847" s="62"/>
      <c r="BK847" s="62"/>
      <c r="BL847" s="62"/>
      <c r="BM847" s="62"/>
      <c r="BN847" s="62"/>
      <c r="BO847" s="62"/>
      <c r="BP847" s="62"/>
      <c r="BQ847" s="62"/>
      <c r="BR847" s="62"/>
      <c r="BS847" s="62"/>
      <c r="BT847" s="62"/>
      <c r="BU847" s="62"/>
      <c r="BV847" s="62"/>
      <c r="BW847" s="62"/>
      <c r="BX847" s="62"/>
      <c r="BY847" s="62"/>
      <c r="BZ847" s="62"/>
      <c r="CA847" s="62"/>
      <c r="CB847" s="62"/>
      <c r="CC847" s="62"/>
      <c r="CD847" s="62"/>
      <c r="CE847" s="62"/>
      <c r="CF847" s="62"/>
      <c r="CG847" s="62"/>
      <c r="CH847" s="62"/>
      <c r="CI847" s="62"/>
      <c r="CJ847" s="62"/>
      <c r="CK847" s="62"/>
      <c r="CL847" s="62"/>
      <c r="CM847" s="62"/>
      <c r="CN847" s="62"/>
      <c r="CO847" s="62"/>
      <c r="CP847" s="62"/>
      <c r="CQ847" s="62"/>
      <c r="CR847" s="62"/>
      <c r="CS847" s="62"/>
      <c r="CT847" s="62"/>
      <c r="CU847" s="62"/>
      <c r="CV847" s="62"/>
      <c r="CW847" s="62"/>
      <c r="CX847" s="62"/>
      <c r="CY847" s="62"/>
      <c r="CZ847" s="62"/>
      <c r="DA847" s="62"/>
      <c r="DB847" s="62"/>
      <c r="DC847" s="62"/>
      <c r="DD847" s="62"/>
      <c r="DE847" s="62"/>
      <c r="DF847" s="62"/>
      <c r="DG847" s="62"/>
      <c r="DH847" s="62"/>
      <c r="DI847" s="62"/>
      <c r="DJ847" s="62"/>
      <c r="DK847" s="62"/>
      <c r="DL847" s="62"/>
      <c r="DM847" s="62"/>
      <c r="DN847" s="62"/>
      <c r="DO847" s="62"/>
      <c r="DP847" s="62"/>
      <c r="DQ847" s="62"/>
      <c r="DR847" s="62"/>
      <c r="DS847" s="62"/>
      <c r="DT847" s="62"/>
      <c r="DU847" s="62"/>
      <c r="DV847" s="62"/>
      <c r="DW847" s="62"/>
      <c r="DX847" s="62"/>
      <c r="DY847" s="62"/>
      <c r="DZ847" s="62"/>
      <c r="EA847" s="62"/>
      <c r="EB847" s="62"/>
      <c r="EC847" s="62"/>
      <c r="ED847" s="62"/>
      <c r="EE847" s="62"/>
      <c r="EF847" s="62"/>
      <c r="EG847" s="62"/>
      <c r="EH847" s="62"/>
      <c r="EI847" s="62"/>
      <c r="EJ847" s="62"/>
      <c r="EK847" s="62"/>
      <c r="EL847" s="62"/>
      <c r="EM847" s="62"/>
      <c r="EN847" s="62"/>
      <c r="EO847" s="62"/>
      <c r="EP847" s="62"/>
      <c r="EQ847" s="62"/>
      <c r="ER847" s="62"/>
      <c r="ES847" s="62"/>
      <c r="ET847" s="62"/>
      <c r="EU847" s="62"/>
      <c r="EV847" s="62"/>
      <c r="EW847" s="62"/>
      <c r="EX847" s="62"/>
      <c r="EY847" s="62"/>
      <c r="EZ847" s="62"/>
      <c r="FA847" s="62"/>
      <c r="FB847" s="62"/>
      <c r="FC847" s="62"/>
      <c r="FD847" s="62"/>
      <c r="FE847" s="62"/>
      <c r="FF847" s="62"/>
      <c r="FG847" s="62"/>
      <c r="FH847" s="62"/>
      <c r="FI847" s="62"/>
      <c r="FJ847" s="62"/>
      <c r="FK847" s="62"/>
      <c r="FL847" s="62"/>
      <c r="FM847" s="62"/>
      <c r="FN847" s="62"/>
      <c r="FO847" s="62"/>
      <c r="FP847" s="62"/>
      <c r="FQ847" s="62"/>
      <c r="FR847" s="62"/>
      <c r="FS847" s="62"/>
      <c r="FT847" s="62"/>
      <c r="FU847" s="62"/>
      <c r="FV847" s="62"/>
    </row>
    <row r="848" spans="1:178" ht="13.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c r="AT848" s="62"/>
      <c r="AU848" s="62"/>
      <c r="AV848" s="62"/>
      <c r="AW848" s="62"/>
      <c r="AX848" s="62"/>
      <c r="AY848" s="62"/>
      <c r="AZ848" s="62"/>
      <c r="BA848" s="62"/>
      <c r="BB848" s="62"/>
      <c r="BC848" s="62"/>
      <c r="BD848" s="62"/>
      <c r="BE848" s="62"/>
      <c r="BF848" s="62"/>
      <c r="BG848" s="62"/>
      <c r="BH848" s="62"/>
      <c r="BI848" s="62"/>
      <c r="BJ848" s="62"/>
      <c r="BK848" s="62"/>
      <c r="BL848" s="62"/>
      <c r="BM848" s="62"/>
      <c r="BN848" s="62"/>
      <c r="BO848" s="62"/>
      <c r="BP848" s="62"/>
      <c r="BQ848" s="62"/>
      <c r="BR848" s="62"/>
      <c r="BS848" s="62"/>
      <c r="BT848" s="62"/>
      <c r="BU848" s="62"/>
      <c r="BV848" s="62"/>
      <c r="BW848" s="62"/>
      <c r="BX848" s="62"/>
      <c r="BY848" s="62"/>
      <c r="BZ848" s="62"/>
      <c r="CA848" s="62"/>
      <c r="CB848" s="62"/>
      <c r="CC848" s="62"/>
      <c r="CD848" s="62"/>
      <c r="CE848" s="62"/>
      <c r="CF848" s="62"/>
      <c r="CG848" s="62"/>
      <c r="CH848" s="62"/>
      <c r="CI848" s="62"/>
      <c r="CJ848" s="62"/>
      <c r="CK848" s="62"/>
      <c r="CL848" s="62"/>
      <c r="CM848" s="62"/>
      <c r="CN848" s="62"/>
      <c r="CO848" s="62"/>
      <c r="CP848" s="62"/>
      <c r="CQ848" s="62"/>
      <c r="CR848" s="62"/>
      <c r="CS848" s="62"/>
      <c r="CT848" s="62"/>
      <c r="CU848" s="62"/>
      <c r="CV848" s="62"/>
      <c r="CW848" s="62"/>
      <c r="CX848" s="62"/>
      <c r="CY848" s="62"/>
      <c r="CZ848" s="62"/>
      <c r="DA848" s="62"/>
      <c r="DB848" s="62"/>
      <c r="DC848" s="62"/>
      <c r="DD848" s="62"/>
      <c r="DE848" s="62"/>
      <c r="DF848" s="62"/>
      <c r="DG848" s="62"/>
      <c r="DH848" s="62"/>
      <c r="DI848" s="62"/>
      <c r="DJ848" s="62"/>
      <c r="DK848" s="62"/>
      <c r="DL848" s="62"/>
      <c r="DM848" s="62"/>
      <c r="DN848" s="62"/>
      <c r="DO848" s="62"/>
      <c r="DP848" s="62"/>
      <c r="DQ848" s="62"/>
      <c r="DR848" s="62"/>
      <c r="DS848" s="62"/>
      <c r="DT848" s="62"/>
      <c r="DU848" s="62"/>
      <c r="DV848" s="62"/>
      <c r="DW848" s="62"/>
      <c r="DX848" s="62"/>
      <c r="DY848" s="62"/>
      <c r="DZ848" s="62"/>
      <c r="EA848" s="62"/>
      <c r="EB848" s="62"/>
      <c r="EC848" s="62"/>
      <c r="ED848" s="62"/>
      <c r="EE848" s="62"/>
      <c r="EF848" s="62"/>
      <c r="EG848" s="62"/>
      <c r="EH848" s="62"/>
      <c r="EI848" s="62"/>
      <c r="EJ848" s="62"/>
      <c r="EK848" s="62"/>
      <c r="EL848" s="62"/>
      <c r="EM848" s="62"/>
      <c r="EN848" s="62"/>
      <c r="EO848" s="62"/>
      <c r="EP848" s="62"/>
      <c r="EQ848" s="62"/>
      <c r="ER848" s="62"/>
      <c r="ES848" s="62"/>
      <c r="ET848" s="62"/>
      <c r="EU848" s="62"/>
      <c r="EV848" s="62"/>
      <c r="EW848" s="62"/>
      <c r="EX848" s="62"/>
      <c r="EY848" s="62"/>
      <c r="EZ848" s="62"/>
      <c r="FA848" s="62"/>
      <c r="FB848" s="62"/>
      <c r="FC848" s="62"/>
      <c r="FD848" s="62"/>
      <c r="FE848" s="62"/>
      <c r="FF848" s="62"/>
      <c r="FG848" s="62"/>
      <c r="FH848" s="62"/>
      <c r="FI848" s="62"/>
      <c r="FJ848" s="62"/>
      <c r="FK848" s="62"/>
      <c r="FL848" s="62"/>
      <c r="FM848" s="62"/>
      <c r="FN848" s="62"/>
      <c r="FO848" s="62"/>
      <c r="FP848" s="62"/>
      <c r="FQ848" s="62"/>
      <c r="FR848" s="62"/>
      <c r="FS848" s="62"/>
      <c r="FT848" s="62"/>
      <c r="FU848" s="62"/>
      <c r="FV848" s="62"/>
    </row>
    <row r="849" spans="1:178" ht="13.8">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c r="AT849" s="62"/>
      <c r="AU849" s="62"/>
      <c r="AV849" s="62"/>
      <c r="AW849" s="62"/>
      <c r="AX849" s="62"/>
      <c r="AY849" s="62"/>
      <c r="AZ849" s="62"/>
      <c r="BA849" s="62"/>
      <c r="BB849" s="62"/>
      <c r="BC849" s="62"/>
      <c r="BD849" s="62"/>
      <c r="BE849" s="62"/>
      <c r="BF849" s="62"/>
      <c r="BG849" s="62"/>
      <c r="BH849" s="62"/>
      <c r="BI849" s="62"/>
      <c r="BJ849" s="62"/>
      <c r="BK849" s="62"/>
      <c r="BL849" s="62"/>
      <c r="BM849" s="62"/>
      <c r="BN849" s="62"/>
      <c r="BO849" s="62"/>
      <c r="BP849" s="62"/>
      <c r="BQ849" s="62"/>
      <c r="BR849" s="62"/>
      <c r="BS849" s="62"/>
      <c r="BT849" s="62"/>
      <c r="BU849" s="62"/>
      <c r="BV849" s="62"/>
      <c r="BW849" s="62"/>
      <c r="BX849" s="62"/>
      <c r="BY849" s="62"/>
      <c r="BZ849" s="62"/>
      <c r="CA849" s="62"/>
      <c r="CB849" s="62"/>
      <c r="CC849" s="62"/>
      <c r="CD849" s="62"/>
      <c r="CE849" s="62"/>
      <c r="CF849" s="62"/>
      <c r="CG849" s="62"/>
      <c r="CH849" s="62"/>
      <c r="CI849" s="62"/>
      <c r="CJ849" s="62"/>
      <c r="CK849" s="62"/>
      <c r="CL849" s="62"/>
      <c r="CM849" s="62"/>
      <c r="CN849" s="62"/>
      <c r="CO849" s="62"/>
      <c r="CP849" s="62"/>
      <c r="CQ849" s="62"/>
      <c r="CR849" s="62"/>
      <c r="CS849" s="62"/>
      <c r="CT849" s="62"/>
      <c r="CU849" s="62"/>
      <c r="CV849" s="62"/>
      <c r="CW849" s="62"/>
      <c r="CX849" s="62"/>
      <c r="CY849" s="62"/>
      <c r="CZ849" s="62"/>
      <c r="DA849" s="62"/>
      <c r="DB849" s="62"/>
      <c r="DC849" s="62"/>
      <c r="DD849" s="62"/>
      <c r="DE849" s="62"/>
      <c r="DF849" s="62"/>
      <c r="DG849" s="62"/>
      <c r="DH849" s="62"/>
      <c r="DI849" s="62"/>
      <c r="DJ849" s="62"/>
      <c r="DK849" s="62"/>
      <c r="DL849" s="62"/>
      <c r="DM849" s="62"/>
      <c r="DN849" s="62"/>
      <c r="DO849" s="62"/>
      <c r="DP849" s="62"/>
      <c r="DQ849" s="62"/>
      <c r="DR849" s="62"/>
      <c r="DS849" s="62"/>
      <c r="DT849" s="62"/>
      <c r="DU849" s="62"/>
      <c r="DV849" s="62"/>
      <c r="DW849" s="62"/>
      <c r="DX849" s="62"/>
      <c r="DY849" s="62"/>
      <c r="DZ849" s="62"/>
      <c r="EA849" s="62"/>
      <c r="EB849" s="62"/>
      <c r="EC849" s="62"/>
      <c r="ED849" s="62"/>
      <c r="EE849" s="62"/>
      <c r="EF849" s="62"/>
      <c r="EG849" s="62"/>
      <c r="EH849" s="62"/>
      <c r="EI849" s="62"/>
      <c r="EJ849" s="62"/>
      <c r="EK849" s="62"/>
      <c r="EL849" s="62"/>
      <c r="EM849" s="62"/>
      <c r="EN849" s="62"/>
      <c r="EO849" s="62"/>
      <c r="EP849" s="62"/>
      <c r="EQ849" s="62"/>
      <c r="ER849" s="62"/>
      <c r="ES849" s="62"/>
      <c r="ET849" s="62"/>
      <c r="EU849" s="62"/>
      <c r="EV849" s="62"/>
      <c r="EW849" s="62"/>
      <c r="EX849" s="62"/>
      <c r="EY849" s="62"/>
      <c r="EZ849" s="62"/>
      <c r="FA849" s="62"/>
      <c r="FB849" s="62"/>
      <c r="FC849" s="62"/>
      <c r="FD849" s="62"/>
      <c r="FE849" s="62"/>
      <c r="FF849" s="62"/>
      <c r="FG849" s="62"/>
      <c r="FH849" s="62"/>
      <c r="FI849" s="62"/>
      <c r="FJ849" s="62"/>
      <c r="FK849" s="62"/>
      <c r="FL849" s="62"/>
      <c r="FM849" s="62"/>
      <c r="FN849" s="62"/>
      <c r="FO849" s="62"/>
      <c r="FP849" s="62"/>
      <c r="FQ849" s="62"/>
      <c r="FR849" s="62"/>
      <c r="FS849" s="62"/>
      <c r="FT849" s="62"/>
      <c r="FU849" s="62"/>
      <c r="FV849" s="62"/>
    </row>
    <row r="850" spans="1:178" ht="13.8">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c r="AT850" s="62"/>
      <c r="AU850" s="62"/>
      <c r="AV850" s="62"/>
      <c r="AW850" s="62"/>
      <c r="AX850" s="62"/>
      <c r="AY850" s="62"/>
      <c r="AZ850" s="62"/>
      <c r="BA850" s="62"/>
      <c r="BB850" s="62"/>
      <c r="BC850" s="62"/>
      <c r="BD850" s="62"/>
      <c r="BE850" s="62"/>
      <c r="BF850" s="62"/>
      <c r="BG850" s="62"/>
      <c r="BH850" s="62"/>
      <c r="BI850" s="62"/>
      <c r="BJ850" s="62"/>
      <c r="BK850" s="62"/>
      <c r="BL850" s="62"/>
      <c r="BM850" s="62"/>
      <c r="BN850" s="62"/>
      <c r="BO850" s="62"/>
      <c r="BP850" s="62"/>
      <c r="BQ850" s="62"/>
      <c r="BR850" s="62"/>
      <c r="BS850" s="62"/>
      <c r="BT850" s="62"/>
      <c r="BU850" s="62"/>
      <c r="BV850" s="62"/>
      <c r="BW850" s="62"/>
      <c r="BX850" s="62"/>
      <c r="BY850" s="62"/>
      <c r="BZ850" s="62"/>
      <c r="CA850" s="62"/>
      <c r="CB850" s="62"/>
      <c r="CC850" s="62"/>
      <c r="CD850" s="62"/>
      <c r="CE850" s="62"/>
      <c r="CF850" s="62"/>
      <c r="CG850" s="62"/>
      <c r="CH850" s="62"/>
      <c r="CI850" s="62"/>
      <c r="CJ850" s="62"/>
      <c r="CK850" s="62"/>
      <c r="CL850" s="62"/>
      <c r="CM850" s="62"/>
      <c r="CN850" s="62"/>
      <c r="CO850" s="62"/>
      <c r="CP850" s="62"/>
      <c r="CQ850" s="62"/>
      <c r="CR850" s="62"/>
      <c r="CS850" s="62"/>
      <c r="CT850" s="62"/>
      <c r="CU850" s="62"/>
      <c r="CV850" s="62"/>
      <c r="CW850" s="62"/>
      <c r="CX850" s="62"/>
      <c r="CY850" s="62"/>
      <c r="CZ850" s="62"/>
      <c r="DA850" s="62"/>
      <c r="DB850" s="62"/>
      <c r="DC850" s="62"/>
      <c r="DD850" s="62"/>
      <c r="DE850" s="62"/>
      <c r="DF850" s="62"/>
      <c r="DG850" s="62"/>
      <c r="DH850" s="62"/>
      <c r="DI850" s="62"/>
      <c r="DJ850" s="62"/>
      <c r="DK850" s="62"/>
      <c r="DL850" s="62"/>
      <c r="DM850" s="62"/>
      <c r="DN850" s="62"/>
      <c r="DO850" s="62"/>
      <c r="DP850" s="62"/>
      <c r="DQ850" s="62"/>
      <c r="DR850" s="62"/>
      <c r="DS850" s="62"/>
      <c r="DT850" s="62"/>
      <c r="DU850" s="62"/>
      <c r="DV850" s="62"/>
      <c r="DW850" s="62"/>
      <c r="DX850" s="62"/>
      <c r="DY850" s="62"/>
      <c r="DZ850" s="62"/>
      <c r="EA850" s="62"/>
      <c r="EB850" s="62"/>
      <c r="EC850" s="62"/>
      <c r="ED850" s="62"/>
      <c r="EE850" s="62"/>
      <c r="EF850" s="62"/>
      <c r="EG850" s="62"/>
      <c r="EH850" s="62"/>
      <c r="EI850" s="62"/>
      <c r="EJ850" s="62"/>
      <c r="EK850" s="62"/>
      <c r="EL850" s="62"/>
      <c r="EM850" s="62"/>
      <c r="EN850" s="62"/>
      <c r="EO850" s="62"/>
      <c r="EP850" s="62"/>
      <c r="EQ850" s="62"/>
      <c r="ER850" s="62"/>
      <c r="ES850" s="62"/>
      <c r="ET850" s="62"/>
      <c r="EU850" s="62"/>
      <c r="EV850" s="62"/>
      <c r="EW850" s="62"/>
      <c r="EX850" s="62"/>
      <c r="EY850" s="62"/>
      <c r="EZ850" s="62"/>
      <c r="FA850" s="62"/>
      <c r="FB850" s="62"/>
      <c r="FC850" s="62"/>
      <c r="FD850" s="62"/>
      <c r="FE850" s="62"/>
      <c r="FF850" s="62"/>
      <c r="FG850" s="62"/>
      <c r="FH850" s="62"/>
      <c r="FI850" s="62"/>
      <c r="FJ850" s="62"/>
      <c r="FK850" s="62"/>
      <c r="FL850" s="62"/>
      <c r="FM850" s="62"/>
      <c r="FN850" s="62"/>
      <c r="FO850" s="62"/>
      <c r="FP850" s="62"/>
      <c r="FQ850" s="62"/>
      <c r="FR850" s="62"/>
      <c r="FS850" s="62"/>
      <c r="FT850" s="62"/>
      <c r="FU850" s="62"/>
      <c r="FV850" s="62"/>
    </row>
    <row r="851" spans="1:178" ht="13.8">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c r="AT851" s="62"/>
      <c r="AU851" s="62"/>
      <c r="AV851" s="62"/>
      <c r="AW851" s="62"/>
      <c r="AX851" s="62"/>
      <c r="AY851" s="62"/>
      <c r="AZ851" s="62"/>
      <c r="BA851" s="62"/>
      <c r="BB851" s="62"/>
      <c r="BC851" s="62"/>
      <c r="BD851" s="62"/>
      <c r="BE851" s="62"/>
      <c r="BF851" s="62"/>
      <c r="BG851" s="62"/>
      <c r="BH851" s="62"/>
      <c r="BI851" s="62"/>
      <c r="BJ851" s="62"/>
      <c r="BK851" s="62"/>
      <c r="BL851" s="62"/>
      <c r="BM851" s="62"/>
      <c r="BN851" s="62"/>
      <c r="BO851" s="62"/>
      <c r="BP851" s="62"/>
      <c r="BQ851" s="62"/>
      <c r="BR851" s="62"/>
      <c r="BS851" s="62"/>
      <c r="BT851" s="62"/>
      <c r="BU851" s="62"/>
      <c r="BV851" s="62"/>
      <c r="BW851" s="62"/>
      <c r="BX851" s="62"/>
      <c r="BY851" s="62"/>
      <c r="BZ851" s="62"/>
      <c r="CA851" s="62"/>
      <c r="CB851" s="62"/>
      <c r="CC851" s="62"/>
      <c r="CD851" s="62"/>
      <c r="CE851" s="62"/>
      <c r="CF851" s="62"/>
      <c r="CG851" s="62"/>
      <c r="CH851" s="62"/>
      <c r="CI851" s="62"/>
      <c r="CJ851" s="62"/>
      <c r="CK851" s="62"/>
      <c r="CL851" s="62"/>
      <c r="CM851" s="62"/>
      <c r="CN851" s="62"/>
      <c r="CO851" s="62"/>
      <c r="CP851" s="62"/>
      <c r="CQ851" s="62"/>
      <c r="CR851" s="62"/>
      <c r="CS851" s="62"/>
      <c r="CT851" s="62"/>
      <c r="CU851" s="62"/>
      <c r="CV851" s="62"/>
      <c r="CW851" s="62"/>
      <c r="CX851" s="62"/>
      <c r="CY851" s="62"/>
      <c r="CZ851" s="62"/>
      <c r="DA851" s="62"/>
      <c r="DB851" s="62"/>
      <c r="DC851" s="62"/>
      <c r="DD851" s="62"/>
      <c r="DE851" s="62"/>
      <c r="DF851" s="62"/>
      <c r="DG851" s="62"/>
      <c r="DH851" s="62"/>
      <c r="DI851" s="62"/>
      <c r="DJ851" s="62"/>
      <c r="DK851" s="62"/>
      <c r="DL851" s="62"/>
      <c r="DM851" s="62"/>
      <c r="DN851" s="62"/>
      <c r="DO851" s="62"/>
      <c r="DP851" s="62"/>
      <c r="DQ851" s="62"/>
      <c r="DR851" s="62"/>
      <c r="DS851" s="62"/>
      <c r="DT851" s="62"/>
      <c r="DU851" s="62"/>
      <c r="DV851" s="62"/>
      <c r="DW851" s="62"/>
      <c r="DX851" s="62"/>
      <c r="DY851" s="62"/>
      <c r="DZ851" s="62"/>
      <c r="EA851" s="62"/>
      <c r="EB851" s="62"/>
      <c r="EC851" s="62"/>
      <c r="ED851" s="62"/>
      <c r="EE851" s="62"/>
      <c r="EF851" s="62"/>
      <c r="EG851" s="62"/>
      <c r="EH851" s="62"/>
      <c r="EI851" s="62"/>
      <c r="EJ851" s="62"/>
      <c r="EK851" s="62"/>
      <c r="EL851" s="62"/>
      <c r="EM851" s="62"/>
      <c r="EN851" s="62"/>
      <c r="EO851" s="62"/>
      <c r="EP851" s="62"/>
      <c r="EQ851" s="62"/>
      <c r="ER851" s="62"/>
      <c r="ES851" s="62"/>
      <c r="ET851" s="62"/>
      <c r="EU851" s="62"/>
      <c r="EV851" s="62"/>
      <c r="EW851" s="62"/>
      <c r="EX851" s="62"/>
      <c r="EY851" s="62"/>
      <c r="EZ851" s="62"/>
      <c r="FA851" s="62"/>
      <c r="FB851" s="62"/>
      <c r="FC851" s="62"/>
      <c r="FD851" s="62"/>
      <c r="FE851" s="62"/>
      <c r="FF851" s="62"/>
      <c r="FG851" s="62"/>
      <c r="FH851" s="62"/>
      <c r="FI851" s="62"/>
      <c r="FJ851" s="62"/>
      <c r="FK851" s="62"/>
      <c r="FL851" s="62"/>
      <c r="FM851" s="62"/>
      <c r="FN851" s="62"/>
      <c r="FO851" s="62"/>
      <c r="FP851" s="62"/>
      <c r="FQ851" s="62"/>
      <c r="FR851" s="62"/>
      <c r="FS851" s="62"/>
      <c r="FT851" s="62"/>
      <c r="FU851" s="62"/>
      <c r="FV851" s="62"/>
    </row>
    <row r="852" spans="1:178" ht="13.8">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c r="AT852" s="62"/>
      <c r="AU852" s="62"/>
      <c r="AV852" s="62"/>
      <c r="AW852" s="62"/>
      <c r="AX852" s="62"/>
      <c r="AY852" s="62"/>
      <c r="AZ852" s="62"/>
      <c r="BA852" s="62"/>
      <c r="BB852" s="62"/>
      <c r="BC852" s="62"/>
      <c r="BD852" s="62"/>
      <c r="BE852" s="62"/>
      <c r="BF852" s="62"/>
      <c r="BG852" s="62"/>
      <c r="BH852" s="62"/>
      <c r="BI852" s="62"/>
      <c r="BJ852" s="62"/>
      <c r="BK852" s="62"/>
      <c r="BL852" s="62"/>
      <c r="BM852" s="62"/>
      <c r="BN852" s="62"/>
      <c r="BO852" s="62"/>
      <c r="BP852" s="62"/>
      <c r="BQ852" s="62"/>
      <c r="BR852" s="62"/>
      <c r="BS852" s="62"/>
      <c r="BT852" s="62"/>
      <c r="BU852" s="62"/>
      <c r="BV852" s="62"/>
      <c r="BW852" s="62"/>
      <c r="BX852" s="62"/>
      <c r="BY852" s="62"/>
      <c r="BZ852" s="62"/>
      <c r="CA852" s="62"/>
      <c r="CB852" s="62"/>
      <c r="CC852" s="62"/>
      <c r="CD852" s="62"/>
      <c r="CE852" s="62"/>
      <c r="CF852" s="62"/>
      <c r="CG852" s="62"/>
      <c r="CH852" s="62"/>
      <c r="CI852" s="62"/>
      <c r="CJ852" s="62"/>
      <c r="CK852" s="62"/>
      <c r="CL852" s="62"/>
      <c r="CM852" s="62"/>
      <c r="CN852" s="62"/>
      <c r="CO852" s="62"/>
      <c r="CP852" s="62"/>
      <c r="CQ852" s="62"/>
      <c r="CR852" s="62"/>
      <c r="CS852" s="62"/>
      <c r="CT852" s="62"/>
      <c r="CU852" s="62"/>
      <c r="CV852" s="62"/>
      <c r="CW852" s="62"/>
      <c r="CX852" s="62"/>
      <c r="CY852" s="62"/>
      <c r="CZ852" s="62"/>
      <c r="DA852" s="62"/>
      <c r="DB852" s="62"/>
      <c r="DC852" s="62"/>
      <c r="DD852" s="62"/>
      <c r="DE852" s="62"/>
      <c r="DF852" s="62"/>
      <c r="DG852" s="62"/>
      <c r="DH852" s="62"/>
      <c r="DI852" s="62"/>
      <c r="DJ852" s="62"/>
      <c r="DK852" s="62"/>
      <c r="DL852" s="62"/>
      <c r="DM852" s="62"/>
      <c r="DN852" s="62"/>
      <c r="DO852" s="62"/>
      <c r="DP852" s="62"/>
      <c r="DQ852" s="62"/>
      <c r="DR852" s="62"/>
      <c r="DS852" s="62"/>
      <c r="DT852" s="62"/>
      <c r="DU852" s="62"/>
      <c r="DV852" s="62"/>
      <c r="DW852" s="62"/>
      <c r="DX852" s="62"/>
      <c r="DY852" s="62"/>
      <c r="DZ852" s="62"/>
      <c r="EA852" s="62"/>
      <c r="EB852" s="62"/>
      <c r="EC852" s="62"/>
      <c r="ED852" s="62"/>
      <c r="EE852" s="62"/>
      <c r="EF852" s="62"/>
      <c r="EG852" s="62"/>
      <c r="EH852" s="62"/>
      <c r="EI852" s="62"/>
      <c r="EJ852" s="62"/>
      <c r="EK852" s="62"/>
      <c r="EL852" s="62"/>
      <c r="EM852" s="62"/>
      <c r="EN852" s="62"/>
      <c r="EO852" s="62"/>
      <c r="EP852" s="62"/>
      <c r="EQ852" s="62"/>
      <c r="ER852" s="62"/>
      <c r="ES852" s="62"/>
      <c r="ET852" s="62"/>
      <c r="EU852" s="62"/>
      <c r="EV852" s="62"/>
      <c r="EW852" s="62"/>
      <c r="EX852" s="62"/>
      <c r="EY852" s="62"/>
      <c r="EZ852" s="62"/>
      <c r="FA852" s="62"/>
      <c r="FB852" s="62"/>
      <c r="FC852" s="62"/>
      <c r="FD852" s="62"/>
      <c r="FE852" s="62"/>
      <c r="FF852" s="62"/>
      <c r="FG852" s="62"/>
      <c r="FH852" s="62"/>
      <c r="FI852" s="62"/>
      <c r="FJ852" s="62"/>
      <c r="FK852" s="62"/>
      <c r="FL852" s="62"/>
      <c r="FM852" s="62"/>
      <c r="FN852" s="62"/>
      <c r="FO852" s="62"/>
      <c r="FP852" s="62"/>
      <c r="FQ852" s="62"/>
      <c r="FR852" s="62"/>
      <c r="FS852" s="62"/>
      <c r="FT852" s="62"/>
      <c r="FU852" s="62"/>
      <c r="FV852" s="62"/>
    </row>
    <row r="853" spans="1:178" ht="13.8">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c r="AT853" s="62"/>
      <c r="AU853" s="62"/>
      <c r="AV853" s="62"/>
      <c r="AW853" s="62"/>
      <c r="AX853" s="62"/>
      <c r="AY853" s="62"/>
      <c r="AZ853" s="62"/>
      <c r="BA853" s="62"/>
      <c r="BB853" s="62"/>
      <c r="BC853" s="62"/>
      <c r="BD853" s="62"/>
      <c r="BE853" s="62"/>
      <c r="BF853" s="62"/>
      <c r="BG853" s="62"/>
      <c r="BH853" s="62"/>
      <c r="BI853" s="62"/>
      <c r="BJ853" s="62"/>
      <c r="BK853" s="62"/>
      <c r="BL853" s="62"/>
      <c r="BM853" s="62"/>
      <c r="BN853" s="62"/>
      <c r="BO853" s="62"/>
      <c r="BP853" s="62"/>
      <c r="BQ853" s="62"/>
      <c r="BR853" s="62"/>
      <c r="BS853" s="62"/>
      <c r="BT853" s="62"/>
      <c r="BU853" s="62"/>
      <c r="BV853" s="62"/>
      <c r="BW853" s="62"/>
      <c r="BX853" s="62"/>
      <c r="BY853" s="62"/>
      <c r="BZ853" s="62"/>
      <c r="CA853" s="62"/>
      <c r="CB853" s="62"/>
      <c r="CC853" s="62"/>
      <c r="CD853" s="62"/>
      <c r="CE853" s="62"/>
      <c r="CF853" s="62"/>
      <c r="CG853" s="62"/>
      <c r="CH853" s="62"/>
      <c r="CI853" s="62"/>
      <c r="CJ853" s="62"/>
      <c r="CK853" s="62"/>
      <c r="CL853" s="62"/>
      <c r="CM853" s="62"/>
      <c r="CN853" s="62"/>
      <c r="CO853" s="62"/>
      <c r="CP853" s="62"/>
      <c r="CQ853" s="62"/>
      <c r="CR853" s="62"/>
      <c r="CS853" s="62"/>
      <c r="CT853" s="62"/>
      <c r="CU853" s="62"/>
      <c r="CV853" s="62"/>
      <c r="CW853" s="62"/>
      <c r="CX853" s="62"/>
      <c r="CY853" s="62"/>
      <c r="CZ853" s="62"/>
      <c r="DA853" s="62"/>
      <c r="DB853" s="62"/>
      <c r="DC853" s="62"/>
      <c r="DD853" s="62"/>
      <c r="DE853" s="62"/>
      <c r="DF853" s="62"/>
      <c r="DG853" s="62"/>
      <c r="DH853" s="62"/>
      <c r="DI853" s="62"/>
      <c r="DJ853" s="62"/>
      <c r="DK853" s="62"/>
      <c r="DL853" s="62"/>
      <c r="DM853" s="62"/>
      <c r="DN853" s="62"/>
      <c r="DO853" s="62"/>
      <c r="DP853" s="62"/>
      <c r="DQ853" s="62"/>
      <c r="DR853" s="62"/>
      <c r="DS853" s="62"/>
      <c r="DT853" s="62"/>
      <c r="DU853" s="62"/>
      <c r="DV853" s="62"/>
      <c r="DW853" s="62"/>
      <c r="DX853" s="62"/>
      <c r="DY853" s="62"/>
      <c r="DZ853" s="62"/>
      <c r="EA853" s="62"/>
      <c r="EB853" s="62"/>
      <c r="EC853" s="62"/>
      <c r="ED853" s="62"/>
      <c r="EE853" s="62"/>
      <c r="EF853" s="62"/>
      <c r="EG853" s="62"/>
      <c r="EH853" s="62"/>
      <c r="EI853" s="62"/>
      <c r="EJ853" s="62"/>
      <c r="EK853" s="62"/>
      <c r="EL853" s="62"/>
      <c r="EM853" s="62"/>
      <c r="EN853" s="62"/>
      <c r="EO853" s="62"/>
      <c r="EP853" s="62"/>
      <c r="EQ853" s="62"/>
      <c r="ER853" s="62"/>
      <c r="ES853" s="62"/>
      <c r="ET853" s="62"/>
      <c r="EU853" s="62"/>
      <c r="EV853" s="62"/>
      <c r="EW853" s="62"/>
      <c r="EX853" s="62"/>
      <c r="EY853" s="62"/>
      <c r="EZ853" s="62"/>
      <c r="FA853" s="62"/>
      <c r="FB853" s="62"/>
      <c r="FC853" s="62"/>
      <c r="FD853" s="62"/>
      <c r="FE853" s="62"/>
      <c r="FF853" s="62"/>
      <c r="FG853" s="62"/>
      <c r="FH853" s="62"/>
      <c r="FI853" s="62"/>
      <c r="FJ853" s="62"/>
      <c r="FK853" s="62"/>
      <c r="FL853" s="62"/>
      <c r="FM853" s="62"/>
      <c r="FN853" s="62"/>
      <c r="FO853" s="62"/>
      <c r="FP853" s="62"/>
      <c r="FQ853" s="62"/>
      <c r="FR853" s="62"/>
      <c r="FS853" s="62"/>
      <c r="FT853" s="62"/>
      <c r="FU853" s="62"/>
      <c r="FV853" s="62"/>
    </row>
    <row r="854" spans="1:178" ht="13.8">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c r="AT854" s="62"/>
      <c r="AU854" s="62"/>
      <c r="AV854" s="62"/>
      <c r="AW854" s="62"/>
      <c r="AX854" s="62"/>
      <c r="AY854" s="62"/>
      <c r="AZ854" s="62"/>
      <c r="BA854" s="62"/>
      <c r="BB854" s="62"/>
      <c r="BC854" s="62"/>
      <c r="BD854" s="62"/>
      <c r="BE854" s="62"/>
      <c r="BF854" s="62"/>
      <c r="BG854" s="62"/>
      <c r="BH854" s="62"/>
      <c r="BI854" s="62"/>
      <c r="BJ854" s="62"/>
      <c r="BK854" s="62"/>
      <c r="BL854" s="62"/>
      <c r="BM854" s="62"/>
      <c r="BN854" s="62"/>
      <c r="BO854" s="62"/>
      <c r="BP854" s="62"/>
      <c r="BQ854" s="62"/>
      <c r="BR854" s="62"/>
      <c r="BS854" s="62"/>
      <c r="BT854" s="62"/>
      <c r="BU854" s="62"/>
      <c r="BV854" s="62"/>
      <c r="BW854" s="62"/>
      <c r="BX854" s="62"/>
      <c r="BY854" s="62"/>
      <c r="BZ854" s="62"/>
      <c r="CA854" s="62"/>
      <c r="CB854" s="62"/>
      <c r="CC854" s="62"/>
      <c r="CD854" s="62"/>
      <c r="CE854" s="62"/>
      <c r="CF854" s="62"/>
      <c r="CG854" s="62"/>
      <c r="CH854" s="62"/>
      <c r="CI854" s="62"/>
      <c r="CJ854" s="62"/>
      <c r="CK854" s="62"/>
      <c r="CL854" s="62"/>
      <c r="CM854" s="62"/>
      <c r="CN854" s="62"/>
      <c r="CO854" s="62"/>
      <c r="CP854" s="62"/>
      <c r="CQ854" s="62"/>
      <c r="CR854" s="62"/>
      <c r="CS854" s="62"/>
      <c r="CT854" s="62"/>
      <c r="CU854" s="62"/>
      <c r="CV854" s="62"/>
      <c r="CW854" s="62"/>
      <c r="CX854" s="62"/>
      <c r="CY854" s="62"/>
      <c r="CZ854" s="62"/>
      <c r="DA854" s="62"/>
      <c r="DB854" s="62"/>
      <c r="DC854" s="62"/>
      <c r="DD854" s="62"/>
      <c r="DE854" s="62"/>
      <c r="DF854" s="62"/>
      <c r="DG854" s="62"/>
      <c r="DH854" s="62"/>
      <c r="DI854" s="62"/>
      <c r="DJ854" s="62"/>
      <c r="DK854" s="62"/>
      <c r="DL854" s="62"/>
      <c r="DM854" s="62"/>
      <c r="DN854" s="62"/>
      <c r="DO854" s="62"/>
      <c r="DP854" s="62"/>
      <c r="DQ854" s="62"/>
      <c r="DR854" s="62"/>
      <c r="DS854" s="62"/>
      <c r="DT854" s="62"/>
      <c r="DU854" s="62"/>
      <c r="DV854" s="62"/>
      <c r="DW854" s="62"/>
      <c r="DX854" s="62"/>
      <c r="DY854" s="62"/>
      <c r="DZ854" s="62"/>
      <c r="EA854" s="62"/>
      <c r="EB854" s="62"/>
      <c r="EC854" s="62"/>
      <c r="ED854" s="62"/>
      <c r="EE854" s="62"/>
      <c r="EF854" s="62"/>
      <c r="EG854" s="62"/>
      <c r="EH854" s="62"/>
      <c r="EI854" s="62"/>
      <c r="EJ854" s="62"/>
      <c r="EK854" s="62"/>
      <c r="EL854" s="62"/>
      <c r="EM854" s="62"/>
      <c r="EN854" s="62"/>
      <c r="EO854" s="62"/>
      <c r="EP854" s="62"/>
      <c r="EQ854" s="62"/>
      <c r="ER854" s="62"/>
      <c r="ES854" s="62"/>
      <c r="ET854" s="62"/>
      <c r="EU854" s="62"/>
      <c r="EV854" s="62"/>
      <c r="EW854" s="62"/>
      <c r="EX854" s="62"/>
      <c r="EY854" s="62"/>
      <c r="EZ854" s="62"/>
      <c r="FA854" s="62"/>
      <c r="FB854" s="62"/>
      <c r="FC854" s="62"/>
      <c r="FD854" s="62"/>
      <c r="FE854" s="62"/>
      <c r="FF854" s="62"/>
      <c r="FG854" s="62"/>
      <c r="FH854" s="62"/>
      <c r="FI854" s="62"/>
      <c r="FJ854" s="62"/>
      <c r="FK854" s="62"/>
      <c r="FL854" s="62"/>
      <c r="FM854" s="62"/>
      <c r="FN854" s="62"/>
      <c r="FO854" s="62"/>
      <c r="FP854" s="62"/>
      <c r="FQ854" s="62"/>
      <c r="FR854" s="62"/>
      <c r="FS854" s="62"/>
      <c r="FT854" s="62"/>
      <c r="FU854" s="62"/>
      <c r="FV854" s="62"/>
    </row>
    <row r="855" spans="1:178" ht="13.8">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c r="AT855" s="62"/>
      <c r="AU855" s="62"/>
      <c r="AV855" s="62"/>
      <c r="AW855" s="62"/>
      <c r="AX855" s="62"/>
      <c r="AY855" s="62"/>
      <c r="AZ855" s="62"/>
      <c r="BA855" s="62"/>
      <c r="BB855" s="62"/>
      <c r="BC855" s="62"/>
      <c r="BD855" s="62"/>
      <c r="BE855" s="62"/>
      <c r="BF855" s="62"/>
      <c r="BG855" s="62"/>
      <c r="BH855" s="62"/>
      <c r="BI855" s="62"/>
      <c r="BJ855" s="62"/>
      <c r="BK855" s="62"/>
      <c r="BL855" s="62"/>
      <c r="BM855" s="62"/>
      <c r="BN855" s="62"/>
      <c r="BO855" s="62"/>
      <c r="BP855" s="62"/>
      <c r="BQ855" s="62"/>
      <c r="BR855" s="62"/>
      <c r="BS855" s="62"/>
      <c r="BT855" s="62"/>
      <c r="BU855" s="62"/>
      <c r="BV855" s="62"/>
      <c r="BW855" s="62"/>
      <c r="BX855" s="62"/>
      <c r="BY855" s="62"/>
      <c r="BZ855" s="62"/>
      <c r="CA855" s="62"/>
      <c r="CB855" s="62"/>
      <c r="CC855" s="62"/>
      <c r="CD855" s="62"/>
      <c r="CE855" s="62"/>
      <c r="CF855" s="62"/>
      <c r="CG855" s="62"/>
      <c r="CH855" s="62"/>
      <c r="CI855" s="62"/>
      <c r="CJ855" s="62"/>
      <c r="CK855" s="62"/>
      <c r="CL855" s="62"/>
      <c r="CM855" s="62"/>
      <c r="CN855" s="62"/>
      <c r="CO855" s="62"/>
      <c r="CP855" s="62"/>
      <c r="CQ855" s="62"/>
      <c r="CR855" s="62"/>
      <c r="CS855" s="62"/>
      <c r="CT855" s="62"/>
      <c r="CU855" s="62"/>
      <c r="CV855" s="62"/>
      <c r="CW855" s="62"/>
      <c r="CX855" s="62"/>
      <c r="CY855" s="62"/>
      <c r="CZ855" s="62"/>
      <c r="DA855" s="62"/>
      <c r="DB855" s="62"/>
      <c r="DC855" s="62"/>
      <c r="DD855" s="62"/>
      <c r="DE855" s="62"/>
      <c r="DF855" s="62"/>
      <c r="DG855" s="62"/>
      <c r="DH855" s="62"/>
      <c r="DI855" s="62"/>
      <c r="DJ855" s="62"/>
      <c r="DK855" s="62"/>
      <c r="DL855" s="62"/>
      <c r="DM855" s="62"/>
      <c r="DN855" s="62"/>
      <c r="DO855" s="62"/>
      <c r="DP855" s="62"/>
      <c r="DQ855" s="62"/>
      <c r="DR855" s="62"/>
      <c r="DS855" s="62"/>
      <c r="DT855" s="62"/>
      <c r="DU855" s="62"/>
      <c r="DV855" s="62"/>
      <c r="DW855" s="62"/>
      <c r="DX855" s="62"/>
      <c r="DY855" s="62"/>
      <c r="DZ855" s="62"/>
      <c r="EA855" s="62"/>
      <c r="EB855" s="62"/>
      <c r="EC855" s="62"/>
      <c r="ED855" s="62"/>
      <c r="EE855" s="62"/>
      <c r="EF855" s="62"/>
      <c r="EG855" s="62"/>
      <c r="EH855" s="62"/>
      <c r="EI855" s="62"/>
      <c r="EJ855" s="62"/>
      <c r="EK855" s="62"/>
      <c r="EL855" s="62"/>
      <c r="EM855" s="62"/>
      <c r="EN855" s="62"/>
      <c r="EO855" s="62"/>
      <c r="EP855" s="62"/>
      <c r="EQ855" s="62"/>
      <c r="ER855" s="62"/>
      <c r="ES855" s="62"/>
      <c r="ET855" s="62"/>
      <c r="EU855" s="62"/>
      <c r="EV855" s="62"/>
      <c r="EW855" s="62"/>
      <c r="EX855" s="62"/>
      <c r="EY855" s="62"/>
      <c r="EZ855" s="62"/>
      <c r="FA855" s="62"/>
      <c r="FB855" s="62"/>
      <c r="FC855" s="62"/>
      <c r="FD855" s="62"/>
      <c r="FE855" s="62"/>
      <c r="FF855" s="62"/>
      <c r="FG855" s="62"/>
      <c r="FH855" s="62"/>
      <c r="FI855" s="62"/>
      <c r="FJ855" s="62"/>
      <c r="FK855" s="62"/>
      <c r="FL855" s="62"/>
      <c r="FM855" s="62"/>
      <c r="FN855" s="62"/>
      <c r="FO855" s="62"/>
      <c r="FP855" s="62"/>
      <c r="FQ855" s="62"/>
      <c r="FR855" s="62"/>
      <c r="FS855" s="62"/>
      <c r="FT855" s="62"/>
      <c r="FU855" s="62"/>
      <c r="FV855" s="62"/>
    </row>
    <row r="856" spans="1:178" ht="13.8">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c r="AT856" s="62"/>
      <c r="AU856" s="62"/>
      <c r="AV856" s="62"/>
      <c r="AW856" s="62"/>
      <c r="AX856" s="62"/>
      <c r="AY856" s="62"/>
      <c r="AZ856" s="62"/>
      <c r="BA856" s="62"/>
      <c r="BB856" s="62"/>
      <c r="BC856" s="62"/>
      <c r="BD856" s="62"/>
      <c r="BE856" s="62"/>
      <c r="BF856" s="62"/>
      <c r="BG856" s="62"/>
      <c r="BH856" s="62"/>
      <c r="BI856" s="62"/>
      <c r="BJ856" s="62"/>
      <c r="BK856" s="62"/>
      <c r="BL856" s="62"/>
      <c r="BM856" s="62"/>
      <c r="BN856" s="62"/>
      <c r="BO856" s="62"/>
      <c r="BP856" s="62"/>
      <c r="BQ856" s="62"/>
      <c r="BR856" s="62"/>
      <c r="BS856" s="62"/>
      <c r="BT856" s="62"/>
      <c r="BU856" s="62"/>
      <c r="BV856" s="62"/>
      <c r="BW856" s="62"/>
      <c r="BX856" s="62"/>
      <c r="BY856" s="62"/>
      <c r="BZ856" s="62"/>
      <c r="CA856" s="62"/>
      <c r="CB856" s="62"/>
      <c r="CC856" s="62"/>
      <c r="CD856" s="62"/>
      <c r="CE856" s="62"/>
      <c r="CF856" s="62"/>
      <c r="CG856" s="62"/>
      <c r="CH856" s="62"/>
      <c r="CI856" s="62"/>
      <c r="CJ856" s="62"/>
      <c r="CK856" s="62"/>
      <c r="CL856" s="62"/>
      <c r="CM856" s="62"/>
      <c r="CN856" s="62"/>
      <c r="CO856" s="62"/>
      <c r="CP856" s="62"/>
      <c r="CQ856" s="62"/>
      <c r="CR856" s="62"/>
      <c r="CS856" s="62"/>
      <c r="CT856" s="62"/>
      <c r="CU856" s="62"/>
      <c r="CV856" s="62"/>
      <c r="CW856" s="62"/>
      <c r="CX856" s="62"/>
      <c r="CY856" s="62"/>
      <c r="CZ856" s="62"/>
      <c r="DA856" s="62"/>
      <c r="DB856" s="62"/>
      <c r="DC856" s="62"/>
      <c r="DD856" s="62"/>
      <c r="DE856" s="62"/>
      <c r="DF856" s="62"/>
      <c r="DG856" s="62"/>
      <c r="DH856" s="62"/>
      <c r="DI856" s="62"/>
      <c r="DJ856" s="62"/>
      <c r="DK856" s="62"/>
      <c r="DL856" s="62"/>
      <c r="DM856" s="62"/>
      <c r="DN856" s="62"/>
      <c r="DO856" s="62"/>
      <c r="DP856" s="62"/>
      <c r="DQ856" s="62"/>
      <c r="DR856" s="62"/>
      <c r="DS856" s="62"/>
      <c r="DT856" s="62"/>
      <c r="DU856" s="62"/>
      <c r="DV856" s="62"/>
      <c r="DW856" s="62"/>
      <c r="DX856" s="62"/>
      <c r="DY856" s="62"/>
      <c r="DZ856" s="62"/>
      <c r="EA856" s="62"/>
      <c r="EB856" s="62"/>
      <c r="EC856" s="62"/>
      <c r="ED856" s="62"/>
      <c r="EE856" s="62"/>
      <c r="EF856" s="62"/>
      <c r="EG856" s="62"/>
      <c r="EH856" s="62"/>
      <c r="EI856" s="62"/>
      <c r="EJ856" s="62"/>
      <c r="EK856" s="62"/>
      <c r="EL856" s="62"/>
      <c r="EM856" s="62"/>
      <c r="EN856" s="62"/>
      <c r="EO856" s="62"/>
      <c r="EP856" s="62"/>
      <c r="EQ856" s="62"/>
      <c r="ER856" s="62"/>
      <c r="ES856" s="62"/>
      <c r="ET856" s="62"/>
      <c r="EU856" s="62"/>
      <c r="EV856" s="62"/>
      <c r="EW856" s="62"/>
      <c r="EX856" s="62"/>
      <c r="EY856" s="62"/>
      <c r="EZ856" s="62"/>
      <c r="FA856" s="62"/>
      <c r="FB856" s="62"/>
      <c r="FC856" s="62"/>
      <c r="FD856" s="62"/>
      <c r="FE856" s="62"/>
      <c r="FF856" s="62"/>
      <c r="FG856" s="62"/>
      <c r="FH856" s="62"/>
      <c r="FI856" s="62"/>
      <c r="FJ856" s="62"/>
      <c r="FK856" s="62"/>
      <c r="FL856" s="62"/>
      <c r="FM856" s="62"/>
      <c r="FN856" s="62"/>
      <c r="FO856" s="62"/>
      <c r="FP856" s="62"/>
      <c r="FQ856" s="62"/>
      <c r="FR856" s="62"/>
      <c r="FS856" s="62"/>
      <c r="FT856" s="62"/>
      <c r="FU856" s="62"/>
      <c r="FV856" s="62"/>
    </row>
    <row r="857" spans="1:178" ht="13.8">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c r="AT857" s="62"/>
      <c r="AU857" s="62"/>
      <c r="AV857" s="62"/>
      <c r="AW857" s="62"/>
      <c r="AX857" s="62"/>
      <c r="AY857" s="62"/>
      <c r="AZ857" s="62"/>
      <c r="BA857" s="62"/>
      <c r="BB857" s="62"/>
      <c r="BC857" s="62"/>
      <c r="BD857" s="62"/>
      <c r="BE857" s="62"/>
      <c r="BF857" s="62"/>
      <c r="BG857" s="62"/>
      <c r="BH857" s="62"/>
      <c r="BI857" s="62"/>
      <c r="BJ857" s="62"/>
      <c r="BK857" s="62"/>
      <c r="BL857" s="62"/>
      <c r="BM857" s="62"/>
      <c r="BN857" s="62"/>
      <c r="BO857" s="62"/>
      <c r="BP857" s="62"/>
      <c r="BQ857" s="62"/>
      <c r="BR857" s="62"/>
      <c r="BS857" s="62"/>
      <c r="BT857" s="62"/>
      <c r="BU857" s="62"/>
      <c r="BV857" s="62"/>
      <c r="BW857" s="62"/>
      <c r="BX857" s="62"/>
      <c r="BY857" s="62"/>
      <c r="BZ857" s="62"/>
      <c r="CA857" s="62"/>
      <c r="CB857" s="62"/>
      <c r="CC857" s="62"/>
      <c r="CD857" s="62"/>
      <c r="CE857" s="62"/>
      <c r="CF857" s="62"/>
      <c r="CG857" s="62"/>
      <c r="CH857" s="62"/>
      <c r="CI857" s="62"/>
      <c r="CJ857" s="62"/>
      <c r="CK857" s="62"/>
      <c r="CL857" s="62"/>
      <c r="CM857" s="62"/>
      <c r="CN857" s="62"/>
      <c r="CO857" s="62"/>
      <c r="CP857" s="62"/>
      <c r="CQ857" s="62"/>
      <c r="CR857" s="62"/>
      <c r="CS857" s="62"/>
      <c r="CT857" s="62"/>
      <c r="CU857" s="62"/>
      <c r="CV857" s="62"/>
      <c r="CW857" s="62"/>
      <c r="CX857" s="62"/>
      <c r="CY857" s="62"/>
      <c r="CZ857" s="62"/>
      <c r="DA857" s="62"/>
      <c r="DB857" s="62"/>
      <c r="DC857" s="62"/>
      <c r="DD857" s="62"/>
      <c r="DE857" s="62"/>
      <c r="DF857" s="62"/>
      <c r="DG857" s="62"/>
      <c r="DH857" s="62"/>
      <c r="DI857" s="62"/>
      <c r="DJ857" s="62"/>
      <c r="DK857" s="62"/>
      <c r="DL857" s="62"/>
      <c r="DM857" s="62"/>
      <c r="DN857" s="62"/>
      <c r="DO857" s="62"/>
      <c r="DP857" s="62"/>
      <c r="DQ857" s="62"/>
      <c r="DR857" s="62"/>
      <c r="DS857" s="62"/>
      <c r="DT857" s="62"/>
      <c r="DU857" s="62"/>
      <c r="DV857" s="62"/>
      <c r="DW857" s="62"/>
      <c r="DX857" s="62"/>
      <c r="DY857" s="62"/>
      <c r="DZ857" s="62"/>
      <c r="EA857" s="62"/>
      <c r="EB857" s="62"/>
      <c r="EC857" s="62"/>
      <c r="ED857" s="62"/>
      <c r="EE857" s="62"/>
      <c r="EF857" s="62"/>
      <c r="EG857" s="62"/>
      <c r="EH857" s="62"/>
      <c r="EI857" s="62"/>
      <c r="EJ857" s="62"/>
      <c r="EK857" s="62"/>
      <c r="EL857" s="62"/>
      <c r="EM857" s="62"/>
      <c r="EN857" s="62"/>
      <c r="EO857" s="62"/>
      <c r="EP857" s="62"/>
      <c r="EQ857" s="62"/>
      <c r="ER857" s="62"/>
      <c r="ES857" s="62"/>
      <c r="ET857" s="62"/>
      <c r="EU857" s="62"/>
      <c r="EV857" s="62"/>
      <c r="EW857" s="62"/>
      <c r="EX857" s="62"/>
      <c r="EY857" s="62"/>
      <c r="EZ857" s="62"/>
      <c r="FA857" s="62"/>
      <c r="FB857" s="62"/>
      <c r="FC857" s="62"/>
      <c r="FD857" s="62"/>
      <c r="FE857" s="62"/>
      <c r="FF857" s="62"/>
      <c r="FG857" s="62"/>
      <c r="FH857" s="62"/>
      <c r="FI857" s="62"/>
      <c r="FJ857" s="62"/>
      <c r="FK857" s="62"/>
      <c r="FL857" s="62"/>
      <c r="FM857" s="62"/>
      <c r="FN857" s="62"/>
      <c r="FO857" s="62"/>
      <c r="FP857" s="62"/>
      <c r="FQ857" s="62"/>
      <c r="FR857" s="62"/>
      <c r="FS857" s="62"/>
      <c r="FT857" s="62"/>
      <c r="FU857" s="62"/>
      <c r="FV857" s="62"/>
    </row>
    <row r="858" spans="1:178" ht="13.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c r="AT858" s="62"/>
      <c r="AU858" s="62"/>
      <c r="AV858" s="62"/>
      <c r="AW858" s="62"/>
      <c r="AX858" s="62"/>
      <c r="AY858" s="62"/>
      <c r="AZ858" s="62"/>
      <c r="BA858" s="62"/>
      <c r="BB858" s="62"/>
      <c r="BC858" s="62"/>
      <c r="BD858" s="62"/>
      <c r="BE858" s="62"/>
      <c r="BF858" s="62"/>
      <c r="BG858" s="62"/>
      <c r="BH858" s="62"/>
      <c r="BI858" s="62"/>
      <c r="BJ858" s="62"/>
      <c r="BK858" s="62"/>
      <c r="BL858" s="62"/>
      <c r="BM858" s="62"/>
      <c r="BN858" s="62"/>
      <c r="BO858" s="62"/>
      <c r="BP858" s="62"/>
      <c r="BQ858" s="62"/>
      <c r="BR858" s="62"/>
      <c r="BS858" s="62"/>
      <c r="BT858" s="62"/>
      <c r="BU858" s="62"/>
      <c r="BV858" s="62"/>
      <c r="BW858" s="62"/>
      <c r="BX858" s="62"/>
      <c r="BY858" s="62"/>
      <c r="BZ858" s="62"/>
      <c r="CA858" s="62"/>
      <c r="CB858" s="62"/>
      <c r="CC858" s="62"/>
      <c r="CD858" s="62"/>
      <c r="CE858" s="62"/>
      <c r="CF858" s="62"/>
      <c r="CG858" s="62"/>
      <c r="CH858" s="62"/>
      <c r="CI858" s="62"/>
      <c r="CJ858" s="62"/>
      <c r="CK858" s="62"/>
      <c r="CL858" s="62"/>
      <c r="CM858" s="62"/>
      <c r="CN858" s="62"/>
      <c r="CO858" s="62"/>
      <c r="CP858" s="62"/>
      <c r="CQ858" s="62"/>
      <c r="CR858" s="62"/>
      <c r="CS858" s="62"/>
      <c r="CT858" s="62"/>
      <c r="CU858" s="62"/>
      <c r="CV858" s="62"/>
      <c r="CW858" s="62"/>
      <c r="CX858" s="62"/>
      <c r="CY858" s="62"/>
      <c r="CZ858" s="62"/>
      <c r="DA858" s="62"/>
      <c r="DB858" s="62"/>
      <c r="DC858" s="62"/>
      <c r="DD858" s="62"/>
      <c r="DE858" s="62"/>
      <c r="DF858" s="62"/>
      <c r="DG858" s="62"/>
      <c r="DH858" s="62"/>
      <c r="DI858" s="62"/>
      <c r="DJ858" s="62"/>
      <c r="DK858" s="62"/>
      <c r="DL858" s="62"/>
      <c r="DM858" s="62"/>
      <c r="DN858" s="62"/>
      <c r="DO858" s="62"/>
      <c r="DP858" s="62"/>
      <c r="DQ858" s="62"/>
      <c r="DR858" s="62"/>
      <c r="DS858" s="62"/>
      <c r="DT858" s="62"/>
      <c r="DU858" s="62"/>
      <c r="DV858" s="62"/>
      <c r="DW858" s="62"/>
      <c r="DX858" s="62"/>
      <c r="DY858" s="62"/>
      <c r="DZ858" s="62"/>
      <c r="EA858" s="62"/>
      <c r="EB858" s="62"/>
      <c r="EC858" s="62"/>
      <c r="ED858" s="62"/>
      <c r="EE858" s="62"/>
      <c r="EF858" s="62"/>
      <c r="EG858" s="62"/>
      <c r="EH858" s="62"/>
      <c r="EI858" s="62"/>
      <c r="EJ858" s="62"/>
      <c r="EK858" s="62"/>
      <c r="EL858" s="62"/>
      <c r="EM858" s="62"/>
      <c r="EN858" s="62"/>
      <c r="EO858" s="62"/>
      <c r="EP858" s="62"/>
      <c r="EQ858" s="62"/>
      <c r="ER858" s="62"/>
      <c r="ES858" s="62"/>
      <c r="ET858" s="62"/>
      <c r="EU858" s="62"/>
      <c r="EV858" s="62"/>
      <c r="EW858" s="62"/>
      <c r="EX858" s="62"/>
      <c r="EY858" s="62"/>
      <c r="EZ858" s="62"/>
      <c r="FA858" s="62"/>
      <c r="FB858" s="62"/>
      <c r="FC858" s="62"/>
      <c r="FD858" s="62"/>
      <c r="FE858" s="62"/>
      <c r="FF858" s="62"/>
      <c r="FG858" s="62"/>
      <c r="FH858" s="62"/>
      <c r="FI858" s="62"/>
      <c r="FJ858" s="62"/>
      <c r="FK858" s="62"/>
      <c r="FL858" s="62"/>
      <c r="FM858" s="62"/>
      <c r="FN858" s="62"/>
      <c r="FO858" s="62"/>
      <c r="FP858" s="62"/>
      <c r="FQ858" s="62"/>
      <c r="FR858" s="62"/>
      <c r="FS858" s="62"/>
      <c r="FT858" s="62"/>
      <c r="FU858" s="62"/>
      <c r="FV858" s="62"/>
    </row>
    <row r="859" spans="1:178" ht="13.8">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c r="AT859" s="62"/>
      <c r="AU859" s="62"/>
      <c r="AV859" s="62"/>
      <c r="AW859" s="62"/>
      <c r="AX859" s="62"/>
      <c r="AY859" s="62"/>
      <c r="AZ859" s="62"/>
      <c r="BA859" s="62"/>
      <c r="BB859" s="62"/>
      <c r="BC859" s="62"/>
      <c r="BD859" s="62"/>
      <c r="BE859" s="62"/>
      <c r="BF859" s="62"/>
      <c r="BG859" s="62"/>
      <c r="BH859" s="62"/>
      <c r="BI859" s="62"/>
      <c r="BJ859" s="62"/>
      <c r="BK859" s="62"/>
      <c r="BL859" s="62"/>
      <c r="BM859" s="62"/>
      <c r="BN859" s="62"/>
      <c r="BO859" s="62"/>
      <c r="BP859" s="62"/>
      <c r="BQ859" s="62"/>
      <c r="BR859" s="62"/>
      <c r="BS859" s="62"/>
      <c r="BT859" s="62"/>
      <c r="BU859" s="62"/>
      <c r="BV859" s="62"/>
      <c r="BW859" s="62"/>
      <c r="BX859" s="62"/>
      <c r="BY859" s="62"/>
      <c r="BZ859" s="62"/>
      <c r="CA859" s="62"/>
      <c r="CB859" s="62"/>
      <c r="CC859" s="62"/>
      <c r="CD859" s="62"/>
      <c r="CE859" s="62"/>
      <c r="CF859" s="62"/>
      <c r="CG859" s="62"/>
      <c r="CH859" s="62"/>
      <c r="CI859" s="62"/>
      <c r="CJ859" s="62"/>
      <c r="CK859" s="62"/>
      <c r="CL859" s="62"/>
      <c r="CM859" s="62"/>
      <c r="CN859" s="62"/>
      <c r="CO859" s="62"/>
      <c r="CP859" s="62"/>
      <c r="CQ859" s="62"/>
      <c r="CR859" s="62"/>
      <c r="CS859" s="62"/>
      <c r="CT859" s="62"/>
      <c r="CU859" s="62"/>
      <c r="CV859" s="62"/>
      <c r="CW859" s="62"/>
      <c r="CX859" s="62"/>
      <c r="CY859" s="62"/>
      <c r="CZ859" s="62"/>
      <c r="DA859" s="62"/>
      <c r="DB859" s="62"/>
      <c r="DC859" s="62"/>
      <c r="DD859" s="62"/>
      <c r="DE859" s="62"/>
      <c r="DF859" s="62"/>
      <c r="DG859" s="62"/>
      <c r="DH859" s="62"/>
      <c r="DI859" s="62"/>
      <c r="DJ859" s="62"/>
      <c r="DK859" s="62"/>
      <c r="DL859" s="62"/>
      <c r="DM859" s="62"/>
      <c r="DN859" s="62"/>
      <c r="DO859" s="62"/>
      <c r="DP859" s="62"/>
      <c r="DQ859" s="62"/>
      <c r="DR859" s="62"/>
      <c r="DS859" s="62"/>
      <c r="DT859" s="62"/>
      <c r="DU859" s="62"/>
      <c r="DV859" s="62"/>
      <c r="DW859" s="62"/>
      <c r="DX859" s="62"/>
      <c r="DY859" s="62"/>
      <c r="DZ859" s="62"/>
      <c r="EA859" s="62"/>
      <c r="EB859" s="62"/>
      <c r="EC859" s="62"/>
      <c r="ED859" s="62"/>
      <c r="EE859" s="62"/>
      <c r="EF859" s="62"/>
      <c r="EG859" s="62"/>
      <c r="EH859" s="62"/>
      <c r="EI859" s="62"/>
      <c r="EJ859" s="62"/>
      <c r="EK859" s="62"/>
      <c r="EL859" s="62"/>
      <c r="EM859" s="62"/>
      <c r="EN859" s="62"/>
      <c r="EO859" s="62"/>
      <c r="EP859" s="62"/>
      <c r="EQ859" s="62"/>
      <c r="ER859" s="62"/>
      <c r="ES859" s="62"/>
      <c r="ET859" s="62"/>
      <c r="EU859" s="62"/>
      <c r="EV859" s="62"/>
      <c r="EW859" s="62"/>
      <c r="EX859" s="62"/>
      <c r="EY859" s="62"/>
      <c r="EZ859" s="62"/>
      <c r="FA859" s="62"/>
      <c r="FB859" s="62"/>
      <c r="FC859" s="62"/>
      <c r="FD859" s="62"/>
      <c r="FE859" s="62"/>
      <c r="FF859" s="62"/>
      <c r="FG859" s="62"/>
      <c r="FH859" s="62"/>
      <c r="FI859" s="62"/>
      <c r="FJ859" s="62"/>
      <c r="FK859" s="62"/>
      <c r="FL859" s="62"/>
      <c r="FM859" s="62"/>
      <c r="FN859" s="62"/>
      <c r="FO859" s="62"/>
      <c r="FP859" s="62"/>
      <c r="FQ859" s="62"/>
      <c r="FR859" s="62"/>
      <c r="FS859" s="62"/>
      <c r="FT859" s="62"/>
      <c r="FU859" s="62"/>
      <c r="FV859" s="62"/>
    </row>
    <row r="860" spans="1:178" ht="13.8">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c r="AT860" s="62"/>
      <c r="AU860" s="62"/>
      <c r="AV860" s="62"/>
      <c r="AW860" s="62"/>
      <c r="AX860" s="62"/>
      <c r="AY860" s="62"/>
      <c r="AZ860" s="62"/>
      <c r="BA860" s="62"/>
      <c r="BB860" s="62"/>
      <c r="BC860" s="62"/>
      <c r="BD860" s="62"/>
      <c r="BE860" s="62"/>
      <c r="BF860" s="62"/>
      <c r="BG860" s="62"/>
      <c r="BH860" s="62"/>
      <c r="BI860" s="62"/>
      <c r="BJ860" s="62"/>
      <c r="BK860" s="62"/>
      <c r="BL860" s="62"/>
      <c r="BM860" s="62"/>
      <c r="BN860" s="62"/>
      <c r="BO860" s="62"/>
      <c r="BP860" s="62"/>
      <c r="BQ860" s="62"/>
      <c r="BR860" s="62"/>
      <c r="BS860" s="62"/>
      <c r="BT860" s="62"/>
      <c r="BU860" s="62"/>
      <c r="BV860" s="62"/>
      <c r="BW860" s="62"/>
      <c r="BX860" s="62"/>
      <c r="BY860" s="62"/>
      <c r="BZ860" s="62"/>
      <c r="CA860" s="62"/>
      <c r="CB860" s="62"/>
      <c r="CC860" s="62"/>
      <c r="CD860" s="62"/>
      <c r="CE860" s="62"/>
      <c r="CF860" s="62"/>
      <c r="CG860" s="62"/>
      <c r="CH860" s="62"/>
      <c r="CI860" s="62"/>
      <c r="CJ860" s="62"/>
      <c r="CK860" s="62"/>
      <c r="CL860" s="62"/>
      <c r="CM860" s="62"/>
      <c r="CN860" s="62"/>
      <c r="CO860" s="62"/>
      <c r="CP860" s="62"/>
      <c r="CQ860" s="62"/>
      <c r="CR860" s="62"/>
      <c r="CS860" s="62"/>
      <c r="CT860" s="62"/>
      <c r="CU860" s="62"/>
      <c r="CV860" s="62"/>
      <c r="CW860" s="62"/>
      <c r="CX860" s="62"/>
      <c r="CY860" s="62"/>
      <c r="CZ860" s="62"/>
      <c r="DA860" s="62"/>
      <c r="DB860" s="62"/>
      <c r="DC860" s="62"/>
      <c r="DD860" s="62"/>
      <c r="DE860" s="62"/>
      <c r="DF860" s="62"/>
      <c r="DG860" s="62"/>
      <c r="DH860" s="62"/>
      <c r="DI860" s="62"/>
      <c r="DJ860" s="62"/>
      <c r="DK860" s="62"/>
      <c r="DL860" s="62"/>
      <c r="DM860" s="62"/>
      <c r="DN860" s="62"/>
      <c r="DO860" s="62"/>
      <c r="DP860" s="62"/>
      <c r="DQ860" s="62"/>
      <c r="DR860" s="62"/>
      <c r="DS860" s="62"/>
      <c r="DT860" s="62"/>
      <c r="DU860" s="62"/>
      <c r="DV860" s="62"/>
      <c r="DW860" s="62"/>
      <c r="DX860" s="62"/>
      <c r="DY860" s="62"/>
      <c r="DZ860" s="62"/>
      <c r="EA860" s="62"/>
      <c r="EB860" s="62"/>
      <c r="EC860" s="62"/>
      <c r="ED860" s="62"/>
      <c r="EE860" s="62"/>
      <c r="EF860" s="62"/>
      <c r="EG860" s="62"/>
      <c r="EH860" s="62"/>
      <c r="EI860" s="62"/>
      <c r="EJ860" s="62"/>
      <c r="EK860" s="62"/>
      <c r="EL860" s="62"/>
      <c r="EM860" s="62"/>
      <c r="EN860" s="62"/>
      <c r="EO860" s="62"/>
      <c r="EP860" s="62"/>
      <c r="EQ860" s="62"/>
      <c r="ER860" s="62"/>
      <c r="ES860" s="62"/>
      <c r="ET860" s="62"/>
      <c r="EU860" s="62"/>
      <c r="EV860" s="62"/>
      <c r="EW860" s="62"/>
      <c r="EX860" s="62"/>
      <c r="EY860" s="62"/>
      <c r="EZ860" s="62"/>
      <c r="FA860" s="62"/>
      <c r="FB860" s="62"/>
      <c r="FC860" s="62"/>
      <c r="FD860" s="62"/>
      <c r="FE860" s="62"/>
      <c r="FF860" s="62"/>
      <c r="FG860" s="62"/>
      <c r="FH860" s="62"/>
      <c r="FI860" s="62"/>
      <c r="FJ860" s="62"/>
      <c r="FK860" s="62"/>
      <c r="FL860" s="62"/>
      <c r="FM860" s="62"/>
      <c r="FN860" s="62"/>
      <c r="FO860" s="62"/>
      <c r="FP860" s="62"/>
      <c r="FQ860" s="62"/>
      <c r="FR860" s="62"/>
      <c r="FS860" s="62"/>
      <c r="FT860" s="62"/>
      <c r="FU860" s="62"/>
      <c r="FV860" s="62"/>
    </row>
    <row r="861" spans="1:178" ht="13.8">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c r="AT861" s="62"/>
      <c r="AU861" s="62"/>
      <c r="AV861" s="62"/>
      <c r="AW861" s="62"/>
      <c r="AX861" s="62"/>
      <c r="AY861" s="62"/>
      <c r="AZ861" s="62"/>
      <c r="BA861" s="62"/>
      <c r="BB861" s="62"/>
      <c r="BC861" s="62"/>
      <c r="BD861" s="62"/>
      <c r="BE861" s="62"/>
      <c r="BF861" s="62"/>
      <c r="BG861" s="62"/>
      <c r="BH861" s="62"/>
      <c r="BI861" s="62"/>
      <c r="BJ861" s="62"/>
      <c r="BK861" s="62"/>
      <c r="BL861" s="62"/>
      <c r="BM861" s="62"/>
      <c r="BN861" s="62"/>
      <c r="BO861" s="62"/>
      <c r="BP861" s="62"/>
      <c r="BQ861" s="62"/>
      <c r="BR861" s="62"/>
      <c r="BS861" s="62"/>
      <c r="BT861" s="62"/>
      <c r="BU861" s="62"/>
      <c r="BV861" s="62"/>
      <c r="BW861" s="62"/>
      <c r="BX861" s="62"/>
      <c r="BY861" s="62"/>
      <c r="BZ861" s="62"/>
      <c r="CA861" s="62"/>
      <c r="CB861" s="62"/>
      <c r="CC861" s="62"/>
      <c r="CD861" s="62"/>
      <c r="CE861" s="62"/>
      <c r="CF861" s="62"/>
      <c r="CG861" s="62"/>
      <c r="CH861" s="62"/>
      <c r="CI861" s="62"/>
      <c r="CJ861" s="62"/>
      <c r="CK861" s="62"/>
      <c r="CL861" s="62"/>
      <c r="CM861" s="62"/>
      <c r="CN861" s="62"/>
      <c r="CO861" s="62"/>
      <c r="CP861" s="62"/>
      <c r="CQ861" s="62"/>
      <c r="CR861" s="62"/>
      <c r="CS861" s="62"/>
      <c r="CT861" s="62"/>
      <c r="CU861" s="62"/>
      <c r="CV861" s="62"/>
      <c r="CW861" s="62"/>
      <c r="CX861" s="62"/>
      <c r="CY861" s="62"/>
      <c r="CZ861" s="62"/>
      <c r="DA861" s="62"/>
      <c r="DB861" s="62"/>
      <c r="DC861" s="62"/>
      <c r="DD861" s="62"/>
      <c r="DE861" s="62"/>
      <c r="DF861" s="62"/>
      <c r="DG861" s="62"/>
      <c r="DH861" s="62"/>
      <c r="DI861" s="62"/>
      <c r="DJ861" s="62"/>
      <c r="DK861" s="62"/>
      <c r="DL861" s="62"/>
      <c r="DM861" s="62"/>
      <c r="DN861" s="62"/>
      <c r="DO861" s="62"/>
      <c r="DP861" s="62"/>
      <c r="DQ861" s="62"/>
      <c r="DR861" s="62"/>
      <c r="DS861" s="62"/>
      <c r="DT861" s="62"/>
      <c r="DU861" s="62"/>
      <c r="DV861" s="62"/>
      <c r="DW861" s="62"/>
      <c r="DX861" s="62"/>
      <c r="DY861" s="62"/>
      <c r="DZ861" s="62"/>
      <c r="EA861" s="62"/>
      <c r="EB861" s="62"/>
      <c r="EC861" s="62"/>
      <c r="ED861" s="62"/>
      <c r="EE861" s="62"/>
      <c r="EF861" s="62"/>
      <c r="EG861" s="62"/>
      <c r="EH861" s="62"/>
      <c r="EI861" s="62"/>
      <c r="EJ861" s="62"/>
      <c r="EK861" s="62"/>
      <c r="EL861" s="62"/>
      <c r="EM861" s="62"/>
      <c r="EN861" s="62"/>
      <c r="EO861" s="62"/>
      <c r="EP861" s="62"/>
      <c r="EQ861" s="62"/>
      <c r="ER861" s="62"/>
      <c r="ES861" s="62"/>
      <c r="ET861" s="62"/>
      <c r="EU861" s="62"/>
      <c r="EV861" s="62"/>
      <c r="EW861" s="62"/>
      <c r="EX861" s="62"/>
      <c r="EY861" s="62"/>
      <c r="EZ861" s="62"/>
      <c r="FA861" s="62"/>
      <c r="FB861" s="62"/>
      <c r="FC861" s="62"/>
      <c r="FD861" s="62"/>
      <c r="FE861" s="62"/>
      <c r="FF861" s="62"/>
      <c r="FG861" s="62"/>
      <c r="FH861" s="62"/>
      <c r="FI861" s="62"/>
      <c r="FJ861" s="62"/>
      <c r="FK861" s="62"/>
      <c r="FL861" s="62"/>
      <c r="FM861" s="62"/>
      <c r="FN861" s="62"/>
      <c r="FO861" s="62"/>
      <c r="FP861" s="62"/>
      <c r="FQ861" s="62"/>
      <c r="FR861" s="62"/>
      <c r="FS861" s="62"/>
      <c r="FT861" s="62"/>
      <c r="FU861" s="62"/>
      <c r="FV861" s="62"/>
    </row>
    <row r="862" spans="1:178" ht="13.8">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c r="AT862" s="62"/>
      <c r="AU862" s="62"/>
      <c r="AV862" s="62"/>
      <c r="AW862" s="62"/>
      <c r="AX862" s="62"/>
      <c r="AY862" s="62"/>
      <c r="AZ862" s="62"/>
      <c r="BA862" s="62"/>
      <c r="BB862" s="62"/>
      <c r="BC862" s="62"/>
      <c r="BD862" s="62"/>
      <c r="BE862" s="62"/>
      <c r="BF862" s="62"/>
      <c r="BG862" s="62"/>
      <c r="BH862" s="62"/>
      <c r="BI862" s="62"/>
      <c r="BJ862" s="62"/>
      <c r="BK862" s="62"/>
      <c r="BL862" s="62"/>
      <c r="BM862" s="62"/>
      <c r="BN862" s="62"/>
      <c r="BO862" s="62"/>
      <c r="BP862" s="62"/>
      <c r="BQ862" s="62"/>
      <c r="BR862" s="62"/>
      <c r="BS862" s="62"/>
      <c r="BT862" s="62"/>
      <c r="BU862" s="62"/>
      <c r="BV862" s="62"/>
      <c r="BW862" s="62"/>
      <c r="BX862" s="62"/>
      <c r="BY862" s="62"/>
      <c r="BZ862" s="62"/>
      <c r="CA862" s="62"/>
      <c r="CB862" s="62"/>
      <c r="CC862" s="62"/>
      <c r="CD862" s="62"/>
      <c r="CE862" s="62"/>
      <c r="CF862" s="62"/>
      <c r="CG862" s="62"/>
      <c r="CH862" s="62"/>
      <c r="CI862" s="62"/>
      <c r="CJ862" s="62"/>
      <c r="CK862" s="62"/>
      <c r="CL862" s="62"/>
      <c r="CM862" s="62"/>
      <c r="CN862" s="62"/>
      <c r="CO862" s="62"/>
      <c r="CP862" s="62"/>
      <c r="CQ862" s="62"/>
      <c r="CR862" s="62"/>
      <c r="CS862" s="62"/>
      <c r="CT862" s="62"/>
      <c r="CU862" s="62"/>
      <c r="CV862" s="62"/>
      <c r="CW862" s="62"/>
      <c r="CX862" s="62"/>
      <c r="CY862" s="62"/>
      <c r="CZ862" s="62"/>
      <c r="DA862" s="62"/>
      <c r="DB862" s="62"/>
      <c r="DC862" s="62"/>
      <c r="DD862" s="62"/>
      <c r="DE862" s="62"/>
      <c r="DF862" s="62"/>
      <c r="DG862" s="62"/>
      <c r="DH862" s="62"/>
      <c r="DI862" s="62"/>
      <c r="DJ862" s="62"/>
      <c r="DK862" s="62"/>
      <c r="DL862" s="62"/>
      <c r="DM862" s="62"/>
      <c r="DN862" s="62"/>
      <c r="DO862" s="62"/>
      <c r="DP862" s="62"/>
      <c r="DQ862" s="62"/>
      <c r="DR862" s="62"/>
      <c r="DS862" s="62"/>
      <c r="DT862" s="62"/>
      <c r="DU862" s="62"/>
      <c r="DV862" s="62"/>
      <c r="DW862" s="62"/>
      <c r="DX862" s="62"/>
      <c r="DY862" s="62"/>
      <c r="DZ862" s="62"/>
      <c r="EA862" s="62"/>
      <c r="EB862" s="62"/>
      <c r="EC862" s="62"/>
      <c r="ED862" s="62"/>
      <c r="EE862" s="62"/>
      <c r="EF862" s="62"/>
      <c r="EG862" s="62"/>
      <c r="EH862" s="62"/>
      <c r="EI862" s="62"/>
      <c r="EJ862" s="62"/>
      <c r="EK862" s="62"/>
      <c r="EL862" s="62"/>
      <c r="EM862" s="62"/>
      <c r="EN862" s="62"/>
      <c r="EO862" s="62"/>
      <c r="EP862" s="62"/>
      <c r="EQ862" s="62"/>
      <c r="ER862" s="62"/>
      <c r="ES862" s="62"/>
      <c r="ET862" s="62"/>
      <c r="EU862" s="62"/>
      <c r="EV862" s="62"/>
      <c r="EW862" s="62"/>
      <c r="EX862" s="62"/>
      <c r="EY862" s="62"/>
      <c r="EZ862" s="62"/>
      <c r="FA862" s="62"/>
      <c r="FB862" s="62"/>
      <c r="FC862" s="62"/>
      <c r="FD862" s="62"/>
      <c r="FE862" s="62"/>
      <c r="FF862" s="62"/>
      <c r="FG862" s="62"/>
      <c r="FH862" s="62"/>
      <c r="FI862" s="62"/>
      <c r="FJ862" s="62"/>
      <c r="FK862" s="62"/>
      <c r="FL862" s="62"/>
      <c r="FM862" s="62"/>
      <c r="FN862" s="62"/>
      <c r="FO862" s="62"/>
      <c r="FP862" s="62"/>
      <c r="FQ862" s="62"/>
      <c r="FR862" s="62"/>
      <c r="FS862" s="62"/>
      <c r="FT862" s="62"/>
      <c r="FU862" s="62"/>
      <c r="FV862" s="62"/>
    </row>
    <row r="863" spans="1:178" ht="13.8">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c r="AT863" s="62"/>
      <c r="AU863" s="62"/>
      <c r="AV863" s="62"/>
      <c r="AW863" s="62"/>
      <c r="AX863" s="62"/>
      <c r="AY863" s="62"/>
      <c r="AZ863" s="62"/>
      <c r="BA863" s="62"/>
      <c r="BB863" s="62"/>
      <c r="BC863" s="62"/>
      <c r="BD863" s="62"/>
      <c r="BE863" s="62"/>
      <c r="BF863" s="62"/>
      <c r="BG863" s="62"/>
      <c r="BH863" s="62"/>
      <c r="BI863" s="62"/>
      <c r="BJ863" s="62"/>
      <c r="BK863" s="62"/>
      <c r="BL863" s="62"/>
      <c r="BM863" s="62"/>
      <c r="BN863" s="62"/>
      <c r="BO863" s="62"/>
      <c r="BP863" s="62"/>
      <c r="BQ863" s="62"/>
      <c r="BR863" s="62"/>
      <c r="BS863" s="62"/>
      <c r="BT863" s="62"/>
      <c r="BU863" s="62"/>
      <c r="BV863" s="62"/>
      <c r="BW863" s="62"/>
      <c r="BX863" s="62"/>
      <c r="BY863" s="62"/>
      <c r="BZ863" s="62"/>
      <c r="CA863" s="62"/>
      <c r="CB863" s="62"/>
      <c r="CC863" s="62"/>
      <c r="CD863" s="62"/>
      <c r="CE863" s="62"/>
      <c r="CF863" s="62"/>
      <c r="CG863" s="62"/>
      <c r="CH863" s="62"/>
      <c r="CI863" s="62"/>
      <c r="CJ863" s="62"/>
      <c r="CK863" s="62"/>
      <c r="CL863" s="62"/>
      <c r="CM863" s="62"/>
      <c r="CN863" s="62"/>
      <c r="CO863" s="62"/>
      <c r="CP863" s="62"/>
      <c r="CQ863" s="62"/>
      <c r="CR863" s="62"/>
      <c r="CS863" s="62"/>
      <c r="CT863" s="62"/>
      <c r="CU863" s="62"/>
      <c r="CV863" s="62"/>
      <c r="CW863" s="62"/>
      <c r="CX863" s="62"/>
      <c r="CY863" s="62"/>
      <c r="CZ863" s="62"/>
      <c r="DA863" s="62"/>
      <c r="DB863" s="62"/>
      <c r="DC863" s="62"/>
      <c r="DD863" s="62"/>
      <c r="DE863" s="62"/>
      <c r="DF863" s="62"/>
      <c r="DG863" s="62"/>
      <c r="DH863" s="62"/>
      <c r="DI863" s="62"/>
      <c r="DJ863" s="62"/>
      <c r="DK863" s="62"/>
      <c r="DL863" s="62"/>
      <c r="DM863" s="62"/>
      <c r="DN863" s="62"/>
      <c r="DO863" s="62"/>
      <c r="DP863" s="62"/>
      <c r="DQ863" s="62"/>
      <c r="DR863" s="62"/>
      <c r="DS863" s="62"/>
      <c r="DT863" s="62"/>
      <c r="DU863" s="62"/>
      <c r="DV863" s="62"/>
      <c r="DW863" s="62"/>
      <c r="DX863" s="62"/>
      <c r="DY863" s="62"/>
      <c r="DZ863" s="62"/>
      <c r="EA863" s="62"/>
      <c r="EB863" s="62"/>
      <c r="EC863" s="62"/>
      <c r="ED863" s="62"/>
      <c r="EE863" s="62"/>
      <c r="EF863" s="62"/>
      <c r="EG863" s="62"/>
      <c r="EH863" s="62"/>
      <c r="EI863" s="62"/>
      <c r="EJ863" s="62"/>
      <c r="EK863" s="62"/>
      <c r="EL863" s="62"/>
      <c r="EM863" s="62"/>
      <c r="EN863" s="62"/>
      <c r="EO863" s="62"/>
      <c r="EP863" s="62"/>
      <c r="EQ863" s="62"/>
      <c r="ER863" s="62"/>
      <c r="ES863" s="62"/>
      <c r="ET863" s="62"/>
      <c r="EU863" s="62"/>
      <c r="EV863" s="62"/>
      <c r="EW863" s="62"/>
      <c r="EX863" s="62"/>
      <c r="EY863" s="62"/>
      <c r="EZ863" s="62"/>
      <c r="FA863" s="62"/>
      <c r="FB863" s="62"/>
      <c r="FC863" s="62"/>
      <c r="FD863" s="62"/>
      <c r="FE863" s="62"/>
      <c r="FF863" s="62"/>
      <c r="FG863" s="62"/>
      <c r="FH863" s="62"/>
      <c r="FI863" s="62"/>
      <c r="FJ863" s="62"/>
      <c r="FK863" s="62"/>
      <c r="FL863" s="62"/>
      <c r="FM863" s="62"/>
      <c r="FN863" s="62"/>
      <c r="FO863" s="62"/>
      <c r="FP863" s="62"/>
      <c r="FQ863" s="62"/>
      <c r="FR863" s="62"/>
      <c r="FS863" s="62"/>
      <c r="FT863" s="62"/>
      <c r="FU863" s="62"/>
      <c r="FV863" s="62"/>
    </row>
    <row r="864" spans="1:178" ht="13.8">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c r="AT864" s="62"/>
      <c r="AU864" s="62"/>
      <c r="AV864" s="62"/>
      <c r="AW864" s="62"/>
      <c r="AX864" s="62"/>
      <c r="AY864" s="62"/>
      <c r="AZ864" s="62"/>
      <c r="BA864" s="62"/>
      <c r="BB864" s="62"/>
      <c r="BC864" s="62"/>
      <c r="BD864" s="62"/>
      <c r="BE864" s="62"/>
      <c r="BF864" s="62"/>
      <c r="BG864" s="62"/>
      <c r="BH864" s="62"/>
      <c r="BI864" s="62"/>
      <c r="BJ864" s="62"/>
      <c r="BK864" s="62"/>
      <c r="BL864" s="62"/>
      <c r="BM864" s="62"/>
      <c r="BN864" s="62"/>
      <c r="BO864" s="62"/>
      <c r="BP864" s="62"/>
      <c r="BQ864" s="62"/>
      <c r="BR864" s="62"/>
      <c r="BS864" s="62"/>
      <c r="BT864" s="62"/>
      <c r="BU864" s="62"/>
      <c r="BV864" s="62"/>
      <c r="BW864" s="62"/>
      <c r="BX864" s="62"/>
      <c r="BY864" s="62"/>
      <c r="BZ864" s="62"/>
      <c r="CA864" s="62"/>
      <c r="CB864" s="62"/>
      <c r="CC864" s="62"/>
      <c r="CD864" s="62"/>
      <c r="CE864" s="62"/>
      <c r="CF864" s="62"/>
      <c r="CG864" s="62"/>
      <c r="CH864" s="62"/>
      <c r="CI864" s="62"/>
      <c r="CJ864" s="62"/>
      <c r="CK864" s="62"/>
      <c r="CL864" s="62"/>
      <c r="CM864" s="62"/>
      <c r="CN864" s="62"/>
      <c r="CO864" s="62"/>
      <c r="CP864" s="62"/>
      <c r="CQ864" s="62"/>
      <c r="CR864" s="62"/>
      <c r="CS864" s="62"/>
      <c r="CT864" s="62"/>
      <c r="CU864" s="62"/>
      <c r="CV864" s="62"/>
      <c r="CW864" s="62"/>
      <c r="CX864" s="62"/>
      <c r="CY864" s="62"/>
      <c r="CZ864" s="62"/>
      <c r="DA864" s="62"/>
      <c r="DB864" s="62"/>
      <c r="DC864" s="62"/>
      <c r="DD864" s="62"/>
      <c r="DE864" s="62"/>
      <c r="DF864" s="62"/>
      <c r="DG864" s="62"/>
      <c r="DH864" s="62"/>
      <c r="DI864" s="62"/>
      <c r="DJ864" s="62"/>
      <c r="DK864" s="62"/>
      <c r="DL864" s="62"/>
      <c r="DM864" s="62"/>
      <c r="DN864" s="62"/>
      <c r="DO864" s="62"/>
      <c r="DP864" s="62"/>
      <c r="DQ864" s="62"/>
      <c r="DR864" s="62"/>
      <c r="DS864" s="62"/>
      <c r="DT864" s="62"/>
      <c r="DU864" s="62"/>
      <c r="DV864" s="62"/>
      <c r="DW864" s="62"/>
      <c r="DX864" s="62"/>
      <c r="DY864" s="62"/>
      <c r="DZ864" s="62"/>
      <c r="EA864" s="62"/>
      <c r="EB864" s="62"/>
      <c r="EC864" s="62"/>
      <c r="ED864" s="62"/>
      <c r="EE864" s="62"/>
      <c r="EF864" s="62"/>
      <c r="EG864" s="62"/>
      <c r="EH864" s="62"/>
      <c r="EI864" s="62"/>
      <c r="EJ864" s="62"/>
      <c r="EK864" s="62"/>
      <c r="EL864" s="62"/>
      <c r="EM864" s="62"/>
      <c r="EN864" s="62"/>
      <c r="EO864" s="62"/>
      <c r="EP864" s="62"/>
      <c r="EQ864" s="62"/>
      <c r="ER864" s="62"/>
      <c r="ES864" s="62"/>
      <c r="ET864" s="62"/>
      <c r="EU864" s="62"/>
      <c r="EV864" s="62"/>
      <c r="EW864" s="62"/>
      <c r="EX864" s="62"/>
      <c r="EY864" s="62"/>
      <c r="EZ864" s="62"/>
      <c r="FA864" s="62"/>
      <c r="FB864" s="62"/>
      <c r="FC864" s="62"/>
      <c r="FD864" s="62"/>
      <c r="FE864" s="62"/>
      <c r="FF864" s="62"/>
      <c r="FG864" s="62"/>
      <c r="FH864" s="62"/>
      <c r="FI864" s="62"/>
      <c r="FJ864" s="62"/>
      <c r="FK864" s="62"/>
      <c r="FL864" s="62"/>
      <c r="FM864" s="62"/>
      <c r="FN864" s="62"/>
      <c r="FO864" s="62"/>
      <c r="FP864" s="62"/>
      <c r="FQ864" s="62"/>
      <c r="FR864" s="62"/>
      <c r="FS864" s="62"/>
      <c r="FT864" s="62"/>
      <c r="FU864" s="62"/>
      <c r="FV864" s="62"/>
    </row>
    <row r="865" spans="1:178" ht="13.8">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c r="AT865" s="62"/>
      <c r="AU865" s="62"/>
      <c r="AV865" s="62"/>
      <c r="AW865" s="62"/>
      <c r="AX865" s="62"/>
      <c r="AY865" s="62"/>
      <c r="AZ865" s="62"/>
      <c r="BA865" s="62"/>
      <c r="BB865" s="62"/>
      <c r="BC865" s="62"/>
      <c r="BD865" s="62"/>
      <c r="BE865" s="62"/>
      <c r="BF865" s="62"/>
      <c r="BG865" s="62"/>
      <c r="BH865" s="62"/>
      <c r="BI865" s="62"/>
      <c r="BJ865" s="62"/>
      <c r="BK865" s="62"/>
      <c r="BL865" s="62"/>
      <c r="BM865" s="62"/>
      <c r="BN865" s="62"/>
      <c r="BO865" s="62"/>
      <c r="BP865" s="62"/>
      <c r="BQ865" s="62"/>
      <c r="BR865" s="62"/>
      <c r="BS865" s="62"/>
      <c r="BT865" s="62"/>
      <c r="BU865" s="62"/>
      <c r="BV865" s="62"/>
      <c r="BW865" s="62"/>
      <c r="BX865" s="62"/>
      <c r="BY865" s="62"/>
      <c r="BZ865" s="62"/>
      <c r="CA865" s="62"/>
      <c r="CB865" s="62"/>
      <c r="CC865" s="62"/>
      <c r="CD865" s="62"/>
      <c r="CE865" s="62"/>
      <c r="CF865" s="62"/>
      <c r="CG865" s="62"/>
      <c r="CH865" s="62"/>
      <c r="CI865" s="62"/>
      <c r="CJ865" s="62"/>
      <c r="CK865" s="62"/>
      <c r="CL865" s="62"/>
      <c r="CM865" s="62"/>
      <c r="CN865" s="62"/>
      <c r="CO865" s="62"/>
      <c r="CP865" s="62"/>
      <c r="CQ865" s="62"/>
      <c r="CR865" s="62"/>
      <c r="CS865" s="62"/>
      <c r="CT865" s="62"/>
      <c r="CU865" s="62"/>
      <c r="CV865" s="62"/>
      <c r="CW865" s="62"/>
      <c r="CX865" s="62"/>
      <c r="CY865" s="62"/>
      <c r="CZ865" s="62"/>
      <c r="DA865" s="62"/>
      <c r="DB865" s="62"/>
      <c r="DC865" s="62"/>
      <c r="DD865" s="62"/>
      <c r="DE865" s="62"/>
      <c r="DF865" s="62"/>
      <c r="DG865" s="62"/>
      <c r="DH865" s="62"/>
      <c r="DI865" s="62"/>
      <c r="DJ865" s="62"/>
      <c r="DK865" s="62"/>
      <c r="DL865" s="62"/>
      <c r="DM865" s="62"/>
      <c r="DN865" s="62"/>
      <c r="DO865" s="62"/>
      <c r="DP865" s="62"/>
      <c r="DQ865" s="62"/>
      <c r="DR865" s="62"/>
      <c r="DS865" s="62"/>
      <c r="DT865" s="62"/>
      <c r="DU865" s="62"/>
      <c r="DV865" s="62"/>
      <c r="DW865" s="62"/>
      <c r="DX865" s="62"/>
      <c r="DY865" s="62"/>
      <c r="DZ865" s="62"/>
      <c r="EA865" s="62"/>
      <c r="EB865" s="62"/>
      <c r="EC865" s="62"/>
      <c r="ED865" s="62"/>
      <c r="EE865" s="62"/>
      <c r="EF865" s="62"/>
      <c r="EG865" s="62"/>
      <c r="EH865" s="62"/>
      <c r="EI865" s="62"/>
      <c r="EJ865" s="62"/>
      <c r="EK865" s="62"/>
      <c r="EL865" s="62"/>
      <c r="EM865" s="62"/>
      <c r="EN865" s="62"/>
      <c r="EO865" s="62"/>
      <c r="EP865" s="62"/>
      <c r="EQ865" s="62"/>
      <c r="ER865" s="62"/>
      <c r="ES865" s="62"/>
      <c r="ET865" s="62"/>
      <c r="EU865" s="62"/>
      <c r="EV865" s="62"/>
      <c r="EW865" s="62"/>
      <c r="EX865" s="62"/>
      <c r="EY865" s="62"/>
      <c r="EZ865" s="62"/>
      <c r="FA865" s="62"/>
      <c r="FB865" s="62"/>
      <c r="FC865" s="62"/>
      <c r="FD865" s="62"/>
      <c r="FE865" s="62"/>
      <c r="FF865" s="62"/>
      <c r="FG865" s="62"/>
      <c r="FH865" s="62"/>
      <c r="FI865" s="62"/>
      <c r="FJ865" s="62"/>
      <c r="FK865" s="62"/>
      <c r="FL865" s="62"/>
      <c r="FM865" s="62"/>
      <c r="FN865" s="62"/>
      <c r="FO865" s="62"/>
      <c r="FP865" s="62"/>
      <c r="FQ865" s="62"/>
      <c r="FR865" s="62"/>
      <c r="FS865" s="62"/>
      <c r="FT865" s="62"/>
      <c r="FU865" s="62"/>
      <c r="FV865" s="62"/>
    </row>
    <row r="866" spans="1:178" ht="13.8">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c r="AT866" s="62"/>
      <c r="AU866" s="62"/>
      <c r="AV866" s="62"/>
      <c r="AW866" s="62"/>
      <c r="AX866" s="62"/>
      <c r="AY866" s="62"/>
      <c r="AZ866" s="62"/>
      <c r="BA866" s="62"/>
      <c r="BB866" s="62"/>
      <c r="BC866" s="62"/>
      <c r="BD866" s="62"/>
      <c r="BE866" s="62"/>
      <c r="BF866" s="62"/>
      <c r="BG866" s="62"/>
      <c r="BH866" s="62"/>
      <c r="BI866" s="62"/>
      <c r="BJ866" s="62"/>
      <c r="BK866" s="62"/>
      <c r="BL866" s="62"/>
      <c r="BM866" s="62"/>
      <c r="BN866" s="62"/>
      <c r="BO866" s="62"/>
      <c r="BP866" s="62"/>
      <c r="BQ866" s="62"/>
      <c r="BR866" s="62"/>
      <c r="BS866" s="62"/>
      <c r="BT866" s="62"/>
      <c r="BU866" s="62"/>
      <c r="BV866" s="62"/>
      <c r="BW866" s="62"/>
      <c r="BX866" s="62"/>
      <c r="BY866" s="62"/>
      <c r="BZ866" s="62"/>
      <c r="CA866" s="62"/>
      <c r="CB866" s="62"/>
      <c r="CC866" s="62"/>
      <c r="CD866" s="62"/>
      <c r="CE866" s="62"/>
      <c r="CF866" s="62"/>
      <c r="CG866" s="62"/>
      <c r="CH866" s="62"/>
      <c r="CI866" s="62"/>
      <c r="CJ866" s="62"/>
      <c r="CK866" s="62"/>
      <c r="CL866" s="62"/>
      <c r="CM866" s="62"/>
      <c r="CN866" s="62"/>
      <c r="CO866" s="62"/>
      <c r="CP866" s="62"/>
      <c r="CQ866" s="62"/>
      <c r="CR866" s="62"/>
      <c r="CS866" s="62"/>
      <c r="CT866" s="62"/>
      <c r="CU866" s="62"/>
      <c r="CV866" s="62"/>
      <c r="CW866" s="62"/>
      <c r="CX866" s="62"/>
      <c r="CY866" s="62"/>
      <c r="CZ866" s="62"/>
      <c r="DA866" s="62"/>
      <c r="DB866" s="62"/>
      <c r="DC866" s="62"/>
      <c r="DD866" s="62"/>
      <c r="DE866" s="62"/>
      <c r="DF866" s="62"/>
      <c r="DG866" s="62"/>
      <c r="DH866" s="62"/>
      <c r="DI866" s="62"/>
      <c r="DJ866" s="62"/>
      <c r="DK866" s="62"/>
      <c r="DL866" s="62"/>
      <c r="DM866" s="62"/>
      <c r="DN866" s="62"/>
      <c r="DO866" s="62"/>
      <c r="DP866" s="62"/>
      <c r="DQ866" s="62"/>
      <c r="DR866" s="62"/>
      <c r="DS866" s="62"/>
      <c r="DT866" s="62"/>
      <c r="DU866" s="62"/>
      <c r="DV866" s="62"/>
      <c r="DW866" s="62"/>
      <c r="DX866" s="62"/>
      <c r="DY866" s="62"/>
      <c r="DZ866" s="62"/>
      <c r="EA866" s="62"/>
      <c r="EB866" s="62"/>
      <c r="EC866" s="62"/>
      <c r="ED866" s="62"/>
      <c r="EE866" s="62"/>
      <c r="EF866" s="62"/>
      <c r="EG866" s="62"/>
      <c r="EH866" s="62"/>
      <c r="EI866" s="62"/>
      <c r="EJ866" s="62"/>
      <c r="EK866" s="62"/>
      <c r="EL866" s="62"/>
      <c r="EM866" s="62"/>
      <c r="EN866" s="62"/>
      <c r="EO866" s="62"/>
      <c r="EP866" s="62"/>
      <c r="EQ866" s="62"/>
      <c r="ER866" s="62"/>
      <c r="ES866" s="62"/>
      <c r="ET866" s="62"/>
      <c r="EU866" s="62"/>
      <c r="EV866" s="62"/>
      <c r="EW866" s="62"/>
      <c r="EX866" s="62"/>
      <c r="EY866" s="62"/>
      <c r="EZ866" s="62"/>
      <c r="FA866" s="62"/>
      <c r="FB866" s="62"/>
      <c r="FC866" s="62"/>
      <c r="FD866" s="62"/>
      <c r="FE866" s="62"/>
      <c r="FF866" s="62"/>
      <c r="FG866" s="62"/>
      <c r="FH866" s="62"/>
      <c r="FI866" s="62"/>
      <c r="FJ866" s="62"/>
      <c r="FK866" s="62"/>
      <c r="FL866" s="62"/>
      <c r="FM866" s="62"/>
      <c r="FN866" s="62"/>
      <c r="FO866" s="62"/>
      <c r="FP866" s="62"/>
      <c r="FQ866" s="62"/>
      <c r="FR866" s="62"/>
      <c r="FS866" s="62"/>
      <c r="FT866" s="62"/>
      <c r="FU866" s="62"/>
      <c r="FV866" s="62"/>
    </row>
    <row r="867" spans="1:178" ht="13.8">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c r="AT867" s="62"/>
      <c r="AU867" s="62"/>
      <c r="AV867" s="62"/>
      <c r="AW867" s="62"/>
      <c r="AX867" s="62"/>
      <c r="AY867" s="62"/>
      <c r="AZ867" s="62"/>
      <c r="BA867" s="62"/>
      <c r="BB867" s="62"/>
      <c r="BC867" s="62"/>
      <c r="BD867" s="62"/>
      <c r="BE867" s="62"/>
      <c r="BF867" s="62"/>
      <c r="BG867" s="62"/>
      <c r="BH867" s="62"/>
      <c r="BI867" s="62"/>
      <c r="BJ867" s="62"/>
      <c r="BK867" s="62"/>
      <c r="BL867" s="62"/>
      <c r="BM867" s="62"/>
      <c r="BN867" s="62"/>
      <c r="BO867" s="62"/>
      <c r="BP867" s="62"/>
      <c r="BQ867" s="62"/>
      <c r="BR867" s="62"/>
      <c r="BS867" s="62"/>
      <c r="BT867" s="62"/>
      <c r="BU867" s="62"/>
      <c r="BV867" s="62"/>
      <c r="BW867" s="62"/>
      <c r="BX867" s="62"/>
      <c r="BY867" s="62"/>
      <c r="BZ867" s="62"/>
      <c r="CA867" s="62"/>
      <c r="CB867" s="62"/>
      <c r="CC867" s="62"/>
      <c r="CD867" s="62"/>
      <c r="CE867" s="62"/>
      <c r="CF867" s="62"/>
      <c r="CG867" s="62"/>
      <c r="CH867" s="62"/>
      <c r="CI867" s="62"/>
      <c r="CJ867" s="62"/>
      <c r="CK867" s="62"/>
      <c r="CL867" s="62"/>
      <c r="CM867" s="62"/>
      <c r="CN867" s="62"/>
      <c r="CO867" s="62"/>
      <c r="CP867" s="62"/>
      <c r="CQ867" s="62"/>
      <c r="CR867" s="62"/>
      <c r="CS867" s="62"/>
      <c r="CT867" s="62"/>
      <c r="CU867" s="62"/>
      <c r="CV867" s="62"/>
      <c r="CW867" s="62"/>
      <c r="CX867" s="62"/>
      <c r="CY867" s="62"/>
      <c r="CZ867" s="62"/>
      <c r="DA867" s="62"/>
      <c r="DB867" s="62"/>
      <c r="DC867" s="62"/>
      <c r="DD867" s="62"/>
      <c r="DE867" s="62"/>
      <c r="DF867" s="62"/>
      <c r="DG867" s="62"/>
      <c r="DH867" s="62"/>
      <c r="DI867" s="62"/>
      <c r="DJ867" s="62"/>
      <c r="DK867" s="62"/>
      <c r="DL867" s="62"/>
      <c r="DM867" s="62"/>
      <c r="DN867" s="62"/>
      <c r="DO867" s="62"/>
      <c r="DP867" s="62"/>
      <c r="DQ867" s="62"/>
      <c r="DR867" s="62"/>
      <c r="DS867" s="62"/>
      <c r="DT867" s="62"/>
      <c r="DU867" s="62"/>
      <c r="DV867" s="62"/>
      <c r="DW867" s="62"/>
      <c r="DX867" s="62"/>
      <c r="DY867" s="62"/>
      <c r="DZ867" s="62"/>
      <c r="EA867" s="62"/>
      <c r="EB867" s="62"/>
      <c r="EC867" s="62"/>
      <c r="ED867" s="62"/>
      <c r="EE867" s="62"/>
      <c r="EF867" s="62"/>
      <c r="EG867" s="62"/>
      <c r="EH867" s="62"/>
      <c r="EI867" s="62"/>
      <c r="EJ867" s="62"/>
      <c r="EK867" s="62"/>
      <c r="EL867" s="62"/>
      <c r="EM867" s="62"/>
      <c r="EN867" s="62"/>
      <c r="EO867" s="62"/>
      <c r="EP867" s="62"/>
      <c r="EQ867" s="62"/>
      <c r="ER867" s="62"/>
      <c r="ES867" s="62"/>
      <c r="ET867" s="62"/>
      <c r="EU867" s="62"/>
      <c r="EV867" s="62"/>
      <c r="EW867" s="62"/>
      <c r="EX867" s="62"/>
      <c r="EY867" s="62"/>
      <c r="EZ867" s="62"/>
      <c r="FA867" s="62"/>
      <c r="FB867" s="62"/>
      <c r="FC867" s="62"/>
      <c r="FD867" s="62"/>
      <c r="FE867" s="62"/>
      <c r="FF867" s="62"/>
      <c r="FG867" s="62"/>
      <c r="FH867" s="62"/>
      <c r="FI867" s="62"/>
      <c r="FJ867" s="62"/>
      <c r="FK867" s="62"/>
      <c r="FL867" s="62"/>
      <c r="FM867" s="62"/>
      <c r="FN867" s="62"/>
      <c r="FO867" s="62"/>
      <c r="FP867" s="62"/>
      <c r="FQ867" s="62"/>
      <c r="FR867" s="62"/>
      <c r="FS867" s="62"/>
      <c r="FT867" s="62"/>
      <c r="FU867" s="62"/>
      <c r="FV867" s="62"/>
    </row>
    <row r="868" spans="1:178" ht="13.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c r="AT868" s="62"/>
      <c r="AU868" s="62"/>
      <c r="AV868" s="62"/>
      <c r="AW868" s="62"/>
      <c r="AX868" s="62"/>
      <c r="AY868" s="62"/>
      <c r="AZ868" s="62"/>
      <c r="BA868" s="62"/>
      <c r="BB868" s="62"/>
      <c r="BC868" s="62"/>
      <c r="BD868" s="62"/>
      <c r="BE868" s="62"/>
      <c r="BF868" s="62"/>
      <c r="BG868" s="62"/>
      <c r="BH868" s="62"/>
      <c r="BI868" s="62"/>
      <c r="BJ868" s="62"/>
      <c r="BK868" s="62"/>
      <c r="BL868" s="62"/>
      <c r="BM868" s="62"/>
      <c r="BN868" s="62"/>
      <c r="BO868" s="62"/>
      <c r="BP868" s="62"/>
      <c r="BQ868" s="62"/>
      <c r="BR868" s="62"/>
      <c r="BS868" s="62"/>
      <c r="BT868" s="62"/>
      <c r="BU868" s="62"/>
      <c r="BV868" s="62"/>
      <c r="BW868" s="62"/>
      <c r="BX868" s="62"/>
      <c r="BY868" s="62"/>
      <c r="BZ868" s="62"/>
      <c r="CA868" s="62"/>
      <c r="CB868" s="62"/>
      <c r="CC868" s="62"/>
      <c r="CD868" s="62"/>
      <c r="CE868" s="62"/>
      <c r="CF868" s="62"/>
      <c r="CG868" s="62"/>
      <c r="CH868" s="62"/>
      <c r="CI868" s="62"/>
      <c r="CJ868" s="62"/>
      <c r="CK868" s="62"/>
      <c r="CL868" s="62"/>
      <c r="CM868" s="62"/>
      <c r="CN868" s="62"/>
      <c r="CO868" s="62"/>
      <c r="CP868" s="62"/>
      <c r="CQ868" s="62"/>
      <c r="CR868" s="62"/>
      <c r="CS868" s="62"/>
      <c r="CT868" s="62"/>
      <c r="CU868" s="62"/>
      <c r="CV868" s="62"/>
      <c r="CW868" s="62"/>
      <c r="CX868" s="62"/>
      <c r="CY868" s="62"/>
      <c r="CZ868" s="62"/>
      <c r="DA868" s="62"/>
      <c r="DB868" s="62"/>
      <c r="DC868" s="62"/>
      <c r="DD868" s="62"/>
      <c r="DE868" s="62"/>
      <c r="DF868" s="62"/>
      <c r="DG868" s="62"/>
      <c r="DH868" s="62"/>
      <c r="DI868" s="62"/>
      <c r="DJ868" s="62"/>
      <c r="DK868" s="62"/>
      <c r="DL868" s="62"/>
      <c r="DM868" s="62"/>
      <c r="DN868" s="62"/>
      <c r="DO868" s="62"/>
      <c r="DP868" s="62"/>
      <c r="DQ868" s="62"/>
      <c r="DR868" s="62"/>
      <c r="DS868" s="62"/>
      <c r="DT868" s="62"/>
      <c r="DU868" s="62"/>
      <c r="DV868" s="62"/>
      <c r="DW868" s="62"/>
      <c r="DX868" s="62"/>
      <c r="DY868" s="62"/>
      <c r="DZ868" s="62"/>
      <c r="EA868" s="62"/>
      <c r="EB868" s="62"/>
      <c r="EC868" s="62"/>
      <c r="ED868" s="62"/>
      <c r="EE868" s="62"/>
      <c r="EF868" s="62"/>
      <c r="EG868" s="62"/>
      <c r="EH868" s="62"/>
      <c r="EI868" s="62"/>
      <c r="EJ868" s="62"/>
      <c r="EK868" s="62"/>
      <c r="EL868" s="62"/>
      <c r="EM868" s="62"/>
      <c r="EN868" s="62"/>
      <c r="EO868" s="62"/>
      <c r="EP868" s="62"/>
      <c r="EQ868" s="62"/>
      <c r="ER868" s="62"/>
      <c r="ES868" s="62"/>
      <c r="ET868" s="62"/>
      <c r="EU868" s="62"/>
      <c r="EV868" s="62"/>
      <c r="EW868" s="62"/>
      <c r="EX868" s="62"/>
      <c r="EY868" s="62"/>
      <c r="EZ868" s="62"/>
      <c r="FA868" s="62"/>
      <c r="FB868" s="62"/>
      <c r="FC868" s="62"/>
      <c r="FD868" s="62"/>
      <c r="FE868" s="62"/>
      <c r="FF868" s="62"/>
      <c r="FG868" s="62"/>
      <c r="FH868" s="62"/>
      <c r="FI868" s="62"/>
      <c r="FJ868" s="62"/>
      <c r="FK868" s="62"/>
      <c r="FL868" s="62"/>
      <c r="FM868" s="62"/>
      <c r="FN868" s="62"/>
      <c r="FO868" s="62"/>
      <c r="FP868" s="62"/>
      <c r="FQ868" s="62"/>
      <c r="FR868" s="62"/>
      <c r="FS868" s="62"/>
      <c r="FT868" s="62"/>
      <c r="FU868" s="62"/>
      <c r="FV868" s="62"/>
    </row>
    <row r="869" spans="1:178" ht="13.8">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c r="AT869" s="62"/>
      <c r="AU869" s="62"/>
      <c r="AV869" s="62"/>
      <c r="AW869" s="62"/>
      <c r="AX869" s="62"/>
      <c r="AY869" s="62"/>
      <c r="AZ869" s="62"/>
      <c r="BA869" s="62"/>
      <c r="BB869" s="62"/>
      <c r="BC869" s="62"/>
      <c r="BD869" s="62"/>
      <c r="BE869" s="62"/>
      <c r="BF869" s="62"/>
      <c r="BG869" s="62"/>
      <c r="BH869" s="62"/>
      <c r="BI869" s="62"/>
      <c r="BJ869" s="62"/>
      <c r="BK869" s="62"/>
      <c r="BL869" s="62"/>
      <c r="BM869" s="62"/>
      <c r="BN869" s="62"/>
      <c r="BO869" s="62"/>
      <c r="BP869" s="62"/>
      <c r="BQ869" s="62"/>
      <c r="BR869" s="62"/>
      <c r="BS869" s="62"/>
      <c r="BT869" s="62"/>
      <c r="BU869" s="62"/>
      <c r="BV869" s="62"/>
      <c r="BW869" s="62"/>
      <c r="BX869" s="62"/>
      <c r="BY869" s="62"/>
      <c r="BZ869" s="62"/>
      <c r="CA869" s="62"/>
      <c r="CB869" s="62"/>
      <c r="CC869" s="62"/>
      <c r="CD869" s="62"/>
      <c r="CE869" s="62"/>
      <c r="CF869" s="62"/>
      <c r="CG869" s="62"/>
      <c r="CH869" s="62"/>
      <c r="CI869" s="62"/>
      <c r="CJ869" s="62"/>
      <c r="CK869" s="62"/>
      <c r="CL869" s="62"/>
      <c r="CM869" s="62"/>
      <c r="CN869" s="62"/>
      <c r="CO869" s="62"/>
      <c r="CP869" s="62"/>
      <c r="CQ869" s="62"/>
      <c r="CR869" s="62"/>
      <c r="CS869" s="62"/>
      <c r="CT869" s="62"/>
      <c r="CU869" s="62"/>
      <c r="CV869" s="62"/>
      <c r="CW869" s="62"/>
      <c r="CX869" s="62"/>
      <c r="CY869" s="62"/>
      <c r="CZ869" s="62"/>
      <c r="DA869" s="62"/>
      <c r="DB869" s="62"/>
      <c r="DC869" s="62"/>
      <c r="DD869" s="62"/>
      <c r="DE869" s="62"/>
      <c r="DF869" s="62"/>
      <c r="DG869" s="62"/>
      <c r="DH869" s="62"/>
      <c r="DI869" s="62"/>
      <c r="DJ869" s="62"/>
      <c r="DK869" s="62"/>
      <c r="DL869" s="62"/>
      <c r="DM869" s="62"/>
      <c r="DN869" s="62"/>
      <c r="DO869" s="62"/>
      <c r="DP869" s="62"/>
      <c r="DQ869" s="62"/>
      <c r="DR869" s="62"/>
      <c r="DS869" s="62"/>
      <c r="DT869" s="62"/>
      <c r="DU869" s="62"/>
      <c r="DV869" s="62"/>
      <c r="DW869" s="62"/>
      <c r="DX869" s="62"/>
      <c r="DY869" s="62"/>
      <c r="DZ869" s="62"/>
      <c r="EA869" s="62"/>
      <c r="EB869" s="62"/>
      <c r="EC869" s="62"/>
      <c r="ED869" s="62"/>
      <c r="EE869" s="62"/>
      <c r="EF869" s="62"/>
      <c r="EG869" s="62"/>
      <c r="EH869" s="62"/>
      <c r="EI869" s="62"/>
      <c r="EJ869" s="62"/>
      <c r="EK869" s="62"/>
      <c r="EL869" s="62"/>
      <c r="EM869" s="62"/>
      <c r="EN869" s="62"/>
      <c r="EO869" s="62"/>
      <c r="EP869" s="62"/>
      <c r="EQ869" s="62"/>
      <c r="ER869" s="62"/>
      <c r="ES869" s="62"/>
      <c r="ET869" s="62"/>
      <c r="EU869" s="62"/>
      <c r="EV869" s="62"/>
      <c r="EW869" s="62"/>
      <c r="EX869" s="62"/>
      <c r="EY869" s="62"/>
      <c r="EZ869" s="62"/>
      <c r="FA869" s="62"/>
      <c r="FB869" s="62"/>
      <c r="FC869" s="62"/>
      <c r="FD869" s="62"/>
      <c r="FE869" s="62"/>
      <c r="FF869" s="62"/>
      <c r="FG869" s="62"/>
      <c r="FH869" s="62"/>
      <c r="FI869" s="62"/>
      <c r="FJ869" s="62"/>
      <c r="FK869" s="62"/>
      <c r="FL869" s="62"/>
      <c r="FM869" s="62"/>
      <c r="FN869" s="62"/>
      <c r="FO869" s="62"/>
      <c r="FP869" s="62"/>
      <c r="FQ869" s="62"/>
      <c r="FR869" s="62"/>
      <c r="FS869" s="62"/>
      <c r="FT869" s="62"/>
      <c r="FU869" s="62"/>
      <c r="FV869" s="62"/>
    </row>
    <row r="870" spans="1:178" ht="13.8">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c r="AT870" s="62"/>
      <c r="AU870" s="62"/>
      <c r="AV870" s="62"/>
      <c r="AW870" s="62"/>
      <c r="AX870" s="62"/>
      <c r="AY870" s="62"/>
      <c r="AZ870" s="62"/>
      <c r="BA870" s="62"/>
      <c r="BB870" s="62"/>
      <c r="BC870" s="62"/>
      <c r="BD870" s="62"/>
      <c r="BE870" s="62"/>
      <c r="BF870" s="62"/>
      <c r="BG870" s="62"/>
      <c r="BH870" s="62"/>
      <c r="BI870" s="62"/>
      <c r="BJ870" s="62"/>
      <c r="BK870" s="62"/>
      <c r="BL870" s="62"/>
      <c r="BM870" s="62"/>
      <c r="BN870" s="62"/>
      <c r="BO870" s="62"/>
      <c r="BP870" s="62"/>
      <c r="BQ870" s="62"/>
      <c r="BR870" s="62"/>
      <c r="BS870" s="62"/>
      <c r="BT870" s="62"/>
      <c r="BU870" s="62"/>
      <c r="BV870" s="62"/>
      <c r="BW870" s="62"/>
      <c r="BX870" s="62"/>
      <c r="BY870" s="62"/>
      <c r="BZ870" s="62"/>
      <c r="CA870" s="62"/>
      <c r="CB870" s="62"/>
      <c r="CC870" s="62"/>
      <c r="CD870" s="62"/>
      <c r="CE870" s="62"/>
      <c r="CF870" s="62"/>
      <c r="CG870" s="62"/>
      <c r="CH870" s="62"/>
      <c r="CI870" s="62"/>
      <c r="CJ870" s="62"/>
      <c r="CK870" s="62"/>
      <c r="CL870" s="62"/>
      <c r="CM870" s="62"/>
      <c r="CN870" s="62"/>
      <c r="CO870" s="62"/>
      <c r="CP870" s="62"/>
      <c r="CQ870" s="62"/>
      <c r="CR870" s="62"/>
      <c r="CS870" s="62"/>
      <c r="CT870" s="62"/>
      <c r="CU870" s="62"/>
      <c r="CV870" s="62"/>
      <c r="CW870" s="62"/>
      <c r="CX870" s="62"/>
      <c r="CY870" s="62"/>
      <c r="CZ870" s="62"/>
      <c r="DA870" s="62"/>
      <c r="DB870" s="62"/>
      <c r="DC870" s="62"/>
      <c r="DD870" s="62"/>
      <c r="DE870" s="62"/>
      <c r="DF870" s="62"/>
      <c r="DG870" s="62"/>
      <c r="DH870" s="62"/>
      <c r="DI870" s="62"/>
      <c r="DJ870" s="62"/>
      <c r="DK870" s="62"/>
      <c r="DL870" s="62"/>
      <c r="DM870" s="62"/>
      <c r="DN870" s="62"/>
      <c r="DO870" s="62"/>
      <c r="DP870" s="62"/>
      <c r="DQ870" s="62"/>
      <c r="DR870" s="62"/>
      <c r="DS870" s="62"/>
      <c r="DT870" s="62"/>
      <c r="DU870" s="62"/>
      <c r="DV870" s="62"/>
      <c r="DW870" s="62"/>
      <c r="DX870" s="62"/>
      <c r="DY870" s="62"/>
      <c r="DZ870" s="62"/>
      <c r="EA870" s="62"/>
      <c r="EB870" s="62"/>
      <c r="EC870" s="62"/>
      <c r="ED870" s="62"/>
      <c r="EE870" s="62"/>
      <c r="EF870" s="62"/>
      <c r="EG870" s="62"/>
      <c r="EH870" s="62"/>
      <c r="EI870" s="62"/>
      <c r="EJ870" s="62"/>
      <c r="EK870" s="62"/>
      <c r="EL870" s="62"/>
      <c r="EM870" s="62"/>
      <c r="EN870" s="62"/>
      <c r="EO870" s="62"/>
      <c r="EP870" s="62"/>
      <c r="EQ870" s="62"/>
      <c r="ER870" s="62"/>
      <c r="ES870" s="62"/>
      <c r="ET870" s="62"/>
      <c r="EU870" s="62"/>
      <c r="EV870" s="62"/>
      <c r="EW870" s="62"/>
      <c r="EX870" s="62"/>
      <c r="EY870" s="62"/>
      <c r="EZ870" s="62"/>
      <c r="FA870" s="62"/>
      <c r="FB870" s="62"/>
      <c r="FC870" s="62"/>
      <c r="FD870" s="62"/>
      <c r="FE870" s="62"/>
      <c r="FF870" s="62"/>
      <c r="FG870" s="62"/>
      <c r="FH870" s="62"/>
      <c r="FI870" s="62"/>
      <c r="FJ870" s="62"/>
      <c r="FK870" s="62"/>
      <c r="FL870" s="62"/>
      <c r="FM870" s="62"/>
      <c r="FN870" s="62"/>
      <c r="FO870" s="62"/>
      <c r="FP870" s="62"/>
      <c r="FQ870" s="62"/>
      <c r="FR870" s="62"/>
      <c r="FS870" s="62"/>
      <c r="FT870" s="62"/>
      <c r="FU870" s="62"/>
      <c r="FV870" s="62"/>
    </row>
    <row r="871" spans="1:178" ht="13.8">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c r="AT871" s="62"/>
      <c r="AU871" s="62"/>
      <c r="AV871" s="62"/>
      <c r="AW871" s="62"/>
      <c r="AX871" s="62"/>
      <c r="AY871" s="62"/>
      <c r="AZ871" s="62"/>
      <c r="BA871" s="62"/>
      <c r="BB871" s="62"/>
      <c r="BC871" s="62"/>
      <c r="BD871" s="62"/>
      <c r="BE871" s="62"/>
      <c r="BF871" s="62"/>
      <c r="BG871" s="62"/>
      <c r="BH871" s="62"/>
      <c r="BI871" s="62"/>
      <c r="BJ871" s="62"/>
      <c r="BK871" s="62"/>
      <c r="BL871" s="62"/>
      <c r="BM871" s="62"/>
      <c r="BN871" s="62"/>
      <c r="BO871" s="62"/>
      <c r="BP871" s="62"/>
      <c r="BQ871" s="62"/>
      <c r="BR871" s="62"/>
      <c r="BS871" s="62"/>
      <c r="BT871" s="62"/>
      <c r="BU871" s="62"/>
      <c r="BV871" s="62"/>
      <c r="BW871" s="62"/>
      <c r="BX871" s="62"/>
      <c r="BY871" s="62"/>
      <c r="BZ871" s="62"/>
      <c r="CA871" s="62"/>
      <c r="CB871" s="62"/>
      <c r="CC871" s="62"/>
      <c r="CD871" s="62"/>
      <c r="CE871" s="62"/>
      <c r="CF871" s="62"/>
      <c r="CG871" s="62"/>
      <c r="CH871" s="62"/>
      <c r="CI871" s="62"/>
      <c r="CJ871" s="62"/>
      <c r="CK871" s="62"/>
      <c r="CL871" s="62"/>
      <c r="CM871" s="62"/>
      <c r="CN871" s="62"/>
      <c r="CO871" s="62"/>
      <c r="CP871" s="62"/>
      <c r="CQ871" s="62"/>
      <c r="CR871" s="62"/>
      <c r="CS871" s="62"/>
      <c r="CT871" s="62"/>
      <c r="CU871" s="62"/>
      <c r="CV871" s="62"/>
      <c r="CW871" s="62"/>
      <c r="CX871" s="62"/>
      <c r="CY871" s="62"/>
      <c r="CZ871" s="62"/>
      <c r="DA871" s="62"/>
      <c r="DB871" s="62"/>
      <c r="DC871" s="62"/>
      <c r="DD871" s="62"/>
      <c r="DE871" s="62"/>
      <c r="DF871" s="62"/>
      <c r="DG871" s="62"/>
      <c r="DH871" s="62"/>
      <c r="DI871" s="62"/>
      <c r="DJ871" s="62"/>
      <c r="DK871" s="62"/>
      <c r="DL871" s="62"/>
      <c r="DM871" s="62"/>
      <c r="DN871" s="62"/>
      <c r="DO871" s="62"/>
      <c r="DP871" s="62"/>
      <c r="DQ871" s="62"/>
      <c r="DR871" s="62"/>
      <c r="DS871" s="62"/>
      <c r="DT871" s="62"/>
      <c r="DU871" s="62"/>
      <c r="DV871" s="62"/>
      <c r="DW871" s="62"/>
      <c r="DX871" s="62"/>
      <c r="DY871" s="62"/>
      <c r="DZ871" s="62"/>
      <c r="EA871" s="62"/>
      <c r="EB871" s="62"/>
      <c r="EC871" s="62"/>
      <c r="ED871" s="62"/>
      <c r="EE871" s="62"/>
      <c r="EF871" s="62"/>
      <c r="EG871" s="62"/>
      <c r="EH871" s="62"/>
      <c r="EI871" s="62"/>
      <c r="EJ871" s="62"/>
      <c r="EK871" s="62"/>
      <c r="EL871" s="62"/>
      <c r="EM871" s="62"/>
      <c r="EN871" s="62"/>
      <c r="EO871" s="62"/>
      <c r="EP871" s="62"/>
      <c r="EQ871" s="62"/>
      <c r="ER871" s="62"/>
      <c r="ES871" s="62"/>
      <c r="ET871" s="62"/>
      <c r="EU871" s="62"/>
      <c r="EV871" s="62"/>
      <c r="EW871" s="62"/>
      <c r="EX871" s="62"/>
      <c r="EY871" s="62"/>
      <c r="EZ871" s="62"/>
      <c r="FA871" s="62"/>
      <c r="FB871" s="62"/>
      <c r="FC871" s="62"/>
      <c r="FD871" s="62"/>
      <c r="FE871" s="62"/>
      <c r="FF871" s="62"/>
      <c r="FG871" s="62"/>
      <c r="FH871" s="62"/>
      <c r="FI871" s="62"/>
      <c r="FJ871" s="62"/>
      <c r="FK871" s="62"/>
      <c r="FL871" s="62"/>
      <c r="FM871" s="62"/>
      <c r="FN871" s="62"/>
      <c r="FO871" s="62"/>
      <c r="FP871" s="62"/>
      <c r="FQ871" s="62"/>
      <c r="FR871" s="62"/>
      <c r="FS871" s="62"/>
      <c r="FT871" s="62"/>
      <c r="FU871" s="62"/>
      <c r="FV871" s="62"/>
    </row>
    <row r="872" spans="1:178" ht="13.8">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c r="AT872" s="62"/>
      <c r="AU872" s="62"/>
      <c r="AV872" s="62"/>
      <c r="AW872" s="62"/>
      <c r="AX872" s="62"/>
      <c r="AY872" s="62"/>
      <c r="AZ872" s="62"/>
      <c r="BA872" s="62"/>
      <c r="BB872" s="62"/>
      <c r="BC872" s="62"/>
      <c r="BD872" s="62"/>
      <c r="BE872" s="62"/>
      <c r="BF872" s="62"/>
      <c r="BG872" s="62"/>
      <c r="BH872" s="62"/>
      <c r="BI872" s="62"/>
      <c r="BJ872" s="62"/>
      <c r="BK872" s="62"/>
      <c r="BL872" s="62"/>
      <c r="BM872" s="62"/>
      <c r="BN872" s="62"/>
      <c r="BO872" s="62"/>
      <c r="BP872" s="62"/>
      <c r="BQ872" s="62"/>
      <c r="BR872" s="62"/>
      <c r="BS872" s="62"/>
      <c r="BT872" s="62"/>
      <c r="BU872" s="62"/>
      <c r="BV872" s="62"/>
      <c r="BW872" s="62"/>
      <c r="BX872" s="62"/>
      <c r="BY872" s="62"/>
      <c r="BZ872" s="62"/>
      <c r="CA872" s="62"/>
      <c r="CB872" s="62"/>
      <c r="CC872" s="62"/>
      <c r="CD872" s="62"/>
      <c r="CE872" s="62"/>
      <c r="CF872" s="62"/>
      <c r="CG872" s="62"/>
      <c r="CH872" s="62"/>
      <c r="CI872" s="62"/>
      <c r="CJ872" s="62"/>
      <c r="CK872" s="62"/>
      <c r="CL872" s="62"/>
      <c r="CM872" s="62"/>
      <c r="CN872" s="62"/>
      <c r="CO872" s="62"/>
      <c r="CP872" s="62"/>
      <c r="CQ872" s="62"/>
      <c r="CR872" s="62"/>
      <c r="CS872" s="62"/>
      <c r="CT872" s="62"/>
      <c r="CU872" s="62"/>
      <c r="CV872" s="62"/>
      <c r="CW872" s="62"/>
      <c r="CX872" s="62"/>
      <c r="CY872" s="62"/>
      <c r="CZ872" s="62"/>
      <c r="DA872" s="62"/>
      <c r="DB872" s="62"/>
      <c r="DC872" s="62"/>
      <c r="DD872" s="62"/>
      <c r="DE872" s="62"/>
      <c r="DF872" s="62"/>
      <c r="DG872" s="62"/>
      <c r="DH872" s="62"/>
      <c r="DI872" s="62"/>
      <c r="DJ872" s="62"/>
      <c r="DK872" s="62"/>
      <c r="DL872" s="62"/>
      <c r="DM872" s="62"/>
      <c r="DN872" s="62"/>
      <c r="DO872" s="62"/>
      <c r="DP872" s="62"/>
      <c r="DQ872" s="62"/>
      <c r="DR872" s="62"/>
      <c r="DS872" s="62"/>
      <c r="DT872" s="62"/>
      <c r="DU872" s="62"/>
      <c r="DV872" s="62"/>
      <c r="DW872" s="62"/>
      <c r="DX872" s="62"/>
      <c r="DY872" s="62"/>
      <c r="DZ872" s="62"/>
      <c r="EA872" s="62"/>
      <c r="EB872" s="62"/>
      <c r="EC872" s="62"/>
      <c r="ED872" s="62"/>
      <c r="EE872" s="62"/>
      <c r="EF872" s="62"/>
      <c r="EG872" s="62"/>
      <c r="EH872" s="62"/>
      <c r="EI872" s="62"/>
      <c r="EJ872" s="62"/>
      <c r="EK872" s="62"/>
      <c r="EL872" s="62"/>
      <c r="EM872" s="62"/>
      <c r="EN872" s="62"/>
      <c r="EO872" s="62"/>
      <c r="EP872" s="62"/>
      <c r="EQ872" s="62"/>
      <c r="ER872" s="62"/>
      <c r="ES872" s="62"/>
      <c r="ET872" s="62"/>
      <c r="EU872" s="62"/>
      <c r="EV872" s="62"/>
      <c r="EW872" s="62"/>
      <c r="EX872" s="62"/>
      <c r="EY872" s="62"/>
      <c r="EZ872" s="62"/>
      <c r="FA872" s="62"/>
      <c r="FB872" s="62"/>
      <c r="FC872" s="62"/>
      <c r="FD872" s="62"/>
      <c r="FE872" s="62"/>
      <c r="FF872" s="62"/>
      <c r="FG872" s="62"/>
      <c r="FH872" s="62"/>
      <c r="FI872" s="62"/>
      <c r="FJ872" s="62"/>
      <c r="FK872" s="62"/>
      <c r="FL872" s="62"/>
      <c r="FM872" s="62"/>
      <c r="FN872" s="62"/>
      <c r="FO872" s="62"/>
      <c r="FP872" s="62"/>
      <c r="FQ872" s="62"/>
      <c r="FR872" s="62"/>
      <c r="FS872" s="62"/>
      <c r="FT872" s="62"/>
      <c r="FU872" s="62"/>
      <c r="FV872" s="62"/>
    </row>
    <row r="873" spans="1:178" ht="13.8">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c r="AT873" s="62"/>
      <c r="AU873" s="62"/>
      <c r="AV873" s="62"/>
      <c r="AW873" s="62"/>
      <c r="AX873" s="62"/>
      <c r="AY873" s="62"/>
      <c r="AZ873" s="62"/>
      <c r="BA873" s="62"/>
      <c r="BB873" s="62"/>
      <c r="BC873" s="62"/>
      <c r="BD873" s="62"/>
      <c r="BE873" s="62"/>
      <c r="BF873" s="62"/>
      <c r="BG873" s="62"/>
      <c r="BH873" s="62"/>
      <c r="BI873" s="62"/>
      <c r="BJ873" s="62"/>
      <c r="BK873" s="62"/>
      <c r="BL873" s="62"/>
      <c r="BM873" s="62"/>
      <c r="BN873" s="62"/>
      <c r="BO873" s="62"/>
      <c r="BP873" s="62"/>
      <c r="BQ873" s="62"/>
      <c r="BR873" s="62"/>
      <c r="BS873" s="62"/>
      <c r="BT873" s="62"/>
      <c r="BU873" s="62"/>
      <c r="BV873" s="62"/>
      <c r="BW873" s="62"/>
      <c r="BX873" s="62"/>
      <c r="BY873" s="62"/>
      <c r="BZ873" s="62"/>
      <c r="CA873" s="62"/>
      <c r="CB873" s="62"/>
      <c r="CC873" s="62"/>
      <c r="CD873" s="62"/>
      <c r="CE873" s="62"/>
      <c r="CF873" s="62"/>
      <c r="CG873" s="62"/>
      <c r="CH873" s="62"/>
      <c r="CI873" s="62"/>
      <c r="CJ873" s="62"/>
      <c r="CK873" s="62"/>
      <c r="CL873" s="62"/>
      <c r="CM873" s="62"/>
      <c r="CN873" s="62"/>
      <c r="CO873" s="62"/>
      <c r="CP873" s="62"/>
      <c r="CQ873" s="62"/>
      <c r="CR873" s="62"/>
      <c r="CS873" s="62"/>
      <c r="CT873" s="62"/>
      <c r="CU873" s="62"/>
      <c r="CV873" s="62"/>
      <c r="CW873" s="62"/>
      <c r="CX873" s="62"/>
      <c r="CY873" s="62"/>
      <c r="CZ873" s="62"/>
      <c r="DA873" s="62"/>
      <c r="DB873" s="62"/>
      <c r="DC873" s="62"/>
      <c r="DD873" s="62"/>
      <c r="DE873" s="62"/>
      <c r="DF873" s="62"/>
      <c r="DG873" s="62"/>
      <c r="DH873" s="62"/>
      <c r="DI873" s="62"/>
      <c r="DJ873" s="62"/>
      <c r="DK873" s="62"/>
      <c r="DL873" s="62"/>
      <c r="DM873" s="62"/>
      <c r="DN873" s="62"/>
      <c r="DO873" s="62"/>
      <c r="DP873" s="62"/>
      <c r="DQ873" s="62"/>
      <c r="DR873" s="62"/>
      <c r="DS873" s="62"/>
      <c r="DT873" s="62"/>
      <c r="DU873" s="62"/>
      <c r="DV873" s="62"/>
      <c r="DW873" s="62"/>
      <c r="DX873" s="62"/>
      <c r="DY873" s="62"/>
      <c r="DZ873" s="62"/>
      <c r="EA873" s="62"/>
      <c r="EB873" s="62"/>
      <c r="EC873" s="62"/>
      <c r="ED873" s="62"/>
      <c r="EE873" s="62"/>
      <c r="EF873" s="62"/>
      <c r="EG873" s="62"/>
      <c r="EH873" s="62"/>
      <c r="EI873" s="62"/>
      <c r="EJ873" s="62"/>
      <c r="EK873" s="62"/>
      <c r="EL873" s="62"/>
      <c r="EM873" s="62"/>
      <c r="EN873" s="62"/>
      <c r="EO873" s="62"/>
      <c r="EP873" s="62"/>
      <c r="EQ873" s="62"/>
      <c r="ER873" s="62"/>
      <c r="ES873" s="62"/>
      <c r="ET873" s="62"/>
      <c r="EU873" s="62"/>
      <c r="EV873" s="62"/>
      <c r="EW873" s="62"/>
      <c r="EX873" s="62"/>
      <c r="EY873" s="62"/>
      <c r="EZ873" s="62"/>
      <c r="FA873" s="62"/>
      <c r="FB873" s="62"/>
      <c r="FC873" s="62"/>
      <c r="FD873" s="62"/>
      <c r="FE873" s="62"/>
      <c r="FF873" s="62"/>
      <c r="FG873" s="62"/>
      <c r="FH873" s="62"/>
      <c r="FI873" s="62"/>
      <c r="FJ873" s="62"/>
      <c r="FK873" s="62"/>
      <c r="FL873" s="62"/>
      <c r="FM873" s="62"/>
      <c r="FN873" s="62"/>
      <c r="FO873" s="62"/>
      <c r="FP873" s="62"/>
      <c r="FQ873" s="62"/>
      <c r="FR873" s="62"/>
      <c r="FS873" s="62"/>
      <c r="FT873" s="62"/>
      <c r="FU873" s="62"/>
      <c r="FV873" s="62"/>
    </row>
    <row r="874" spans="1:178" ht="13.8">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c r="AT874" s="62"/>
      <c r="AU874" s="62"/>
      <c r="AV874" s="62"/>
      <c r="AW874" s="62"/>
      <c r="AX874" s="62"/>
      <c r="AY874" s="62"/>
      <c r="AZ874" s="62"/>
      <c r="BA874" s="62"/>
      <c r="BB874" s="62"/>
      <c r="BC874" s="62"/>
      <c r="BD874" s="62"/>
      <c r="BE874" s="62"/>
      <c r="BF874" s="62"/>
      <c r="BG874" s="62"/>
      <c r="BH874" s="62"/>
      <c r="BI874" s="62"/>
      <c r="BJ874" s="62"/>
      <c r="BK874" s="62"/>
      <c r="BL874" s="62"/>
      <c r="BM874" s="62"/>
      <c r="BN874" s="62"/>
      <c r="BO874" s="62"/>
      <c r="BP874" s="62"/>
      <c r="BQ874" s="62"/>
      <c r="BR874" s="62"/>
      <c r="BS874" s="62"/>
      <c r="BT874" s="62"/>
      <c r="BU874" s="62"/>
      <c r="BV874" s="62"/>
      <c r="BW874" s="62"/>
      <c r="BX874" s="62"/>
      <c r="BY874" s="62"/>
      <c r="BZ874" s="62"/>
      <c r="CA874" s="62"/>
      <c r="CB874" s="62"/>
      <c r="CC874" s="62"/>
      <c r="CD874" s="62"/>
      <c r="CE874" s="62"/>
      <c r="CF874" s="62"/>
      <c r="CG874" s="62"/>
      <c r="CH874" s="62"/>
      <c r="CI874" s="62"/>
      <c r="CJ874" s="62"/>
      <c r="CK874" s="62"/>
      <c r="CL874" s="62"/>
      <c r="CM874" s="62"/>
      <c r="CN874" s="62"/>
      <c r="CO874" s="62"/>
      <c r="CP874" s="62"/>
      <c r="CQ874" s="62"/>
      <c r="CR874" s="62"/>
      <c r="CS874" s="62"/>
      <c r="CT874" s="62"/>
      <c r="CU874" s="62"/>
      <c r="CV874" s="62"/>
      <c r="CW874" s="62"/>
      <c r="CX874" s="62"/>
      <c r="CY874" s="62"/>
      <c r="CZ874" s="62"/>
      <c r="DA874" s="62"/>
      <c r="DB874" s="62"/>
      <c r="DC874" s="62"/>
      <c r="DD874" s="62"/>
      <c r="DE874" s="62"/>
      <c r="DF874" s="62"/>
      <c r="DG874" s="62"/>
      <c r="DH874" s="62"/>
      <c r="DI874" s="62"/>
      <c r="DJ874" s="62"/>
      <c r="DK874" s="62"/>
      <c r="DL874" s="62"/>
      <c r="DM874" s="62"/>
      <c r="DN874" s="62"/>
      <c r="DO874" s="62"/>
      <c r="DP874" s="62"/>
      <c r="DQ874" s="62"/>
      <c r="DR874" s="62"/>
      <c r="DS874" s="62"/>
      <c r="DT874" s="62"/>
      <c r="DU874" s="62"/>
      <c r="DV874" s="62"/>
      <c r="DW874" s="62"/>
      <c r="DX874" s="62"/>
      <c r="DY874" s="62"/>
      <c r="DZ874" s="62"/>
      <c r="EA874" s="62"/>
      <c r="EB874" s="62"/>
      <c r="EC874" s="62"/>
      <c r="ED874" s="62"/>
      <c r="EE874" s="62"/>
      <c r="EF874" s="62"/>
      <c r="EG874" s="62"/>
      <c r="EH874" s="62"/>
      <c r="EI874" s="62"/>
      <c r="EJ874" s="62"/>
      <c r="EK874" s="62"/>
      <c r="EL874" s="62"/>
      <c r="EM874" s="62"/>
      <c r="EN874" s="62"/>
      <c r="EO874" s="62"/>
      <c r="EP874" s="62"/>
      <c r="EQ874" s="62"/>
      <c r="ER874" s="62"/>
      <c r="ES874" s="62"/>
      <c r="ET874" s="62"/>
      <c r="EU874" s="62"/>
      <c r="EV874" s="62"/>
      <c r="EW874" s="62"/>
      <c r="EX874" s="62"/>
      <c r="EY874" s="62"/>
      <c r="EZ874" s="62"/>
      <c r="FA874" s="62"/>
      <c r="FB874" s="62"/>
      <c r="FC874" s="62"/>
      <c r="FD874" s="62"/>
      <c r="FE874" s="62"/>
      <c r="FF874" s="62"/>
      <c r="FG874" s="62"/>
      <c r="FH874" s="62"/>
      <c r="FI874" s="62"/>
      <c r="FJ874" s="62"/>
      <c r="FK874" s="62"/>
      <c r="FL874" s="62"/>
      <c r="FM874" s="62"/>
      <c r="FN874" s="62"/>
      <c r="FO874" s="62"/>
      <c r="FP874" s="62"/>
      <c r="FQ874" s="62"/>
      <c r="FR874" s="62"/>
      <c r="FS874" s="62"/>
      <c r="FT874" s="62"/>
      <c r="FU874" s="62"/>
      <c r="FV874" s="62"/>
    </row>
    <row r="875" spans="1:178" ht="13.8">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c r="AT875" s="62"/>
      <c r="AU875" s="62"/>
      <c r="AV875" s="62"/>
      <c r="AW875" s="62"/>
      <c r="AX875" s="62"/>
      <c r="AY875" s="62"/>
      <c r="AZ875" s="62"/>
      <c r="BA875" s="62"/>
      <c r="BB875" s="62"/>
      <c r="BC875" s="62"/>
      <c r="BD875" s="62"/>
      <c r="BE875" s="62"/>
      <c r="BF875" s="62"/>
      <c r="BG875" s="62"/>
      <c r="BH875" s="62"/>
      <c r="BI875" s="62"/>
      <c r="BJ875" s="62"/>
      <c r="BK875" s="62"/>
      <c r="BL875" s="62"/>
      <c r="BM875" s="62"/>
      <c r="BN875" s="62"/>
      <c r="BO875" s="62"/>
      <c r="BP875" s="62"/>
      <c r="BQ875" s="62"/>
      <c r="BR875" s="62"/>
      <c r="BS875" s="62"/>
      <c r="BT875" s="62"/>
      <c r="BU875" s="62"/>
      <c r="BV875" s="62"/>
      <c r="BW875" s="62"/>
      <c r="BX875" s="62"/>
      <c r="BY875" s="62"/>
      <c r="BZ875" s="62"/>
      <c r="CA875" s="62"/>
      <c r="CB875" s="62"/>
      <c r="CC875" s="62"/>
      <c r="CD875" s="62"/>
      <c r="CE875" s="62"/>
      <c r="CF875" s="62"/>
      <c r="CG875" s="62"/>
      <c r="CH875" s="62"/>
      <c r="CI875" s="62"/>
      <c r="CJ875" s="62"/>
      <c r="CK875" s="62"/>
      <c r="CL875" s="62"/>
      <c r="CM875" s="62"/>
      <c r="CN875" s="62"/>
      <c r="CO875" s="62"/>
      <c r="CP875" s="62"/>
      <c r="CQ875" s="62"/>
      <c r="CR875" s="62"/>
      <c r="CS875" s="62"/>
      <c r="CT875" s="62"/>
      <c r="CU875" s="62"/>
      <c r="CV875" s="62"/>
      <c r="CW875" s="62"/>
      <c r="CX875" s="62"/>
      <c r="CY875" s="62"/>
      <c r="CZ875" s="62"/>
      <c r="DA875" s="62"/>
      <c r="DB875" s="62"/>
      <c r="DC875" s="62"/>
      <c r="DD875" s="62"/>
      <c r="DE875" s="62"/>
      <c r="DF875" s="62"/>
      <c r="DG875" s="62"/>
      <c r="DH875" s="62"/>
      <c r="DI875" s="62"/>
      <c r="DJ875" s="62"/>
      <c r="DK875" s="62"/>
      <c r="DL875" s="62"/>
      <c r="DM875" s="62"/>
      <c r="DN875" s="62"/>
      <c r="DO875" s="62"/>
      <c r="DP875" s="62"/>
      <c r="DQ875" s="62"/>
      <c r="DR875" s="62"/>
      <c r="DS875" s="62"/>
      <c r="DT875" s="62"/>
      <c r="DU875" s="62"/>
      <c r="DV875" s="62"/>
      <c r="DW875" s="62"/>
      <c r="DX875" s="62"/>
      <c r="DY875" s="62"/>
      <c r="DZ875" s="62"/>
      <c r="EA875" s="62"/>
      <c r="EB875" s="62"/>
      <c r="EC875" s="62"/>
      <c r="ED875" s="62"/>
      <c r="EE875" s="62"/>
      <c r="EF875" s="62"/>
      <c r="EG875" s="62"/>
      <c r="EH875" s="62"/>
      <c r="EI875" s="62"/>
      <c r="EJ875" s="62"/>
      <c r="EK875" s="62"/>
      <c r="EL875" s="62"/>
      <c r="EM875" s="62"/>
      <c r="EN875" s="62"/>
      <c r="EO875" s="62"/>
      <c r="EP875" s="62"/>
      <c r="EQ875" s="62"/>
      <c r="ER875" s="62"/>
      <c r="ES875" s="62"/>
      <c r="ET875" s="62"/>
      <c r="EU875" s="62"/>
      <c r="EV875" s="62"/>
      <c r="EW875" s="62"/>
      <c r="EX875" s="62"/>
      <c r="EY875" s="62"/>
      <c r="EZ875" s="62"/>
      <c r="FA875" s="62"/>
      <c r="FB875" s="62"/>
      <c r="FC875" s="62"/>
      <c r="FD875" s="62"/>
      <c r="FE875" s="62"/>
      <c r="FF875" s="62"/>
      <c r="FG875" s="62"/>
      <c r="FH875" s="62"/>
      <c r="FI875" s="62"/>
      <c r="FJ875" s="62"/>
      <c r="FK875" s="62"/>
      <c r="FL875" s="62"/>
      <c r="FM875" s="62"/>
      <c r="FN875" s="62"/>
      <c r="FO875" s="62"/>
      <c r="FP875" s="62"/>
      <c r="FQ875" s="62"/>
      <c r="FR875" s="62"/>
      <c r="FS875" s="62"/>
      <c r="FT875" s="62"/>
      <c r="FU875" s="62"/>
      <c r="FV875" s="62"/>
    </row>
    <row r="876" spans="1:178" ht="13.8">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c r="AT876" s="62"/>
      <c r="AU876" s="62"/>
      <c r="AV876" s="62"/>
      <c r="AW876" s="62"/>
      <c r="AX876" s="62"/>
      <c r="AY876" s="62"/>
      <c r="AZ876" s="62"/>
      <c r="BA876" s="62"/>
      <c r="BB876" s="62"/>
      <c r="BC876" s="62"/>
      <c r="BD876" s="62"/>
      <c r="BE876" s="62"/>
      <c r="BF876" s="62"/>
      <c r="BG876" s="62"/>
      <c r="BH876" s="62"/>
      <c r="BI876" s="62"/>
      <c r="BJ876" s="62"/>
      <c r="BK876" s="62"/>
      <c r="BL876" s="62"/>
      <c r="BM876" s="62"/>
      <c r="BN876" s="62"/>
      <c r="BO876" s="62"/>
      <c r="BP876" s="62"/>
      <c r="BQ876" s="62"/>
      <c r="BR876" s="62"/>
      <c r="BS876" s="62"/>
      <c r="BT876" s="62"/>
      <c r="BU876" s="62"/>
      <c r="BV876" s="62"/>
      <c r="BW876" s="62"/>
      <c r="BX876" s="62"/>
      <c r="BY876" s="62"/>
      <c r="BZ876" s="62"/>
      <c r="CA876" s="62"/>
      <c r="CB876" s="62"/>
      <c r="CC876" s="62"/>
      <c r="CD876" s="62"/>
      <c r="CE876" s="62"/>
      <c r="CF876" s="62"/>
      <c r="CG876" s="62"/>
      <c r="CH876" s="62"/>
      <c r="CI876" s="62"/>
      <c r="CJ876" s="62"/>
      <c r="CK876" s="62"/>
      <c r="CL876" s="62"/>
      <c r="CM876" s="62"/>
      <c r="CN876" s="62"/>
      <c r="CO876" s="62"/>
      <c r="CP876" s="62"/>
      <c r="CQ876" s="62"/>
      <c r="CR876" s="62"/>
      <c r="CS876" s="62"/>
      <c r="CT876" s="62"/>
      <c r="CU876" s="62"/>
      <c r="CV876" s="62"/>
      <c r="CW876" s="62"/>
      <c r="CX876" s="62"/>
      <c r="CY876" s="62"/>
      <c r="CZ876" s="62"/>
      <c r="DA876" s="62"/>
      <c r="DB876" s="62"/>
      <c r="DC876" s="62"/>
      <c r="DD876" s="62"/>
      <c r="DE876" s="62"/>
      <c r="DF876" s="62"/>
      <c r="DG876" s="62"/>
      <c r="DH876" s="62"/>
      <c r="DI876" s="62"/>
      <c r="DJ876" s="62"/>
      <c r="DK876" s="62"/>
      <c r="DL876" s="62"/>
      <c r="DM876" s="62"/>
      <c r="DN876" s="62"/>
      <c r="DO876" s="62"/>
      <c r="DP876" s="62"/>
      <c r="DQ876" s="62"/>
      <c r="DR876" s="62"/>
      <c r="DS876" s="62"/>
      <c r="DT876" s="62"/>
      <c r="DU876" s="62"/>
      <c r="DV876" s="62"/>
      <c r="DW876" s="62"/>
      <c r="DX876" s="62"/>
      <c r="DY876" s="62"/>
      <c r="DZ876" s="62"/>
      <c r="EA876" s="62"/>
      <c r="EB876" s="62"/>
      <c r="EC876" s="62"/>
      <c r="ED876" s="62"/>
      <c r="EE876" s="62"/>
      <c r="EF876" s="62"/>
      <c r="EG876" s="62"/>
      <c r="EH876" s="62"/>
      <c r="EI876" s="62"/>
      <c r="EJ876" s="62"/>
      <c r="EK876" s="62"/>
      <c r="EL876" s="62"/>
      <c r="EM876" s="62"/>
      <c r="EN876" s="62"/>
      <c r="EO876" s="62"/>
      <c r="EP876" s="62"/>
      <c r="EQ876" s="62"/>
      <c r="ER876" s="62"/>
      <c r="ES876" s="62"/>
      <c r="ET876" s="62"/>
      <c r="EU876" s="62"/>
      <c r="EV876" s="62"/>
      <c r="EW876" s="62"/>
      <c r="EX876" s="62"/>
      <c r="EY876" s="62"/>
      <c r="EZ876" s="62"/>
      <c r="FA876" s="62"/>
      <c r="FB876" s="62"/>
      <c r="FC876" s="62"/>
      <c r="FD876" s="62"/>
      <c r="FE876" s="62"/>
      <c r="FF876" s="62"/>
      <c r="FG876" s="62"/>
      <c r="FH876" s="62"/>
      <c r="FI876" s="62"/>
      <c r="FJ876" s="62"/>
      <c r="FK876" s="62"/>
      <c r="FL876" s="62"/>
      <c r="FM876" s="62"/>
      <c r="FN876" s="62"/>
      <c r="FO876" s="62"/>
      <c r="FP876" s="62"/>
      <c r="FQ876" s="62"/>
      <c r="FR876" s="62"/>
      <c r="FS876" s="62"/>
      <c r="FT876" s="62"/>
      <c r="FU876" s="62"/>
      <c r="FV876" s="62"/>
    </row>
    <row r="877" spans="1:178" ht="13.8">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c r="AT877" s="62"/>
      <c r="AU877" s="62"/>
      <c r="AV877" s="62"/>
      <c r="AW877" s="62"/>
      <c r="AX877" s="62"/>
      <c r="AY877" s="62"/>
      <c r="AZ877" s="62"/>
      <c r="BA877" s="62"/>
      <c r="BB877" s="62"/>
      <c r="BC877" s="62"/>
      <c r="BD877" s="62"/>
      <c r="BE877" s="62"/>
      <c r="BF877" s="62"/>
      <c r="BG877" s="62"/>
      <c r="BH877" s="62"/>
      <c r="BI877" s="62"/>
      <c r="BJ877" s="62"/>
      <c r="BK877" s="62"/>
      <c r="BL877" s="62"/>
      <c r="BM877" s="62"/>
      <c r="BN877" s="62"/>
      <c r="BO877" s="62"/>
      <c r="BP877" s="62"/>
      <c r="BQ877" s="62"/>
      <c r="BR877" s="62"/>
      <c r="BS877" s="62"/>
      <c r="BT877" s="62"/>
      <c r="BU877" s="62"/>
      <c r="BV877" s="62"/>
      <c r="BW877" s="62"/>
      <c r="BX877" s="62"/>
      <c r="BY877" s="62"/>
      <c r="BZ877" s="62"/>
      <c r="CA877" s="62"/>
      <c r="CB877" s="62"/>
      <c r="CC877" s="62"/>
      <c r="CD877" s="62"/>
      <c r="CE877" s="62"/>
      <c r="CF877" s="62"/>
      <c r="CG877" s="62"/>
      <c r="CH877" s="62"/>
      <c r="CI877" s="62"/>
      <c r="CJ877" s="62"/>
      <c r="CK877" s="62"/>
      <c r="CL877" s="62"/>
      <c r="CM877" s="62"/>
      <c r="CN877" s="62"/>
      <c r="CO877" s="62"/>
      <c r="CP877" s="62"/>
      <c r="CQ877" s="62"/>
      <c r="CR877" s="62"/>
      <c r="CS877" s="62"/>
      <c r="CT877" s="62"/>
      <c r="CU877" s="62"/>
      <c r="CV877" s="62"/>
      <c r="CW877" s="62"/>
      <c r="CX877" s="62"/>
      <c r="CY877" s="62"/>
      <c r="CZ877" s="62"/>
      <c r="DA877" s="62"/>
      <c r="DB877" s="62"/>
      <c r="DC877" s="62"/>
      <c r="DD877" s="62"/>
      <c r="DE877" s="62"/>
      <c r="DF877" s="62"/>
      <c r="DG877" s="62"/>
      <c r="DH877" s="62"/>
      <c r="DI877" s="62"/>
      <c r="DJ877" s="62"/>
      <c r="DK877" s="62"/>
      <c r="DL877" s="62"/>
      <c r="DM877" s="62"/>
      <c r="DN877" s="62"/>
      <c r="DO877" s="62"/>
      <c r="DP877" s="62"/>
      <c r="DQ877" s="62"/>
      <c r="DR877" s="62"/>
      <c r="DS877" s="62"/>
      <c r="DT877" s="62"/>
      <c r="DU877" s="62"/>
      <c r="DV877" s="62"/>
      <c r="DW877" s="62"/>
      <c r="DX877" s="62"/>
      <c r="DY877" s="62"/>
      <c r="DZ877" s="62"/>
      <c r="EA877" s="62"/>
      <c r="EB877" s="62"/>
      <c r="EC877" s="62"/>
      <c r="ED877" s="62"/>
      <c r="EE877" s="62"/>
      <c r="EF877" s="62"/>
      <c r="EG877" s="62"/>
      <c r="EH877" s="62"/>
      <c r="EI877" s="62"/>
      <c r="EJ877" s="62"/>
      <c r="EK877" s="62"/>
      <c r="EL877" s="62"/>
      <c r="EM877" s="62"/>
      <c r="EN877" s="62"/>
      <c r="EO877" s="62"/>
      <c r="EP877" s="62"/>
      <c r="EQ877" s="62"/>
      <c r="ER877" s="62"/>
      <c r="ES877" s="62"/>
      <c r="ET877" s="62"/>
      <c r="EU877" s="62"/>
      <c r="EV877" s="62"/>
      <c r="EW877" s="62"/>
      <c r="EX877" s="62"/>
      <c r="EY877" s="62"/>
      <c r="EZ877" s="62"/>
      <c r="FA877" s="62"/>
      <c r="FB877" s="62"/>
      <c r="FC877" s="62"/>
      <c r="FD877" s="62"/>
      <c r="FE877" s="62"/>
      <c r="FF877" s="62"/>
      <c r="FG877" s="62"/>
      <c r="FH877" s="62"/>
      <c r="FI877" s="62"/>
      <c r="FJ877" s="62"/>
      <c r="FK877" s="62"/>
      <c r="FL877" s="62"/>
      <c r="FM877" s="62"/>
      <c r="FN877" s="62"/>
      <c r="FO877" s="62"/>
      <c r="FP877" s="62"/>
      <c r="FQ877" s="62"/>
      <c r="FR877" s="62"/>
      <c r="FS877" s="62"/>
      <c r="FT877" s="62"/>
      <c r="FU877" s="62"/>
      <c r="FV877" s="62"/>
    </row>
    <row r="878" spans="1:178" ht="13.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c r="AT878" s="62"/>
      <c r="AU878" s="62"/>
      <c r="AV878" s="62"/>
      <c r="AW878" s="62"/>
      <c r="AX878" s="62"/>
      <c r="AY878" s="62"/>
      <c r="AZ878" s="62"/>
      <c r="BA878" s="62"/>
      <c r="BB878" s="62"/>
      <c r="BC878" s="62"/>
      <c r="BD878" s="62"/>
      <c r="BE878" s="62"/>
      <c r="BF878" s="62"/>
      <c r="BG878" s="62"/>
      <c r="BH878" s="62"/>
      <c r="BI878" s="62"/>
      <c r="BJ878" s="62"/>
      <c r="BK878" s="62"/>
      <c r="BL878" s="62"/>
      <c r="BM878" s="62"/>
      <c r="BN878" s="62"/>
      <c r="BO878" s="62"/>
      <c r="BP878" s="62"/>
      <c r="BQ878" s="62"/>
      <c r="BR878" s="62"/>
      <c r="BS878" s="62"/>
      <c r="BT878" s="62"/>
      <c r="BU878" s="62"/>
      <c r="BV878" s="62"/>
      <c r="BW878" s="62"/>
      <c r="BX878" s="62"/>
      <c r="BY878" s="62"/>
      <c r="BZ878" s="62"/>
      <c r="CA878" s="62"/>
      <c r="CB878" s="62"/>
      <c r="CC878" s="62"/>
      <c r="CD878" s="62"/>
      <c r="CE878" s="62"/>
      <c r="CF878" s="62"/>
      <c r="CG878" s="62"/>
      <c r="CH878" s="62"/>
      <c r="CI878" s="62"/>
      <c r="CJ878" s="62"/>
      <c r="CK878" s="62"/>
      <c r="CL878" s="62"/>
      <c r="CM878" s="62"/>
      <c r="CN878" s="62"/>
      <c r="CO878" s="62"/>
      <c r="CP878" s="62"/>
      <c r="CQ878" s="62"/>
      <c r="CR878" s="62"/>
      <c r="CS878" s="62"/>
      <c r="CT878" s="62"/>
      <c r="CU878" s="62"/>
      <c r="CV878" s="62"/>
      <c r="CW878" s="62"/>
      <c r="CX878" s="62"/>
      <c r="CY878" s="62"/>
      <c r="CZ878" s="62"/>
      <c r="DA878" s="62"/>
      <c r="DB878" s="62"/>
      <c r="DC878" s="62"/>
      <c r="DD878" s="62"/>
      <c r="DE878" s="62"/>
      <c r="DF878" s="62"/>
      <c r="DG878" s="62"/>
      <c r="DH878" s="62"/>
      <c r="DI878" s="62"/>
      <c r="DJ878" s="62"/>
      <c r="DK878" s="62"/>
      <c r="DL878" s="62"/>
      <c r="DM878" s="62"/>
      <c r="DN878" s="62"/>
      <c r="DO878" s="62"/>
      <c r="DP878" s="62"/>
      <c r="DQ878" s="62"/>
      <c r="DR878" s="62"/>
      <c r="DS878" s="62"/>
      <c r="DT878" s="62"/>
      <c r="DU878" s="62"/>
      <c r="DV878" s="62"/>
      <c r="DW878" s="62"/>
      <c r="DX878" s="62"/>
      <c r="DY878" s="62"/>
      <c r="DZ878" s="62"/>
      <c r="EA878" s="62"/>
      <c r="EB878" s="62"/>
      <c r="EC878" s="62"/>
      <c r="ED878" s="62"/>
      <c r="EE878" s="62"/>
      <c r="EF878" s="62"/>
      <c r="EG878" s="62"/>
      <c r="EH878" s="62"/>
      <c r="EI878" s="62"/>
      <c r="EJ878" s="62"/>
      <c r="EK878" s="62"/>
      <c r="EL878" s="62"/>
      <c r="EM878" s="62"/>
      <c r="EN878" s="62"/>
      <c r="EO878" s="62"/>
      <c r="EP878" s="62"/>
      <c r="EQ878" s="62"/>
      <c r="ER878" s="62"/>
      <c r="ES878" s="62"/>
      <c r="ET878" s="62"/>
      <c r="EU878" s="62"/>
      <c r="EV878" s="62"/>
      <c r="EW878" s="62"/>
      <c r="EX878" s="62"/>
      <c r="EY878" s="62"/>
      <c r="EZ878" s="62"/>
      <c r="FA878" s="62"/>
      <c r="FB878" s="62"/>
      <c r="FC878" s="62"/>
      <c r="FD878" s="62"/>
      <c r="FE878" s="62"/>
      <c r="FF878" s="62"/>
      <c r="FG878" s="62"/>
      <c r="FH878" s="62"/>
      <c r="FI878" s="62"/>
      <c r="FJ878" s="62"/>
      <c r="FK878" s="62"/>
      <c r="FL878" s="62"/>
      <c r="FM878" s="62"/>
      <c r="FN878" s="62"/>
      <c r="FO878" s="62"/>
      <c r="FP878" s="62"/>
      <c r="FQ878" s="62"/>
      <c r="FR878" s="62"/>
      <c r="FS878" s="62"/>
      <c r="FT878" s="62"/>
      <c r="FU878" s="62"/>
      <c r="FV878" s="62"/>
    </row>
    <row r="879" spans="1:178" ht="13.8">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c r="AT879" s="62"/>
      <c r="AU879" s="62"/>
      <c r="AV879" s="62"/>
      <c r="AW879" s="62"/>
      <c r="AX879" s="62"/>
      <c r="AY879" s="62"/>
      <c r="AZ879" s="62"/>
      <c r="BA879" s="62"/>
      <c r="BB879" s="62"/>
      <c r="BC879" s="62"/>
      <c r="BD879" s="62"/>
      <c r="BE879" s="62"/>
      <c r="BF879" s="62"/>
      <c r="BG879" s="62"/>
      <c r="BH879" s="62"/>
      <c r="BI879" s="62"/>
      <c r="BJ879" s="62"/>
      <c r="BK879" s="62"/>
      <c r="BL879" s="62"/>
      <c r="BM879" s="62"/>
      <c r="BN879" s="62"/>
      <c r="BO879" s="62"/>
      <c r="BP879" s="62"/>
      <c r="BQ879" s="62"/>
      <c r="BR879" s="62"/>
      <c r="BS879" s="62"/>
      <c r="BT879" s="62"/>
      <c r="BU879" s="62"/>
      <c r="BV879" s="62"/>
      <c r="BW879" s="62"/>
      <c r="BX879" s="62"/>
      <c r="BY879" s="62"/>
      <c r="BZ879" s="62"/>
      <c r="CA879" s="62"/>
      <c r="CB879" s="62"/>
      <c r="CC879" s="62"/>
      <c r="CD879" s="62"/>
      <c r="CE879" s="62"/>
      <c r="CF879" s="62"/>
      <c r="CG879" s="62"/>
      <c r="CH879" s="62"/>
      <c r="CI879" s="62"/>
      <c r="CJ879" s="62"/>
      <c r="CK879" s="62"/>
      <c r="CL879" s="62"/>
      <c r="CM879" s="62"/>
      <c r="CN879" s="62"/>
      <c r="CO879" s="62"/>
      <c r="CP879" s="62"/>
      <c r="CQ879" s="62"/>
      <c r="CR879" s="62"/>
      <c r="CS879" s="62"/>
      <c r="CT879" s="62"/>
      <c r="CU879" s="62"/>
      <c r="CV879" s="62"/>
      <c r="CW879" s="62"/>
      <c r="CX879" s="62"/>
      <c r="CY879" s="62"/>
      <c r="CZ879" s="62"/>
      <c r="DA879" s="62"/>
      <c r="DB879" s="62"/>
      <c r="DC879" s="62"/>
      <c r="DD879" s="62"/>
      <c r="DE879" s="62"/>
      <c r="DF879" s="62"/>
      <c r="DG879" s="62"/>
      <c r="DH879" s="62"/>
      <c r="DI879" s="62"/>
      <c r="DJ879" s="62"/>
      <c r="DK879" s="62"/>
      <c r="DL879" s="62"/>
      <c r="DM879" s="62"/>
      <c r="DN879" s="62"/>
      <c r="DO879" s="62"/>
      <c r="DP879" s="62"/>
      <c r="DQ879" s="62"/>
      <c r="DR879" s="62"/>
      <c r="DS879" s="62"/>
      <c r="DT879" s="62"/>
      <c r="DU879" s="62"/>
      <c r="DV879" s="62"/>
      <c r="DW879" s="62"/>
      <c r="DX879" s="62"/>
      <c r="DY879" s="62"/>
      <c r="DZ879" s="62"/>
      <c r="EA879" s="62"/>
      <c r="EB879" s="62"/>
      <c r="EC879" s="62"/>
      <c r="ED879" s="62"/>
      <c r="EE879" s="62"/>
      <c r="EF879" s="62"/>
      <c r="EG879" s="62"/>
      <c r="EH879" s="62"/>
      <c r="EI879" s="62"/>
      <c r="EJ879" s="62"/>
      <c r="EK879" s="62"/>
      <c r="EL879" s="62"/>
      <c r="EM879" s="62"/>
      <c r="EN879" s="62"/>
      <c r="EO879" s="62"/>
      <c r="EP879" s="62"/>
      <c r="EQ879" s="62"/>
      <c r="ER879" s="62"/>
      <c r="ES879" s="62"/>
      <c r="ET879" s="62"/>
      <c r="EU879" s="62"/>
      <c r="EV879" s="62"/>
      <c r="EW879" s="62"/>
      <c r="EX879" s="62"/>
      <c r="EY879" s="62"/>
      <c r="EZ879" s="62"/>
      <c r="FA879" s="62"/>
      <c r="FB879" s="62"/>
      <c r="FC879" s="62"/>
      <c r="FD879" s="62"/>
      <c r="FE879" s="62"/>
      <c r="FF879" s="62"/>
      <c r="FG879" s="62"/>
      <c r="FH879" s="62"/>
      <c r="FI879" s="62"/>
      <c r="FJ879" s="62"/>
      <c r="FK879" s="62"/>
      <c r="FL879" s="62"/>
      <c r="FM879" s="62"/>
      <c r="FN879" s="62"/>
      <c r="FO879" s="62"/>
      <c r="FP879" s="62"/>
      <c r="FQ879" s="62"/>
      <c r="FR879" s="62"/>
      <c r="FS879" s="62"/>
      <c r="FT879" s="62"/>
      <c r="FU879" s="62"/>
      <c r="FV879" s="62"/>
    </row>
    <row r="880" spans="1:178" ht="13.8">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c r="AT880" s="62"/>
      <c r="AU880" s="62"/>
      <c r="AV880" s="62"/>
      <c r="AW880" s="62"/>
      <c r="AX880" s="62"/>
      <c r="AY880" s="62"/>
      <c r="AZ880" s="62"/>
      <c r="BA880" s="62"/>
      <c r="BB880" s="62"/>
      <c r="BC880" s="62"/>
      <c r="BD880" s="62"/>
      <c r="BE880" s="62"/>
      <c r="BF880" s="62"/>
      <c r="BG880" s="62"/>
      <c r="BH880" s="62"/>
      <c r="BI880" s="62"/>
      <c r="BJ880" s="62"/>
      <c r="BK880" s="62"/>
      <c r="BL880" s="62"/>
      <c r="BM880" s="62"/>
      <c r="BN880" s="62"/>
      <c r="BO880" s="62"/>
      <c r="BP880" s="62"/>
      <c r="BQ880" s="62"/>
      <c r="BR880" s="62"/>
      <c r="BS880" s="62"/>
      <c r="BT880" s="62"/>
      <c r="BU880" s="62"/>
      <c r="BV880" s="62"/>
      <c r="BW880" s="62"/>
      <c r="BX880" s="62"/>
      <c r="BY880" s="62"/>
      <c r="BZ880" s="62"/>
      <c r="CA880" s="62"/>
      <c r="CB880" s="62"/>
      <c r="CC880" s="62"/>
      <c r="CD880" s="62"/>
      <c r="CE880" s="62"/>
      <c r="CF880" s="62"/>
      <c r="CG880" s="62"/>
      <c r="CH880" s="62"/>
      <c r="CI880" s="62"/>
      <c r="CJ880" s="62"/>
      <c r="CK880" s="62"/>
      <c r="CL880" s="62"/>
      <c r="CM880" s="62"/>
      <c r="CN880" s="62"/>
      <c r="CO880" s="62"/>
      <c r="CP880" s="62"/>
      <c r="CQ880" s="62"/>
      <c r="CR880" s="62"/>
      <c r="CS880" s="62"/>
      <c r="CT880" s="62"/>
      <c r="CU880" s="62"/>
      <c r="CV880" s="62"/>
      <c r="CW880" s="62"/>
      <c r="CX880" s="62"/>
      <c r="CY880" s="62"/>
      <c r="CZ880" s="62"/>
      <c r="DA880" s="62"/>
      <c r="DB880" s="62"/>
      <c r="DC880" s="62"/>
      <c r="DD880" s="62"/>
      <c r="DE880" s="62"/>
      <c r="DF880" s="62"/>
      <c r="DG880" s="62"/>
      <c r="DH880" s="62"/>
      <c r="DI880" s="62"/>
      <c r="DJ880" s="62"/>
      <c r="DK880" s="62"/>
      <c r="DL880" s="62"/>
      <c r="DM880" s="62"/>
      <c r="DN880" s="62"/>
      <c r="DO880" s="62"/>
      <c r="DP880" s="62"/>
      <c r="DQ880" s="62"/>
      <c r="DR880" s="62"/>
      <c r="DS880" s="62"/>
      <c r="DT880" s="62"/>
      <c r="DU880" s="62"/>
      <c r="DV880" s="62"/>
      <c r="DW880" s="62"/>
      <c r="DX880" s="62"/>
      <c r="DY880" s="62"/>
      <c r="DZ880" s="62"/>
      <c r="EA880" s="62"/>
      <c r="EB880" s="62"/>
      <c r="EC880" s="62"/>
      <c r="ED880" s="62"/>
      <c r="EE880" s="62"/>
      <c r="EF880" s="62"/>
      <c r="EG880" s="62"/>
      <c r="EH880" s="62"/>
      <c r="EI880" s="62"/>
      <c r="EJ880" s="62"/>
      <c r="EK880" s="62"/>
      <c r="EL880" s="62"/>
      <c r="EM880" s="62"/>
      <c r="EN880" s="62"/>
      <c r="EO880" s="62"/>
      <c r="EP880" s="62"/>
      <c r="EQ880" s="62"/>
      <c r="ER880" s="62"/>
      <c r="ES880" s="62"/>
      <c r="ET880" s="62"/>
      <c r="EU880" s="62"/>
      <c r="EV880" s="62"/>
      <c r="EW880" s="62"/>
      <c r="EX880" s="62"/>
      <c r="EY880" s="62"/>
      <c r="EZ880" s="62"/>
      <c r="FA880" s="62"/>
      <c r="FB880" s="62"/>
      <c r="FC880" s="62"/>
      <c r="FD880" s="62"/>
      <c r="FE880" s="62"/>
      <c r="FF880" s="62"/>
      <c r="FG880" s="62"/>
      <c r="FH880" s="62"/>
      <c r="FI880" s="62"/>
      <c r="FJ880" s="62"/>
      <c r="FK880" s="62"/>
      <c r="FL880" s="62"/>
      <c r="FM880" s="62"/>
      <c r="FN880" s="62"/>
      <c r="FO880" s="62"/>
      <c r="FP880" s="62"/>
      <c r="FQ880" s="62"/>
      <c r="FR880" s="62"/>
      <c r="FS880" s="62"/>
      <c r="FT880" s="62"/>
      <c r="FU880" s="62"/>
      <c r="FV880" s="62"/>
    </row>
    <row r="881" spans="1:178" ht="13.8">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c r="AT881" s="62"/>
      <c r="AU881" s="62"/>
      <c r="AV881" s="62"/>
      <c r="AW881" s="62"/>
      <c r="AX881" s="62"/>
      <c r="AY881" s="62"/>
      <c r="AZ881" s="62"/>
      <c r="BA881" s="62"/>
      <c r="BB881" s="62"/>
      <c r="BC881" s="62"/>
      <c r="BD881" s="62"/>
      <c r="BE881" s="62"/>
      <c r="BF881" s="62"/>
      <c r="BG881" s="62"/>
      <c r="BH881" s="62"/>
      <c r="BI881" s="62"/>
      <c r="BJ881" s="62"/>
      <c r="BK881" s="62"/>
      <c r="BL881" s="62"/>
      <c r="BM881" s="62"/>
      <c r="BN881" s="62"/>
      <c r="BO881" s="62"/>
      <c r="BP881" s="62"/>
      <c r="BQ881" s="62"/>
      <c r="BR881" s="62"/>
      <c r="BS881" s="62"/>
      <c r="BT881" s="62"/>
      <c r="BU881" s="62"/>
      <c r="BV881" s="62"/>
      <c r="BW881" s="62"/>
      <c r="BX881" s="62"/>
      <c r="BY881" s="62"/>
      <c r="BZ881" s="62"/>
      <c r="CA881" s="62"/>
      <c r="CB881" s="62"/>
      <c r="CC881" s="62"/>
      <c r="CD881" s="62"/>
      <c r="CE881" s="62"/>
      <c r="CF881" s="62"/>
      <c r="CG881" s="62"/>
      <c r="CH881" s="62"/>
      <c r="CI881" s="62"/>
      <c r="CJ881" s="62"/>
      <c r="CK881" s="62"/>
      <c r="CL881" s="62"/>
      <c r="CM881" s="62"/>
      <c r="CN881" s="62"/>
      <c r="CO881" s="62"/>
      <c r="CP881" s="62"/>
      <c r="CQ881" s="62"/>
      <c r="CR881" s="62"/>
      <c r="CS881" s="62"/>
      <c r="CT881" s="62"/>
      <c r="CU881" s="62"/>
      <c r="CV881" s="62"/>
      <c r="CW881" s="62"/>
      <c r="CX881" s="62"/>
      <c r="CY881" s="62"/>
      <c r="CZ881" s="62"/>
      <c r="DA881" s="62"/>
      <c r="DB881" s="62"/>
      <c r="DC881" s="62"/>
      <c r="DD881" s="62"/>
      <c r="DE881" s="62"/>
      <c r="DF881" s="62"/>
      <c r="DG881" s="62"/>
      <c r="DH881" s="62"/>
      <c r="DI881" s="62"/>
      <c r="DJ881" s="62"/>
      <c r="DK881" s="62"/>
      <c r="DL881" s="62"/>
      <c r="DM881" s="62"/>
      <c r="DN881" s="62"/>
      <c r="DO881" s="62"/>
      <c r="DP881" s="62"/>
      <c r="DQ881" s="62"/>
      <c r="DR881" s="62"/>
      <c r="DS881" s="62"/>
      <c r="DT881" s="62"/>
      <c r="DU881" s="62"/>
      <c r="DV881" s="62"/>
      <c r="DW881" s="62"/>
      <c r="DX881" s="62"/>
      <c r="DY881" s="62"/>
      <c r="DZ881" s="62"/>
      <c r="EA881" s="62"/>
      <c r="EB881" s="62"/>
      <c r="EC881" s="62"/>
      <c r="ED881" s="62"/>
      <c r="EE881" s="62"/>
      <c r="EF881" s="62"/>
      <c r="EG881" s="62"/>
      <c r="EH881" s="62"/>
      <c r="EI881" s="62"/>
      <c r="EJ881" s="62"/>
      <c r="EK881" s="62"/>
      <c r="EL881" s="62"/>
      <c r="EM881" s="62"/>
      <c r="EN881" s="62"/>
      <c r="EO881" s="62"/>
      <c r="EP881" s="62"/>
      <c r="EQ881" s="62"/>
      <c r="ER881" s="62"/>
      <c r="ES881" s="62"/>
      <c r="ET881" s="62"/>
      <c r="EU881" s="62"/>
      <c r="EV881" s="62"/>
      <c r="EW881" s="62"/>
      <c r="EX881" s="62"/>
      <c r="EY881" s="62"/>
      <c r="EZ881" s="62"/>
      <c r="FA881" s="62"/>
      <c r="FB881" s="62"/>
      <c r="FC881" s="62"/>
      <c r="FD881" s="62"/>
      <c r="FE881" s="62"/>
      <c r="FF881" s="62"/>
      <c r="FG881" s="62"/>
      <c r="FH881" s="62"/>
      <c r="FI881" s="62"/>
      <c r="FJ881" s="62"/>
      <c r="FK881" s="62"/>
      <c r="FL881" s="62"/>
      <c r="FM881" s="62"/>
      <c r="FN881" s="62"/>
      <c r="FO881" s="62"/>
      <c r="FP881" s="62"/>
      <c r="FQ881" s="62"/>
      <c r="FR881" s="62"/>
      <c r="FS881" s="62"/>
      <c r="FT881" s="62"/>
      <c r="FU881" s="62"/>
      <c r="FV881" s="62"/>
    </row>
    <row r="882" spans="1:178" ht="13.8">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c r="AT882" s="62"/>
      <c r="AU882" s="62"/>
      <c r="AV882" s="62"/>
      <c r="AW882" s="62"/>
      <c r="AX882" s="62"/>
      <c r="AY882" s="62"/>
      <c r="AZ882" s="62"/>
      <c r="BA882" s="62"/>
      <c r="BB882" s="62"/>
      <c r="BC882" s="62"/>
      <c r="BD882" s="62"/>
      <c r="BE882" s="62"/>
      <c r="BF882" s="62"/>
      <c r="BG882" s="62"/>
      <c r="BH882" s="62"/>
      <c r="BI882" s="62"/>
      <c r="BJ882" s="62"/>
      <c r="BK882" s="62"/>
      <c r="BL882" s="62"/>
      <c r="BM882" s="62"/>
      <c r="BN882" s="62"/>
      <c r="BO882" s="62"/>
      <c r="BP882" s="62"/>
      <c r="BQ882" s="62"/>
      <c r="BR882" s="62"/>
      <c r="BS882" s="62"/>
      <c r="BT882" s="62"/>
      <c r="BU882" s="62"/>
      <c r="BV882" s="62"/>
      <c r="BW882" s="62"/>
      <c r="BX882" s="62"/>
      <c r="BY882" s="62"/>
      <c r="BZ882" s="62"/>
      <c r="CA882" s="62"/>
      <c r="CB882" s="62"/>
      <c r="CC882" s="62"/>
      <c r="CD882" s="62"/>
      <c r="CE882" s="62"/>
      <c r="CF882" s="62"/>
      <c r="CG882" s="62"/>
      <c r="CH882" s="62"/>
      <c r="CI882" s="62"/>
      <c r="CJ882" s="62"/>
      <c r="CK882" s="62"/>
      <c r="CL882" s="62"/>
      <c r="CM882" s="62"/>
      <c r="CN882" s="62"/>
      <c r="CO882" s="62"/>
      <c r="CP882" s="62"/>
      <c r="CQ882" s="62"/>
      <c r="CR882" s="62"/>
      <c r="CS882" s="62"/>
      <c r="CT882" s="62"/>
      <c r="CU882" s="62"/>
      <c r="CV882" s="62"/>
      <c r="CW882" s="62"/>
      <c r="CX882" s="62"/>
      <c r="CY882" s="62"/>
      <c r="CZ882" s="62"/>
      <c r="DA882" s="62"/>
      <c r="DB882" s="62"/>
      <c r="DC882" s="62"/>
      <c r="DD882" s="62"/>
      <c r="DE882" s="62"/>
      <c r="DF882" s="62"/>
      <c r="DG882" s="62"/>
      <c r="DH882" s="62"/>
      <c r="DI882" s="62"/>
      <c r="DJ882" s="62"/>
      <c r="DK882" s="62"/>
      <c r="DL882" s="62"/>
      <c r="DM882" s="62"/>
      <c r="DN882" s="62"/>
      <c r="DO882" s="62"/>
      <c r="DP882" s="62"/>
      <c r="DQ882" s="62"/>
      <c r="DR882" s="62"/>
      <c r="DS882" s="62"/>
      <c r="DT882" s="62"/>
      <c r="DU882" s="62"/>
      <c r="DV882" s="62"/>
      <c r="DW882" s="62"/>
      <c r="DX882" s="62"/>
      <c r="DY882" s="62"/>
      <c r="DZ882" s="62"/>
      <c r="EA882" s="62"/>
      <c r="EB882" s="62"/>
      <c r="EC882" s="62"/>
      <c r="ED882" s="62"/>
      <c r="EE882" s="62"/>
      <c r="EF882" s="62"/>
      <c r="EG882" s="62"/>
      <c r="EH882" s="62"/>
      <c r="EI882" s="62"/>
      <c r="EJ882" s="62"/>
      <c r="EK882" s="62"/>
      <c r="EL882" s="62"/>
      <c r="EM882" s="62"/>
      <c r="EN882" s="62"/>
      <c r="EO882" s="62"/>
      <c r="EP882" s="62"/>
      <c r="EQ882" s="62"/>
      <c r="ER882" s="62"/>
      <c r="ES882" s="62"/>
      <c r="ET882" s="62"/>
      <c r="EU882" s="62"/>
      <c r="EV882" s="62"/>
      <c r="EW882" s="62"/>
      <c r="EX882" s="62"/>
      <c r="EY882" s="62"/>
      <c r="EZ882" s="62"/>
      <c r="FA882" s="62"/>
      <c r="FB882" s="62"/>
      <c r="FC882" s="62"/>
      <c r="FD882" s="62"/>
      <c r="FE882" s="62"/>
      <c r="FF882" s="62"/>
      <c r="FG882" s="62"/>
      <c r="FH882" s="62"/>
      <c r="FI882" s="62"/>
      <c r="FJ882" s="62"/>
      <c r="FK882" s="62"/>
      <c r="FL882" s="62"/>
      <c r="FM882" s="62"/>
      <c r="FN882" s="62"/>
      <c r="FO882" s="62"/>
      <c r="FP882" s="62"/>
      <c r="FQ882" s="62"/>
      <c r="FR882" s="62"/>
      <c r="FS882" s="62"/>
      <c r="FT882" s="62"/>
      <c r="FU882" s="62"/>
      <c r="FV882" s="62"/>
    </row>
    <row r="883" spans="1:178" ht="13.8">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c r="AT883" s="62"/>
      <c r="AU883" s="62"/>
      <c r="AV883" s="62"/>
      <c r="AW883" s="62"/>
      <c r="AX883" s="62"/>
      <c r="AY883" s="62"/>
      <c r="AZ883" s="62"/>
      <c r="BA883" s="62"/>
      <c r="BB883" s="62"/>
      <c r="BC883" s="62"/>
      <c r="BD883" s="62"/>
      <c r="BE883" s="62"/>
      <c r="BF883" s="62"/>
      <c r="BG883" s="62"/>
      <c r="BH883" s="62"/>
      <c r="BI883" s="62"/>
      <c r="BJ883" s="62"/>
      <c r="BK883" s="62"/>
      <c r="BL883" s="62"/>
      <c r="BM883" s="62"/>
      <c r="BN883" s="62"/>
      <c r="BO883" s="62"/>
      <c r="BP883" s="62"/>
      <c r="BQ883" s="62"/>
      <c r="BR883" s="62"/>
      <c r="BS883" s="62"/>
      <c r="BT883" s="62"/>
      <c r="BU883" s="62"/>
      <c r="BV883" s="62"/>
      <c r="BW883" s="62"/>
      <c r="BX883" s="62"/>
      <c r="BY883" s="62"/>
      <c r="BZ883" s="62"/>
      <c r="CA883" s="62"/>
      <c r="CB883" s="62"/>
      <c r="CC883" s="62"/>
      <c r="CD883" s="62"/>
      <c r="CE883" s="62"/>
      <c r="CF883" s="62"/>
      <c r="CG883" s="62"/>
      <c r="CH883" s="62"/>
      <c r="CI883" s="62"/>
      <c r="CJ883" s="62"/>
      <c r="CK883" s="62"/>
      <c r="CL883" s="62"/>
      <c r="CM883" s="62"/>
      <c r="CN883" s="62"/>
      <c r="CO883" s="62"/>
      <c r="CP883" s="62"/>
      <c r="CQ883" s="62"/>
      <c r="CR883" s="62"/>
      <c r="CS883" s="62"/>
      <c r="CT883" s="62"/>
      <c r="CU883" s="62"/>
      <c r="CV883" s="62"/>
      <c r="CW883" s="62"/>
      <c r="CX883" s="62"/>
      <c r="CY883" s="62"/>
      <c r="CZ883" s="62"/>
      <c r="DA883" s="62"/>
      <c r="DB883" s="62"/>
      <c r="DC883" s="62"/>
      <c r="DD883" s="62"/>
      <c r="DE883" s="62"/>
      <c r="DF883" s="62"/>
      <c r="DG883" s="62"/>
      <c r="DH883" s="62"/>
      <c r="DI883" s="62"/>
      <c r="DJ883" s="62"/>
      <c r="DK883" s="62"/>
      <c r="DL883" s="62"/>
      <c r="DM883" s="62"/>
      <c r="DN883" s="62"/>
      <c r="DO883" s="62"/>
      <c r="DP883" s="62"/>
      <c r="DQ883" s="62"/>
      <c r="DR883" s="62"/>
      <c r="DS883" s="62"/>
      <c r="DT883" s="62"/>
      <c r="DU883" s="62"/>
      <c r="DV883" s="62"/>
      <c r="DW883" s="62"/>
      <c r="DX883" s="62"/>
      <c r="DY883" s="62"/>
      <c r="DZ883" s="62"/>
      <c r="EA883" s="62"/>
      <c r="EB883" s="62"/>
      <c r="EC883" s="62"/>
      <c r="ED883" s="62"/>
      <c r="EE883" s="62"/>
      <c r="EF883" s="62"/>
      <c r="EG883" s="62"/>
      <c r="EH883" s="62"/>
      <c r="EI883" s="62"/>
      <c r="EJ883" s="62"/>
      <c r="EK883" s="62"/>
      <c r="EL883" s="62"/>
      <c r="EM883" s="62"/>
      <c r="EN883" s="62"/>
      <c r="EO883" s="62"/>
      <c r="EP883" s="62"/>
      <c r="EQ883" s="62"/>
      <c r="ER883" s="62"/>
      <c r="ES883" s="62"/>
      <c r="ET883" s="62"/>
      <c r="EU883" s="62"/>
      <c r="EV883" s="62"/>
      <c r="EW883" s="62"/>
      <c r="EX883" s="62"/>
      <c r="EY883" s="62"/>
      <c r="EZ883" s="62"/>
      <c r="FA883" s="62"/>
      <c r="FB883" s="62"/>
      <c r="FC883" s="62"/>
      <c r="FD883" s="62"/>
      <c r="FE883" s="62"/>
      <c r="FF883" s="62"/>
      <c r="FG883" s="62"/>
      <c r="FH883" s="62"/>
      <c r="FI883" s="62"/>
      <c r="FJ883" s="62"/>
      <c r="FK883" s="62"/>
      <c r="FL883" s="62"/>
      <c r="FM883" s="62"/>
      <c r="FN883" s="62"/>
      <c r="FO883" s="62"/>
      <c r="FP883" s="62"/>
      <c r="FQ883" s="62"/>
      <c r="FR883" s="62"/>
      <c r="FS883" s="62"/>
      <c r="FT883" s="62"/>
      <c r="FU883" s="62"/>
      <c r="FV883" s="62"/>
    </row>
    <row r="884" spans="1:178" ht="13.8">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c r="AT884" s="62"/>
      <c r="AU884" s="62"/>
      <c r="AV884" s="62"/>
      <c r="AW884" s="62"/>
      <c r="AX884" s="62"/>
      <c r="AY884" s="62"/>
      <c r="AZ884" s="62"/>
      <c r="BA884" s="62"/>
      <c r="BB884" s="62"/>
      <c r="BC884" s="62"/>
      <c r="BD884" s="62"/>
      <c r="BE884" s="62"/>
      <c r="BF884" s="62"/>
      <c r="BG884" s="62"/>
      <c r="BH884" s="62"/>
      <c r="BI884" s="62"/>
      <c r="BJ884" s="62"/>
      <c r="BK884" s="62"/>
      <c r="BL884" s="62"/>
      <c r="BM884" s="62"/>
      <c r="BN884" s="62"/>
      <c r="BO884" s="62"/>
      <c r="BP884" s="62"/>
      <c r="BQ884" s="62"/>
      <c r="BR884" s="62"/>
      <c r="BS884" s="62"/>
      <c r="BT884" s="62"/>
      <c r="BU884" s="62"/>
      <c r="BV884" s="62"/>
      <c r="BW884" s="62"/>
      <c r="BX884" s="62"/>
      <c r="BY884" s="62"/>
      <c r="BZ884" s="62"/>
      <c r="CA884" s="62"/>
      <c r="CB884" s="62"/>
      <c r="CC884" s="62"/>
      <c r="CD884" s="62"/>
      <c r="CE884" s="62"/>
      <c r="CF884" s="62"/>
      <c r="CG884" s="62"/>
      <c r="CH884" s="62"/>
      <c r="CI884" s="62"/>
      <c r="CJ884" s="62"/>
      <c r="CK884" s="62"/>
      <c r="CL884" s="62"/>
      <c r="CM884" s="62"/>
      <c r="CN884" s="62"/>
      <c r="CO884" s="62"/>
      <c r="CP884" s="62"/>
      <c r="CQ884" s="62"/>
      <c r="CR884" s="62"/>
      <c r="CS884" s="62"/>
      <c r="CT884" s="62"/>
      <c r="CU884" s="62"/>
      <c r="CV884" s="62"/>
      <c r="CW884" s="62"/>
      <c r="CX884" s="62"/>
      <c r="CY884" s="62"/>
      <c r="CZ884" s="62"/>
      <c r="DA884" s="62"/>
      <c r="DB884" s="62"/>
      <c r="DC884" s="62"/>
      <c r="DD884" s="62"/>
      <c r="DE884" s="62"/>
      <c r="DF884" s="62"/>
      <c r="DG884" s="62"/>
      <c r="DH884" s="62"/>
      <c r="DI884" s="62"/>
      <c r="DJ884" s="62"/>
      <c r="DK884" s="62"/>
      <c r="DL884" s="62"/>
      <c r="DM884" s="62"/>
      <c r="DN884" s="62"/>
      <c r="DO884" s="62"/>
      <c r="DP884" s="62"/>
      <c r="DQ884" s="62"/>
      <c r="DR884" s="62"/>
      <c r="DS884" s="62"/>
      <c r="DT884" s="62"/>
      <c r="DU884" s="62"/>
      <c r="DV884" s="62"/>
      <c r="DW884" s="62"/>
      <c r="DX884" s="62"/>
      <c r="DY884" s="62"/>
      <c r="DZ884" s="62"/>
      <c r="EA884" s="62"/>
      <c r="EB884" s="62"/>
      <c r="EC884" s="62"/>
      <c r="ED884" s="62"/>
      <c r="EE884" s="62"/>
      <c r="EF884" s="62"/>
      <c r="EG884" s="62"/>
      <c r="EH884" s="62"/>
      <c r="EI884" s="62"/>
      <c r="EJ884" s="62"/>
      <c r="EK884" s="62"/>
      <c r="EL884" s="62"/>
      <c r="EM884" s="62"/>
      <c r="EN884" s="62"/>
      <c r="EO884" s="62"/>
      <c r="EP884" s="62"/>
      <c r="EQ884" s="62"/>
      <c r="ER884" s="62"/>
      <c r="ES884" s="62"/>
      <c r="ET884" s="62"/>
      <c r="EU884" s="62"/>
      <c r="EV884" s="62"/>
      <c r="EW884" s="62"/>
      <c r="EX884" s="62"/>
      <c r="EY884" s="62"/>
      <c r="EZ884" s="62"/>
      <c r="FA884" s="62"/>
      <c r="FB884" s="62"/>
      <c r="FC884" s="62"/>
      <c r="FD884" s="62"/>
      <c r="FE884" s="62"/>
      <c r="FF884" s="62"/>
      <c r="FG884" s="62"/>
      <c r="FH884" s="62"/>
      <c r="FI884" s="62"/>
      <c r="FJ884" s="62"/>
      <c r="FK884" s="62"/>
      <c r="FL884" s="62"/>
      <c r="FM884" s="62"/>
      <c r="FN884" s="62"/>
      <c r="FO884" s="62"/>
      <c r="FP884" s="62"/>
      <c r="FQ884" s="62"/>
      <c r="FR884" s="62"/>
      <c r="FS884" s="62"/>
      <c r="FT884" s="62"/>
      <c r="FU884" s="62"/>
      <c r="FV884" s="62"/>
    </row>
    <row r="885" spans="1:178" ht="13.8">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c r="AT885" s="62"/>
      <c r="AU885" s="62"/>
      <c r="AV885" s="62"/>
      <c r="AW885" s="62"/>
      <c r="AX885" s="62"/>
      <c r="AY885" s="62"/>
      <c r="AZ885" s="62"/>
      <c r="BA885" s="62"/>
      <c r="BB885" s="62"/>
      <c r="BC885" s="62"/>
      <c r="BD885" s="62"/>
      <c r="BE885" s="62"/>
      <c r="BF885" s="62"/>
      <c r="BG885" s="62"/>
      <c r="BH885" s="62"/>
      <c r="BI885" s="62"/>
      <c r="BJ885" s="62"/>
      <c r="BK885" s="62"/>
      <c r="BL885" s="62"/>
      <c r="BM885" s="62"/>
      <c r="BN885" s="62"/>
      <c r="BO885" s="62"/>
      <c r="BP885" s="62"/>
      <c r="BQ885" s="62"/>
      <c r="BR885" s="62"/>
      <c r="BS885" s="62"/>
      <c r="BT885" s="62"/>
      <c r="BU885" s="62"/>
      <c r="BV885" s="62"/>
      <c r="BW885" s="62"/>
      <c r="BX885" s="62"/>
      <c r="BY885" s="62"/>
      <c r="BZ885" s="62"/>
      <c r="CA885" s="62"/>
      <c r="CB885" s="62"/>
      <c r="CC885" s="62"/>
      <c r="CD885" s="62"/>
      <c r="CE885" s="62"/>
      <c r="CF885" s="62"/>
      <c r="CG885" s="62"/>
      <c r="CH885" s="62"/>
      <c r="CI885" s="62"/>
      <c r="CJ885" s="62"/>
      <c r="CK885" s="62"/>
      <c r="CL885" s="62"/>
      <c r="CM885" s="62"/>
      <c r="CN885" s="62"/>
      <c r="CO885" s="62"/>
      <c r="CP885" s="62"/>
      <c r="CQ885" s="62"/>
      <c r="CR885" s="62"/>
      <c r="CS885" s="62"/>
      <c r="CT885" s="62"/>
      <c r="CU885" s="62"/>
      <c r="CV885" s="62"/>
      <c r="CW885" s="62"/>
      <c r="CX885" s="62"/>
      <c r="CY885" s="62"/>
      <c r="CZ885" s="62"/>
      <c r="DA885" s="62"/>
      <c r="DB885" s="62"/>
      <c r="DC885" s="62"/>
      <c r="DD885" s="62"/>
      <c r="DE885" s="62"/>
      <c r="DF885" s="62"/>
      <c r="DG885" s="62"/>
      <c r="DH885" s="62"/>
      <c r="DI885" s="62"/>
      <c r="DJ885" s="62"/>
      <c r="DK885" s="62"/>
      <c r="DL885" s="62"/>
      <c r="DM885" s="62"/>
      <c r="DN885" s="62"/>
      <c r="DO885" s="62"/>
      <c r="DP885" s="62"/>
      <c r="DQ885" s="62"/>
      <c r="DR885" s="62"/>
      <c r="DS885" s="62"/>
      <c r="DT885" s="62"/>
      <c r="DU885" s="62"/>
      <c r="DV885" s="62"/>
      <c r="DW885" s="62"/>
      <c r="DX885" s="62"/>
      <c r="DY885" s="62"/>
      <c r="DZ885" s="62"/>
      <c r="EA885" s="62"/>
      <c r="EB885" s="62"/>
      <c r="EC885" s="62"/>
      <c r="ED885" s="62"/>
      <c r="EE885" s="62"/>
      <c r="EF885" s="62"/>
      <c r="EG885" s="62"/>
      <c r="EH885" s="62"/>
      <c r="EI885" s="62"/>
      <c r="EJ885" s="62"/>
      <c r="EK885" s="62"/>
      <c r="EL885" s="62"/>
      <c r="EM885" s="62"/>
      <c r="EN885" s="62"/>
      <c r="EO885" s="62"/>
      <c r="EP885" s="62"/>
      <c r="EQ885" s="62"/>
      <c r="ER885" s="62"/>
      <c r="ES885" s="62"/>
      <c r="ET885" s="62"/>
      <c r="EU885" s="62"/>
      <c r="EV885" s="62"/>
      <c r="EW885" s="62"/>
      <c r="EX885" s="62"/>
      <c r="EY885" s="62"/>
      <c r="EZ885" s="62"/>
      <c r="FA885" s="62"/>
      <c r="FB885" s="62"/>
      <c r="FC885" s="62"/>
      <c r="FD885" s="62"/>
      <c r="FE885" s="62"/>
      <c r="FF885" s="62"/>
      <c r="FG885" s="62"/>
      <c r="FH885" s="62"/>
      <c r="FI885" s="62"/>
      <c r="FJ885" s="62"/>
      <c r="FK885" s="62"/>
      <c r="FL885" s="62"/>
      <c r="FM885" s="62"/>
      <c r="FN885" s="62"/>
      <c r="FO885" s="62"/>
      <c r="FP885" s="62"/>
      <c r="FQ885" s="62"/>
      <c r="FR885" s="62"/>
      <c r="FS885" s="62"/>
      <c r="FT885" s="62"/>
      <c r="FU885" s="62"/>
      <c r="FV885" s="62"/>
    </row>
    <row r="886" spans="1:178" ht="13.8">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c r="AY886" s="62"/>
      <c r="AZ886" s="62"/>
      <c r="BA886" s="62"/>
      <c r="BB886" s="62"/>
      <c r="BC886" s="62"/>
      <c r="BD886" s="62"/>
      <c r="BE886" s="62"/>
      <c r="BF886" s="62"/>
      <c r="BG886" s="62"/>
      <c r="BH886" s="62"/>
      <c r="BI886" s="62"/>
      <c r="BJ886" s="62"/>
      <c r="BK886" s="62"/>
      <c r="BL886" s="62"/>
      <c r="BM886" s="62"/>
      <c r="BN886" s="62"/>
      <c r="BO886" s="62"/>
      <c r="BP886" s="62"/>
      <c r="BQ886" s="62"/>
      <c r="BR886" s="62"/>
      <c r="BS886" s="62"/>
      <c r="BT886" s="62"/>
      <c r="BU886" s="62"/>
      <c r="BV886" s="62"/>
      <c r="BW886" s="62"/>
      <c r="BX886" s="62"/>
      <c r="BY886" s="62"/>
      <c r="BZ886" s="62"/>
      <c r="CA886" s="62"/>
      <c r="CB886" s="62"/>
      <c r="CC886" s="62"/>
      <c r="CD886" s="62"/>
      <c r="CE886" s="62"/>
      <c r="CF886" s="62"/>
      <c r="CG886" s="62"/>
      <c r="CH886" s="62"/>
      <c r="CI886" s="62"/>
      <c r="CJ886" s="62"/>
      <c r="CK886" s="62"/>
      <c r="CL886" s="62"/>
      <c r="CM886" s="62"/>
      <c r="CN886" s="62"/>
      <c r="CO886" s="62"/>
      <c r="CP886" s="62"/>
      <c r="CQ886" s="62"/>
      <c r="CR886" s="62"/>
      <c r="CS886" s="62"/>
      <c r="CT886" s="62"/>
      <c r="CU886" s="62"/>
      <c r="CV886" s="62"/>
      <c r="CW886" s="62"/>
      <c r="CX886" s="62"/>
      <c r="CY886" s="62"/>
      <c r="CZ886" s="62"/>
      <c r="DA886" s="62"/>
      <c r="DB886" s="62"/>
      <c r="DC886" s="62"/>
      <c r="DD886" s="62"/>
      <c r="DE886" s="62"/>
      <c r="DF886" s="62"/>
      <c r="DG886" s="62"/>
      <c r="DH886" s="62"/>
      <c r="DI886" s="62"/>
      <c r="DJ886" s="62"/>
      <c r="DK886" s="62"/>
      <c r="DL886" s="62"/>
      <c r="DM886" s="62"/>
      <c r="DN886" s="62"/>
      <c r="DO886" s="62"/>
      <c r="DP886" s="62"/>
      <c r="DQ886" s="62"/>
      <c r="DR886" s="62"/>
      <c r="DS886" s="62"/>
      <c r="DT886" s="62"/>
      <c r="DU886" s="62"/>
      <c r="DV886" s="62"/>
      <c r="DW886" s="62"/>
      <c r="DX886" s="62"/>
      <c r="DY886" s="62"/>
      <c r="DZ886" s="62"/>
      <c r="EA886" s="62"/>
      <c r="EB886" s="62"/>
      <c r="EC886" s="62"/>
      <c r="ED886" s="62"/>
      <c r="EE886" s="62"/>
      <c r="EF886" s="62"/>
      <c r="EG886" s="62"/>
      <c r="EH886" s="62"/>
      <c r="EI886" s="62"/>
      <c r="EJ886" s="62"/>
      <c r="EK886" s="62"/>
      <c r="EL886" s="62"/>
      <c r="EM886" s="62"/>
      <c r="EN886" s="62"/>
      <c r="EO886" s="62"/>
      <c r="EP886" s="62"/>
      <c r="EQ886" s="62"/>
      <c r="ER886" s="62"/>
      <c r="ES886" s="62"/>
      <c r="ET886" s="62"/>
      <c r="EU886" s="62"/>
      <c r="EV886" s="62"/>
      <c r="EW886" s="62"/>
      <c r="EX886" s="62"/>
      <c r="EY886" s="62"/>
      <c r="EZ886" s="62"/>
      <c r="FA886" s="62"/>
      <c r="FB886" s="62"/>
      <c r="FC886" s="62"/>
      <c r="FD886" s="62"/>
      <c r="FE886" s="62"/>
      <c r="FF886" s="62"/>
      <c r="FG886" s="62"/>
      <c r="FH886" s="62"/>
      <c r="FI886" s="62"/>
      <c r="FJ886" s="62"/>
      <c r="FK886" s="62"/>
      <c r="FL886" s="62"/>
      <c r="FM886" s="62"/>
      <c r="FN886" s="62"/>
      <c r="FO886" s="62"/>
      <c r="FP886" s="62"/>
      <c r="FQ886" s="62"/>
      <c r="FR886" s="62"/>
      <c r="FS886" s="62"/>
      <c r="FT886" s="62"/>
      <c r="FU886" s="62"/>
      <c r="FV886" s="62"/>
    </row>
    <row r="887" spans="1:178" ht="13.8">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c r="AT887" s="62"/>
      <c r="AU887" s="62"/>
      <c r="AV887" s="62"/>
      <c r="AW887" s="62"/>
      <c r="AX887" s="62"/>
      <c r="AY887" s="62"/>
      <c r="AZ887" s="62"/>
      <c r="BA887" s="62"/>
      <c r="BB887" s="62"/>
      <c r="BC887" s="62"/>
      <c r="BD887" s="62"/>
      <c r="BE887" s="62"/>
      <c r="BF887" s="62"/>
      <c r="BG887" s="62"/>
      <c r="BH887" s="62"/>
      <c r="BI887" s="62"/>
      <c r="BJ887" s="62"/>
      <c r="BK887" s="62"/>
      <c r="BL887" s="62"/>
      <c r="BM887" s="62"/>
      <c r="BN887" s="62"/>
      <c r="BO887" s="62"/>
      <c r="BP887" s="62"/>
      <c r="BQ887" s="62"/>
      <c r="BR887" s="62"/>
      <c r="BS887" s="62"/>
      <c r="BT887" s="62"/>
      <c r="BU887" s="62"/>
      <c r="BV887" s="62"/>
      <c r="BW887" s="62"/>
      <c r="BX887" s="62"/>
      <c r="BY887" s="62"/>
      <c r="BZ887" s="62"/>
      <c r="CA887" s="62"/>
      <c r="CB887" s="62"/>
      <c r="CC887" s="62"/>
      <c r="CD887" s="62"/>
      <c r="CE887" s="62"/>
      <c r="CF887" s="62"/>
      <c r="CG887" s="62"/>
      <c r="CH887" s="62"/>
      <c r="CI887" s="62"/>
      <c r="CJ887" s="62"/>
      <c r="CK887" s="62"/>
      <c r="CL887" s="62"/>
      <c r="CM887" s="62"/>
      <c r="CN887" s="62"/>
      <c r="CO887" s="62"/>
      <c r="CP887" s="62"/>
      <c r="CQ887" s="62"/>
      <c r="CR887" s="62"/>
      <c r="CS887" s="62"/>
      <c r="CT887" s="62"/>
      <c r="CU887" s="62"/>
      <c r="CV887" s="62"/>
      <c r="CW887" s="62"/>
      <c r="CX887" s="62"/>
      <c r="CY887" s="62"/>
      <c r="CZ887" s="62"/>
      <c r="DA887" s="62"/>
      <c r="DB887" s="62"/>
      <c r="DC887" s="62"/>
      <c r="DD887" s="62"/>
      <c r="DE887" s="62"/>
      <c r="DF887" s="62"/>
      <c r="DG887" s="62"/>
      <c r="DH887" s="62"/>
      <c r="DI887" s="62"/>
      <c r="DJ887" s="62"/>
      <c r="DK887" s="62"/>
      <c r="DL887" s="62"/>
      <c r="DM887" s="62"/>
      <c r="DN887" s="62"/>
      <c r="DO887" s="62"/>
      <c r="DP887" s="62"/>
      <c r="DQ887" s="62"/>
      <c r="DR887" s="62"/>
      <c r="DS887" s="62"/>
      <c r="DT887" s="62"/>
      <c r="DU887" s="62"/>
      <c r="DV887" s="62"/>
      <c r="DW887" s="62"/>
      <c r="DX887" s="62"/>
      <c r="DY887" s="62"/>
      <c r="DZ887" s="62"/>
      <c r="EA887" s="62"/>
      <c r="EB887" s="62"/>
      <c r="EC887" s="62"/>
      <c r="ED887" s="62"/>
      <c r="EE887" s="62"/>
      <c r="EF887" s="62"/>
      <c r="EG887" s="62"/>
      <c r="EH887" s="62"/>
      <c r="EI887" s="62"/>
      <c r="EJ887" s="62"/>
      <c r="EK887" s="62"/>
      <c r="EL887" s="62"/>
      <c r="EM887" s="62"/>
      <c r="EN887" s="62"/>
      <c r="EO887" s="62"/>
      <c r="EP887" s="62"/>
      <c r="EQ887" s="62"/>
      <c r="ER887" s="62"/>
      <c r="ES887" s="62"/>
      <c r="ET887" s="62"/>
      <c r="EU887" s="62"/>
      <c r="EV887" s="62"/>
      <c r="EW887" s="62"/>
      <c r="EX887" s="62"/>
      <c r="EY887" s="62"/>
      <c r="EZ887" s="62"/>
      <c r="FA887" s="62"/>
      <c r="FB887" s="62"/>
      <c r="FC887" s="62"/>
      <c r="FD887" s="62"/>
      <c r="FE887" s="62"/>
      <c r="FF887" s="62"/>
      <c r="FG887" s="62"/>
      <c r="FH887" s="62"/>
      <c r="FI887" s="62"/>
      <c r="FJ887" s="62"/>
      <c r="FK887" s="62"/>
      <c r="FL887" s="62"/>
      <c r="FM887" s="62"/>
      <c r="FN887" s="62"/>
      <c r="FO887" s="62"/>
      <c r="FP887" s="62"/>
      <c r="FQ887" s="62"/>
      <c r="FR887" s="62"/>
      <c r="FS887" s="62"/>
      <c r="FT887" s="62"/>
      <c r="FU887" s="62"/>
      <c r="FV887" s="62"/>
    </row>
    <row r="888" spans="1:178" ht="13.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c r="AT888" s="62"/>
      <c r="AU888" s="62"/>
      <c r="AV888" s="62"/>
      <c r="AW888" s="62"/>
      <c r="AX888" s="62"/>
      <c r="AY888" s="62"/>
      <c r="AZ888" s="62"/>
      <c r="BA888" s="62"/>
      <c r="BB888" s="62"/>
      <c r="BC888" s="62"/>
      <c r="BD888" s="62"/>
      <c r="BE888" s="62"/>
      <c r="BF888" s="62"/>
      <c r="BG888" s="62"/>
      <c r="BH888" s="62"/>
      <c r="BI888" s="62"/>
      <c r="BJ888" s="62"/>
      <c r="BK888" s="62"/>
      <c r="BL888" s="62"/>
      <c r="BM888" s="62"/>
      <c r="BN888" s="62"/>
      <c r="BO888" s="62"/>
      <c r="BP888" s="62"/>
      <c r="BQ888" s="62"/>
      <c r="BR888" s="62"/>
      <c r="BS888" s="62"/>
      <c r="BT888" s="62"/>
      <c r="BU888" s="62"/>
      <c r="BV888" s="62"/>
      <c r="BW888" s="62"/>
      <c r="BX888" s="62"/>
      <c r="BY888" s="62"/>
      <c r="BZ888" s="62"/>
      <c r="CA888" s="62"/>
      <c r="CB888" s="62"/>
      <c r="CC888" s="62"/>
      <c r="CD888" s="62"/>
      <c r="CE888" s="62"/>
      <c r="CF888" s="62"/>
      <c r="CG888" s="62"/>
      <c r="CH888" s="62"/>
      <c r="CI888" s="62"/>
      <c r="CJ888" s="62"/>
      <c r="CK888" s="62"/>
      <c r="CL888" s="62"/>
      <c r="CM888" s="62"/>
      <c r="CN888" s="62"/>
      <c r="CO888" s="62"/>
      <c r="CP888" s="62"/>
      <c r="CQ888" s="62"/>
      <c r="CR888" s="62"/>
      <c r="CS888" s="62"/>
      <c r="CT888" s="62"/>
      <c r="CU888" s="62"/>
      <c r="CV888" s="62"/>
      <c r="CW888" s="62"/>
      <c r="CX888" s="62"/>
      <c r="CY888" s="62"/>
      <c r="CZ888" s="62"/>
      <c r="DA888" s="62"/>
      <c r="DB888" s="62"/>
      <c r="DC888" s="62"/>
      <c r="DD888" s="62"/>
      <c r="DE888" s="62"/>
      <c r="DF888" s="62"/>
      <c r="DG888" s="62"/>
      <c r="DH888" s="62"/>
      <c r="DI888" s="62"/>
      <c r="DJ888" s="62"/>
      <c r="DK888" s="62"/>
      <c r="DL888" s="62"/>
      <c r="DM888" s="62"/>
      <c r="DN888" s="62"/>
      <c r="DO888" s="62"/>
      <c r="DP888" s="62"/>
      <c r="DQ888" s="62"/>
      <c r="DR888" s="62"/>
      <c r="DS888" s="62"/>
      <c r="DT888" s="62"/>
      <c r="DU888" s="62"/>
      <c r="DV888" s="62"/>
      <c r="DW888" s="62"/>
      <c r="DX888" s="62"/>
      <c r="DY888" s="62"/>
      <c r="DZ888" s="62"/>
      <c r="EA888" s="62"/>
      <c r="EB888" s="62"/>
      <c r="EC888" s="62"/>
      <c r="ED888" s="62"/>
      <c r="EE888" s="62"/>
      <c r="EF888" s="62"/>
      <c r="EG888" s="62"/>
      <c r="EH888" s="62"/>
      <c r="EI888" s="62"/>
      <c r="EJ888" s="62"/>
      <c r="EK888" s="62"/>
      <c r="EL888" s="62"/>
      <c r="EM888" s="62"/>
      <c r="EN888" s="62"/>
      <c r="EO888" s="62"/>
      <c r="EP888" s="62"/>
      <c r="EQ888" s="62"/>
      <c r="ER888" s="62"/>
      <c r="ES888" s="62"/>
      <c r="ET888" s="62"/>
      <c r="EU888" s="62"/>
      <c r="EV888" s="62"/>
      <c r="EW888" s="62"/>
      <c r="EX888" s="62"/>
      <c r="EY888" s="62"/>
      <c r="EZ888" s="62"/>
      <c r="FA888" s="62"/>
      <c r="FB888" s="62"/>
      <c r="FC888" s="62"/>
      <c r="FD888" s="62"/>
      <c r="FE888" s="62"/>
      <c r="FF888" s="62"/>
      <c r="FG888" s="62"/>
      <c r="FH888" s="62"/>
      <c r="FI888" s="62"/>
      <c r="FJ888" s="62"/>
      <c r="FK888" s="62"/>
      <c r="FL888" s="62"/>
      <c r="FM888" s="62"/>
      <c r="FN888" s="62"/>
      <c r="FO888" s="62"/>
      <c r="FP888" s="62"/>
      <c r="FQ888" s="62"/>
      <c r="FR888" s="62"/>
      <c r="FS888" s="62"/>
      <c r="FT888" s="62"/>
      <c r="FU888" s="62"/>
      <c r="FV888" s="62"/>
    </row>
    <row r="889" spans="1:178" ht="13.8">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c r="AT889" s="62"/>
      <c r="AU889" s="62"/>
      <c r="AV889" s="62"/>
      <c r="AW889" s="62"/>
      <c r="AX889" s="62"/>
      <c r="AY889" s="62"/>
      <c r="AZ889" s="62"/>
      <c r="BA889" s="62"/>
      <c r="BB889" s="62"/>
      <c r="BC889" s="62"/>
      <c r="BD889" s="62"/>
      <c r="BE889" s="62"/>
      <c r="BF889" s="62"/>
      <c r="BG889" s="62"/>
      <c r="BH889" s="62"/>
      <c r="BI889" s="62"/>
      <c r="BJ889" s="62"/>
      <c r="BK889" s="62"/>
      <c r="BL889" s="62"/>
      <c r="BM889" s="62"/>
      <c r="BN889" s="62"/>
      <c r="BO889" s="62"/>
      <c r="BP889" s="62"/>
      <c r="BQ889" s="62"/>
      <c r="BR889" s="62"/>
      <c r="BS889" s="62"/>
      <c r="BT889" s="62"/>
      <c r="BU889" s="62"/>
      <c r="BV889" s="62"/>
      <c r="BW889" s="62"/>
      <c r="BX889" s="62"/>
      <c r="BY889" s="62"/>
      <c r="BZ889" s="62"/>
      <c r="CA889" s="62"/>
      <c r="CB889" s="62"/>
      <c r="CC889" s="62"/>
      <c r="CD889" s="62"/>
      <c r="CE889" s="62"/>
      <c r="CF889" s="62"/>
      <c r="CG889" s="62"/>
      <c r="CH889" s="62"/>
      <c r="CI889" s="62"/>
      <c r="CJ889" s="62"/>
      <c r="CK889" s="62"/>
      <c r="CL889" s="62"/>
      <c r="CM889" s="62"/>
      <c r="CN889" s="62"/>
      <c r="CO889" s="62"/>
      <c r="CP889" s="62"/>
      <c r="CQ889" s="62"/>
      <c r="CR889" s="62"/>
      <c r="CS889" s="62"/>
      <c r="CT889" s="62"/>
      <c r="CU889" s="62"/>
      <c r="CV889" s="62"/>
      <c r="CW889" s="62"/>
      <c r="CX889" s="62"/>
      <c r="CY889" s="62"/>
      <c r="CZ889" s="62"/>
      <c r="DA889" s="62"/>
      <c r="DB889" s="62"/>
      <c r="DC889" s="62"/>
      <c r="DD889" s="62"/>
      <c r="DE889" s="62"/>
      <c r="DF889" s="62"/>
      <c r="DG889" s="62"/>
      <c r="DH889" s="62"/>
      <c r="DI889" s="62"/>
      <c r="DJ889" s="62"/>
      <c r="DK889" s="62"/>
      <c r="DL889" s="62"/>
      <c r="DM889" s="62"/>
      <c r="DN889" s="62"/>
      <c r="DO889" s="62"/>
      <c r="DP889" s="62"/>
      <c r="DQ889" s="62"/>
      <c r="DR889" s="62"/>
      <c r="DS889" s="62"/>
      <c r="DT889" s="62"/>
      <c r="DU889" s="62"/>
      <c r="DV889" s="62"/>
      <c r="DW889" s="62"/>
      <c r="DX889" s="62"/>
      <c r="DY889" s="62"/>
      <c r="DZ889" s="62"/>
      <c r="EA889" s="62"/>
      <c r="EB889" s="62"/>
      <c r="EC889" s="62"/>
      <c r="ED889" s="62"/>
      <c r="EE889" s="62"/>
      <c r="EF889" s="62"/>
      <c r="EG889" s="62"/>
      <c r="EH889" s="62"/>
      <c r="EI889" s="62"/>
      <c r="EJ889" s="62"/>
      <c r="EK889" s="62"/>
      <c r="EL889" s="62"/>
      <c r="EM889" s="62"/>
      <c r="EN889" s="62"/>
      <c r="EO889" s="62"/>
      <c r="EP889" s="62"/>
      <c r="EQ889" s="62"/>
      <c r="ER889" s="62"/>
      <c r="ES889" s="62"/>
      <c r="ET889" s="62"/>
      <c r="EU889" s="62"/>
      <c r="EV889" s="62"/>
      <c r="EW889" s="62"/>
      <c r="EX889" s="62"/>
      <c r="EY889" s="62"/>
      <c r="EZ889" s="62"/>
      <c r="FA889" s="62"/>
      <c r="FB889" s="62"/>
      <c r="FC889" s="62"/>
      <c r="FD889" s="62"/>
      <c r="FE889" s="62"/>
      <c r="FF889" s="62"/>
      <c r="FG889" s="62"/>
      <c r="FH889" s="62"/>
      <c r="FI889" s="62"/>
      <c r="FJ889" s="62"/>
      <c r="FK889" s="62"/>
      <c r="FL889" s="62"/>
      <c r="FM889" s="62"/>
      <c r="FN889" s="62"/>
      <c r="FO889" s="62"/>
      <c r="FP889" s="62"/>
      <c r="FQ889" s="62"/>
      <c r="FR889" s="62"/>
      <c r="FS889" s="62"/>
      <c r="FT889" s="62"/>
      <c r="FU889" s="62"/>
      <c r="FV889" s="62"/>
    </row>
    <row r="890" spans="1:178" ht="13.8">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c r="AT890" s="62"/>
      <c r="AU890" s="62"/>
      <c r="AV890" s="62"/>
      <c r="AW890" s="62"/>
      <c r="AX890" s="62"/>
      <c r="AY890" s="62"/>
      <c r="AZ890" s="62"/>
      <c r="BA890" s="62"/>
      <c r="BB890" s="62"/>
      <c r="BC890" s="62"/>
      <c r="BD890" s="62"/>
      <c r="BE890" s="62"/>
      <c r="BF890" s="62"/>
      <c r="BG890" s="62"/>
      <c r="BH890" s="62"/>
      <c r="BI890" s="62"/>
      <c r="BJ890" s="62"/>
      <c r="BK890" s="62"/>
      <c r="BL890" s="62"/>
      <c r="BM890" s="62"/>
      <c r="BN890" s="62"/>
      <c r="BO890" s="62"/>
      <c r="BP890" s="62"/>
      <c r="BQ890" s="62"/>
      <c r="BR890" s="62"/>
      <c r="BS890" s="62"/>
      <c r="BT890" s="62"/>
      <c r="BU890" s="62"/>
      <c r="BV890" s="62"/>
      <c r="BW890" s="62"/>
      <c r="BX890" s="62"/>
      <c r="BY890" s="62"/>
      <c r="BZ890" s="62"/>
      <c r="CA890" s="62"/>
      <c r="CB890" s="62"/>
      <c r="CC890" s="62"/>
      <c r="CD890" s="62"/>
      <c r="CE890" s="62"/>
      <c r="CF890" s="62"/>
      <c r="CG890" s="62"/>
      <c r="CH890" s="62"/>
      <c r="CI890" s="62"/>
      <c r="CJ890" s="62"/>
      <c r="CK890" s="62"/>
      <c r="CL890" s="62"/>
      <c r="CM890" s="62"/>
      <c r="CN890" s="62"/>
      <c r="CO890" s="62"/>
      <c r="CP890" s="62"/>
      <c r="CQ890" s="62"/>
      <c r="CR890" s="62"/>
      <c r="CS890" s="62"/>
      <c r="CT890" s="62"/>
      <c r="CU890" s="62"/>
      <c r="CV890" s="62"/>
      <c r="CW890" s="62"/>
      <c r="CX890" s="62"/>
      <c r="CY890" s="62"/>
      <c r="CZ890" s="62"/>
      <c r="DA890" s="62"/>
      <c r="DB890" s="62"/>
      <c r="DC890" s="62"/>
      <c r="DD890" s="62"/>
      <c r="DE890" s="62"/>
      <c r="DF890" s="62"/>
      <c r="DG890" s="62"/>
      <c r="DH890" s="62"/>
      <c r="DI890" s="62"/>
      <c r="DJ890" s="62"/>
      <c r="DK890" s="62"/>
      <c r="DL890" s="62"/>
      <c r="DM890" s="62"/>
      <c r="DN890" s="62"/>
      <c r="DO890" s="62"/>
      <c r="DP890" s="62"/>
      <c r="DQ890" s="62"/>
      <c r="DR890" s="62"/>
      <c r="DS890" s="62"/>
      <c r="DT890" s="62"/>
      <c r="DU890" s="62"/>
      <c r="DV890" s="62"/>
      <c r="DW890" s="62"/>
      <c r="DX890" s="62"/>
      <c r="DY890" s="62"/>
      <c r="DZ890" s="62"/>
      <c r="EA890" s="62"/>
      <c r="EB890" s="62"/>
      <c r="EC890" s="62"/>
      <c r="ED890" s="62"/>
      <c r="EE890" s="62"/>
      <c r="EF890" s="62"/>
      <c r="EG890" s="62"/>
      <c r="EH890" s="62"/>
      <c r="EI890" s="62"/>
      <c r="EJ890" s="62"/>
      <c r="EK890" s="62"/>
      <c r="EL890" s="62"/>
      <c r="EM890" s="62"/>
      <c r="EN890" s="62"/>
      <c r="EO890" s="62"/>
      <c r="EP890" s="62"/>
      <c r="EQ890" s="62"/>
      <c r="ER890" s="62"/>
      <c r="ES890" s="62"/>
      <c r="ET890" s="62"/>
      <c r="EU890" s="62"/>
      <c r="EV890" s="62"/>
      <c r="EW890" s="62"/>
      <c r="EX890" s="62"/>
      <c r="EY890" s="62"/>
      <c r="EZ890" s="62"/>
      <c r="FA890" s="62"/>
      <c r="FB890" s="62"/>
      <c r="FC890" s="62"/>
      <c r="FD890" s="62"/>
      <c r="FE890" s="62"/>
      <c r="FF890" s="62"/>
      <c r="FG890" s="62"/>
      <c r="FH890" s="62"/>
      <c r="FI890" s="62"/>
      <c r="FJ890" s="62"/>
      <c r="FK890" s="62"/>
      <c r="FL890" s="62"/>
      <c r="FM890" s="62"/>
      <c r="FN890" s="62"/>
      <c r="FO890" s="62"/>
      <c r="FP890" s="62"/>
      <c r="FQ890" s="62"/>
      <c r="FR890" s="62"/>
      <c r="FS890" s="62"/>
      <c r="FT890" s="62"/>
      <c r="FU890" s="62"/>
      <c r="FV890" s="62"/>
    </row>
    <row r="891" spans="1:178" ht="13.8">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c r="AT891" s="62"/>
      <c r="AU891" s="62"/>
      <c r="AV891" s="62"/>
      <c r="AW891" s="62"/>
      <c r="AX891" s="62"/>
      <c r="AY891" s="62"/>
      <c r="AZ891" s="62"/>
      <c r="BA891" s="62"/>
      <c r="BB891" s="62"/>
      <c r="BC891" s="62"/>
      <c r="BD891" s="62"/>
      <c r="BE891" s="62"/>
      <c r="BF891" s="62"/>
      <c r="BG891" s="62"/>
      <c r="BH891" s="62"/>
      <c r="BI891" s="62"/>
      <c r="BJ891" s="62"/>
      <c r="BK891" s="62"/>
      <c r="BL891" s="62"/>
      <c r="BM891" s="62"/>
      <c r="BN891" s="62"/>
      <c r="BO891" s="62"/>
      <c r="BP891" s="62"/>
      <c r="BQ891" s="62"/>
      <c r="BR891" s="62"/>
      <c r="BS891" s="62"/>
      <c r="BT891" s="62"/>
      <c r="BU891" s="62"/>
      <c r="BV891" s="62"/>
      <c r="BW891" s="62"/>
      <c r="BX891" s="62"/>
      <c r="BY891" s="62"/>
      <c r="BZ891" s="62"/>
      <c r="CA891" s="62"/>
      <c r="CB891" s="62"/>
      <c r="CC891" s="62"/>
      <c r="CD891" s="62"/>
      <c r="CE891" s="62"/>
      <c r="CF891" s="62"/>
      <c r="CG891" s="62"/>
      <c r="CH891" s="62"/>
      <c r="CI891" s="62"/>
      <c r="CJ891" s="62"/>
      <c r="CK891" s="62"/>
      <c r="CL891" s="62"/>
      <c r="CM891" s="62"/>
      <c r="CN891" s="62"/>
      <c r="CO891" s="62"/>
      <c r="CP891" s="62"/>
      <c r="CQ891" s="62"/>
      <c r="CR891" s="62"/>
      <c r="CS891" s="62"/>
      <c r="CT891" s="62"/>
      <c r="CU891" s="62"/>
      <c r="CV891" s="62"/>
      <c r="CW891" s="62"/>
      <c r="CX891" s="62"/>
      <c r="CY891" s="62"/>
      <c r="CZ891" s="62"/>
      <c r="DA891" s="62"/>
      <c r="DB891" s="62"/>
      <c r="DC891" s="62"/>
      <c r="DD891" s="62"/>
      <c r="DE891" s="62"/>
      <c r="DF891" s="62"/>
      <c r="DG891" s="62"/>
      <c r="DH891" s="62"/>
      <c r="DI891" s="62"/>
      <c r="DJ891" s="62"/>
      <c r="DK891" s="62"/>
      <c r="DL891" s="62"/>
      <c r="DM891" s="62"/>
      <c r="DN891" s="62"/>
      <c r="DO891" s="62"/>
      <c r="DP891" s="62"/>
      <c r="DQ891" s="62"/>
      <c r="DR891" s="62"/>
      <c r="DS891" s="62"/>
      <c r="DT891" s="62"/>
      <c r="DU891" s="62"/>
      <c r="DV891" s="62"/>
      <c r="DW891" s="62"/>
      <c r="DX891" s="62"/>
      <c r="DY891" s="62"/>
      <c r="DZ891" s="62"/>
      <c r="EA891" s="62"/>
      <c r="EB891" s="62"/>
      <c r="EC891" s="62"/>
      <c r="ED891" s="62"/>
      <c r="EE891" s="62"/>
      <c r="EF891" s="62"/>
      <c r="EG891" s="62"/>
      <c r="EH891" s="62"/>
      <c r="EI891" s="62"/>
      <c r="EJ891" s="62"/>
      <c r="EK891" s="62"/>
      <c r="EL891" s="62"/>
      <c r="EM891" s="62"/>
      <c r="EN891" s="62"/>
      <c r="EO891" s="62"/>
      <c r="EP891" s="62"/>
      <c r="EQ891" s="62"/>
      <c r="ER891" s="62"/>
      <c r="ES891" s="62"/>
      <c r="ET891" s="62"/>
      <c r="EU891" s="62"/>
      <c r="EV891" s="62"/>
      <c r="EW891" s="62"/>
      <c r="EX891" s="62"/>
      <c r="EY891" s="62"/>
      <c r="EZ891" s="62"/>
      <c r="FA891" s="62"/>
      <c r="FB891" s="62"/>
      <c r="FC891" s="62"/>
      <c r="FD891" s="62"/>
      <c r="FE891" s="62"/>
      <c r="FF891" s="62"/>
      <c r="FG891" s="62"/>
      <c r="FH891" s="62"/>
      <c r="FI891" s="62"/>
      <c r="FJ891" s="62"/>
      <c r="FK891" s="62"/>
      <c r="FL891" s="62"/>
      <c r="FM891" s="62"/>
      <c r="FN891" s="62"/>
      <c r="FO891" s="62"/>
      <c r="FP891" s="62"/>
      <c r="FQ891" s="62"/>
      <c r="FR891" s="62"/>
      <c r="FS891" s="62"/>
      <c r="FT891" s="62"/>
      <c r="FU891" s="62"/>
      <c r="FV891" s="62"/>
    </row>
    <row r="892" spans="1:178" ht="13.8">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c r="AT892" s="62"/>
      <c r="AU892" s="62"/>
      <c r="AV892" s="62"/>
      <c r="AW892" s="62"/>
      <c r="AX892" s="62"/>
      <c r="AY892" s="62"/>
      <c r="AZ892" s="62"/>
      <c r="BA892" s="62"/>
      <c r="BB892" s="62"/>
      <c r="BC892" s="62"/>
      <c r="BD892" s="62"/>
      <c r="BE892" s="62"/>
      <c r="BF892" s="62"/>
      <c r="BG892" s="62"/>
      <c r="BH892" s="62"/>
      <c r="BI892" s="62"/>
      <c r="BJ892" s="62"/>
      <c r="BK892" s="62"/>
      <c r="BL892" s="62"/>
      <c r="BM892" s="62"/>
      <c r="BN892" s="62"/>
      <c r="BO892" s="62"/>
      <c r="BP892" s="62"/>
      <c r="BQ892" s="62"/>
      <c r="BR892" s="62"/>
      <c r="BS892" s="62"/>
      <c r="BT892" s="62"/>
      <c r="BU892" s="62"/>
      <c r="BV892" s="62"/>
      <c r="BW892" s="62"/>
      <c r="BX892" s="62"/>
      <c r="BY892" s="62"/>
      <c r="BZ892" s="62"/>
      <c r="CA892" s="62"/>
      <c r="CB892" s="62"/>
      <c r="CC892" s="62"/>
      <c r="CD892" s="62"/>
      <c r="CE892" s="62"/>
      <c r="CF892" s="62"/>
      <c r="CG892" s="62"/>
      <c r="CH892" s="62"/>
      <c r="CI892" s="62"/>
      <c r="CJ892" s="62"/>
      <c r="CK892" s="62"/>
      <c r="CL892" s="62"/>
      <c r="CM892" s="62"/>
      <c r="CN892" s="62"/>
      <c r="CO892" s="62"/>
      <c r="CP892" s="62"/>
      <c r="CQ892" s="62"/>
      <c r="CR892" s="62"/>
      <c r="CS892" s="62"/>
      <c r="CT892" s="62"/>
      <c r="CU892" s="62"/>
      <c r="CV892" s="62"/>
      <c r="CW892" s="62"/>
      <c r="CX892" s="62"/>
      <c r="CY892" s="62"/>
      <c r="CZ892" s="62"/>
      <c r="DA892" s="62"/>
      <c r="DB892" s="62"/>
      <c r="DC892" s="62"/>
      <c r="DD892" s="62"/>
      <c r="DE892" s="62"/>
      <c r="DF892" s="62"/>
      <c r="DG892" s="62"/>
      <c r="DH892" s="62"/>
      <c r="DI892" s="62"/>
      <c r="DJ892" s="62"/>
      <c r="DK892" s="62"/>
      <c r="DL892" s="62"/>
      <c r="DM892" s="62"/>
      <c r="DN892" s="62"/>
      <c r="DO892" s="62"/>
      <c r="DP892" s="62"/>
      <c r="DQ892" s="62"/>
      <c r="DR892" s="62"/>
      <c r="DS892" s="62"/>
      <c r="DT892" s="62"/>
      <c r="DU892" s="62"/>
      <c r="DV892" s="62"/>
      <c r="DW892" s="62"/>
      <c r="DX892" s="62"/>
      <c r="DY892" s="62"/>
      <c r="DZ892" s="62"/>
      <c r="EA892" s="62"/>
      <c r="EB892" s="62"/>
      <c r="EC892" s="62"/>
      <c r="ED892" s="62"/>
      <c r="EE892" s="62"/>
      <c r="EF892" s="62"/>
      <c r="EG892" s="62"/>
      <c r="EH892" s="62"/>
      <c r="EI892" s="62"/>
      <c r="EJ892" s="62"/>
      <c r="EK892" s="62"/>
      <c r="EL892" s="62"/>
      <c r="EM892" s="62"/>
      <c r="EN892" s="62"/>
      <c r="EO892" s="62"/>
      <c r="EP892" s="62"/>
      <c r="EQ892" s="62"/>
      <c r="ER892" s="62"/>
      <c r="ES892" s="62"/>
      <c r="ET892" s="62"/>
      <c r="EU892" s="62"/>
      <c r="EV892" s="62"/>
      <c r="EW892" s="62"/>
      <c r="EX892" s="62"/>
      <c r="EY892" s="62"/>
      <c r="EZ892" s="62"/>
      <c r="FA892" s="62"/>
      <c r="FB892" s="62"/>
      <c r="FC892" s="62"/>
      <c r="FD892" s="62"/>
      <c r="FE892" s="62"/>
      <c r="FF892" s="62"/>
      <c r="FG892" s="62"/>
      <c r="FH892" s="62"/>
      <c r="FI892" s="62"/>
      <c r="FJ892" s="62"/>
      <c r="FK892" s="62"/>
      <c r="FL892" s="62"/>
      <c r="FM892" s="62"/>
      <c r="FN892" s="62"/>
      <c r="FO892" s="62"/>
      <c r="FP892" s="62"/>
      <c r="FQ892" s="62"/>
      <c r="FR892" s="62"/>
      <c r="FS892" s="62"/>
      <c r="FT892" s="62"/>
      <c r="FU892" s="62"/>
      <c r="FV892" s="62"/>
    </row>
    <row r="893" spans="1:178" ht="13.8">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c r="AT893" s="62"/>
      <c r="AU893" s="62"/>
      <c r="AV893" s="62"/>
      <c r="AW893" s="62"/>
      <c r="AX893" s="62"/>
      <c r="AY893" s="62"/>
      <c r="AZ893" s="62"/>
      <c r="BA893" s="62"/>
      <c r="BB893" s="62"/>
      <c r="BC893" s="62"/>
      <c r="BD893" s="62"/>
      <c r="BE893" s="62"/>
      <c r="BF893" s="62"/>
      <c r="BG893" s="62"/>
      <c r="BH893" s="62"/>
      <c r="BI893" s="62"/>
      <c r="BJ893" s="62"/>
      <c r="BK893" s="62"/>
      <c r="BL893" s="62"/>
      <c r="BM893" s="62"/>
      <c r="BN893" s="62"/>
      <c r="BO893" s="62"/>
      <c r="BP893" s="62"/>
      <c r="BQ893" s="62"/>
      <c r="BR893" s="62"/>
      <c r="BS893" s="62"/>
      <c r="BT893" s="62"/>
      <c r="BU893" s="62"/>
      <c r="BV893" s="62"/>
      <c r="BW893" s="62"/>
      <c r="BX893" s="62"/>
      <c r="BY893" s="62"/>
      <c r="BZ893" s="62"/>
      <c r="CA893" s="62"/>
      <c r="CB893" s="62"/>
      <c r="CC893" s="62"/>
      <c r="CD893" s="62"/>
      <c r="CE893" s="62"/>
      <c r="CF893" s="62"/>
      <c r="CG893" s="62"/>
      <c r="CH893" s="62"/>
      <c r="CI893" s="62"/>
      <c r="CJ893" s="62"/>
      <c r="CK893" s="62"/>
      <c r="CL893" s="62"/>
      <c r="CM893" s="62"/>
      <c r="CN893" s="62"/>
      <c r="CO893" s="62"/>
      <c r="CP893" s="62"/>
      <c r="CQ893" s="62"/>
      <c r="CR893" s="62"/>
      <c r="CS893" s="62"/>
      <c r="CT893" s="62"/>
      <c r="CU893" s="62"/>
      <c r="CV893" s="62"/>
      <c r="CW893" s="62"/>
      <c r="CX893" s="62"/>
      <c r="CY893" s="62"/>
      <c r="CZ893" s="62"/>
      <c r="DA893" s="62"/>
      <c r="DB893" s="62"/>
      <c r="DC893" s="62"/>
      <c r="DD893" s="62"/>
      <c r="DE893" s="62"/>
      <c r="DF893" s="62"/>
      <c r="DG893" s="62"/>
      <c r="DH893" s="62"/>
      <c r="DI893" s="62"/>
      <c r="DJ893" s="62"/>
      <c r="DK893" s="62"/>
      <c r="DL893" s="62"/>
      <c r="DM893" s="62"/>
      <c r="DN893" s="62"/>
      <c r="DO893" s="62"/>
      <c r="DP893" s="62"/>
      <c r="DQ893" s="62"/>
      <c r="DR893" s="62"/>
      <c r="DS893" s="62"/>
      <c r="DT893" s="62"/>
      <c r="DU893" s="62"/>
      <c r="DV893" s="62"/>
      <c r="DW893" s="62"/>
      <c r="DX893" s="62"/>
      <c r="DY893" s="62"/>
      <c r="DZ893" s="62"/>
      <c r="EA893" s="62"/>
      <c r="EB893" s="62"/>
      <c r="EC893" s="62"/>
      <c r="ED893" s="62"/>
      <c r="EE893" s="62"/>
      <c r="EF893" s="62"/>
      <c r="EG893" s="62"/>
      <c r="EH893" s="62"/>
      <c r="EI893" s="62"/>
      <c r="EJ893" s="62"/>
      <c r="EK893" s="62"/>
      <c r="EL893" s="62"/>
      <c r="EM893" s="62"/>
      <c r="EN893" s="62"/>
      <c r="EO893" s="62"/>
      <c r="EP893" s="62"/>
      <c r="EQ893" s="62"/>
      <c r="ER893" s="62"/>
      <c r="ES893" s="62"/>
      <c r="ET893" s="62"/>
      <c r="EU893" s="62"/>
      <c r="EV893" s="62"/>
      <c r="EW893" s="62"/>
      <c r="EX893" s="62"/>
      <c r="EY893" s="62"/>
      <c r="EZ893" s="62"/>
      <c r="FA893" s="62"/>
      <c r="FB893" s="62"/>
      <c r="FC893" s="62"/>
      <c r="FD893" s="62"/>
      <c r="FE893" s="62"/>
      <c r="FF893" s="62"/>
      <c r="FG893" s="62"/>
      <c r="FH893" s="62"/>
      <c r="FI893" s="62"/>
      <c r="FJ893" s="62"/>
      <c r="FK893" s="62"/>
      <c r="FL893" s="62"/>
      <c r="FM893" s="62"/>
      <c r="FN893" s="62"/>
      <c r="FO893" s="62"/>
      <c r="FP893" s="62"/>
      <c r="FQ893" s="62"/>
      <c r="FR893" s="62"/>
      <c r="FS893" s="62"/>
      <c r="FT893" s="62"/>
      <c r="FU893" s="62"/>
      <c r="FV893" s="62"/>
    </row>
    <row r="894" spans="1:178" ht="13.8">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c r="AT894" s="62"/>
      <c r="AU894" s="62"/>
      <c r="AV894" s="62"/>
      <c r="AW894" s="62"/>
      <c r="AX894" s="62"/>
      <c r="AY894" s="62"/>
      <c r="AZ894" s="62"/>
      <c r="BA894" s="62"/>
      <c r="BB894" s="62"/>
      <c r="BC894" s="62"/>
      <c r="BD894" s="62"/>
      <c r="BE894" s="62"/>
      <c r="BF894" s="62"/>
      <c r="BG894" s="62"/>
      <c r="BH894" s="62"/>
      <c r="BI894" s="62"/>
      <c r="BJ894" s="62"/>
      <c r="BK894" s="62"/>
      <c r="BL894" s="62"/>
      <c r="BM894" s="62"/>
      <c r="BN894" s="62"/>
      <c r="BO894" s="62"/>
      <c r="BP894" s="62"/>
      <c r="BQ894" s="62"/>
      <c r="BR894" s="62"/>
      <c r="BS894" s="62"/>
      <c r="BT894" s="62"/>
      <c r="BU894" s="62"/>
      <c r="BV894" s="62"/>
      <c r="BW894" s="62"/>
      <c r="BX894" s="62"/>
      <c r="BY894" s="62"/>
      <c r="BZ894" s="62"/>
      <c r="CA894" s="62"/>
      <c r="CB894" s="62"/>
      <c r="CC894" s="62"/>
      <c r="CD894" s="62"/>
      <c r="CE894" s="62"/>
      <c r="CF894" s="62"/>
      <c r="CG894" s="62"/>
      <c r="CH894" s="62"/>
      <c r="CI894" s="62"/>
      <c r="CJ894" s="62"/>
      <c r="CK894" s="62"/>
      <c r="CL894" s="62"/>
      <c r="CM894" s="62"/>
      <c r="CN894" s="62"/>
      <c r="CO894" s="62"/>
      <c r="CP894" s="62"/>
      <c r="CQ894" s="62"/>
      <c r="CR894" s="62"/>
      <c r="CS894" s="62"/>
      <c r="CT894" s="62"/>
      <c r="CU894" s="62"/>
      <c r="CV894" s="62"/>
      <c r="CW894" s="62"/>
      <c r="CX894" s="62"/>
      <c r="CY894" s="62"/>
      <c r="CZ894" s="62"/>
      <c r="DA894" s="62"/>
      <c r="DB894" s="62"/>
      <c r="DC894" s="62"/>
      <c r="DD894" s="62"/>
      <c r="DE894" s="62"/>
      <c r="DF894" s="62"/>
      <c r="DG894" s="62"/>
      <c r="DH894" s="62"/>
      <c r="DI894" s="62"/>
      <c r="DJ894" s="62"/>
      <c r="DK894" s="62"/>
      <c r="DL894" s="62"/>
      <c r="DM894" s="62"/>
      <c r="DN894" s="62"/>
      <c r="DO894" s="62"/>
      <c r="DP894" s="62"/>
      <c r="DQ894" s="62"/>
      <c r="DR894" s="62"/>
      <c r="DS894" s="62"/>
      <c r="DT894" s="62"/>
      <c r="DU894" s="62"/>
      <c r="DV894" s="62"/>
      <c r="DW894" s="62"/>
      <c r="DX894" s="62"/>
      <c r="DY894" s="62"/>
      <c r="DZ894" s="62"/>
      <c r="EA894" s="62"/>
      <c r="EB894" s="62"/>
      <c r="EC894" s="62"/>
      <c r="ED894" s="62"/>
      <c r="EE894" s="62"/>
      <c r="EF894" s="62"/>
      <c r="EG894" s="62"/>
      <c r="EH894" s="62"/>
      <c r="EI894" s="62"/>
      <c r="EJ894" s="62"/>
      <c r="EK894" s="62"/>
      <c r="EL894" s="62"/>
      <c r="EM894" s="62"/>
      <c r="EN894" s="62"/>
      <c r="EO894" s="62"/>
      <c r="EP894" s="62"/>
      <c r="EQ894" s="62"/>
      <c r="ER894" s="62"/>
      <c r="ES894" s="62"/>
      <c r="ET894" s="62"/>
      <c r="EU894" s="62"/>
      <c r="EV894" s="62"/>
      <c r="EW894" s="62"/>
      <c r="EX894" s="62"/>
      <c r="EY894" s="62"/>
      <c r="EZ894" s="62"/>
      <c r="FA894" s="62"/>
      <c r="FB894" s="62"/>
      <c r="FC894" s="62"/>
      <c r="FD894" s="62"/>
      <c r="FE894" s="62"/>
      <c r="FF894" s="62"/>
      <c r="FG894" s="62"/>
      <c r="FH894" s="62"/>
      <c r="FI894" s="62"/>
      <c r="FJ894" s="62"/>
      <c r="FK894" s="62"/>
      <c r="FL894" s="62"/>
      <c r="FM894" s="62"/>
      <c r="FN894" s="62"/>
      <c r="FO894" s="62"/>
      <c r="FP894" s="62"/>
      <c r="FQ894" s="62"/>
      <c r="FR894" s="62"/>
      <c r="FS894" s="62"/>
      <c r="FT894" s="62"/>
      <c r="FU894" s="62"/>
      <c r="FV894" s="62"/>
    </row>
    <row r="895" spans="1:178" ht="13.8">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c r="AT895" s="62"/>
      <c r="AU895" s="62"/>
      <c r="AV895" s="62"/>
      <c r="AW895" s="62"/>
      <c r="AX895" s="62"/>
      <c r="AY895" s="62"/>
      <c r="AZ895" s="62"/>
      <c r="BA895" s="62"/>
      <c r="BB895" s="62"/>
      <c r="BC895" s="62"/>
      <c r="BD895" s="62"/>
      <c r="BE895" s="62"/>
      <c r="BF895" s="62"/>
      <c r="BG895" s="62"/>
      <c r="BH895" s="62"/>
      <c r="BI895" s="62"/>
      <c r="BJ895" s="62"/>
      <c r="BK895" s="62"/>
      <c r="BL895" s="62"/>
      <c r="BM895" s="62"/>
      <c r="BN895" s="62"/>
      <c r="BO895" s="62"/>
      <c r="BP895" s="62"/>
      <c r="BQ895" s="62"/>
      <c r="BR895" s="62"/>
      <c r="BS895" s="62"/>
      <c r="BT895" s="62"/>
      <c r="BU895" s="62"/>
      <c r="BV895" s="62"/>
      <c r="BW895" s="62"/>
      <c r="BX895" s="62"/>
      <c r="BY895" s="62"/>
      <c r="BZ895" s="62"/>
      <c r="CA895" s="62"/>
      <c r="CB895" s="62"/>
      <c r="CC895" s="62"/>
      <c r="CD895" s="62"/>
      <c r="CE895" s="62"/>
      <c r="CF895" s="62"/>
      <c r="CG895" s="62"/>
      <c r="CH895" s="62"/>
      <c r="CI895" s="62"/>
      <c r="CJ895" s="62"/>
      <c r="CK895" s="62"/>
      <c r="CL895" s="62"/>
      <c r="CM895" s="62"/>
      <c r="CN895" s="62"/>
      <c r="CO895" s="62"/>
      <c r="CP895" s="62"/>
      <c r="CQ895" s="62"/>
      <c r="CR895" s="62"/>
      <c r="CS895" s="62"/>
      <c r="CT895" s="62"/>
      <c r="CU895" s="62"/>
      <c r="CV895" s="62"/>
      <c r="CW895" s="62"/>
      <c r="CX895" s="62"/>
      <c r="CY895" s="62"/>
      <c r="CZ895" s="62"/>
      <c r="DA895" s="62"/>
      <c r="DB895" s="62"/>
      <c r="DC895" s="62"/>
      <c r="DD895" s="62"/>
      <c r="DE895" s="62"/>
      <c r="DF895" s="62"/>
      <c r="DG895" s="62"/>
      <c r="DH895" s="62"/>
      <c r="DI895" s="62"/>
      <c r="DJ895" s="62"/>
      <c r="DK895" s="62"/>
      <c r="DL895" s="62"/>
      <c r="DM895" s="62"/>
      <c r="DN895" s="62"/>
      <c r="DO895" s="62"/>
      <c r="DP895" s="62"/>
      <c r="DQ895" s="62"/>
      <c r="DR895" s="62"/>
      <c r="DS895" s="62"/>
      <c r="DT895" s="62"/>
      <c r="DU895" s="62"/>
      <c r="DV895" s="62"/>
      <c r="DW895" s="62"/>
      <c r="DX895" s="62"/>
      <c r="DY895" s="62"/>
      <c r="DZ895" s="62"/>
      <c r="EA895" s="62"/>
      <c r="EB895" s="62"/>
      <c r="EC895" s="62"/>
      <c r="ED895" s="62"/>
      <c r="EE895" s="62"/>
      <c r="EF895" s="62"/>
      <c r="EG895" s="62"/>
      <c r="EH895" s="62"/>
      <c r="EI895" s="62"/>
      <c r="EJ895" s="62"/>
      <c r="EK895" s="62"/>
      <c r="EL895" s="62"/>
      <c r="EM895" s="62"/>
      <c r="EN895" s="62"/>
      <c r="EO895" s="62"/>
      <c r="EP895" s="62"/>
      <c r="EQ895" s="62"/>
      <c r="ER895" s="62"/>
      <c r="ES895" s="62"/>
      <c r="ET895" s="62"/>
      <c r="EU895" s="62"/>
      <c r="EV895" s="62"/>
      <c r="EW895" s="62"/>
      <c r="EX895" s="62"/>
      <c r="EY895" s="62"/>
      <c r="EZ895" s="62"/>
      <c r="FA895" s="62"/>
      <c r="FB895" s="62"/>
      <c r="FC895" s="62"/>
      <c r="FD895" s="62"/>
      <c r="FE895" s="62"/>
      <c r="FF895" s="62"/>
      <c r="FG895" s="62"/>
      <c r="FH895" s="62"/>
      <c r="FI895" s="62"/>
      <c r="FJ895" s="62"/>
      <c r="FK895" s="62"/>
      <c r="FL895" s="62"/>
      <c r="FM895" s="62"/>
      <c r="FN895" s="62"/>
      <c r="FO895" s="62"/>
      <c r="FP895" s="62"/>
      <c r="FQ895" s="62"/>
      <c r="FR895" s="62"/>
      <c r="FS895" s="62"/>
      <c r="FT895" s="62"/>
      <c r="FU895" s="62"/>
      <c r="FV895" s="62"/>
    </row>
    <row r="896" spans="1:178" ht="13.8">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c r="AT896" s="62"/>
      <c r="AU896" s="62"/>
      <c r="AV896" s="62"/>
      <c r="AW896" s="62"/>
      <c r="AX896" s="62"/>
      <c r="AY896" s="62"/>
      <c r="AZ896" s="62"/>
      <c r="BA896" s="62"/>
      <c r="BB896" s="62"/>
      <c r="BC896" s="62"/>
      <c r="BD896" s="62"/>
      <c r="BE896" s="62"/>
      <c r="BF896" s="62"/>
      <c r="BG896" s="62"/>
      <c r="BH896" s="62"/>
      <c r="BI896" s="62"/>
      <c r="BJ896" s="62"/>
      <c r="BK896" s="62"/>
      <c r="BL896" s="62"/>
      <c r="BM896" s="62"/>
      <c r="BN896" s="62"/>
      <c r="BO896" s="62"/>
      <c r="BP896" s="62"/>
      <c r="BQ896" s="62"/>
      <c r="BR896" s="62"/>
      <c r="BS896" s="62"/>
      <c r="BT896" s="62"/>
      <c r="BU896" s="62"/>
      <c r="BV896" s="62"/>
      <c r="BW896" s="62"/>
      <c r="BX896" s="62"/>
      <c r="BY896" s="62"/>
      <c r="BZ896" s="62"/>
      <c r="CA896" s="62"/>
      <c r="CB896" s="62"/>
      <c r="CC896" s="62"/>
      <c r="CD896" s="62"/>
      <c r="CE896" s="62"/>
      <c r="CF896" s="62"/>
      <c r="CG896" s="62"/>
      <c r="CH896" s="62"/>
      <c r="CI896" s="62"/>
      <c r="CJ896" s="62"/>
      <c r="CK896" s="62"/>
      <c r="CL896" s="62"/>
      <c r="CM896" s="62"/>
      <c r="CN896" s="62"/>
      <c r="CO896" s="62"/>
      <c r="CP896" s="62"/>
      <c r="CQ896" s="62"/>
      <c r="CR896" s="62"/>
      <c r="CS896" s="62"/>
      <c r="CT896" s="62"/>
      <c r="CU896" s="62"/>
      <c r="CV896" s="62"/>
      <c r="CW896" s="62"/>
      <c r="CX896" s="62"/>
      <c r="CY896" s="62"/>
      <c r="CZ896" s="62"/>
      <c r="DA896" s="62"/>
      <c r="DB896" s="62"/>
      <c r="DC896" s="62"/>
      <c r="DD896" s="62"/>
      <c r="DE896" s="62"/>
      <c r="DF896" s="62"/>
      <c r="DG896" s="62"/>
      <c r="DH896" s="62"/>
      <c r="DI896" s="62"/>
      <c r="DJ896" s="62"/>
      <c r="DK896" s="62"/>
      <c r="DL896" s="62"/>
      <c r="DM896" s="62"/>
      <c r="DN896" s="62"/>
      <c r="DO896" s="62"/>
      <c r="DP896" s="62"/>
      <c r="DQ896" s="62"/>
      <c r="DR896" s="62"/>
      <c r="DS896" s="62"/>
      <c r="DT896" s="62"/>
      <c r="DU896" s="62"/>
      <c r="DV896" s="62"/>
      <c r="DW896" s="62"/>
      <c r="DX896" s="62"/>
      <c r="DY896" s="62"/>
      <c r="DZ896" s="62"/>
      <c r="EA896" s="62"/>
      <c r="EB896" s="62"/>
      <c r="EC896" s="62"/>
      <c r="ED896" s="62"/>
      <c r="EE896" s="62"/>
      <c r="EF896" s="62"/>
      <c r="EG896" s="62"/>
      <c r="EH896" s="62"/>
      <c r="EI896" s="62"/>
      <c r="EJ896" s="62"/>
      <c r="EK896" s="62"/>
      <c r="EL896" s="62"/>
      <c r="EM896" s="62"/>
      <c r="EN896" s="62"/>
      <c r="EO896" s="62"/>
      <c r="EP896" s="62"/>
      <c r="EQ896" s="62"/>
      <c r="ER896" s="62"/>
      <c r="ES896" s="62"/>
      <c r="ET896" s="62"/>
      <c r="EU896" s="62"/>
      <c r="EV896" s="62"/>
      <c r="EW896" s="62"/>
      <c r="EX896" s="62"/>
      <c r="EY896" s="62"/>
      <c r="EZ896" s="62"/>
      <c r="FA896" s="62"/>
      <c r="FB896" s="62"/>
      <c r="FC896" s="62"/>
      <c r="FD896" s="62"/>
      <c r="FE896" s="62"/>
      <c r="FF896" s="62"/>
      <c r="FG896" s="62"/>
      <c r="FH896" s="62"/>
      <c r="FI896" s="62"/>
      <c r="FJ896" s="62"/>
      <c r="FK896" s="62"/>
      <c r="FL896" s="62"/>
      <c r="FM896" s="62"/>
      <c r="FN896" s="62"/>
      <c r="FO896" s="62"/>
      <c r="FP896" s="62"/>
      <c r="FQ896" s="62"/>
      <c r="FR896" s="62"/>
      <c r="FS896" s="62"/>
      <c r="FT896" s="62"/>
      <c r="FU896" s="62"/>
      <c r="FV896" s="62"/>
    </row>
    <row r="897" spans="1:178" ht="13.8">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c r="AT897" s="62"/>
      <c r="AU897" s="62"/>
      <c r="AV897" s="62"/>
      <c r="AW897" s="62"/>
      <c r="AX897" s="62"/>
      <c r="AY897" s="62"/>
      <c r="AZ897" s="62"/>
      <c r="BA897" s="62"/>
      <c r="BB897" s="62"/>
      <c r="BC897" s="62"/>
      <c r="BD897" s="62"/>
      <c r="BE897" s="62"/>
      <c r="BF897" s="62"/>
      <c r="BG897" s="62"/>
      <c r="BH897" s="62"/>
      <c r="BI897" s="62"/>
      <c r="BJ897" s="62"/>
      <c r="BK897" s="62"/>
      <c r="BL897" s="62"/>
      <c r="BM897" s="62"/>
      <c r="BN897" s="62"/>
      <c r="BO897" s="62"/>
      <c r="BP897" s="62"/>
      <c r="BQ897" s="62"/>
      <c r="BR897" s="62"/>
      <c r="BS897" s="62"/>
      <c r="BT897" s="62"/>
      <c r="BU897" s="62"/>
      <c r="BV897" s="62"/>
      <c r="BW897" s="62"/>
      <c r="BX897" s="62"/>
      <c r="BY897" s="62"/>
      <c r="BZ897" s="62"/>
      <c r="CA897" s="62"/>
      <c r="CB897" s="62"/>
      <c r="CC897" s="62"/>
      <c r="CD897" s="62"/>
      <c r="CE897" s="62"/>
      <c r="CF897" s="62"/>
      <c r="CG897" s="62"/>
      <c r="CH897" s="62"/>
      <c r="CI897" s="62"/>
      <c r="CJ897" s="62"/>
      <c r="CK897" s="62"/>
      <c r="CL897" s="62"/>
      <c r="CM897" s="62"/>
      <c r="CN897" s="62"/>
      <c r="CO897" s="62"/>
      <c r="CP897" s="62"/>
      <c r="CQ897" s="62"/>
      <c r="CR897" s="62"/>
      <c r="CS897" s="62"/>
      <c r="CT897" s="62"/>
      <c r="CU897" s="62"/>
      <c r="CV897" s="62"/>
      <c r="CW897" s="62"/>
      <c r="CX897" s="62"/>
      <c r="CY897" s="62"/>
      <c r="CZ897" s="62"/>
      <c r="DA897" s="62"/>
      <c r="DB897" s="62"/>
      <c r="DC897" s="62"/>
      <c r="DD897" s="62"/>
      <c r="DE897" s="62"/>
      <c r="DF897" s="62"/>
      <c r="DG897" s="62"/>
      <c r="DH897" s="62"/>
      <c r="DI897" s="62"/>
      <c r="DJ897" s="62"/>
      <c r="DK897" s="62"/>
      <c r="DL897" s="62"/>
      <c r="DM897" s="62"/>
      <c r="DN897" s="62"/>
      <c r="DO897" s="62"/>
      <c r="DP897" s="62"/>
      <c r="DQ897" s="62"/>
      <c r="DR897" s="62"/>
      <c r="DS897" s="62"/>
      <c r="DT897" s="62"/>
      <c r="DU897" s="62"/>
      <c r="DV897" s="62"/>
      <c r="DW897" s="62"/>
      <c r="DX897" s="62"/>
      <c r="DY897" s="62"/>
      <c r="DZ897" s="62"/>
      <c r="EA897" s="62"/>
      <c r="EB897" s="62"/>
      <c r="EC897" s="62"/>
      <c r="ED897" s="62"/>
      <c r="EE897" s="62"/>
      <c r="EF897" s="62"/>
      <c r="EG897" s="62"/>
      <c r="EH897" s="62"/>
      <c r="EI897" s="62"/>
      <c r="EJ897" s="62"/>
      <c r="EK897" s="62"/>
      <c r="EL897" s="62"/>
      <c r="EM897" s="62"/>
      <c r="EN897" s="62"/>
      <c r="EO897" s="62"/>
      <c r="EP897" s="62"/>
      <c r="EQ897" s="62"/>
      <c r="ER897" s="62"/>
      <c r="ES897" s="62"/>
      <c r="ET897" s="62"/>
      <c r="EU897" s="62"/>
      <c r="EV897" s="62"/>
      <c r="EW897" s="62"/>
      <c r="EX897" s="62"/>
      <c r="EY897" s="62"/>
      <c r="EZ897" s="62"/>
      <c r="FA897" s="62"/>
      <c r="FB897" s="62"/>
      <c r="FC897" s="62"/>
      <c r="FD897" s="62"/>
      <c r="FE897" s="62"/>
      <c r="FF897" s="62"/>
      <c r="FG897" s="62"/>
      <c r="FH897" s="62"/>
      <c r="FI897" s="62"/>
      <c r="FJ897" s="62"/>
      <c r="FK897" s="62"/>
      <c r="FL897" s="62"/>
      <c r="FM897" s="62"/>
      <c r="FN897" s="62"/>
      <c r="FO897" s="62"/>
      <c r="FP897" s="62"/>
      <c r="FQ897" s="62"/>
      <c r="FR897" s="62"/>
      <c r="FS897" s="62"/>
      <c r="FT897" s="62"/>
      <c r="FU897" s="62"/>
      <c r="FV897" s="62"/>
    </row>
    <row r="898" spans="1:178" ht="13.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c r="AT898" s="62"/>
      <c r="AU898" s="62"/>
      <c r="AV898" s="62"/>
      <c r="AW898" s="62"/>
      <c r="AX898" s="62"/>
      <c r="AY898" s="62"/>
      <c r="AZ898" s="62"/>
      <c r="BA898" s="62"/>
      <c r="BB898" s="62"/>
      <c r="BC898" s="62"/>
      <c r="BD898" s="62"/>
      <c r="BE898" s="62"/>
      <c r="BF898" s="62"/>
      <c r="BG898" s="62"/>
      <c r="BH898" s="62"/>
      <c r="BI898" s="62"/>
      <c r="BJ898" s="62"/>
      <c r="BK898" s="62"/>
      <c r="BL898" s="62"/>
      <c r="BM898" s="62"/>
      <c r="BN898" s="62"/>
      <c r="BO898" s="62"/>
      <c r="BP898" s="62"/>
      <c r="BQ898" s="62"/>
      <c r="BR898" s="62"/>
      <c r="BS898" s="62"/>
      <c r="BT898" s="62"/>
      <c r="BU898" s="62"/>
      <c r="BV898" s="62"/>
      <c r="BW898" s="62"/>
      <c r="BX898" s="62"/>
      <c r="BY898" s="62"/>
      <c r="BZ898" s="62"/>
      <c r="CA898" s="62"/>
      <c r="CB898" s="62"/>
      <c r="CC898" s="62"/>
      <c r="CD898" s="62"/>
      <c r="CE898" s="62"/>
      <c r="CF898" s="62"/>
      <c r="CG898" s="62"/>
      <c r="CH898" s="62"/>
      <c r="CI898" s="62"/>
      <c r="CJ898" s="62"/>
      <c r="CK898" s="62"/>
      <c r="CL898" s="62"/>
      <c r="CM898" s="62"/>
      <c r="CN898" s="62"/>
      <c r="CO898" s="62"/>
      <c r="CP898" s="62"/>
      <c r="CQ898" s="62"/>
      <c r="CR898" s="62"/>
      <c r="CS898" s="62"/>
      <c r="CT898" s="62"/>
      <c r="CU898" s="62"/>
      <c r="CV898" s="62"/>
      <c r="CW898" s="62"/>
      <c r="CX898" s="62"/>
      <c r="CY898" s="62"/>
      <c r="CZ898" s="62"/>
      <c r="DA898" s="62"/>
      <c r="DB898" s="62"/>
      <c r="DC898" s="62"/>
      <c r="DD898" s="62"/>
      <c r="DE898" s="62"/>
      <c r="DF898" s="62"/>
      <c r="DG898" s="62"/>
      <c r="DH898" s="62"/>
      <c r="DI898" s="62"/>
      <c r="DJ898" s="62"/>
      <c r="DK898" s="62"/>
      <c r="DL898" s="62"/>
      <c r="DM898" s="62"/>
      <c r="DN898" s="62"/>
      <c r="DO898" s="62"/>
      <c r="DP898" s="62"/>
      <c r="DQ898" s="62"/>
      <c r="DR898" s="62"/>
      <c r="DS898" s="62"/>
      <c r="DT898" s="62"/>
      <c r="DU898" s="62"/>
      <c r="DV898" s="62"/>
      <c r="DW898" s="62"/>
      <c r="DX898" s="62"/>
      <c r="DY898" s="62"/>
      <c r="DZ898" s="62"/>
      <c r="EA898" s="62"/>
      <c r="EB898" s="62"/>
      <c r="EC898" s="62"/>
      <c r="ED898" s="62"/>
      <c r="EE898" s="62"/>
      <c r="EF898" s="62"/>
      <c r="EG898" s="62"/>
      <c r="EH898" s="62"/>
      <c r="EI898" s="62"/>
      <c r="EJ898" s="62"/>
      <c r="EK898" s="62"/>
      <c r="EL898" s="62"/>
      <c r="EM898" s="62"/>
      <c r="EN898" s="62"/>
      <c r="EO898" s="62"/>
      <c r="EP898" s="62"/>
      <c r="EQ898" s="62"/>
      <c r="ER898" s="62"/>
      <c r="ES898" s="62"/>
      <c r="ET898" s="62"/>
      <c r="EU898" s="62"/>
      <c r="EV898" s="62"/>
      <c r="EW898" s="62"/>
      <c r="EX898" s="62"/>
      <c r="EY898" s="62"/>
      <c r="EZ898" s="62"/>
      <c r="FA898" s="62"/>
      <c r="FB898" s="62"/>
      <c r="FC898" s="62"/>
      <c r="FD898" s="62"/>
      <c r="FE898" s="62"/>
      <c r="FF898" s="62"/>
      <c r="FG898" s="62"/>
      <c r="FH898" s="62"/>
      <c r="FI898" s="62"/>
      <c r="FJ898" s="62"/>
      <c r="FK898" s="62"/>
      <c r="FL898" s="62"/>
      <c r="FM898" s="62"/>
      <c r="FN898" s="62"/>
      <c r="FO898" s="62"/>
      <c r="FP898" s="62"/>
      <c r="FQ898" s="62"/>
      <c r="FR898" s="62"/>
      <c r="FS898" s="62"/>
      <c r="FT898" s="62"/>
      <c r="FU898" s="62"/>
      <c r="FV898" s="62"/>
    </row>
    <row r="899" spans="1:178" ht="13.8">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c r="AT899" s="62"/>
      <c r="AU899" s="62"/>
      <c r="AV899" s="62"/>
      <c r="AW899" s="62"/>
      <c r="AX899" s="62"/>
      <c r="AY899" s="62"/>
      <c r="AZ899" s="62"/>
      <c r="BA899" s="62"/>
      <c r="BB899" s="62"/>
      <c r="BC899" s="62"/>
      <c r="BD899" s="62"/>
      <c r="BE899" s="62"/>
      <c r="BF899" s="62"/>
      <c r="BG899" s="62"/>
      <c r="BH899" s="62"/>
      <c r="BI899" s="62"/>
      <c r="BJ899" s="62"/>
      <c r="BK899" s="62"/>
      <c r="BL899" s="62"/>
      <c r="BM899" s="62"/>
      <c r="BN899" s="62"/>
      <c r="BO899" s="62"/>
      <c r="BP899" s="62"/>
      <c r="BQ899" s="62"/>
      <c r="BR899" s="62"/>
      <c r="BS899" s="62"/>
      <c r="BT899" s="62"/>
      <c r="BU899" s="62"/>
      <c r="BV899" s="62"/>
      <c r="BW899" s="62"/>
      <c r="BX899" s="62"/>
      <c r="BY899" s="62"/>
      <c r="BZ899" s="62"/>
      <c r="CA899" s="62"/>
      <c r="CB899" s="62"/>
      <c r="CC899" s="62"/>
      <c r="CD899" s="62"/>
      <c r="CE899" s="62"/>
      <c r="CF899" s="62"/>
      <c r="CG899" s="62"/>
      <c r="CH899" s="62"/>
      <c r="CI899" s="62"/>
      <c r="CJ899" s="62"/>
      <c r="CK899" s="62"/>
      <c r="CL899" s="62"/>
      <c r="CM899" s="62"/>
      <c r="CN899" s="62"/>
      <c r="CO899" s="62"/>
      <c r="CP899" s="62"/>
      <c r="CQ899" s="62"/>
      <c r="CR899" s="62"/>
      <c r="CS899" s="62"/>
      <c r="CT899" s="62"/>
      <c r="CU899" s="62"/>
      <c r="CV899" s="62"/>
      <c r="CW899" s="62"/>
      <c r="CX899" s="62"/>
      <c r="CY899" s="62"/>
      <c r="CZ899" s="62"/>
      <c r="DA899" s="62"/>
      <c r="DB899" s="62"/>
      <c r="DC899" s="62"/>
      <c r="DD899" s="62"/>
      <c r="DE899" s="62"/>
      <c r="DF899" s="62"/>
      <c r="DG899" s="62"/>
      <c r="DH899" s="62"/>
      <c r="DI899" s="62"/>
      <c r="DJ899" s="62"/>
      <c r="DK899" s="62"/>
      <c r="DL899" s="62"/>
      <c r="DM899" s="62"/>
      <c r="DN899" s="62"/>
      <c r="DO899" s="62"/>
      <c r="DP899" s="62"/>
      <c r="DQ899" s="62"/>
      <c r="DR899" s="62"/>
      <c r="DS899" s="62"/>
      <c r="DT899" s="62"/>
      <c r="DU899" s="62"/>
      <c r="DV899" s="62"/>
      <c r="DW899" s="62"/>
      <c r="DX899" s="62"/>
      <c r="DY899" s="62"/>
      <c r="DZ899" s="62"/>
      <c r="EA899" s="62"/>
      <c r="EB899" s="62"/>
      <c r="EC899" s="62"/>
      <c r="ED899" s="62"/>
      <c r="EE899" s="62"/>
      <c r="EF899" s="62"/>
      <c r="EG899" s="62"/>
      <c r="EH899" s="62"/>
      <c r="EI899" s="62"/>
      <c r="EJ899" s="62"/>
      <c r="EK899" s="62"/>
      <c r="EL899" s="62"/>
      <c r="EM899" s="62"/>
      <c r="EN899" s="62"/>
      <c r="EO899" s="62"/>
      <c r="EP899" s="62"/>
      <c r="EQ899" s="62"/>
      <c r="ER899" s="62"/>
      <c r="ES899" s="62"/>
      <c r="ET899" s="62"/>
      <c r="EU899" s="62"/>
      <c r="EV899" s="62"/>
      <c r="EW899" s="62"/>
      <c r="EX899" s="62"/>
      <c r="EY899" s="62"/>
      <c r="EZ899" s="62"/>
      <c r="FA899" s="62"/>
      <c r="FB899" s="62"/>
      <c r="FC899" s="62"/>
      <c r="FD899" s="62"/>
      <c r="FE899" s="62"/>
      <c r="FF899" s="62"/>
      <c r="FG899" s="62"/>
      <c r="FH899" s="62"/>
      <c r="FI899" s="62"/>
      <c r="FJ899" s="62"/>
      <c r="FK899" s="62"/>
      <c r="FL899" s="62"/>
      <c r="FM899" s="62"/>
      <c r="FN899" s="62"/>
      <c r="FO899" s="62"/>
      <c r="FP899" s="62"/>
      <c r="FQ899" s="62"/>
      <c r="FR899" s="62"/>
      <c r="FS899" s="62"/>
      <c r="FT899" s="62"/>
      <c r="FU899" s="62"/>
      <c r="FV899" s="62"/>
    </row>
    <row r="900" spans="1:178" ht="13.8">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c r="AT900" s="62"/>
      <c r="AU900" s="62"/>
      <c r="AV900" s="62"/>
      <c r="AW900" s="62"/>
      <c r="AX900" s="62"/>
      <c r="AY900" s="62"/>
      <c r="AZ900" s="62"/>
      <c r="BA900" s="62"/>
      <c r="BB900" s="62"/>
      <c r="BC900" s="62"/>
      <c r="BD900" s="62"/>
      <c r="BE900" s="62"/>
      <c r="BF900" s="62"/>
      <c r="BG900" s="62"/>
      <c r="BH900" s="62"/>
      <c r="BI900" s="62"/>
      <c r="BJ900" s="62"/>
      <c r="BK900" s="62"/>
      <c r="BL900" s="62"/>
      <c r="BM900" s="62"/>
      <c r="BN900" s="62"/>
      <c r="BO900" s="62"/>
      <c r="BP900" s="62"/>
      <c r="BQ900" s="62"/>
      <c r="BR900" s="62"/>
      <c r="BS900" s="62"/>
      <c r="BT900" s="62"/>
      <c r="BU900" s="62"/>
      <c r="BV900" s="62"/>
      <c r="BW900" s="62"/>
      <c r="BX900" s="62"/>
      <c r="BY900" s="62"/>
      <c r="BZ900" s="62"/>
      <c r="CA900" s="62"/>
      <c r="CB900" s="62"/>
      <c r="CC900" s="62"/>
      <c r="CD900" s="62"/>
      <c r="CE900" s="62"/>
      <c r="CF900" s="62"/>
      <c r="CG900" s="62"/>
      <c r="CH900" s="62"/>
      <c r="CI900" s="62"/>
      <c r="CJ900" s="62"/>
      <c r="CK900" s="62"/>
      <c r="CL900" s="62"/>
      <c r="CM900" s="62"/>
      <c r="CN900" s="62"/>
      <c r="CO900" s="62"/>
      <c r="CP900" s="62"/>
      <c r="CQ900" s="62"/>
      <c r="CR900" s="62"/>
      <c r="CS900" s="62"/>
      <c r="CT900" s="62"/>
      <c r="CU900" s="62"/>
      <c r="CV900" s="62"/>
      <c r="CW900" s="62"/>
      <c r="CX900" s="62"/>
      <c r="CY900" s="62"/>
      <c r="CZ900" s="62"/>
      <c r="DA900" s="62"/>
      <c r="DB900" s="62"/>
      <c r="DC900" s="62"/>
      <c r="DD900" s="62"/>
      <c r="DE900" s="62"/>
      <c r="DF900" s="62"/>
      <c r="DG900" s="62"/>
      <c r="DH900" s="62"/>
      <c r="DI900" s="62"/>
      <c r="DJ900" s="62"/>
      <c r="DK900" s="62"/>
      <c r="DL900" s="62"/>
      <c r="DM900" s="62"/>
      <c r="DN900" s="62"/>
      <c r="DO900" s="62"/>
      <c r="DP900" s="62"/>
      <c r="DQ900" s="62"/>
      <c r="DR900" s="62"/>
      <c r="DS900" s="62"/>
      <c r="DT900" s="62"/>
      <c r="DU900" s="62"/>
      <c r="DV900" s="62"/>
      <c r="DW900" s="62"/>
      <c r="DX900" s="62"/>
      <c r="DY900" s="62"/>
      <c r="DZ900" s="62"/>
      <c r="EA900" s="62"/>
      <c r="EB900" s="62"/>
      <c r="EC900" s="62"/>
      <c r="ED900" s="62"/>
      <c r="EE900" s="62"/>
      <c r="EF900" s="62"/>
      <c r="EG900" s="62"/>
      <c r="EH900" s="62"/>
      <c r="EI900" s="62"/>
      <c r="EJ900" s="62"/>
      <c r="EK900" s="62"/>
      <c r="EL900" s="62"/>
      <c r="EM900" s="62"/>
      <c r="EN900" s="62"/>
      <c r="EO900" s="62"/>
      <c r="EP900" s="62"/>
      <c r="EQ900" s="62"/>
      <c r="ER900" s="62"/>
      <c r="ES900" s="62"/>
      <c r="ET900" s="62"/>
      <c r="EU900" s="62"/>
      <c r="EV900" s="62"/>
      <c r="EW900" s="62"/>
      <c r="EX900" s="62"/>
      <c r="EY900" s="62"/>
      <c r="EZ900" s="62"/>
      <c r="FA900" s="62"/>
      <c r="FB900" s="62"/>
      <c r="FC900" s="62"/>
      <c r="FD900" s="62"/>
      <c r="FE900" s="62"/>
      <c r="FF900" s="62"/>
      <c r="FG900" s="62"/>
      <c r="FH900" s="62"/>
      <c r="FI900" s="62"/>
      <c r="FJ900" s="62"/>
      <c r="FK900" s="62"/>
      <c r="FL900" s="62"/>
      <c r="FM900" s="62"/>
      <c r="FN900" s="62"/>
      <c r="FO900" s="62"/>
      <c r="FP900" s="62"/>
      <c r="FQ900" s="62"/>
      <c r="FR900" s="62"/>
      <c r="FS900" s="62"/>
      <c r="FT900" s="62"/>
      <c r="FU900" s="62"/>
      <c r="FV900" s="62"/>
    </row>
    <row r="901" spans="1:178" ht="13.8">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c r="AT901" s="62"/>
      <c r="AU901" s="62"/>
      <c r="AV901" s="62"/>
      <c r="AW901" s="62"/>
      <c r="AX901" s="62"/>
      <c r="AY901" s="62"/>
      <c r="AZ901" s="62"/>
      <c r="BA901" s="62"/>
      <c r="BB901" s="62"/>
      <c r="BC901" s="62"/>
      <c r="BD901" s="62"/>
      <c r="BE901" s="62"/>
      <c r="BF901" s="62"/>
      <c r="BG901" s="62"/>
      <c r="BH901" s="62"/>
      <c r="BI901" s="62"/>
      <c r="BJ901" s="62"/>
      <c r="BK901" s="62"/>
      <c r="BL901" s="62"/>
      <c r="BM901" s="62"/>
      <c r="BN901" s="62"/>
      <c r="BO901" s="62"/>
      <c r="BP901" s="62"/>
      <c r="BQ901" s="62"/>
      <c r="BR901" s="62"/>
      <c r="BS901" s="62"/>
      <c r="BT901" s="62"/>
      <c r="BU901" s="62"/>
      <c r="BV901" s="62"/>
      <c r="BW901" s="62"/>
      <c r="BX901" s="62"/>
      <c r="BY901" s="62"/>
      <c r="BZ901" s="62"/>
      <c r="CA901" s="62"/>
      <c r="CB901" s="62"/>
      <c r="CC901" s="62"/>
      <c r="CD901" s="62"/>
      <c r="CE901" s="62"/>
      <c r="CF901" s="62"/>
      <c r="CG901" s="62"/>
      <c r="CH901" s="62"/>
      <c r="CI901" s="62"/>
      <c r="CJ901" s="62"/>
      <c r="CK901" s="62"/>
      <c r="CL901" s="62"/>
      <c r="CM901" s="62"/>
      <c r="CN901" s="62"/>
      <c r="CO901" s="62"/>
      <c r="CP901" s="62"/>
      <c r="CQ901" s="62"/>
      <c r="CR901" s="62"/>
      <c r="CS901" s="62"/>
      <c r="CT901" s="62"/>
      <c r="CU901" s="62"/>
      <c r="CV901" s="62"/>
      <c r="CW901" s="62"/>
      <c r="CX901" s="62"/>
      <c r="CY901" s="62"/>
      <c r="CZ901" s="62"/>
      <c r="DA901" s="62"/>
      <c r="DB901" s="62"/>
      <c r="DC901" s="62"/>
      <c r="DD901" s="62"/>
      <c r="DE901" s="62"/>
      <c r="DF901" s="62"/>
      <c r="DG901" s="62"/>
      <c r="DH901" s="62"/>
      <c r="DI901" s="62"/>
      <c r="DJ901" s="62"/>
      <c r="DK901" s="62"/>
      <c r="DL901" s="62"/>
      <c r="DM901" s="62"/>
      <c r="DN901" s="62"/>
      <c r="DO901" s="62"/>
      <c r="DP901" s="62"/>
      <c r="DQ901" s="62"/>
      <c r="DR901" s="62"/>
      <c r="DS901" s="62"/>
      <c r="DT901" s="62"/>
      <c r="DU901" s="62"/>
      <c r="DV901" s="62"/>
      <c r="DW901" s="62"/>
      <c r="DX901" s="62"/>
      <c r="DY901" s="62"/>
      <c r="DZ901" s="62"/>
      <c r="EA901" s="62"/>
      <c r="EB901" s="62"/>
      <c r="EC901" s="62"/>
      <c r="ED901" s="62"/>
      <c r="EE901" s="62"/>
      <c r="EF901" s="62"/>
      <c r="EG901" s="62"/>
      <c r="EH901" s="62"/>
      <c r="EI901" s="62"/>
      <c r="EJ901" s="62"/>
      <c r="EK901" s="62"/>
      <c r="EL901" s="62"/>
      <c r="EM901" s="62"/>
      <c r="EN901" s="62"/>
      <c r="EO901" s="62"/>
      <c r="EP901" s="62"/>
      <c r="EQ901" s="62"/>
      <c r="ER901" s="62"/>
      <c r="ES901" s="62"/>
      <c r="ET901" s="62"/>
      <c r="EU901" s="62"/>
      <c r="EV901" s="62"/>
      <c r="EW901" s="62"/>
      <c r="EX901" s="62"/>
      <c r="EY901" s="62"/>
      <c r="EZ901" s="62"/>
      <c r="FA901" s="62"/>
      <c r="FB901" s="62"/>
      <c r="FC901" s="62"/>
      <c r="FD901" s="62"/>
      <c r="FE901" s="62"/>
      <c r="FF901" s="62"/>
      <c r="FG901" s="62"/>
      <c r="FH901" s="62"/>
      <c r="FI901" s="62"/>
      <c r="FJ901" s="62"/>
      <c r="FK901" s="62"/>
      <c r="FL901" s="62"/>
      <c r="FM901" s="62"/>
      <c r="FN901" s="62"/>
      <c r="FO901" s="62"/>
      <c r="FP901" s="62"/>
      <c r="FQ901" s="62"/>
      <c r="FR901" s="62"/>
      <c r="FS901" s="62"/>
      <c r="FT901" s="62"/>
      <c r="FU901" s="62"/>
      <c r="FV901" s="62"/>
    </row>
    <row r="902" spans="1:178" ht="13.8">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c r="AT902" s="62"/>
      <c r="AU902" s="62"/>
      <c r="AV902" s="62"/>
      <c r="AW902" s="62"/>
      <c r="AX902" s="62"/>
      <c r="AY902" s="62"/>
      <c r="AZ902" s="62"/>
      <c r="BA902" s="62"/>
      <c r="BB902" s="62"/>
      <c r="BC902" s="62"/>
      <c r="BD902" s="62"/>
      <c r="BE902" s="62"/>
      <c r="BF902" s="62"/>
      <c r="BG902" s="62"/>
      <c r="BH902" s="62"/>
      <c r="BI902" s="62"/>
      <c r="BJ902" s="62"/>
      <c r="BK902" s="62"/>
      <c r="BL902" s="62"/>
      <c r="BM902" s="62"/>
      <c r="BN902" s="62"/>
      <c r="BO902" s="62"/>
      <c r="BP902" s="62"/>
      <c r="BQ902" s="62"/>
      <c r="BR902" s="62"/>
      <c r="BS902" s="62"/>
      <c r="BT902" s="62"/>
      <c r="BU902" s="62"/>
      <c r="BV902" s="62"/>
      <c r="BW902" s="62"/>
      <c r="BX902" s="62"/>
      <c r="BY902" s="62"/>
      <c r="BZ902" s="62"/>
      <c r="CA902" s="62"/>
      <c r="CB902" s="62"/>
      <c r="CC902" s="62"/>
      <c r="CD902" s="62"/>
      <c r="CE902" s="62"/>
      <c r="CF902" s="62"/>
      <c r="CG902" s="62"/>
      <c r="CH902" s="62"/>
      <c r="CI902" s="62"/>
      <c r="CJ902" s="62"/>
      <c r="CK902" s="62"/>
      <c r="CL902" s="62"/>
      <c r="CM902" s="62"/>
      <c r="CN902" s="62"/>
      <c r="CO902" s="62"/>
      <c r="CP902" s="62"/>
      <c r="CQ902" s="62"/>
      <c r="CR902" s="62"/>
      <c r="CS902" s="62"/>
      <c r="CT902" s="62"/>
      <c r="CU902" s="62"/>
      <c r="CV902" s="62"/>
      <c r="CW902" s="62"/>
      <c r="CX902" s="62"/>
      <c r="CY902" s="62"/>
      <c r="CZ902" s="62"/>
      <c r="DA902" s="62"/>
      <c r="DB902" s="62"/>
      <c r="DC902" s="62"/>
      <c r="DD902" s="62"/>
      <c r="DE902" s="62"/>
      <c r="DF902" s="62"/>
      <c r="DG902" s="62"/>
      <c r="DH902" s="62"/>
      <c r="DI902" s="62"/>
      <c r="DJ902" s="62"/>
      <c r="DK902" s="62"/>
      <c r="DL902" s="62"/>
      <c r="DM902" s="62"/>
      <c r="DN902" s="62"/>
      <c r="DO902" s="62"/>
      <c r="DP902" s="62"/>
      <c r="DQ902" s="62"/>
      <c r="DR902" s="62"/>
      <c r="DS902" s="62"/>
      <c r="DT902" s="62"/>
      <c r="DU902" s="62"/>
      <c r="DV902" s="62"/>
      <c r="DW902" s="62"/>
      <c r="DX902" s="62"/>
      <c r="DY902" s="62"/>
      <c r="DZ902" s="62"/>
      <c r="EA902" s="62"/>
      <c r="EB902" s="62"/>
      <c r="EC902" s="62"/>
      <c r="ED902" s="62"/>
      <c r="EE902" s="62"/>
      <c r="EF902" s="62"/>
      <c r="EG902" s="62"/>
      <c r="EH902" s="62"/>
      <c r="EI902" s="62"/>
      <c r="EJ902" s="62"/>
      <c r="EK902" s="62"/>
      <c r="EL902" s="62"/>
      <c r="EM902" s="62"/>
      <c r="EN902" s="62"/>
      <c r="EO902" s="62"/>
      <c r="EP902" s="62"/>
      <c r="EQ902" s="62"/>
      <c r="ER902" s="62"/>
      <c r="ES902" s="62"/>
      <c r="ET902" s="62"/>
      <c r="EU902" s="62"/>
      <c r="EV902" s="62"/>
      <c r="EW902" s="62"/>
      <c r="EX902" s="62"/>
      <c r="EY902" s="62"/>
      <c r="EZ902" s="62"/>
      <c r="FA902" s="62"/>
      <c r="FB902" s="62"/>
      <c r="FC902" s="62"/>
      <c r="FD902" s="62"/>
      <c r="FE902" s="62"/>
      <c r="FF902" s="62"/>
      <c r="FG902" s="62"/>
      <c r="FH902" s="62"/>
      <c r="FI902" s="62"/>
      <c r="FJ902" s="62"/>
      <c r="FK902" s="62"/>
      <c r="FL902" s="62"/>
      <c r="FM902" s="62"/>
      <c r="FN902" s="62"/>
      <c r="FO902" s="62"/>
      <c r="FP902" s="62"/>
      <c r="FQ902" s="62"/>
      <c r="FR902" s="62"/>
      <c r="FS902" s="62"/>
      <c r="FT902" s="62"/>
      <c r="FU902" s="62"/>
      <c r="FV902" s="62"/>
    </row>
    <row r="903" spans="1:178" ht="13.8">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c r="AT903" s="62"/>
      <c r="AU903" s="62"/>
      <c r="AV903" s="62"/>
      <c r="AW903" s="62"/>
      <c r="AX903" s="62"/>
      <c r="AY903" s="62"/>
      <c r="AZ903" s="62"/>
      <c r="BA903" s="62"/>
      <c r="BB903" s="62"/>
      <c r="BC903" s="62"/>
      <c r="BD903" s="62"/>
      <c r="BE903" s="62"/>
      <c r="BF903" s="62"/>
      <c r="BG903" s="62"/>
      <c r="BH903" s="62"/>
      <c r="BI903" s="62"/>
      <c r="BJ903" s="62"/>
      <c r="BK903" s="62"/>
      <c r="BL903" s="62"/>
      <c r="BM903" s="62"/>
      <c r="BN903" s="62"/>
      <c r="BO903" s="62"/>
      <c r="BP903" s="62"/>
      <c r="BQ903" s="62"/>
      <c r="BR903" s="62"/>
      <c r="BS903" s="62"/>
      <c r="BT903" s="62"/>
      <c r="BU903" s="62"/>
      <c r="BV903" s="62"/>
      <c r="BW903" s="62"/>
      <c r="BX903" s="62"/>
      <c r="BY903" s="62"/>
      <c r="BZ903" s="62"/>
      <c r="CA903" s="62"/>
      <c r="CB903" s="62"/>
      <c r="CC903" s="62"/>
      <c r="CD903" s="62"/>
      <c r="CE903" s="62"/>
      <c r="CF903" s="62"/>
      <c r="CG903" s="62"/>
      <c r="CH903" s="62"/>
      <c r="CI903" s="62"/>
      <c r="CJ903" s="62"/>
      <c r="CK903" s="62"/>
      <c r="CL903" s="62"/>
      <c r="CM903" s="62"/>
      <c r="CN903" s="62"/>
      <c r="CO903" s="62"/>
      <c r="CP903" s="62"/>
      <c r="CQ903" s="62"/>
      <c r="CR903" s="62"/>
      <c r="CS903" s="62"/>
      <c r="CT903" s="62"/>
      <c r="CU903" s="62"/>
      <c r="CV903" s="62"/>
      <c r="CW903" s="62"/>
      <c r="CX903" s="62"/>
      <c r="CY903" s="62"/>
      <c r="CZ903" s="62"/>
      <c r="DA903" s="62"/>
      <c r="DB903" s="62"/>
      <c r="DC903" s="62"/>
      <c r="DD903" s="62"/>
      <c r="DE903" s="62"/>
      <c r="DF903" s="62"/>
      <c r="DG903" s="62"/>
      <c r="DH903" s="62"/>
      <c r="DI903" s="62"/>
      <c r="DJ903" s="62"/>
      <c r="DK903" s="62"/>
      <c r="DL903" s="62"/>
      <c r="DM903" s="62"/>
      <c r="DN903" s="62"/>
      <c r="DO903" s="62"/>
      <c r="DP903" s="62"/>
      <c r="DQ903" s="62"/>
      <c r="DR903" s="62"/>
      <c r="DS903" s="62"/>
      <c r="DT903" s="62"/>
      <c r="DU903" s="62"/>
      <c r="DV903" s="62"/>
      <c r="DW903" s="62"/>
      <c r="DX903" s="62"/>
      <c r="DY903" s="62"/>
      <c r="DZ903" s="62"/>
      <c r="EA903" s="62"/>
      <c r="EB903" s="62"/>
      <c r="EC903" s="62"/>
      <c r="ED903" s="62"/>
      <c r="EE903" s="62"/>
      <c r="EF903" s="62"/>
      <c r="EG903" s="62"/>
      <c r="EH903" s="62"/>
      <c r="EI903" s="62"/>
      <c r="EJ903" s="62"/>
      <c r="EK903" s="62"/>
      <c r="EL903" s="62"/>
      <c r="EM903" s="62"/>
      <c r="EN903" s="62"/>
      <c r="EO903" s="62"/>
      <c r="EP903" s="62"/>
      <c r="EQ903" s="62"/>
      <c r="ER903" s="62"/>
      <c r="ES903" s="62"/>
      <c r="ET903" s="62"/>
      <c r="EU903" s="62"/>
      <c r="EV903" s="62"/>
      <c r="EW903" s="62"/>
      <c r="EX903" s="62"/>
      <c r="EY903" s="62"/>
      <c r="EZ903" s="62"/>
      <c r="FA903" s="62"/>
      <c r="FB903" s="62"/>
      <c r="FC903" s="62"/>
      <c r="FD903" s="62"/>
      <c r="FE903" s="62"/>
      <c r="FF903" s="62"/>
      <c r="FG903" s="62"/>
      <c r="FH903" s="62"/>
      <c r="FI903" s="62"/>
      <c r="FJ903" s="62"/>
      <c r="FK903" s="62"/>
      <c r="FL903" s="62"/>
      <c r="FM903" s="62"/>
      <c r="FN903" s="62"/>
      <c r="FO903" s="62"/>
      <c r="FP903" s="62"/>
      <c r="FQ903" s="62"/>
      <c r="FR903" s="62"/>
      <c r="FS903" s="62"/>
      <c r="FT903" s="62"/>
      <c r="FU903" s="62"/>
      <c r="FV903" s="62"/>
    </row>
    <row r="904" spans="1:178" ht="13.8">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c r="AT904" s="62"/>
      <c r="AU904" s="62"/>
      <c r="AV904" s="62"/>
      <c r="AW904" s="62"/>
      <c r="AX904" s="62"/>
      <c r="AY904" s="62"/>
      <c r="AZ904" s="62"/>
      <c r="BA904" s="62"/>
      <c r="BB904" s="62"/>
      <c r="BC904" s="62"/>
      <c r="BD904" s="62"/>
      <c r="BE904" s="62"/>
      <c r="BF904" s="62"/>
      <c r="BG904" s="62"/>
      <c r="BH904" s="62"/>
      <c r="BI904" s="62"/>
      <c r="BJ904" s="62"/>
      <c r="BK904" s="62"/>
      <c r="BL904" s="62"/>
      <c r="BM904" s="62"/>
      <c r="BN904" s="62"/>
      <c r="BO904" s="62"/>
      <c r="BP904" s="62"/>
      <c r="BQ904" s="62"/>
      <c r="BR904" s="62"/>
      <c r="BS904" s="62"/>
      <c r="BT904" s="62"/>
      <c r="BU904" s="62"/>
      <c r="BV904" s="62"/>
      <c r="BW904" s="62"/>
      <c r="BX904" s="62"/>
      <c r="BY904" s="62"/>
      <c r="BZ904" s="62"/>
      <c r="CA904" s="62"/>
      <c r="CB904" s="62"/>
      <c r="CC904" s="62"/>
      <c r="CD904" s="62"/>
      <c r="CE904" s="62"/>
      <c r="CF904" s="62"/>
      <c r="CG904" s="62"/>
      <c r="CH904" s="62"/>
      <c r="CI904" s="62"/>
      <c r="CJ904" s="62"/>
      <c r="CK904" s="62"/>
      <c r="CL904" s="62"/>
      <c r="CM904" s="62"/>
      <c r="CN904" s="62"/>
      <c r="CO904" s="62"/>
      <c r="CP904" s="62"/>
      <c r="CQ904" s="62"/>
      <c r="CR904" s="62"/>
      <c r="CS904" s="62"/>
      <c r="CT904" s="62"/>
      <c r="CU904" s="62"/>
      <c r="CV904" s="62"/>
      <c r="CW904" s="62"/>
      <c r="CX904" s="62"/>
      <c r="CY904" s="62"/>
      <c r="CZ904" s="62"/>
      <c r="DA904" s="62"/>
      <c r="DB904" s="62"/>
      <c r="DC904" s="62"/>
      <c r="DD904" s="62"/>
      <c r="DE904" s="62"/>
      <c r="DF904" s="62"/>
      <c r="DG904" s="62"/>
      <c r="DH904" s="62"/>
      <c r="DI904" s="62"/>
      <c r="DJ904" s="62"/>
      <c r="DK904" s="62"/>
      <c r="DL904" s="62"/>
      <c r="DM904" s="62"/>
      <c r="DN904" s="62"/>
      <c r="DO904" s="62"/>
      <c r="DP904" s="62"/>
      <c r="DQ904" s="62"/>
      <c r="DR904" s="62"/>
      <c r="DS904" s="62"/>
      <c r="DT904" s="62"/>
      <c r="DU904" s="62"/>
      <c r="DV904" s="62"/>
      <c r="DW904" s="62"/>
      <c r="DX904" s="62"/>
      <c r="DY904" s="62"/>
      <c r="DZ904" s="62"/>
      <c r="EA904" s="62"/>
      <c r="EB904" s="62"/>
      <c r="EC904" s="62"/>
      <c r="ED904" s="62"/>
      <c r="EE904" s="62"/>
      <c r="EF904" s="62"/>
      <c r="EG904" s="62"/>
      <c r="EH904" s="62"/>
      <c r="EI904" s="62"/>
      <c r="EJ904" s="62"/>
      <c r="EK904" s="62"/>
      <c r="EL904" s="62"/>
      <c r="EM904" s="62"/>
      <c r="EN904" s="62"/>
      <c r="EO904" s="62"/>
      <c r="EP904" s="62"/>
      <c r="EQ904" s="62"/>
      <c r="ER904" s="62"/>
      <c r="ES904" s="62"/>
      <c r="ET904" s="62"/>
      <c r="EU904" s="62"/>
      <c r="EV904" s="62"/>
      <c r="EW904" s="62"/>
      <c r="EX904" s="62"/>
      <c r="EY904" s="62"/>
      <c r="EZ904" s="62"/>
      <c r="FA904" s="62"/>
      <c r="FB904" s="62"/>
      <c r="FC904" s="62"/>
      <c r="FD904" s="62"/>
      <c r="FE904" s="62"/>
      <c r="FF904" s="62"/>
      <c r="FG904" s="62"/>
      <c r="FH904" s="62"/>
      <c r="FI904" s="62"/>
      <c r="FJ904" s="62"/>
      <c r="FK904" s="62"/>
      <c r="FL904" s="62"/>
      <c r="FM904" s="62"/>
      <c r="FN904" s="62"/>
      <c r="FO904" s="62"/>
      <c r="FP904" s="62"/>
      <c r="FQ904" s="62"/>
      <c r="FR904" s="62"/>
      <c r="FS904" s="62"/>
      <c r="FT904" s="62"/>
      <c r="FU904" s="62"/>
      <c r="FV904" s="62"/>
    </row>
    <row r="905" spans="1:178" ht="13.8">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c r="AT905" s="62"/>
      <c r="AU905" s="62"/>
      <c r="AV905" s="62"/>
      <c r="AW905" s="62"/>
      <c r="AX905" s="62"/>
      <c r="AY905" s="62"/>
      <c r="AZ905" s="62"/>
      <c r="BA905" s="62"/>
      <c r="BB905" s="62"/>
      <c r="BC905" s="62"/>
      <c r="BD905" s="62"/>
      <c r="BE905" s="62"/>
      <c r="BF905" s="62"/>
      <c r="BG905" s="62"/>
      <c r="BH905" s="62"/>
      <c r="BI905" s="62"/>
      <c r="BJ905" s="62"/>
      <c r="BK905" s="62"/>
      <c r="BL905" s="62"/>
      <c r="BM905" s="62"/>
      <c r="BN905" s="62"/>
      <c r="BO905" s="62"/>
      <c r="BP905" s="62"/>
      <c r="BQ905" s="62"/>
      <c r="BR905" s="62"/>
      <c r="BS905" s="62"/>
      <c r="BT905" s="62"/>
      <c r="BU905" s="62"/>
      <c r="BV905" s="62"/>
      <c r="BW905" s="62"/>
      <c r="BX905" s="62"/>
      <c r="BY905" s="62"/>
      <c r="BZ905" s="62"/>
      <c r="CA905" s="62"/>
      <c r="CB905" s="62"/>
      <c r="CC905" s="62"/>
      <c r="CD905" s="62"/>
      <c r="CE905" s="62"/>
      <c r="CF905" s="62"/>
      <c r="CG905" s="62"/>
      <c r="CH905" s="62"/>
      <c r="CI905" s="62"/>
      <c r="CJ905" s="62"/>
      <c r="CK905" s="62"/>
      <c r="CL905" s="62"/>
      <c r="CM905" s="62"/>
      <c r="CN905" s="62"/>
      <c r="CO905" s="62"/>
      <c r="CP905" s="62"/>
      <c r="CQ905" s="62"/>
      <c r="CR905" s="62"/>
      <c r="CS905" s="62"/>
      <c r="CT905" s="62"/>
      <c r="CU905" s="62"/>
      <c r="CV905" s="62"/>
      <c r="CW905" s="62"/>
      <c r="CX905" s="62"/>
      <c r="CY905" s="62"/>
      <c r="CZ905" s="62"/>
      <c r="DA905" s="62"/>
      <c r="DB905" s="62"/>
      <c r="DC905" s="62"/>
      <c r="DD905" s="62"/>
      <c r="DE905" s="62"/>
      <c r="DF905" s="62"/>
      <c r="DG905" s="62"/>
      <c r="DH905" s="62"/>
      <c r="DI905" s="62"/>
      <c r="DJ905" s="62"/>
      <c r="DK905" s="62"/>
      <c r="DL905" s="62"/>
      <c r="DM905" s="62"/>
      <c r="DN905" s="62"/>
      <c r="DO905" s="62"/>
      <c r="DP905" s="62"/>
      <c r="DQ905" s="62"/>
      <c r="DR905" s="62"/>
      <c r="DS905" s="62"/>
      <c r="DT905" s="62"/>
      <c r="DU905" s="62"/>
      <c r="DV905" s="62"/>
      <c r="DW905" s="62"/>
      <c r="DX905" s="62"/>
      <c r="DY905" s="62"/>
      <c r="DZ905" s="62"/>
      <c r="EA905" s="62"/>
      <c r="EB905" s="62"/>
      <c r="EC905" s="62"/>
      <c r="ED905" s="62"/>
      <c r="EE905" s="62"/>
      <c r="EF905" s="62"/>
      <c r="EG905" s="62"/>
      <c r="EH905" s="62"/>
      <c r="EI905" s="62"/>
      <c r="EJ905" s="62"/>
      <c r="EK905" s="62"/>
      <c r="EL905" s="62"/>
      <c r="EM905" s="62"/>
      <c r="EN905" s="62"/>
      <c r="EO905" s="62"/>
      <c r="EP905" s="62"/>
      <c r="EQ905" s="62"/>
      <c r="ER905" s="62"/>
      <c r="ES905" s="62"/>
      <c r="ET905" s="62"/>
      <c r="EU905" s="62"/>
      <c r="EV905" s="62"/>
      <c r="EW905" s="62"/>
      <c r="EX905" s="62"/>
      <c r="EY905" s="62"/>
      <c r="EZ905" s="62"/>
      <c r="FA905" s="62"/>
      <c r="FB905" s="62"/>
      <c r="FC905" s="62"/>
      <c r="FD905" s="62"/>
      <c r="FE905" s="62"/>
      <c r="FF905" s="62"/>
      <c r="FG905" s="62"/>
      <c r="FH905" s="62"/>
      <c r="FI905" s="62"/>
      <c r="FJ905" s="62"/>
      <c r="FK905" s="62"/>
      <c r="FL905" s="62"/>
      <c r="FM905" s="62"/>
      <c r="FN905" s="62"/>
      <c r="FO905" s="62"/>
      <c r="FP905" s="62"/>
      <c r="FQ905" s="62"/>
      <c r="FR905" s="62"/>
      <c r="FS905" s="62"/>
      <c r="FT905" s="62"/>
      <c r="FU905" s="62"/>
      <c r="FV905" s="62"/>
    </row>
    <row r="906" spans="1:178" ht="13.8">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c r="AT906" s="62"/>
      <c r="AU906" s="62"/>
      <c r="AV906" s="62"/>
      <c r="AW906" s="62"/>
      <c r="AX906" s="62"/>
      <c r="AY906" s="62"/>
      <c r="AZ906" s="62"/>
      <c r="BA906" s="62"/>
      <c r="BB906" s="62"/>
      <c r="BC906" s="62"/>
      <c r="BD906" s="62"/>
      <c r="BE906" s="62"/>
      <c r="BF906" s="62"/>
      <c r="BG906" s="62"/>
      <c r="BH906" s="62"/>
      <c r="BI906" s="62"/>
      <c r="BJ906" s="62"/>
      <c r="BK906" s="62"/>
      <c r="BL906" s="62"/>
      <c r="BM906" s="62"/>
      <c r="BN906" s="62"/>
      <c r="BO906" s="62"/>
      <c r="BP906" s="62"/>
      <c r="BQ906" s="62"/>
      <c r="BR906" s="62"/>
      <c r="BS906" s="62"/>
      <c r="BT906" s="62"/>
      <c r="BU906" s="62"/>
      <c r="BV906" s="62"/>
      <c r="BW906" s="62"/>
      <c r="BX906" s="62"/>
      <c r="BY906" s="62"/>
      <c r="BZ906" s="62"/>
      <c r="CA906" s="62"/>
      <c r="CB906" s="62"/>
      <c r="CC906" s="62"/>
      <c r="CD906" s="62"/>
      <c r="CE906" s="62"/>
      <c r="CF906" s="62"/>
      <c r="CG906" s="62"/>
      <c r="CH906" s="62"/>
      <c r="CI906" s="62"/>
      <c r="CJ906" s="62"/>
      <c r="CK906" s="62"/>
      <c r="CL906" s="62"/>
      <c r="CM906" s="62"/>
      <c r="CN906" s="62"/>
      <c r="CO906" s="62"/>
      <c r="CP906" s="62"/>
      <c r="CQ906" s="62"/>
      <c r="CR906" s="62"/>
      <c r="CS906" s="62"/>
      <c r="CT906" s="62"/>
      <c r="CU906" s="62"/>
      <c r="CV906" s="62"/>
      <c r="CW906" s="62"/>
      <c r="CX906" s="62"/>
      <c r="CY906" s="62"/>
      <c r="CZ906" s="62"/>
      <c r="DA906" s="62"/>
      <c r="DB906" s="62"/>
      <c r="DC906" s="62"/>
      <c r="DD906" s="62"/>
      <c r="DE906" s="62"/>
      <c r="DF906" s="62"/>
      <c r="DG906" s="62"/>
      <c r="DH906" s="62"/>
      <c r="DI906" s="62"/>
      <c r="DJ906" s="62"/>
      <c r="DK906" s="62"/>
      <c r="DL906" s="62"/>
      <c r="DM906" s="62"/>
      <c r="DN906" s="62"/>
      <c r="DO906" s="62"/>
      <c r="DP906" s="62"/>
      <c r="DQ906" s="62"/>
      <c r="DR906" s="62"/>
      <c r="DS906" s="62"/>
      <c r="DT906" s="62"/>
      <c r="DU906" s="62"/>
      <c r="DV906" s="62"/>
      <c r="DW906" s="62"/>
      <c r="DX906" s="62"/>
      <c r="DY906" s="62"/>
      <c r="DZ906" s="62"/>
      <c r="EA906" s="62"/>
      <c r="EB906" s="62"/>
      <c r="EC906" s="62"/>
      <c r="ED906" s="62"/>
      <c r="EE906" s="62"/>
      <c r="EF906" s="62"/>
      <c r="EG906" s="62"/>
      <c r="EH906" s="62"/>
      <c r="EI906" s="62"/>
      <c r="EJ906" s="62"/>
      <c r="EK906" s="62"/>
      <c r="EL906" s="62"/>
      <c r="EM906" s="62"/>
      <c r="EN906" s="62"/>
      <c r="EO906" s="62"/>
      <c r="EP906" s="62"/>
      <c r="EQ906" s="62"/>
      <c r="ER906" s="62"/>
      <c r="ES906" s="62"/>
      <c r="ET906" s="62"/>
      <c r="EU906" s="62"/>
      <c r="EV906" s="62"/>
      <c r="EW906" s="62"/>
      <c r="EX906" s="62"/>
      <c r="EY906" s="62"/>
      <c r="EZ906" s="62"/>
      <c r="FA906" s="62"/>
      <c r="FB906" s="62"/>
      <c r="FC906" s="62"/>
      <c r="FD906" s="62"/>
      <c r="FE906" s="62"/>
      <c r="FF906" s="62"/>
      <c r="FG906" s="62"/>
      <c r="FH906" s="62"/>
      <c r="FI906" s="62"/>
      <c r="FJ906" s="62"/>
      <c r="FK906" s="62"/>
      <c r="FL906" s="62"/>
      <c r="FM906" s="62"/>
      <c r="FN906" s="62"/>
      <c r="FO906" s="62"/>
      <c r="FP906" s="62"/>
      <c r="FQ906" s="62"/>
      <c r="FR906" s="62"/>
      <c r="FS906" s="62"/>
      <c r="FT906" s="62"/>
      <c r="FU906" s="62"/>
      <c r="FV906" s="62"/>
    </row>
    <row r="907" spans="1:178" ht="13.8">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c r="AT907" s="62"/>
      <c r="AU907" s="62"/>
      <c r="AV907" s="62"/>
      <c r="AW907" s="62"/>
      <c r="AX907" s="62"/>
      <c r="AY907" s="62"/>
      <c r="AZ907" s="62"/>
      <c r="BA907" s="62"/>
      <c r="BB907" s="62"/>
      <c r="BC907" s="62"/>
      <c r="BD907" s="62"/>
      <c r="BE907" s="62"/>
      <c r="BF907" s="62"/>
      <c r="BG907" s="62"/>
      <c r="BH907" s="62"/>
      <c r="BI907" s="62"/>
      <c r="BJ907" s="62"/>
      <c r="BK907" s="62"/>
      <c r="BL907" s="62"/>
      <c r="BM907" s="62"/>
      <c r="BN907" s="62"/>
      <c r="BO907" s="62"/>
      <c r="BP907" s="62"/>
      <c r="BQ907" s="62"/>
      <c r="BR907" s="62"/>
      <c r="BS907" s="62"/>
      <c r="BT907" s="62"/>
      <c r="BU907" s="62"/>
      <c r="BV907" s="62"/>
      <c r="BW907" s="62"/>
      <c r="BX907" s="62"/>
      <c r="BY907" s="62"/>
      <c r="BZ907" s="62"/>
      <c r="CA907" s="62"/>
      <c r="CB907" s="62"/>
      <c r="CC907" s="62"/>
      <c r="CD907" s="62"/>
      <c r="CE907" s="62"/>
      <c r="CF907" s="62"/>
      <c r="CG907" s="62"/>
      <c r="CH907" s="62"/>
      <c r="CI907" s="62"/>
      <c r="CJ907" s="62"/>
      <c r="CK907" s="62"/>
      <c r="CL907" s="62"/>
      <c r="CM907" s="62"/>
      <c r="CN907" s="62"/>
      <c r="CO907" s="62"/>
      <c r="CP907" s="62"/>
      <c r="CQ907" s="62"/>
      <c r="CR907" s="62"/>
      <c r="CS907" s="62"/>
      <c r="CT907" s="62"/>
      <c r="CU907" s="62"/>
      <c r="CV907" s="62"/>
      <c r="CW907" s="62"/>
      <c r="CX907" s="62"/>
      <c r="CY907" s="62"/>
      <c r="CZ907" s="62"/>
      <c r="DA907" s="62"/>
      <c r="DB907" s="62"/>
      <c r="DC907" s="62"/>
      <c r="DD907" s="62"/>
      <c r="DE907" s="62"/>
      <c r="DF907" s="62"/>
      <c r="DG907" s="62"/>
      <c r="DH907" s="62"/>
      <c r="DI907" s="62"/>
      <c r="DJ907" s="62"/>
      <c r="DK907" s="62"/>
      <c r="DL907" s="62"/>
      <c r="DM907" s="62"/>
      <c r="DN907" s="62"/>
      <c r="DO907" s="62"/>
      <c r="DP907" s="62"/>
      <c r="DQ907" s="62"/>
      <c r="DR907" s="62"/>
      <c r="DS907" s="62"/>
      <c r="DT907" s="62"/>
      <c r="DU907" s="62"/>
      <c r="DV907" s="62"/>
      <c r="DW907" s="62"/>
      <c r="DX907" s="62"/>
      <c r="DY907" s="62"/>
      <c r="DZ907" s="62"/>
      <c r="EA907" s="62"/>
      <c r="EB907" s="62"/>
      <c r="EC907" s="62"/>
      <c r="ED907" s="62"/>
      <c r="EE907" s="62"/>
      <c r="EF907" s="62"/>
      <c r="EG907" s="62"/>
      <c r="EH907" s="62"/>
      <c r="EI907" s="62"/>
      <c r="EJ907" s="62"/>
      <c r="EK907" s="62"/>
      <c r="EL907" s="62"/>
      <c r="EM907" s="62"/>
      <c r="EN907" s="62"/>
      <c r="EO907" s="62"/>
      <c r="EP907" s="62"/>
      <c r="EQ907" s="62"/>
      <c r="ER907" s="62"/>
      <c r="ES907" s="62"/>
      <c r="ET907" s="62"/>
      <c r="EU907" s="62"/>
      <c r="EV907" s="62"/>
      <c r="EW907" s="62"/>
      <c r="EX907" s="62"/>
      <c r="EY907" s="62"/>
      <c r="EZ907" s="62"/>
      <c r="FA907" s="62"/>
      <c r="FB907" s="62"/>
      <c r="FC907" s="62"/>
      <c r="FD907" s="62"/>
      <c r="FE907" s="62"/>
      <c r="FF907" s="62"/>
      <c r="FG907" s="62"/>
      <c r="FH907" s="62"/>
      <c r="FI907" s="62"/>
      <c r="FJ907" s="62"/>
      <c r="FK907" s="62"/>
      <c r="FL907" s="62"/>
      <c r="FM907" s="62"/>
      <c r="FN907" s="62"/>
      <c r="FO907" s="62"/>
      <c r="FP907" s="62"/>
      <c r="FQ907" s="62"/>
      <c r="FR907" s="62"/>
      <c r="FS907" s="62"/>
      <c r="FT907" s="62"/>
      <c r="FU907" s="62"/>
      <c r="FV907" s="62"/>
    </row>
    <row r="908" spans="1:178" ht="13.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c r="AT908" s="62"/>
      <c r="AU908" s="62"/>
      <c r="AV908" s="62"/>
      <c r="AW908" s="62"/>
      <c r="AX908" s="62"/>
      <c r="AY908" s="62"/>
      <c r="AZ908" s="62"/>
      <c r="BA908" s="62"/>
      <c r="BB908" s="62"/>
      <c r="BC908" s="62"/>
      <c r="BD908" s="62"/>
      <c r="BE908" s="62"/>
      <c r="BF908" s="62"/>
      <c r="BG908" s="62"/>
      <c r="BH908" s="62"/>
      <c r="BI908" s="62"/>
      <c r="BJ908" s="62"/>
      <c r="BK908" s="62"/>
      <c r="BL908" s="62"/>
      <c r="BM908" s="62"/>
      <c r="BN908" s="62"/>
      <c r="BO908" s="62"/>
      <c r="BP908" s="62"/>
      <c r="BQ908" s="62"/>
      <c r="BR908" s="62"/>
      <c r="BS908" s="62"/>
      <c r="BT908" s="62"/>
      <c r="BU908" s="62"/>
      <c r="BV908" s="62"/>
      <c r="BW908" s="62"/>
      <c r="BX908" s="62"/>
      <c r="BY908" s="62"/>
      <c r="BZ908" s="62"/>
      <c r="CA908" s="62"/>
      <c r="CB908" s="62"/>
      <c r="CC908" s="62"/>
      <c r="CD908" s="62"/>
      <c r="CE908" s="62"/>
      <c r="CF908" s="62"/>
      <c r="CG908" s="62"/>
      <c r="CH908" s="62"/>
      <c r="CI908" s="62"/>
      <c r="CJ908" s="62"/>
      <c r="CK908" s="62"/>
      <c r="CL908" s="62"/>
      <c r="CM908" s="62"/>
      <c r="CN908" s="62"/>
      <c r="CO908" s="62"/>
      <c r="CP908" s="62"/>
      <c r="CQ908" s="62"/>
      <c r="CR908" s="62"/>
      <c r="CS908" s="62"/>
      <c r="CT908" s="62"/>
      <c r="CU908" s="62"/>
      <c r="CV908" s="62"/>
      <c r="CW908" s="62"/>
      <c r="CX908" s="62"/>
      <c r="CY908" s="62"/>
      <c r="CZ908" s="62"/>
      <c r="DA908" s="62"/>
      <c r="DB908" s="62"/>
      <c r="DC908" s="62"/>
      <c r="DD908" s="62"/>
      <c r="DE908" s="62"/>
      <c r="DF908" s="62"/>
      <c r="DG908" s="62"/>
      <c r="DH908" s="62"/>
      <c r="DI908" s="62"/>
      <c r="DJ908" s="62"/>
      <c r="DK908" s="62"/>
      <c r="DL908" s="62"/>
      <c r="DM908" s="62"/>
      <c r="DN908" s="62"/>
      <c r="DO908" s="62"/>
      <c r="DP908" s="62"/>
      <c r="DQ908" s="62"/>
      <c r="DR908" s="62"/>
      <c r="DS908" s="62"/>
      <c r="DT908" s="62"/>
      <c r="DU908" s="62"/>
      <c r="DV908" s="62"/>
      <c r="DW908" s="62"/>
      <c r="DX908" s="62"/>
      <c r="DY908" s="62"/>
      <c r="DZ908" s="62"/>
      <c r="EA908" s="62"/>
      <c r="EB908" s="62"/>
      <c r="EC908" s="62"/>
      <c r="ED908" s="62"/>
      <c r="EE908" s="62"/>
      <c r="EF908" s="62"/>
      <c r="EG908" s="62"/>
      <c r="EH908" s="62"/>
      <c r="EI908" s="62"/>
      <c r="EJ908" s="62"/>
      <c r="EK908" s="62"/>
      <c r="EL908" s="62"/>
      <c r="EM908" s="62"/>
      <c r="EN908" s="62"/>
      <c r="EO908" s="62"/>
      <c r="EP908" s="62"/>
      <c r="EQ908" s="62"/>
      <c r="ER908" s="62"/>
      <c r="ES908" s="62"/>
      <c r="ET908" s="62"/>
      <c r="EU908" s="62"/>
      <c r="EV908" s="62"/>
      <c r="EW908" s="62"/>
      <c r="EX908" s="62"/>
      <c r="EY908" s="62"/>
      <c r="EZ908" s="62"/>
      <c r="FA908" s="62"/>
      <c r="FB908" s="62"/>
      <c r="FC908" s="62"/>
      <c r="FD908" s="62"/>
      <c r="FE908" s="62"/>
      <c r="FF908" s="62"/>
      <c r="FG908" s="62"/>
      <c r="FH908" s="62"/>
      <c r="FI908" s="62"/>
      <c r="FJ908" s="62"/>
      <c r="FK908" s="62"/>
      <c r="FL908" s="62"/>
      <c r="FM908" s="62"/>
      <c r="FN908" s="62"/>
      <c r="FO908" s="62"/>
      <c r="FP908" s="62"/>
      <c r="FQ908" s="62"/>
      <c r="FR908" s="62"/>
      <c r="FS908" s="62"/>
      <c r="FT908" s="62"/>
      <c r="FU908" s="62"/>
      <c r="FV908" s="62"/>
    </row>
    <row r="909" spans="1:178" ht="13.8">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c r="AT909" s="62"/>
      <c r="AU909" s="62"/>
      <c r="AV909" s="62"/>
      <c r="AW909" s="62"/>
      <c r="AX909" s="62"/>
      <c r="AY909" s="62"/>
      <c r="AZ909" s="62"/>
      <c r="BA909" s="62"/>
      <c r="BB909" s="62"/>
      <c r="BC909" s="62"/>
      <c r="BD909" s="62"/>
      <c r="BE909" s="62"/>
      <c r="BF909" s="62"/>
      <c r="BG909" s="62"/>
      <c r="BH909" s="62"/>
      <c r="BI909" s="62"/>
      <c r="BJ909" s="62"/>
      <c r="BK909" s="62"/>
      <c r="BL909" s="62"/>
      <c r="BM909" s="62"/>
      <c r="BN909" s="62"/>
      <c r="BO909" s="62"/>
      <c r="BP909" s="62"/>
      <c r="BQ909" s="62"/>
      <c r="BR909" s="62"/>
      <c r="BS909" s="62"/>
      <c r="BT909" s="62"/>
      <c r="BU909" s="62"/>
      <c r="BV909" s="62"/>
      <c r="BW909" s="62"/>
      <c r="BX909" s="62"/>
      <c r="BY909" s="62"/>
      <c r="BZ909" s="62"/>
      <c r="CA909" s="62"/>
      <c r="CB909" s="62"/>
      <c r="CC909" s="62"/>
      <c r="CD909" s="62"/>
      <c r="CE909" s="62"/>
      <c r="CF909" s="62"/>
      <c r="CG909" s="62"/>
      <c r="CH909" s="62"/>
      <c r="CI909" s="62"/>
      <c r="CJ909" s="62"/>
      <c r="CK909" s="62"/>
      <c r="CL909" s="62"/>
      <c r="CM909" s="62"/>
      <c r="CN909" s="62"/>
      <c r="CO909" s="62"/>
      <c r="CP909" s="62"/>
      <c r="CQ909" s="62"/>
      <c r="CR909" s="62"/>
      <c r="CS909" s="62"/>
      <c r="CT909" s="62"/>
      <c r="CU909" s="62"/>
      <c r="CV909" s="62"/>
      <c r="CW909" s="62"/>
      <c r="CX909" s="62"/>
      <c r="CY909" s="62"/>
      <c r="CZ909" s="62"/>
      <c r="DA909" s="62"/>
      <c r="DB909" s="62"/>
      <c r="DC909" s="62"/>
      <c r="DD909" s="62"/>
      <c r="DE909" s="62"/>
      <c r="DF909" s="62"/>
      <c r="DG909" s="62"/>
      <c r="DH909" s="62"/>
      <c r="DI909" s="62"/>
      <c r="DJ909" s="62"/>
      <c r="DK909" s="62"/>
      <c r="DL909" s="62"/>
      <c r="DM909" s="62"/>
      <c r="DN909" s="62"/>
      <c r="DO909" s="62"/>
      <c r="DP909" s="62"/>
      <c r="DQ909" s="62"/>
      <c r="DR909" s="62"/>
      <c r="DS909" s="62"/>
      <c r="DT909" s="62"/>
      <c r="DU909" s="62"/>
      <c r="DV909" s="62"/>
      <c r="DW909" s="62"/>
      <c r="DX909" s="62"/>
      <c r="DY909" s="62"/>
      <c r="DZ909" s="62"/>
      <c r="EA909" s="62"/>
      <c r="EB909" s="62"/>
      <c r="EC909" s="62"/>
      <c r="ED909" s="62"/>
      <c r="EE909" s="62"/>
      <c r="EF909" s="62"/>
      <c r="EG909" s="62"/>
      <c r="EH909" s="62"/>
      <c r="EI909" s="62"/>
      <c r="EJ909" s="62"/>
      <c r="EK909" s="62"/>
      <c r="EL909" s="62"/>
      <c r="EM909" s="62"/>
      <c r="EN909" s="62"/>
      <c r="EO909" s="62"/>
      <c r="EP909" s="62"/>
      <c r="EQ909" s="62"/>
      <c r="ER909" s="62"/>
      <c r="ES909" s="62"/>
      <c r="ET909" s="62"/>
      <c r="EU909" s="62"/>
      <c r="EV909" s="62"/>
      <c r="EW909" s="62"/>
      <c r="EX909" s="62"/>
      <c r="EY909" s="62"/>
      <c r="EZ909" s="62"/>
      <c r="FA909" s="62"/>
      <c r="FB909" s="62"/>
      <c r="FC909" s="62"/>
      <c r="FD909" s="62"/>
      <c r="FE909" s="62"/>
      <c r="FF909" s="62"/>
      <c r="FG909" s="62"/>
      <c r="FH909" s="62"/>
      <c r="FI909" s="62"/>
      <c r="FJ909" s="62"/>
      <c r="FK909" s="62"/>
      <c r="FL909" s="62"/>
      <c r="FM909" s="62"/>
      <c r="FN909" s="62"/>
      <c r="FO909" s="62"/>
      <c r="FP909" s="62"/>
      <c r="FQ909" s="62"/>
      <c r="FR909" s="62"/>
      <c r="FS909" s="62"/>
      <c r="FT909" s="62"/>
      <c r="FU909" s="62"/>
      <c r="FV909" s="62"/>
    </row>
    <row r="910" spans="1:178" ht="13.8">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c r="AT910" s="62"/>
      <c r="AU910" s="62"/>
      <c r="AV910" s="62"/>
      <c r="AW910" s="62"/>
      <c r="AX910" s="62"/>
      <c r="AY910" s="62"/>
      <c r="AZ910" s="62"/>
      <c r="BA910" s="62"/>
      <c r="BB910" s="62"/>
      <c r="BC910" s="62"/>
      <c r="BD910" s="62"/>
      <c r="BE910" s="62"/>
      <c r="BF910" s="62"/>
      <c r="BG910" s="62"/>
      <c r="BH910" s="62"/>
      <c r="BI910" s="62"/>
      <c r="BJ910" s="62"/>
      <c r="BK910" s="62"/>
      <c r="BL910" s="62"/>
      <c r="BM910" s="62"/>
      <c r="BN910" s="62"/>
      <c r="BO910" s="62"/>
      <c r="BP910" s="62"/>
      <c r="BQ910" s="62"/>
      <c r="BR910" s="62"/>
      <c r="BS910" s="62"/>
      <c r="BT910" s="62"/>
      <c r="BU910" s="62"/>
      <c r="BV910" s="62"/>
      <c r="BW910" s="62"/>
      <c r="BX910" s="62"/>
      <c r="BY910" s="62"/>
      <c r="BZ910" s="62"/>
      <c r="CA910" s="62"/>
      <c r="CB910" s="62"/>
      <c r="CC910" s="62"/>
      <c r="CD910" s="62"/>
      <c r="CE910" s="62"/>
      <c r="CF910" s="62"/>
      <c r="CG910" s="62"/>
      <c r="CH910" s="62"/>
      <c r="CI910" s="62"/>
      <c r="CJ910" s="62"/>
      <c r="CK910" s="62"/>
      <c r="CL910" s="62"/>
      <c r="CM910" s="62"/>
      <c r="CN910" s="62"/>
      <c r="CO910" s="62"/>
      <c r="CP910" s="62"/>
      <c r="CQ910" s="62"/>
      <c r="CR910" s="62"/>
      <c r="CS910" s="62"/>
      <c r="CT910" s="62"/>
      <c r="CU910" s="62"/>
      <c r="CV910" s="62"/>
      <c r="CW910" s="62"/>
      <c r="CX910" s="62"/>
      <c r="CY910" s="62"/>
      <c r="CZ910" s="62"/>
      <c r="DA910" s="62"/>
      <c r="DB910" s="62"/>
      <c r="DC910" s="62"/>
      <c r="DD910" s="62"/>
      <c r="DE910" s="62"/>
      <c r="DF910" s="62"/>
      <c r="DG910" s="62"/>
      <c r="DH910" s="62"/>
      <c r="DI910" s="62"/>
      <c r="DJ910" s="62"/>
      <c r="DK910" s="62"/>
      <c r="DL910" s="62"/>
      <c r="DM910" s="62"/>
      <c r="DN910" s="62"/>
      <c r="DO910" s="62"/>
      <c r="DP910" s="62"/>
      <c r="DQ910" s="62"/>
      <c r="DR910" s="62"/>
      <c r="DS910" s="62"/>
      <c r="DT910" s="62"/>
      <c r="DU910" s="62"/>
      <c r="DV910" s="62"/>
      <c r="DW910" s="62"/>
      <c r="DX910" s="62"/>
      <c r="DY910" s="62"/>
      <c r="DZ910" s="62"/>
      <c r="EA910" s="62"/>
      <c r="EB910" s="62"/>
      <c r="EC910" s="62"/>
      <c r="ED910" s="62"/>
      <c r="EE910" s="62"/>
      <c r="EF910" s="62"/>
      <c r="EG910" s="62"/>
      <c r="EH910" s="62"/>
      <c r="EI910" s="62"/>
      <c r="EJ910" s="62"/>
      <c r="EK910" s="62"/>
      <c r="EL910" s="62"/>
      <c r="EM910" s="62"/>
      <c r="EN910" s="62"/>
      <c r="EO910" s="62"/>
      <c r="EP910" s="62"/>
      <c r="EQ910" s="62"/>
      <c r="ER910" s="62"/>
      <c r="ES910" s="62"/>
      <c r="ET910" s="62"/>
      <c r="EU910" s="62"/>
      <c r="EV910" s="62"/>
      <c r="EW910" s="62"/>
      <c r="EX910" s="62"/>
      <c r="EY910" s="62"/>
      <c r="EZ910" s="62"/>
      <c r="FA910" s="62"/>
      <c r="FB910" s="62"/>
      <c r="FC910" s="62"/>
      <c r="FD910" s="62"/>
      <c r="FE910" s="62"/>
      <c r="FF910" s="62"/>
      <c r="FG910" s="62"/>
      <c r="FH910" s="62"/>
      <c r="FI910" s="62"/>
      <c r="FJ910" s="62"/>
      <c r="FK910" s="62"/>
      <c r="FL910" s="62"/>
      <c r="FM910" s="62"/>
      <c r="FN910" s="62"/>
      <c r="FO910" s="62"/>
      <c r="FP910" s="62"/>
      <c r="FQ910" s="62"/>
      <c r="FR910" s="62"/>
      <c r="FS910" s="62"/>
      <c r="FT910" s="62"/>
      <c r="FU910" s="62"/>
      <c r="FV910" s="62"/>
    </row>
    <row r="911" spans="1:178" ht="13.8">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c r="AT911" s="62"/>
      <c r="AU911" s="62"/>
      <c r="AV911" s="62"/>
      <c r="AW911" s="62"/>
      <c r="AX911" s="62"/>
      <c r="AY911" s="62"/>
      <c r="AZ911" s="62"/>
      <c r="BA911" s="62"/>
      <c r="BB911" s="62"/>
      <c r="BC911" s="62"/>
      <c r="BD911" s="62"/>
      <c r="BE911" s="62"/>
      <c r="BF911" s="62"/>
      <c r="BG911" s="62"/>
      <c r="BH911" s="62"/>
      <c r="BI911" s="62"/>
      <c r="BJ911" s="62"/>
      <c r="BK911" s="62"/>
      <c r="BL911" s="62"/>
      <c r="BM911" s="62"/>
      <c r="BN911" s="62"/>
      <c r="BO911" s="62"/>
      <c r="BP911" s="62"/>
      <c r="BQ911" s="62"/>
      <c r="BR911" s="62"/>
      <c r="BS911" s="62"/>
      <c r="BT911" s="62"/>
      <c r="BU911" s="62"/>
      <c r="BV911" s="62"/>
      <c r="BW911" s="62"/>
      <c r="BX911" s="62"/>
      <c r="BY911" s="62"/>
      <c r="BZ911" s="62"/>
      <c r="CA911" s="62"/>
      <c r="CB911" s="62"/>
      <c r="CC911" s="62"/>
      <c r="CD911" s="62"/>
      <c r="CE911" s="62"/>
      <c r="CF911" s="62"/>
      <c r="CG911" s="62"/>
      <c r="CH911" s="62"/>
      <c r="CI911" s="62"/>
      <c r="CJ911" s="62"/>
      <c r="CK911" s="62"/>
      <c r="CL911" s="62"/>
      <c r="CM911" s="62"/>
      <c r="CN911" s="62"/>
      <c r="CO911" s="62"/>
      <c r="CP911" s="62"/>
      <c r="CQ911" s="62"/>
      <c r="CR911" s="62"/>
      <c r="CS911" s="62"/>
      <c r="CT911" s="62"/>
      <c r="CU911" s="62"/>
      <c r="CV911" s="62"/>
      <c r="CW911" s="62"/>
      <c r="CX911" s="62"/>
      <c r="CY911" s="62"/>
      <c r="CZ911" s="62"/>
      <c r="DA911" s="62"/>
      <c r="DB911" s="62"/>
      <c r="DC911" s="62"/>
      <c r="DD911" s="62"/>
      <c r="DE911" s="62"/>
      <c r="DF911" s="62"/>
      <c r="DG911" s="62"/>
      <c r="DH911" s="62"/>
      <c r="DI911" s="62"/>
      <c r="DJ911" s="62"/>
      <c r="DK911" s="62"/>
      <c r="DL911" s="62"/>
      <c r="DM911" s="62"/>
      <c r="DN911" s="62"/>
      <c r="DO911" s="62"/>
      <c r="DP911" s="62"/>
      <c r="DQ911" s="62"/>
      <c r="DR911" s="62"/>
      <c r="DS911" s="62"/>
      <c r="DT911" s="62"/>
      <c r="DU911" s="62"/>
      <c r="DV911" s="62"/>
      <c r="DW911" s="62"/>
      <c r="DX911" s="62"/>
      <c r="DY911" s="62"/>
      <c r="DZ911" s="62"/>
      <c r="EA911" s="62"/>
      <c r="EB911" s="62"/>
      <c r="EC911" s="62"/>
      <c r="ED911" s="62"/>
      <c r="EE911" s="62"/>
      <c r="EF911" s="62"/>
      <c r="EG911" s="62"/>
      <c r="EH911" s="62"/>
      <c r="EI911" s="62"/>
      <c r="EJ911" s="62"/>
      <c r="EK911" s="62"/>
      <c r="EL911" s="62"/>
      <c r="EM911" s="62"/>
      <c r="EN911" s="62"/>
      <c r="EO911" s="62"/>
      <c r="EP911" s="62"/>
      <c r="EQ911" s="62"/>
      <c r="ER911" s="62"/>
      <c r="ES911" s="62"/>
      <c r="ET911" s="62"/>
      <c r="EU911" s="62"/>
      <c r="EV911" s="62"/>
      <c r="EW911" s="62"/>
      <c r="EX911" s="62"/>
      <c r="EY911" s="62"/>
      <c r="EZ911" s="62"/>
      <c r="FA911" s="62"/>
      <c r="FB911" s="62"/>
      <c r="FC911" s="62"/>
      <c r="FD911" s="62"/>
      <c r="FE911" s="62"/>
      <c r="FF911" s="62"/>
      <c r="FG911" s="62"/>
      <c r="FH911" s="62"/>
      <c r="FI911" s="62"/>
      <c r="FJ911" s="62"/>
      <c r="FK911" s="62"/>
      <c r="FL911" s="62"/>
      <c r="FM911" s="62"/>
      <c r="FN911" s="62"/>
      <c r="FO911" s="62"/>
      <c r="FP911" s="62"/>
      <c r="FQ911" s="62"/>
      <c r="FR911" s="62"/>
      <c r="FS911" s="62"/>
      <c r="FT911" s="62"/>
      <c r="FU911" s="62"/>
      <c r="FV911" s="62"/>
    </row>
    <row r="912" spans="1:178" ht="13.8">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2"/>
      <c r="AQ912" s="62"/>
      <c r="AR912" s="62"/>
      <c r="AS912" s="62"/>
      <c r="AT912" s="62"/>
      <c r="AU912" s="62"/>
      <c r="AV912" s="62"/>
      <c r="AW912" s="62"/>
      <c r="AX912" s="62"/>
      <c r="AY912" s="62"/>
      <c r="AZ912" s="62"/>
      <c r="BA912" s="62"/>
      <c r="BB912" s="62"/>
      <c r="BC912" s="62"/>
      <c r="BD912" s="62"/>
      <c r="BE912" s="62"/>
      <c r="BF912" s="62"/>
      <c r="BG912" s="62"/>
      <c r="BH912" s="62"/>
      <c r="BI912" s="62"/>
      <c r="BJ912" s="62"/>
      <c r="BK912" s="62"/>
      <c r="BL912" s="62"/>
      <c r="BM912" s="62"/>
      <c r="BN912" s="62"/>
      <c r="BO912" s="62"/>
      <c r="BP912" s="62"/>
      <c r="BQ912" s="62"/>
      <c r="BR912" s="62"/>
      <c r="BS912" s="62"/>
      <c r="BT912" s="62"/>
      <c r="BU912" s="62"/>
      <c r="BV912" s="62"/>
      <c r="BW912" s="62"/>
      <c r="BX912" s="62"/>
      <c r="BY912" s="62"/>
      <c r="BZ912" s="62"/>
      <c r="CA912" s="62"/>
      <c r="CB912" s="62"/>
      <c r="CC912" s="62"/>
      <c r="CD912" s="62"/>
      <c r="CE912" s="62"/>
      <c r="CF912" s="62"/>
      <c r="CG912" s="62"/>
      <c r="CH912" s="62"/>
      <c r="CI912" s="62"/>
      <c r="CJ912" s="62"/>
      <c r="CK912" s="62"/>
      <c r="CL912" s="62"/>
      <c r="CM912" s="62"/>
      <c r="CN912" s="62"/>
      <c r="CO912" s="62"/>
      <c r="CP912" s="62"/>
      <c r="CQ912" s="62"/>
      <c r="CR912" s="62"/>
      <c r="CS912" s="62"/>
      <c r="CT912" s="62"/>
      <c r="CU912" s="62"/>
      <c r="CV912" s="62"/>
      <c r="CW912" s="62"/>
      <c r="CX912" s="62"/>
      <c r="CY912" s="62"/>
      <c r="CZ912" s="62"/>
      <c r="DA912" s="62"/>
      <c r="DB912" s="62"/>
      <c r="DC912" s="62"/>
      <c r="DD912" s="62"/>
      <c r="DE912" s="62"/>
      <c r="DF912" s="62"/>
      <c r="DG912" s="62"/>
      <c r="DH912" s="62"/>
      <c r="DI912" s="62"/>
      <c r="DJ912" s="62"/>
      <c r="DK912" s="62"/>
      <c r="DL912" s="62"/>
      <c r="DM912" s="62"/>
      <c r="DN912" s="62"/>
      <c r="DO912" s="62"/>
      <c r="DP912" s="62"/>
      <c r="DQ912" s="62"/>
      <c r="DR912" s="62"/>
      <c r="DS912" s="62"/>
      <c r="DT912" s="62"/>
      <c r="DU912" s="62"/>
      <c r="DV912" s="62"/>
      <c r="DW912" s="62"/>
      <c r="DX912" s="62"/>
      <c r="DY912" s="62"/>
      <c r="DZ912" s="62"/>
      <c r="EA912" s="62"/>
      <c r="EB912" s="62"/>
      <c r="EC912" s="62"/>
      <c r="ED912" s="62"/>
      <c r="EE912" s="62"/>
      <c r="EF912" s="62"/>
      <c r="EG912" s="62"/>
      <c r="EH912" s="62"/>
      <c r="EI912" s="62"/>
      <c r="EJ912" s="62"/>
      <c r="EK912" s="62"/>
      <c r="EL912" s="62"/>
      <c r="EM912" s="62"/>
      <c r="EN912" s="62"/>
      <c r="EO912" s="62"/>
      <c r="EP912" s="62"/>
      <c r="EQ912" s="62"/>
      <c r="ER912" s="62"/>
      <c r="ES912" s="62"/>
      <c r="ET912" s="62"/>
      <c r="EU912" s="62"/>
      <c r="EV912" s="62"/>
      <c r="EW912" s="62"/>
      <c r="EX912" s="62"/>
      <c r="EY912" s="62"/>
      <c r="EZ912" s="62"/>
      <c r="FA912" s="62"/>
      <c r="FB912" s="62"/>
      <c r="FC912" s="62"/>
      <c r="FD912" s="62"/>
      <c r="FE912" s="62"/>
      <c r="FF912" s="62"/>
      <c r="FG912" s="62"/>
      <c r="FH912" s="62"/>
      <c r="FI912" s="62"/>
      <c r="FJ912" s="62"/>
      <c r="FK912" s="62"/>
      <c r="FL912" s="62"/>
      <c r="FM912" s="62"/>
      <c r="FN912" s="62"/>
      <c r="FO912" s="62"/>
      <c r="FP912" s="62"/>
      <c r="FQ912" s="62"/>
      <c r="FR912" s="62"/>
      <c r="FS912" s="62"/>
      <c r="FT912" s="62"/>
      <c r="FU912" s="62"/>
      <c r="FV912" s="62"/>
    </row>
    <row r="913" spans="1:178" ht="13.8">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2"/>
      <c r="AQ913" s="62"/>
      <c r="AR913" s="62"/>
      <c r="AS913" s="62"/>
      <c r="AT913" s="62"/>
      <c r="AU913" s="62"/>
      <c r="AV913" s="62"/>
      <c r="AW913" s="62"/>
      <c r="AX913" s="62"/>
      <c r="AY913" s="62"/>
      <c r="AZ913" s="62"/>
      <c r="BA913" s="62"/>
      <c r="BB913" s="62"/>
      <c r="BC913" s="62"/>
      <c r="BD913" s="62"/>
      <c r="BE913" s="62"/>
      <c r="BF913" s="62"/>
      <c r="BG913" s="62"/>
      <c r="BH913" s="62"/>
      <c r="BI913" s="62"/>
      <c r="BJ913" s="62"/>
      <c r="BK913" s="62"/>
      <c r="BL913" s="62"/>
      <c r="BM913" s="62"/>
      <c r="BN913" s="62"/>
      <c r="BO913" s="62"/>
      <c r="BP913" s="62"/>
      <c r="BQ913" s="62"/>
      <c r="BR913" s="62"/>
      <c r="BS913" s="62"/>
      <c r="BT913" s="62"/>
      <c r="BU913" s="62"/>
      <c r="BV913" s="62"/>
      <c r="BW913" s="62"/>
      <c r="BX913" s="62"/>
      <c r="BY913" s="62"/>
      <c r="BZ913" s="62"/>
      <c r="CA913" s="62"/>
      <c r="CB913" s="62"/>
      <c r="CC913" s="62"/>
      <c r="CD913" s="62"/>
      <c r="CE913" s="62"/>
      <c r="CF913" s="62"/>
      <c r="CG913" s="62"/>
      <c r="CH913" s="62"/>
      <c r="CI913" s="62"/>
      <c r="CJ913" s="62"/>
      <c r="CK913" s="62"/>
      <c r="CL913" s="62"/>
      <c r="CM913" s="62"/>
      <c r="CN913" s="62"/>
      <c r="CO913" s="62"/>
      <c r="CP913" s="62"/>
      <c r="CQ913" s="62"/>
      <c r="CR913" s="62"/>
      <c r="CS913" s="62"/>
      <c r="CT913" s="62"/>
      <c r="CU913" s="62"/>
      <c r="CV913" s="62"/>
      <c r="CW913" s="62"/>
      <c r="CX913" s="62"/>
      <c r="CY913" s="62"/>
      <c r="CZ913" s="62"/>
      <c r="DA913" s="62"/>
      <c r="DB913" s="62"/>
      <c r="DC913" s="62"/>
      <c r="DD913" s="62"/>
      <c r="DE913" s="62"/>
      <c r="DF913" s="62"/>
      <c r="DG913" s="62"/>
      <c r="DH913" s="62"/>
      <c r="DI913" s="62"/>
      <c r="DJ913" s="62"/>
      <c r="DK913" s="62"/>
      <c r="DL913" s="62"/>
      <c r="DM913" s="62"/>
      <c r="DN913" s="62"/>
      <c r="DO913" s="62"/>
      <c r="DP913" s="62"/>
      <c r="DQ913" s="62"/>
      <c r="DR913" s="62"/>
      <c r="DS913" s="62"/>
      <c r="DT913" s="62"/>
      <c r="DU913" s="62"/>
      <c r="DV913" s="62"/>
      <c r="DW913" s="62"/>
      <c r="DX913" s="62"/>
      <c r="DY913" s="62"/>
      <c r="DZ913" s="62"/>
      <c r="EA913" s="62"/>
      <c r="EB913" s="62"/>
      <c r="EC913" s="62"/>
      <c r="ED913" s="62"/>
      <c r="EE913" s="62"/>
      <c r="EF913" s="62"/>
      <c r="EG913" s="62"/>
      <c r="EH913" s="62"/>
      <c r="EI913" s="62"/>
      <c r="EJ913" s="62"/>
      <c r="EK913" s="62"/>
      <c r="EL913" s="62"/>
      <c r="EM913" s="62"/>
      <c r="EN913" s="62"/>
      <c r="EO913" s="62"/>
      <c r="EP913" s="62"/>
      <c r="EQ913" s="62"/>
      <c r="ER913" s="62"/>
      <c r="ES913" s="62"/>
      <c r="ET913" s="62"/>
      <c r="EU913" s="62"/>
      <c r="EV913" s="62"/>
      <c r="EW913" s="62"/>
      <c r="EX913" s="62"/>
      <c r="EY913" s="62"/>
      <c r="EZ913" s="62"/>
      <c r="FA913" s="62"/>
      <c r="FB913" s="62"/>
      <c r="FC913" s="62"/>
      <c r="FD913" s="62"/>
      <c r="FE913" s="62"/>
      <c r="FF913" s="62"/>
      <c r="FG913" s="62"/>
      <c r="FH913" s="62"/>
      <c r="FI913" s="62"/>
      <c r="FJ913" s="62"/>
      <c r="FK913" s="62"/>
      <c r="FL913" s="62"/>
      <c r="FM913" s="62"/>
      <c r="FN913" s="62"/>
      <c r="FO913" s="62"/>
      <c r="FP913" s="62"/>
      <c r="FQ913" s="62"/>
      <c r="FR913" s="62"/>
      <c r="FS913" s="62"/>
      <c r="FT913" s="62"/>
      <c r="FU913" s="62"/>
      <c r="FV913" s="62"/>
    </row>
    <row r="914" spans="1:178" ht="13.8">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2"/>
      <c r="AQ914" s="62"/>
      <c r="AR914" s="62"/>
      <c r="AS914" s="62"/>
      <c r="AT914" s="62"/>
      <c r="AU914" s="62"/>
      <c r="AV914" s="62"/>
      <c r="AW914" s="62"/>
      <c r="AX914" s="62"/>
      <c r="AY914" s="62"/>
      <c r="AZ914" s="62"/>
      <c r="BA914" s="62"/>
      <c r="BB914" s="62"/>
      <c r="BC914" s="62"/>
      <c r="BD914" s="62"/>
      <c r="BE914" s="62"/>
      <c r="BF914" s="62"/>
      <c r="BG914" s="62"/>
      <c r="BH914" s="62"/>
      <c r="BI914" s="62"/>
      <c r="BJ914" s="62"/>
      <c r="BK914" s="62"/>
      <c r="BL914" s="62"/>
      <c r="BM914" s="62"/>
      <c r="BN914" s="62"/>
      <c r="BO914" s="62"/>
      <c r="BP914" s="62"/>
      <c r="BQ914" s="62"/>
      <c r="BR914" s="62"/>
      <c r="BS914" s="62"/>
      <c r="BT914" s="62"/>
      <c r="BU914" s="62"/>
      <c r="BV914" s="62"/>
      <c r="BW914" s="62"/>
      <c r="BX914" s="62"/>
      <c r="BY914" s="62"/>
      <c r="BZ914" s="62"/>
      <c r="CA914" s="62"/>
      <c r="CB914" s="62"/>
      <c r="CC914" s="62"/>
      <c r="CD914" s="62"/>
      <c r="CE914" s="62"/>
      <c r="CF914" s="62"/>
      <c r="CG914" s="62"/>
      <c r="CH914" s="62"/>
      <c r="CI914" s="62"/>
      <c r="CJ914" s="62"/>
      <c r="CK914" s="62"/>
      <c r="CL914" s="62"/>
      <c r="CM914" s="62"/>
      <c r="CN914" s="62"/>
      <c r="CO914" s="62"/>
      <c r="CP914" s="62"/>
      <c r="CQ914" s="62"/>
      <c r="CR914" s="62"/>
      <c r="CS914" s="62"/>
      <c r="CT914" s="62"/>
      <c r="CU914" s="62"/>
      <c r="CV914" s="62"/>
      <c r="CW914" s="62"/>
      <c r="CX914" s="62"/>
      <c r="CY914" s="62"/>
      <c r="CZ914" s="62"/>
      <c r="DA914" s="62"/>
      <c r="DB914" s="62"/>
      <c r="DC914" s="62"/>
      <c r="DD914" s="62"/>
      <c r="DE914" s="62"/>
      <c r="DF914" s="62"/>
      <c r="DG914" s="62"/>
      <c r="DH914" s="62"/>
      <c r="DI914" s="62"/>
      <c r="DJ914" s="62"/>
      <c r="DK914" s="62"/>
      <c r="DL914" s="62"/>
      <c r="DM914" s="62"/>
      <c r="DN914" s="62"/>
      <c r="DO914" s="62"/>
      <c r="DP914" s="62"/>
      <c r="DQ914" s="62"/>
      <c r="DR914" s="62"/>
      <c r="DS914" s="62"/>
      <c r="DT914" s="62"/>
      <c r="DU914" s="62"/>
      <c r="DV914" s="62"/>
      <c r="DW914" s="62"/>
      <c r="DX914" s="62"/>
      <c r="DY914" s="62"/>
      <c r="DZ914" s="62"/>
      <c r="EA914" s="62"/>
      <c r="EB914" s="62"/>
      <c r="EC914" s="62"/>
      <c r="ED914" s="62"/>
      <c r="EE914" s="62"/>
      <c r="EF914" s="62"/>
      <c r="EG914" s="62"/>
      <c r="EH914" s="62"/>
      <c r="EI914" s="62"/>
      <c r="EJ914" s="62"/>
      <c r="EK914" s="62"/>
      <c r="EL914" s="62"/>
      <c r="EM914" s="62"/>
      <c r="EN914" s="62"/>
      <c r="EO914" s="62"/>
      <c r="EP914" s="62"/>
      <c r="EQ914" s="62"/>
      <c r="ER914" s="62"/>
      <c r="ES914" s="62"/>
      <c r="ET914" s="62"/>
      <c r="EU914" s="62"/>
      <c r="EV914" s="62"/>
      <c r="EW914" s="62"/>
      <c r="EX914" s="62"/>
      <c r="EY914" s="62"/>
      <c r="EZ914" s="62"/>
      <c r="FA914" s="62"/>
      <c r="FB914" s="62"/>
      <c r="FC914" s="62"/>
      <c r="FD914" s="62"/>
      <c r="FE914" s="62"/>
      <c r="FF914" s="62"/>
      <c r="FG914" s="62"/>
      <c r="FH914" s="62"/>
      <c r="FI914" s="62"/>
      <c r="FJ914" s="62"/>
      <c r="FK914" s="62"/>
      <c r="FL914" s="62"/>
      <c r="FM914" s="62"/>
      <c r="FN914" s="62"/>
      <c r="FO914" s="62"/>
      <c r="FP914" s="62"/>
      <c r="FQ914" s="62"/>
      <c r="FR914" s="62"/>
      <c r="FS914" s="62"/>
      <c r="FT914" s="62"/>
      <c r="FU914" s="62"/>
      <c r="FV914" s="62"/>
    </row>
    <row r="915" spans="1:178" ht="13.8">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2"/>
      <c r="AQ915" s="62"/>
      <c r="AR915" s="62"/>
      <c r="AS915" s="62"/>
      <c r="AT915" s="62"/>
      <c r="AU915" s="62"/>
      <c r="AV915" s="62"/>
      <c r="AW915" s="62"/>
      <c r="AX915" s="62"/>
      <c r="AY915" s="62"/>
      <c r="AZ915" s="62"/>
      <c r="BA915" s="62"/>
      <c r="BB915" s="62"/>
      <c r="BC915" s="62"/>
      <c r="BD915" s="62"/>
      <c r="BE915" s="62"/>
      <c r="BF915" s="62"/>
      <c r="BG915" s="62"/>
      <c r="BH915" s="62"/>
      <c r="BI915" s="62"/>
      <c r="BJ915" s="62"/>
      <c r="BK915" s="62"/>
      <c r="BL915" s="62"/>
      <c r="BM915" s="62"/>
      <c r="BN915" s="62"/>
      <c r="BO915" s="62"/>
      <c r="BP915" s="62"/>
      <c r="BQ915" s="62"/>
      <c r="BR915" s="62"/>
      <c r="BS915" s="62"/>
      <c r="BT915" s="62"/>
      <c r="BU915" s="62"/>
      <c r="BV915" s="62"/>
      <c r="BW915" s="62"/>
      <c r="BX915" s="62"/>
      <c r="BY915" s="62"/>
      <c r="BZ915" s="62"/>
      <c r="CA915" s="62"/>
      <c r="CB915" s="62"/>
      <c r="CC915" s="62"/>
      <c r="CD915" s="62"/>
      <c r="CE915" s="62"/>
      <c r="CF915" s="62"/>
      <c r="CG915" s="62"/>
      <c r="CH915" s="62"/>
      <c r="CI915" s="62"/>
      <c r="CJ915" s="62"/>
      <c r="CK915" s="62"/>
      <c r="CL915" s="62"/>
      <c r="CM915" s="62"/>
      <c r="CN915" s="62"/>
      <c r="CO915" s="62"/>
      <c r="CP915" s="62"/>
      <c r="CQ915" s="62"/>
      <c r="CR915" s="62"/>
      <c r="CS915" s="62"/>
      <c r="CT915" s="62"/>
      <c r="CU915" s="62"/>
      <c r="CV915" s="62"/>
      <c r="CW915" s="62"/>
      <c r="CX915" s="62"/>
      <c r="CY915" s="62"/>
      <c r="CZ915" s="62"/>
      <c r="DA915" s="62"/>
      <c r="DB915" s="62"/>
      <c r="DC915" s="62"/>
      <c r="DD915" s="62"/>
      <c r="DE915" s="62"/>
      <c r="DF915" s="62"/>
      <c r="DG915" s="62"/>
      <c r="DH915" s="62"/>
      <c r="DI915" s="62"/>
      <c r="DJ915" s="62"/>
      <c r="DK915" s="62"/>
      <c r="DL915" s="62"/>
      <c r="DM915" s="62"/>
      <c r="DN915" s="62"/>
      <c r="DO915" s="62"/>
      <c r="DP915" s="62"/>
      <c r="DQ915" s="62"/>
      <c r="DR915" s="62"/>
      <c r="DS915" s="62"/>
      <c r="DT915" s="62"/>
      <c r="DU915" s="62"/>
      <c r="DV915" s="62"/>
      <c r="DW915" s="62"/>
      <c r="DX915" s="62"/>
      <c r="DY915" s="62"/>
      <c r="DZ915" s="62"/>
      <c r="EA915" s="62"/>
      <c r="EB915" s="62"/>
      <c r="EC915" s="62"/>
      <c r="ED915" s="62"/>
      <c r="EE915" s="62"/>
      <c r="EF915" s="62"/>
      <c r="EG915" s="62"/>
      <c r="EH915" s="62"/>
      <c r="EI915" s="62"/>
      <c r="EJ915" s="62"/>
      <c r="EK915" s="62"/>
      <c r="EL915" s="62"/>
      <c r="EM915" s="62"/>
      <c r="EN915" s="62"/>
      <c r="EO915" s="62"/>
      <c r="EP915" s="62"/>
      <c r="EQ915" s="62"/>
      <c r="ER915" s="62"/>
      <c r="ES915" s="62"/>
      <c r="ET915" s="62"/>
      <c r="EU915" s="62"/>
      <c r="EV915" s="62"/>
      <c r="EW915" s="62"/>
      <c r="EX915" s="62"/>
      <c r="EY915" s="62"/>
      <c r="EZ915" s="62"/>
      <c r="FA915" s="62"/>
      <c r="FB915" s="62"/>
      <c r="FC915" s="62"/>
      <c r="FD915" s="62"/>
      <c r="FE915" s="62"/>
      <c r="FF915" s="62"/>
      <c r="FG915" s="62"/>
      <c r="FH915" s="62"/>
      <c r="FI915" s="62"/>
      <c r="FJ915" s="62"/>
      <c r="FK915" s="62"/>
      <c r="FL915" s="62"/>
      <c r="FM915" s="62"/>
      <c r="FN915" s="62"/>
      <c r="FO915" s="62"/>
      <c r="FP915" s="62"/>
      <c r="FQ915" s="62"/>
      <c r="FR915" s="62"/>
      <c r="FS915" s="62"/>
      <c r="FT915" s="62"/>
      <c r="FU915" s="62"/>
      <c r="FV915" s="62"/>
    </row>
    <row r="916" spans="1:178" ht="13.8">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2"/>
      <c r="AQ916" s="62"/>
      <c r="AR916" s="62"/>
      <c r="AS916" s="62"/>
      <c r="AT916" s="62"/>
      <c r="AU916" s="62"/>
      <c r="AV916" s="62"/>
      <c r="AW916" s="62"/>
      <c r="AX916" s="62"/>
      <c r="AY916" s="62"/>
      <c r="AZ916" s="62"/>
      <c r="BA916" s="62"/>
      <c r="BB916" s="62"/>
      <c r="BC916" s="62"/>
      <c r="BD916" s="62"/>
      <c r="BE916" s="62"/>
      <c r="BF916" s="62"/>
      <c r="BG916" s="62"/>
      <c r="BH916" s="62"/>
      <c r="BI916" s="62"/>
      <c r="BJ916" s="62"/>
      <c r="BK916" s="62"/>
      <c r="BL916" s="62"/>
      <c r="BM916" s="62"/>
      <c r="BN916" s="62"/>
      <c r="BO916" s="62"/>
      <c r="BP916" s="62"/>
      <c r="BQ916" s="62"/>
      <c r="BR916" s="62"/>
      <c r="BS916" s="62"/>
      <c r="BT916" s="62"/>
      <c r="BU916" s="62"/>
      <c r="BV916" s="62"/>
      <c r="BW916" s="62"/>
      <c r="BX916" s="62"/>
      <c r="BY916" s="62"/>
      <c r="BZ916" s="62"/>
      <c r="CA916" s="62"/>
      <c r="CB916" s="62"/>
      <c r="CC916" s="62"/>
      <c r="CD916" s="62"/>
      <c r="CE916" s="62"/>
      <c r="CF916" s="62"/>
      <c r="CG916" s="62"/>
      <c r="CH916" s="62"/>
      <c r="CI916" s="62"/>
      <c r="CJ916" s="62"/>
      <c r="CK916" s="62"/>
      <c r="CL916" s="62"/>
      <c r="CM916" s="62"/>
      <c r="CN916" s="62"/>
      <c r="CO916" s="62"/>
      <c r="CP916" s="62"/>
      <c r="CQ916" s="62"/>
      <c r="CR916" s="62"/>
      <c r="CS916" s="62"/>
      <c r="CT916" s="62"/>
      <c r="CU916" s="62"/>
      <c r="CV916" s="62"/>
      <c r="CW916" s="62"/>
      <c r="CX916" s="62"/>
      <c r="CY916" s="62"/>
      <c r="CZ916" s="62"/>
      <c r="DA916" s="62"/>
      <c r="DB916" s="62"/>
      <c r="DC916" s="62"/>
      <c r="DD916" s="62"/>
      <c r="DE916" s="62"/>
      <c r="DF916" s="62"/>
      <c r="DG916" s="62"/>
      <c r="DH916" s="62"/>
      <c r="DI916" s="62"/>
      <c r="DJ916" s="62"/>
      <c r="DK916" s="62"/>
      <c r="DL916" s="62"/>
      <c r="DM916" s="62"/>
      <c r="DN916" s="62"/>
      <c r="DO916" s="62"/>
      <c r="DP916" s="62"/>
      <c r="DQ916" s="62"/>
      <c r="DR916" s="62"/>
      <c r="DS916" s="62"/>
      <c r="DT916" s="62"/>
      <c r="DU916" s="62"/>
      <c r="DV916" s="62"/>
      <c r="DW916" s="62"/>
      <c r="DX916" s="62"/>
      <c r="DY916" s="62"/>
      <c r="DZ916" s="62"/>
      <c r="EA916" s="62"/>
      <c r="EB916" s="62"/>
      <c r="EC916" s="62"/>
      <c r="ED916" s="62"/>
      <c r="EE916" s="62"/>
      <c r="EF916" s="62"/>
      <c r="EG916" s="62"/>
      <c r="EH916" s="62"/>
      <c r="EI916" s="62"/>
      <c r="EJ916" s="62"/>
      <c r="EK916" s="62"/>
      <c r="EL916" s="62"/>
      <c r="EM916" s="62"/>
      <c r="EN916" s="62"/>
      <c r="EO916" s="62"/>
      <c r="EP916" s="62"/>
      <c r="EQ916" s="62"/>
      <c r="ER916" s="62"/>
      <c r="ES916" s="62"/>
      <c r="ET916" s="62"/>
      <c r="EU916" s="62"/>
      <c r="EV916" s="62"/>
      <c r="EW916" s="62"/>
      <c r="EX916" s="62"/>
      <c r="EY916" s="62"/>
      <c r="EZ916" s="62"/>
      <c r="FA916" s="62"/>
      <c r="FB916" s="62"/>
      <c r="FC916" s="62"/>
      <c r="FD916" s="62"/>
      <c r="FE916" s="62"/>
      <c r="FF916" s="62"/>
      <c r="FG916" s="62"/>
      <c r="FH916" s="62"/>
      <c r="FI916" s="62"/>
      <c r="FJ916" s="62"/>
      <c r="FK916" s="62"/>
      <c r="FL916" s="62"/>
      <c r="FM916" s="62"/>
      <c r="FN916" s="62"/>
      <c r="FO916" s="62"/>
      <c r="FP916" s="62"/>
      <c r="FQ916" s="62"/>
      <c r="FR916" s="62"/>
      <c r="FS916" s="62"/>
      <c r="FT916" s="62"/>
      <c r="FU916" s="62"/>
      <c r="FV916" s="62"/>
    </row>
    <row r="917" spans="1:178" ht="13.8">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2"/>
      <c r="AQ917" s="62"/>
      <c r="AR917" s="62"/>
      <c r="AS917" s="62"/>
      <c r="AT917" s="62"/>
      <c r="AU917" s="62"/>
      <c r="AV917" s="62"/>
      <c r="AW917" s="62"/>
      <c r="AX917" s="62"/>
      <c r="AY917" s="62"/>
      <c r="AZ917" s="62"/>
      <c r="BA917" s="62"/>
      <c r="BB917" s="62"/>
      <c r="BC917" s="62"/>
      <c r="BD917" s="62"/>
      <c r="BE917" s="62"/>
      <c r="BF917" s="62"/>
      <c r="BG917" s="62"/>
      <c r="BH917" s="62"/>
      <c r="BI917" s="62"/>
      <c r="BJ917" s="62"/>
      <c r="BK917" s="62"/>
      <c r="BL917" s="62"/>
      <c r="BM917" s="62"/>
      <c r="BN917" s="62"/>
      <c r="BO917" s="62"/>
      <c r="BP917" s="62"/>
      <c r="BQ917" s="62"/>
      <c r="BR917" s="62"/>
      <c r="BS917" s="62"/>
      <c r="BT917" s="62"/>
      <c r="BU917" s="62"/>
      <c r="BV917" s="62"/>
      <c r="BW917" s="62"/>
      <c r="BX917" s="62"/>
      <c r="BY917" s="62"/>
      <c r="BZ917" s="62"/>
      <c r="CA917" s="62"/>
      <c r="CB917" s="62"/>
      <c r="CC917" s="62"/>
      <c r="CD917" s="62"/>
      <c r="CE917" s="62"/>
      <c r="CF917" s="62"/>
      <c r="CG917" s="62"/>
      <c r="CH917" s="62"/>
      <c r="CI917" s="62"/>
      <c r="CJ917" s="62"/>
      <c r="CK917" s="62"/>
      <c r="CL917" s="62"/>
      <c r="CM917" s="62"/>
      <c r="CN917" s="62"/>
      <c r="CO917" s="62"/>
      <c r="CP917" s="62"/>
      <c r="CQ917" s="62"/>
      <c r="CR917" s="62"/>
      <c r="CS917" s="62"/>
      <c r="CT917" s="62"/>
      <c r="CU917" s="62"/>
      <c r="CV917" s="62"/>
      <c r="CW917" s="62"/>
      <c r="CX917" s="62"/>
      <c r="CY917" s="62"/>
      <c r="CZ917" s="62"/>
      <c r="DA917" s="62"/>
      <c r="DB917" s="62"/>
      <c r="DC917" s="62"/>
      <c r="DD917" s="62"/>
      <c r="DE917" s="62"/>
      <c r="DF917" s="62"/>
      <c r="DG917" s="62"/>
      <c r="DH917" s="62"/>
      <c r="DI917" s="62"/>
      <c r="DJ917" s="62"/>
      <c r="DK917" s="62"/>
      <c r="DL917" s="62"/>
      <c r="DM917" s="62"/>
      <c r="DN917" s="62"/>
      <c r="DO917" s="62"/>
      <c r="DP917" s="62"/>
      <c r="DQ917" s="62"/>
      <c r="DR917" s="62"/>
      <c r="DS917" s="62"/>
      <c r="DT917" s="62"/>
      <c r="DU917" s="62"/>
      <c r="DV917" s="62"/>
      <c r="DW917" s="62"/>
      <c r="DX917" s="62"/>
      <c r="DY917" s="62"/>
      <c r="DZ917" s="62"/>
      <c r="EA917" s="62"/>
      <c r="EB917" s="62"/>
      <c r="EC917" s="62"/>
      <c r="ED917" s="62"/>
      <c r="EE917" s="62"/>
      <c r="EF917" s="62"/>
      <c r="EG917" s="62"/>
      <c r="EH917" s="62"/>
      <c r="EI917" s="62"/>
      <c r="EJ917" s="62"/>
      <c r="EK917" s="62"/>
      <c r="EL917" s="62"/>
      <c r="EM917" s="62"/>
      <c r="EN917" s="62"/>
      <c r="EO917" s="62"/>
      <c r="EP917" s="62"/>
      <c r="EQ917" s="62"/>
      <c r="ER917" s="62"/>
      <c r="ES917" s="62"/>
      <c r="ET917" s="62"/>
      <c r="EU917" s="62"/>
      <c r="EV917" s="62"/>
      <c r="EW917" s="62"/>
      <c r="EX917" s="62"/>
      <c r="EY917" s="62"/>
      <c r="EZ917" s="62"/>
      <c r="FA917" s="62"/>
      <c r="FB917" s="62"/>
      <c r="FC917" s="62"/>
      <c r="FD917" s="62"/>
      <c r="FE917" s="62"/>
      <c r="FF917" s="62"/>
      <c r="FG917" s="62"/>
      <c r="FH917" s="62"/>
      <c r="FI917" s="62"/>
      <c r="FJ917" s="62"/>
      <c r="FK917" s="62"/>
      <c r="FL917" s="62"/>
      <c r="FM917" s="62"/>
      <c r="FN917" s="62"/>
      <c r="FO917" s="62"/>
      <c r="FP917" s="62"/>
      <c r="FQ917" s="62"/>
      <c r="FR917" s="62"/>
      <c r="FS917" s="62"/>
      <c r="FT917" s="62"/>
      <c r="FU917" s="62"/>
      <c r="FV917" s="62"/>
    </row>
    <row r="918" spans="1:178" ht="13.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2"/>
      <c r="AQ918" s="62"/>
      <c r="AR918" s="62"/>
      <c r="AS918" s="62"/>
      <c r="AT918" s="62"/>
      <c r="AU918" s="62"/>
      <c r="AV918" s="62"/>
      <c r="AW918" s="62"/>
      <c r="AX918" s="62"/>
      <c r="AY918" s="62"/>
      <c r="AZ918" s="62"/>
      <c r="BA918" s="62"/>
      <c r="BB918" s="62"/>
      <c r="BC918" s="62"/>
      <c r="BD918" s="62"/>
      <c r="BE918" s="62"/>
      <c r="BF918" s="62"/>
      <c r="BG918" s="62"/>
      <c r="BH918" s="62"/>
      <c r="BI918" s="62"/>
      <c r="BJ918" s="62"/>
      <c r="BK918" s="62"/>
      <c r="BL918" s="62"/>
      <c r="BM918" s="62"/>
      <c r="BN918" s="62"/>
      <c r="BO918" s="62"/>
      <c r="BP918" s="62"/>
      <c r="BQ918" s="62"/>
      <c r="BR918" s="62"/>
      <c r="BS918" s="62"/>
      <c r="BT918" s="62"/>
      <c r="BU918" s="62"/>
      <c r="BV918" s="62"/>
      <c r="BW918" s="62"/>
      <c r="BX918" s="62"/>
      <c r="BY918" s="62"/>
      <c r="BZ918" s="62"/>
      <c r="CA918" s="62"/>
      <c r="CB918" s="62"/>
      <c r="CC918" s="62"/>
      <c r="CD918" s="62"/>
      <c r="CE918" s="62"/>
      <c r="CF918" s="62"/>
      <c r="CG918" s="62"/>
      <c r="CH918" s="62"/>
      <c r="CI918" s="62"/>
      <c r="CJ918" s="62"/>
      <c r="CK918" s="62"/>
      <c r="CL918" s="62"/>
      <c r="CM918" s="62"/>
      <c r="CN918" s="62"/>
      <c r="CO918" s="62"/>
      <c r="CP918" s="62"/>
      <c r="CQ918" s="62"/>
      <c r="CR918" s="62"/>
      <c r="CS918" s="62"/>
      <c r="CT918" s="62"/>
      <c r="CU918" s="62"/>
      <c r="CV918" s="62"/>
      <c r="CW918" s="62"/>
      <c r="CX918" s="62"/>
      <c r="CY918" s="62"/>
      <c r="CZ918" s="62"/>
      <c r="DA918" s="62"/>
      <c r="DB918" s="62"/>
      <c r="DC918" s="62"/>
      <c r="DD918" s="62"/>
      <c r="DE918" s="62"/>
      <c r="DF918" s="62"/>
      <c r="DG918" s="62"/>
      <c r="DH918" s="62"/>
      <c r="DI918" s="62"/>
      <c r="DJ918" s="62"/>
      <c r="DK918" s="62"/>
      <c r="DL918" s="62"/>
      <c r="DM918" s="62"/>
      <c r="DN918" s="62"/>
      <c r="DO918" s="62"/>
      <c r="DP918" s="62"/>
      <c r="DQ918" s="62"/>
      <c r="DR918" s="62"/>
      <c r="DS918" s="62"/>
      <c r="DT918" s="62"/>
      <c r="DU918" s="62"/>
      <c r="DV918" s="62"/>
      <c r="DW918" s="62"/>
      <c r="DX918" s="62"/>
      <c r="DY918" s="62"/>
      <c r="DZ918" s="62"/>
      <c r="EA918" s="62"/>
      <c r="EB918" s="62"/>
      <c r="EC918" s="62"/>
      <c r="ED918" s="62"/>
      <c r="EE918" s="62"/>
      <c r="EF918" s="62"/>
      <c r="EG918" s="62"/>
      <c r="EH918" s="62"/>
      <c r="EI918" s="62"/>
      <c r="EJ918" s="62"/>
      <c r="EK918" s="62"/>
      <c r="EL918" s="62"/>
      <c r="EM918" s="62"/>
      <c r="EN918" s="62"/>
      <c r="EO918" s="62"/>
      <c r="EP918" s="62"/>
      <c r="EQ918" s="62"/>
      <c r="ER918" s="62"/>
      <c r="ES918" s="62"/>
      <c r="ET918" s="62"/>
      <c r="EU918" s="62"/>
      <c r="EV918" s="62"/>
      <c r="EW918" s="62"/>
      <c r="EX918" s="62"/>
      <c r="EY918" s="62"/>
      <c r="EZ918" s="62"/>
      <c r="FA918" s="62"/>
      <c r="FB918" s="62"/>
      <c r="FC918" s="62"/>
      <c r="FD918" s="62"/>
      <c r="FE918" s="62"/>
      <c r="FF918" s="62"/>
      <c r="FG918" s="62"/>
      <c r="FH918" s="62"/>
      <c r="FI918" s="62"/>
      <c r="FJ918" s="62"/>
      <c r="FK918" s="62"/>
      <c r="FL918" s="62"/>
      <c r="FM918" s="62"/>
      <c r="FN918" s="62"/>
      <c r="FO918" s="62"/>
      <c r="FP918" s="62"/>
      <c r="FQ918" s="62"/>
      <c r="FR918" s="62"/>
      <c r="FS918" s="62"/>
      <c r="FT918" s="62"/>
      <c r="FU918" s="62"/>
      <c r="FV918" s="62"/>
    </row>
    <row r="919" spans="1:178" ht="13.8">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2"/>
      <c r="AQ919" s="62"/>
      <c r="AR919" s="62"/>
      <c r="AS919" s="62"/>
      <c r="AT919" s="62"/>
      <c r="AU919" s="62"/>
      <c r="AV919" s="62"/>
      <c r="AW919" s="62"/>
      <c r="AX919" s="62"/>
      <c r="AY919" s="62"/>
      <c r="AZ919" s="62"/>
      <c r="BA919" s="62"/>
      <c r="BB919" s="62"/>
      <c r="BC919" s="62"/>
      <c r="BD919" s="62"/>
      <c r="BE919" s="62"/>
      <c r="BF919" s="62"/>
      <c r="BG919" s="62"/>
      <c r="BH919" s="62"/>
      <c r="BI919" s="62"/>
      <c r="BJ919" s="62"/>
      <c r="BK919" s="62"/>
      <c r="BL919" s="62"/>
      <c r="BM919" s="62"/>
      <c r="BN919" s="62"/>
      <c r="BO919" s="62"/>
      <c r="BP919" s="62"/>
      <c r="BQ919" s="62"/>
      <c r="BR919" s="62"/>
      <c r="BS919" s="62"/>
      <c r="BT919" s="62"/>
      <c r="BU919" s="62"/>
      <c r="BV919" s="62"/>
      <c r="BW919" s="62"/>
      <c r="BX919" s="62"/>
      <c r="BY919" s="62"/>
      <c r="BZ919" s="62"/>
      <c r="CA919" s="62"/>
      <c r="CB919" s="62"/>
      <c r="CC919" s="62"/>
      <c r="CD919" s="62"/>
      <c r="CE919" s="62"/>
      <c r="CF919" s="62"/>
      <c r="CG919" s="62"/>
      <c r="CH919" s="62"/>
      <c r="CI919" s="62"/>
      <c r="CJ919" s="62"/>
      <c r="CK919" s="62"/>
      <c r="CL919" s="62"/>
      <c r="CM919" s="62"/>
      <c r="CN919" s="62"/>
      <c r="CO919" s="62"/>
      <c r="CP919" s="62"/>
      <c r="CQ919" s="62"/>
      <c r="CR919" s="62"/>
      <c r="CS919" s="62"/>
      <c r="CT919" s="62"/>
      <c r="CU919" s="62"/>
      <c r="CV919" s="62"/>
      <c r="CW919" s="62"/>
      <c r="CX919" s="62"/>
      <c r="CY919" s="62"/>
      <c r="CZ919" s="62"/>
      <c r="DA919" s="62"/>
      <c r="DB919" s="62"/>
      <c r="DC919" s="62"/>
      <c r="DD919" s="62"/>
      <c r="DE919" s="62"/>
      <c r="DF919" s="62"/>
      <c r="DG919" s="62"/>
      <c r="DH919" s="62"/>
      <c r="DI919" s="62"/>
      <c r="DJ919" s="62"/>
      <c r="DK919" s="62"/>
      <c r="DL919" s="62"/>
      <c r="DM919" s="62"/>
      <c r="DN919" s="62"/>
      <c r="DO919" s="62"/>
      <c r="DP919" s="62"/>
      <c r="DQ919" s="62"/>
      <c r="DR919" s="62"/>
      <c r="DS919" s="62"/>
      <c r="DT919" s="62"/>
      <c r="DU919" s="62"/>
      <c r="DV919" s="62"/>
      <c r="DW919" s="62"/>
      <c r="DX919" s="62"/>
      <c r="DY919" s="62"/>
      <c r="DZ919" s="62"/>
      <c r="EA919" s="62"/>
      <c r="EB919" s="62"/>
      <c r="EC919" s="62"/>
      <c r="ED919" s="62"/>
      <c r="EE919" s="62"/>
      <c r="EF919" s="62"/>
      <c r="EG919" s="62"/>
      <c r="EH919" s="62"/>
      <c r="EI919" s="62"/>
      <c r="EJ919" s="62"/>
      <c r="EK919" s="62"/>
      <c r="EL919" s="62"/>
      <c r="EM919" s="62"/>
      <c r="EN919" s="62"/>
      <c r="EO919" s="62"/>
      <c r="EP919" s="62"/>
      <c r="EQ919" s="62"/>
      <c r="ER919" s="62"/>
      <c r="ES919" s="62"/>
      <c r="ET919" s="62"/>
      <c r="EU919" s="62"/>
      <c r="EV919" s="62"/>
      <c r="EW919" s="62"/>
      <c r="EX919" s="62"/>
      <c r="EY919" s="62"/>
      <c r="EZ919" s="62"/>
      <c r="FA919" s="62"/>
      <c r="FB919" s="62"/>
      <c r="FC919" s="62"/>
      <c r="FD919" s="62"/>
      <c r="FE919" s="62"/>
      <c r="FF919" s="62"/>
      <c r="FG919" s="62"/>
      <c r="FH919" s="62"/>
      <c r="FI919" s="62"/>
      <c r="FJ919" s="62"/>
      <c r="FK919" s="62"/>
      <c r="FL919" s="62"/>
      <c r="FM919" s="62"/>
      <c r="FN919" s="62"/>
      <c r="FO919" s="62"/>
      <c r="FP919" s="62"/>
      <c r="FQ919" s="62"/>
      <c r="FR919" s="62"/>
      <c r="FS919" s="62"/>
      <c r="FT919" s="62"/>
      <c r="FU919" s="62"/>
      <c r="FV919" s="62"/>
    </row>
    <row r="920" spans="1:178" ht="13.8">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2"/>
      <c r="AQ920" s="62"/>
      <c r="AR920" s="62"/>
      <c r="AS920" s="62"/>
      <c r="AT920" s="62"/>
      <c r="AU920" s="62"/>
      <c r="AV920" s="62"/>
      <c r="AW920" s="62"/>
      <c r="AX920" s="62"/>
      <c r="AY920" s="62"/>
      <c r="AZ920" s="62"/>
      <c r="BA920" s="62"/>
      <c r="BB920" s="62"/>
      <c r="BC920" s="62"/>
      <c r="BD920" s="62"/>
      <c r="BE920" s="62"/>
      <c r="BF920" s="62"/>
      <c r="BG920" s="62"/>
      <c r="BH920" s="62"/>
      <c r="BI920" s="62"/>
      <c r="BJ920" s="62"/>
      <c r="BK920" s="62"/>
      <c r="BL920" s="62"/>
      <c r="BM920" s="62"/>
      <c r="BN920" s="62"/>
      <c r="BO920" s="62"/>
      <c r="BP920" s="62"/>
      <c r="BQ920" s="62"/>
      <c r="BR920" s="62"/>
      <c r="BS920" s="62"/>
      <c r="BT920" s="62"/>
      <c r="BU920" s="62"/>
      <c r="BV920" s="62"/>
      <c r="BW920" s="62"/>
      <c r="BX920" s="62"/>
      <c r="BY920" s="62"/>
      <c r="BZ920" s="62"/>
      <c r="CA920" s="62"/>
      <c r="CB920" s="62"/>
      <c r="CC920" s="62"/>
      <c r="CD920" s="62"/>
      <c r="CE920" s="62"/>
      <c r="CF920" s="62"/>
      <c r="CG920" s="62"/>
      <c r="CH920" s="62"/>
      <c r="CI920" s="62"/>
      <c r="CJ920" s="62"/>
      <c r="CK920" s="62"/>
      <c r="CL920" s="62"/>
      <c r="CM920" s="62"/>
      <c r="CN920" s="62"/>
      <c r="CO920" s="62"/>
      <c r="CP920" s="62"/>
      <c r="CQ920" s="62"/>
      <c r="CR920" s="62"/>
      <c r="CS920" s="62"/>
      <c r="CT920" s="62"/>
      <c r="CU920" s="62"/>
      <c r="CV920" s="62"/>
      <c r="CW920" s="62"/>
      <c r="CX920" s="62"/>
      <c r="CY920" s="62"/>
      <c r="CZ920" s="62"/>
      <c r="DA920" s="62"/>
      <c r="DB920" s="62"/>
      <c r="DC920" s="62"/>
      <c r="DD920" s="62"/>
      <c r="DE920" s="62"/>
      <c r="DF920" s="62"/>
      <c r="DG920" s="62"/>
      <c r="DH920" s="62"/>
      <c r="DI920" s="62"/>
      <c r="DJ920" s="62"/>
      <c r="DK920" s="62"/>
      <c r="DL920" s="62"/>
      <c r="DM920" s="62"/>
      <c r="DN920" s="62"/>
      <c r="DO920" s="62"/>
      <c r="DP920" s="62"/>
      <c r="DQ920" s="62"/>
      <c r="DR920" s="62"/>
      <c r="DS920" s="62"/>
      <c r="DT920" s="62"/>
      <c r="DU920" s="62"/>
      <c r="DV920" s="62"/>
      <c r="DW920" s="62"/>
      <c r="DX920" s="62"/>
      <c r="DY920" s="62"/>
      <c r="DZ920" s="62"/>
      <c r="EA920" s="62"/>
      <c r="EB920" s="62"/>
      <c r="EC920" s="62"/>
      <c r="ED920" s="62"/>
      <c r="EE920" s="62"/>
      <c r="EF920" s="62"/>
      <c r="EG920" s="62"/>
      <c r="EH920" s="62"/>
      <c r="EI920" s="62"/>
      <c r="EJ920" s="62"/>
      <c r="EK920" s="62"/>
      <c r="EL920" s="62"/>
      <c r="EM920" s="62"/>
      <c r="EN920" s="62"/>
      <c r="EO920" s="62"/>
      <c r="EP920" s="62"/>
      <c r="EQ920" s="62"/>
      <c r="ER920" s="62"/>
      <c r="ES920" s="62"/>
      <c r="ET920" s="62"/>
      <c r="EU920" s="62"/>
      <c r="EV920" s="62"/>
      <c r="EW920" s="62"/>
      <c r="EX920" s="62"/>
      <c r="EY920" s="62"/>
      <c r="EZ920" s="62"/>
      <c r="FA920" s="62"/>
      <c r="FB920" s="62"/>
      <c r="FC920" s="62"/>
      <c r="FD920" s="62"/>
      <c r="FE920" s="62"/>
      <c r="FF920" s="62"/>
      <c r="FG920" s="62"/>
      <c r="FH920" s="62"/>
      <c r="FI920" s="62"/>
      <c r="FJ920" s="62"/>
      <c r="FK920" s="62"/>
      <c r="FL920" s="62"/>
      <c r="FM920" s="62"/>
      <c r="FN920" s="62"/>
      <c r="FO920" s="62"/>
      <c r="FP920" s="62"/>
      <c r="FQ920" s="62"/>
      <c r="FR920" s="62"/>
      <c r="FS920" s="62"/>
      <c r="FT920" s="62"/>
      <c r="FU920" s="62"/>
      <c r="FV920" s="62"/>
    </row>
    <row r="921" spans="1:178" ht="13.8">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2"/>
      <c r="AQ921" s="62"/>
      <c r="AR921" s="62"/>
      <c r="AS921" s="62"/>
      <c r="AT921" s="62"/>
      <c r="AU921" s="62"/>
      <c r="AV921" s="62"/>
      <c r="AW921" s="62"/>
      <c r="AX921" s="62"/>
      <c r="AY921" s="62"/>
      <c r="AZ921" s="62"/>
      <c r="BA921" s="62"/>
      <c r="BB921" s="62"/>
      <c r="BC921" s="62"/>
      <c r="BD921" s="62"/>
      <c r="BE921" s="62"/>
      <c r="BF921" s="62"/>
      <c r="BG921" s="62"/>
      <c r="BH921" s="62"/>
      <c r="BI921" s="62"/>
      <c r="BJ921" s="62"/>
      <c r="BK921" s="62"/>
      <c r="BL921" s="62"/>
      <c r="BM921" s="62"/>
      <c r="BN921" s="62"/>
      <c r="BO921" s="62"/>
      <c r="BP921" s="62"/>
      <c r="BQ921" s="62"/>
      <c r="BR921" s="62"/>
      <c r="BS921" s="62"/>
      <c r="BT921" s="62"/>
      <c r="BU921" s="62"/>
      <c r="BV921" s="62"/>
      <c r="BW921" s="62"/>
      <c r="BX921" s="62"/>
      <c r="BY921" s="62"/>
      <c r="BZ921" s="62"/>
      <c r="CA921" s="62"/>
      <c r="CB921" s="62"/>
      <c r="CC921" s="62"/>
      <c r="CD921" s="62"/>
      <c r="CE921" s="62"/>
      <c r="CF921" s="62"/>
      <c r="CG921" s="62"/>
      <c r="CH921" s="62"/>
      <c r="CI921" s="62"/>
      <c r="CJ921" s="62"/>
      <c r="CK921" s="62"/>
      <c r="CL921" s="62"/>
      <c r="CM921" s="62"/>
      <c r="CN921" s="62"/>
      <c r="CO921" s="62"/>
      <c r="CP921" s="62"/>
      <c r="CQ921" s="62"/>
      <c r="CR921" s="62"/>
      <c r="CS921" s="62"/>
      <c r="CT921" s="62"/>
      <c r="CU921" s="62"/>
      <c r="CV921" s="62"/>
      <c r="CW921" s="62"/>
      <c r="CX921" s="62"/>
      <c r="CY921" s="62"/>
      <c r="CZ921" s="62"/>
      <c r="DA921" s="62"/>
      <c r="DB921" s="62"/>
      <c r="DC921" s="62"/>
      <c r="DD921" s="62"/>
      <c r="DE921" s="62"/>
      <c r="DF921" s="62"/>
      <c r="DG921" s="62"/>
      <c r="DH921" s="62"/>
      <c r="DI921" s="62"/>
      <c r="DJ921" s="62"/>
      <c r="DK921" s="62"/>
      <c r="DL921" s="62"/>
      <c r="DM921" s="62"/>
      <c r="DN921" s="62"/>
      <c r="DO921" s="62"/>
      <c r="DP921" s="62"/>
      <c r="DQ921" s="62"/>
      <c r="DR921" s="62"/>
      <c r="DS921" s="62"/>
      <c r="DT921" s="62"/>
      <c r="DU921" s="62"/>
      <c r="DV921" s="62"/>
      <c r="DW921" s="62"/>
      <c r="DX921" s="62"/>
      <c r="DY921" s="62"/>
      <c r="DZ921" s="62"/>
      <c r="EA921" s="62"/>
      <c r="EB921" s="62"/>
      <c r="EC921" s="62"/>
      <c r="ED921" s="62"/>
      <c r="EE921" s="62"/>
      <c r="EF921" s="62"/>
      <c r="EG921" s="62"/>
      <c r="EH921" s="62"/>
      <c r="EI921" s="62"/>
      <c r="EJ921" s="62"/>
      <c r="EK921" s="62"/>
      <c r="EL921" s="62"/>
      <c r="EM921" s="62"/>
      <c r="EN921" s="62"/>
      <c r="EO921" s="62"/>
      <c r="EP921" s="62"/>
      <c r="EQ921" s="62"/>
      <c r="ER921" s="62"/>
      <c r="ES921" s="62"/>
      <c r="ET921" s="62"/>
      <c r="EU921" s="62"/>
      <c r="EV921" s="62"/>
      <c r="EW921" s="62"/>
      <c r="EX921" s="62"/>
      <c r="EY921" s="62"/>
      <c r="EZ921" s="62"/>
      <c r="FA921" s="62"/>
      <c r="FB921" s="62"/>
      <c r="FC921" s="62"/>
      <c r="FD921" s="62"/>
      <c r="FE921" s="62"/>
      <c r="FF921" s="62"/>
      <c r="FG921" s="62"/>
      <c r="FH921" s="62"/>
      <c r="FI921" s="62"/>
      <c r="FJ921" s="62"/>
      <c r="FK921" s="62"/>
      <c r="FL921" s="62"/>
      <c r="FM921" s="62"/>
      <c r="FN921" s="62"/>
      <c r="FO921" s="62"/>
      <c r="FP921" s="62"/>
      <c r="FQ921" s="62"/>
      <c r="FR921" s="62"/>
      <c r="FS921" s="62"/>
      <c r="FT921" s="62"/>
      <c r="FU921" s="62"/>
      <c r="FV921" s="62"/>
    </row>
    <row r="922" spans="1:178" ht="13.8">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2"/>
      <c r="AQ922" s="62"/>
      <c r="AR922" s="62"/>
      <c r="AS922" s="62"/>
      <c r="AT922" s="62"/>
      <c r="AU922" s="62"/>
      <c r="AV922" s="62"/>
      <c r="AW922" s="62"/>
      <c r="AX922" s="62"/>
      <c r="AY922" s="62"/>
      <c r="AZ922" s="62"/>
      <c r="BA922" s="62"/>
      <c r="BB922" s="62"/>
      <c r="BC922" s="62"/>
      <c r="BD922" s="62"/>
      <c r="BE922" s="62"/>
      <c r="BF922" s="62"/>
      <c r="BG922" s="62"/>
      <c r="BH922" s="62"/>
      <c r="BI922" s="62"/>
      <c r="BJ922" s="62"/>
      <c r="BK922" s="62"/>
      <c r="BL922" s="62"/>
      <c r="BM922" s="62"/>
      <c r="BN922" s="62"/>
      <c r="BO922" s="62"/>
      <c r="BP922" s="62"/>
      <c r="BQ922" s="62"/>
      <c r="BR922" s="62"/>
      <c r="BS922" s="62"/>
      <c r="BT922" s="62"/>
      <c r="BU922" s="62"/>
      <c r="BV922" s="62"/>
      <c r="BW922" s="62"/>
      <c r="BX922" s="62"/>
      <c r="BY922" s="62"/>
      <c r="BZ922" s="62"/>
      <c r="CA922" s="62"/>
      <c r="CB922" s="62"/>
      <c r="CC922" s="62"/>
      <c r="CD922" s="62"/>
      <c r="CE922" s="62"/>
      <c r="CF922" s="62"/>
      <c r="CG922" s="62"/>
      <c r="CH922" s="62"/>
      <c r="CI922" s="62"/>
      <c r="CJ922" s="62"/>
      <c r="CK922" s="62"/>
      <c r="CL922" s="62"/>
      <c r="CM922" s="62"/>
      <c r="CN922" s="62"/>
      <c r="CO922" s="62"/>
      <c r="CP922" s="62"/>
      <c r="CQ922" s="62"/>
      <c r="CR922" s="62"/>
      <c r="CS922" s="62"/>
      <c r="CT922" s="62"/>
      <c r="CU922" s="62"/>
      <c r="CV922" s="62"/>
      <c r="CW922" s="62"/>
      <c r="CX922" s="62"/>
      <c r="CY922" s="62"/>
      <c r="CZ922" s="62"/>
      <c r="DA922" s="62"/>
      <c r="DB922" s="62"/>
      <c r="DC922" s="62"/>
      <c r="DD922" s="62"/>
      <c r="DE922" s="62"/>
      <c r="DF922" s="62"/>
      <c r="DG922" s="62"/>
      <c r="DH922" s="62"/>
      <c r="DI922" s="62"/>
      <c r="DJ922" s="62"/>
      <c r="DK922" s="62"/>
      <c r="DL922" s="62"/>
      <c r="DM922" s="62"/>
      <c r="DN922" s="62"/>
      <c r="DO922" s="62"/>
      <c r="DP922" s="62"/>
      <c r="DQ922" s="62"/>
      <c r="DR922" s="62"/>
      <c r="DS922" s="62"/>
      <c r="DT922" s="62"/>
      <c r="DU922" s="62"/>
      <c r="DV922" s="62"/>
      <c r="DW922" s="62"/>
      <c r="DX922" s="62"/>
      <c r="DY922" s="62"/>
      <c r="DZ922" s="62"/>
      <c r="EA922" s="62"/>
      <c r="EB922" s="62"/>
      <c r="EC922" s="62"/>
      <c r="ED922" s="62"/>
      <c r="EE922" s="62"/>
      <c r="EF922" s="62"/>
      <c r="EG922" s="62"/>
      <c r="EH922" s="62"/>
      <c r="EI922" s="62"/>
      <c r="EJ922" s="62"/>
      <c r="EK922" s="62"/>
      <c r="EL922" s="62"/>
      <c r="EM922" s="62"/>
      <c r="EN922" s="62"/>
      <c r="EO922" s="62"/>
      <c r="EP922" s="62"/>
      <c r="EQ922" s="62"/>
      <c r="ER922" s="62"/>
      <c r="ES922" s="62"/>
      <c r="ET922" s="62"/>
      <c r="EU922" s="62"/>
      <c r="EV922" s="62"/>
      <c r="EW922" s="62"/>
      <c r="EX922" s="62"/>
      <c r="EY922" s="62"/>
      <c r="EZ922" s="62"/>
      <c r="FA922" s="62"/>
      <c r="FB922" s="62"/>
      <c r="FC922" s="62"/>
      <c r="FD922" s="62"/>
      <c r="FE922" s="62"/>
      <c r="FF922" s="62"/>
      <c r="FG922" s="62"/>
      <c r="FH922" s="62"/>
      <c r="FI922" s="62"/>
      <c r="FJ922" s="62"/>
      <c r="FK922" s="62"/>
      <c r="FL922" s="62"/>
      <c r="FM922" s="62"/>
      <c r="FN922" s="62"/>
      <c r="FO922" s="62"/>
      <c r="FP922" s="62"/>
      <c r="FQ922" s="62"/>
      <c r="FR922" s="62"/>
      <c r="FS922" s="62"/>
      <c r="FT922" s="62"/>
      <c r="FU922" s="62"/>
      <c r="FV922" s="62"/>
    </row>
    <row r="923" spans="1:178" ht="13.8">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2"/>
      <c r="AQ923" s="62"/>
      <c r="AR923" s="62"/>
      <c r="AS923" s="62"/>
      <c r="AT923" s="62"/>
      <c r="AU923" s="62"/>
      <c r="AV923" s="62"/>
      <c r="AW923" s="62"/>
      <c r="AX923" s="62"/>
      <c r="AY923" s="62"/>
      <c r="AZ923" s="62"/>
      <c r="BA923" s="62"/>
      <c r="BB923" s="62"/>
      <c r="BC923" s="62"/>
      <c r="BD923" s="62"/>
      <c r="BE923" s="62"/>
      <c r="BF923" s="62"/>
      <c r="BG923" s="62"/>
      <c r="BH923" s="62"/>
      <c r="BI923" s="62"/>
      <c r="BJ923" s="62"/>
      <c r="BK923" s="62"/>
      <c r="BL923" s="62"/>
      <c r="BM923" s="62"/>
      <c r="BN923" s="62"/>
      <c r="BO923" s="62"/>
      <c r="BP923" s="62"/>
      <c r="BQ923" s="62"/>
      <c r="BR923" s="62"/>
      <c r="BS923" s="62"/>
      <c r="BT923" s="62"/>
      <c r="BU923" s="62"/>
      <c r="BV923" s="62"/>
      <c r="BW923" s="62"/>
      <c r="BX923" s="62"/>
      <c r="BY923" s="62"/>
      <c r="BZ923" s="62"/>
      <c r="CA923" s="62"/>
      <c r="CB923" s="62"/>
      <c r="CC923" s="62"/>
      <c r="CD923" s="62"/>
      <c r="CE923" s="62"/>
      <c r="CF923" s="62"/>
      <c r="CG923" s="62"/>
      <c r="CH923" s="62"/>
      <c r="CI923" s="62"/>
      <c r="CJ923" s="62"/>
      <c r="CK923" s="62"/>
      <c r="CL923" s="62"/>
      <c r="CM923" s="62"/>
      <c r="CN923" s="62"/>
      <c r="CO923" s="62"/>
      <c r="CP923" s="62"/>
      <c r="CQ923" s="62"/>
      <c r="CR923" s="62"/>
      <c r="CS923" s="62"/>
      <c r="CT923" s="62"/>
      <c r="CU923" s="62"/>
      <c r="CV923" s="62"/>
      <c r="CW923" s="62"/>
      <c r="CX923" s="62"/>
      <c r="CY923" s="62"/>
      <c r="CZ923" s="62"/>
      <c r="DA923" s="62"/>
      <c r="DB923" s="62"/>
      <c r="DC923" s="62"/>
      <c r="DD923" s="62"/>
      <c r="DE923" s="62"/>
      <c r="DF923" s="62"/>
      <c r="DG923" s="62"/>
      <c r="DH923" s="62"/>
      <c r="DI923" s="62"/>
      <c r="DJ923" s="62"/>
      <c r="DK923" s="62"/>
      <c r="DL923" s="62"/>
      <c r="DM923" s="62"/>
      <c r="DN923" s="62"/>
      <c r="DO923" s="62"/>
      <c r="DP923" s="62"/>
      <c r="DQ923" s="62"/>
      <c r="DR923" s="62"/>
      <c r="DS923" s="62"/>
      <c r="DT923" s="62"/>
      <c r="DU923" s="62"/>
      <c r="DV923" s="62"/>
      <c r="DW923" s="62"/>
      <c r="DX923" s="62"/>
      <c r="DY923" s="62"/>
      <c r="DZ923" s="62"/>
      <c r="EA923" s="62"/>
      <c r="EB923" s="62"/>
      <c r="EC923" s="62"/>
      <c r="ED923" s="62"/>
      <c r="EE923" s="62"/>
      <c r="EF923" s="62"/>
      <c r="EG923" s="62"/>
      <c r="EH923" s="62"/>
      <c r="EI923" s="62"/>
      <c r="EJ923" s="62"/>
      <c r="EK923" s="62"/>
      <c r="EL923" s="62"/>
      <c r="EM923" s="62"/>
      <c r="EN923" s="62"/>
      <c r="EO923" s="62"/>
      <c r="EP923" s="62"/>
      <c r="EQ923" s="62"/>
      <c r="ER923" s="62"/>
      <c r="ES923" s="62"/>
      <c r="ET923" s="62"/>
      <c r="EU923" s="62"/>
      <c r="EV923" s="62"/>
      <c r="EW923" s="62"/>
      <c r="EX923" s="62"/>
      <c r="EY923" s="62"/>
      <c r="EZ923" s="62"/>
      <c r="FA923" s="62"/>
      <c r="FB923" s="62"/>
      <c r="FC923" s="62"/>
      <c r="FD923" s="62"/>
      <c r="FE923" s="62"/>
      <c r="FF923" s="62"/>
      <c r="FG923" s="62"/>
      <c r="FH923" s="62"/>
      <c r="FI923" s="62"/>
      <c r="FJ923" s="62"/>
      <c r="FK923" s="62"/>
      <c r="FL923" s="62"/>
      <c r="FM923" s="62"/>
      <c r="FN923" s="62"/>
      <c r="FO923" s="62"/>
      <c r="FP923" s="62"/>
      <c r="FQ923" s="62"/>
      <c r="FR923" s="62"/>
      <c r="FS923" s="62"/>
      <c r="FT923" s="62"/>
      <c r="FU923" s="62"/>
      <c r="FV923" s="62"/>
    </row>
    <row r="924" spans="1:178" ht="13.8">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2"/>
      <c r="AQ924" s="62"/>
      <c r="AR924" s="62"/>
      <c r="AS924" s="62"/>
      <c r="AT924" s="62"/>
      <c r="AU924" s="62"/>
      <c r="AV924" s="62"/>
      <c r="AW924" s="62"/>
      <c r="AX924" s="62"/>
      <c r="AY924" s="62"/>
      <c r="AZ924" s="62"/>
      <c r="BA924" s="62"/>
      <c r="BB924" s="62"/>
      <c r="BC924" s="62"/>
      <c r="BD924" s="62"/>
      <c r="BE924" s="62"/>
      <c r="BF924" s="62"/>
      <c r="BG924" s="62"/>
      <c r="BH924" s="62"/>
      <c r="BI924" s="62"/>
      <c r="BJ924" s="62"/>
      <c r="BK924" s="62"/>
      <c r="BL924" s="62"/>
      <c r="BM924" s="62"/>
      <c r="BN924" s="62"/>
      <c r="BO924" s="62"/>
      <c r="BP924" s="62"/>
      <c r="BQ924" s="62"/>
      <c r="BR924" s="62"/>
      <c r="BS924" s="62"/>
      <c r="BT924" s="62"/>
      <c r="BU924" s="62"/>
      <c r="BV924" s="62"/>
      <c r="BW924" s="62"/>
      <c r="BX924" s="62"/>
      <c r="BY924" s="62"/>
      <c r="BZ924" s="62"/>
      <c r="CA924" s="62"/>
      <c r="CB924" s="62"/>
      <c r="CC924" s="62"/>
      <c r="CD924" s="62"/>
      <c r="CE924" s="62"/>
      <c r="CF924" s="62"/>
      <c r="CG924" s="62"/>
      <c r="CH924" s="62"/>
      <c r="CI924" s="62"/>
      <c r="CJ924" s="62"/>
      <c r="CK924" s="62"/>
      <c r="CL924" s="62"/>
      <c r="CM924" s="62"/>
      <c r="CN924" s="62"/>
      <c r="CO924" s="62"/>
      <c r="CP924" s="62"/>
      <c r="CQ924" s="62"/>
      <c r="CR924" s="62"/>
      <c r="CS924" s="62"/>
      <c r="CT924" s="62"/>
      <c r="CU924" s="62"/>
      <c r="CV924" s="62"/>
      <c r="CW924" s="62"/>
      <c r="CX924" s="62"/>
      <c r="CY924" s="62"/>
      <c r="CZ924" s="62"/>
      <c r="DA924" s="62"/>
      <c r="DB924" s="62"/>
      <c r="DC924" s="62"/>
      <c r="DD924" s="62"/>
      <c r="DE924" s="62"/>
      <c r="DF924" s="62"/>
      <c r="DG924" s="62"/>
      <c r="DH924" s="62"/>
      <c r="DI924" s="62"/>
      <c r="DJ924" s="62"/>
      <c r="DK924" s="62"/>
      <c r="DL924" s="62"/>
      <c r="DM924" s="62"/>
      <c r="DN924" s="62"/>
      <c r="DO924" s="62"/>
      <c r="DP924" s="62"/>
      <c r="DQ924" s="62"/>
      <c r="DR924" s="62"/>
      <c r="DS924" s="62"/>
      <c r="DT924" s="62"/>
      <c r="DU924" s="62"/>
      <c r="DV924" s="62"/>
      <c r="DW924" s="62"/>
      <c r="DX924" s="62"/>
      <c r="DY924" s="62"/>
      <c r="DZ924" s="62"/>
      <c r="EA924" s="62"/>
      <c r="EB924" s="62"/>
      <c r="EC924" s="62"/>
      <c r="ED924" s="62"/>
      <c r="EE924" s="62"/>
      <c r="EF924" s="62"/>
      <c r="EG924" s="62"/>
      <c r="EH924" s="62"/>
      <c r="EI924" s="62"/>
      <c r="EJ924" s="62"/>
      <c r="EK924" s="62"/>
      <c r="EL924" s="62"/>
      <c r="EM924" s="62"/>
      <c r="EN924" s="62"/>
      <c r="EO924" s="62"/>
      <c r="EP924" s="62"/>
      <c r="EQ924" s="62"/>
      <c r="ER924" s="62"/>
      <c r="ES924" s="62"/>
      <c r="ET924" s="62"/>
      <c r="EU924" s="62"/>
      <c r="EV924" s="62"/>
      <c r="EW924" s="62"/>
      <c r="EX924" s="62"/>
      <c r="EY924" s="62"/>
      <c r="EZ924" s="62"/>
      <c r="FA924" s="62"/>
      <c r="FB924" s="62"/>
      <c r="FC924" s="62"/>
      <c r="FD924" s="62"/>
      <c r="FE924" s="62"/>
      <c r="FF924" s="62"/>
      <c r="FG924" s="62"/>
      <c r="FH924" s="62"/>
      <c r="FI924" s="62"/>
      <c r="FJ924" s="62"/>
      <c r="FK924" s="62"/>
      <c r="FL924" s="62"/>
      <c r="FM924" s="62"/>
      <c r="FN924" s="62"/>
      <c r="FO924" s="62"/>
      <c r="FP924" s="62"/>
      <c r="FQ924" s="62"/>
      <c r="FR924" s="62"/>
      <c r="FS924" s="62"/>
      <c r="FT924" s="62"/>
      <c r="FU924" s="62"/>
      <c r="FV924" s="62"/>
    </row>
    <row r="925" spans="1:178" ht="13.8">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2"/>
      <c r="AQ925" s="62"/>
      <c r="AR925" s="62"/>
      <c r="AS925" s="62"/>
      <c r="AT925" s="62"/>
      <c r="AU925" s="62"/>
      <c r="AV925" s="62"/>
      <c r="AW925" s="62"/>
      <c r="AX925" s="62"/>
      <c r="AY925" s="62"/>
      <c r="AZ925" s="62"/>
      <c r="BA925" s="62"/>
      <c r="BB925" s="62"/>
      <c r="BC925" s="62"/>
      <c r="BD925" s="62"/>
      <c r="BE925" s="62"/>
      <c r="BF925" s="62"/>
      <c r="BG925" s="62"/>
      <c r="BH925" s="62"/>
      <c r="BI925" s="62"/>
      <c r="BJ925" s="62"/>
      <c r="BK925" s="62"/>
      <c r="BL925" s="62"/>
      <c r="BM925" s="62"/>
      <c r="BN925" s="62"/>
      <c r="BO925" s="62"/>
      <c r="BP925" s="62"/>
      <c r="BQ925" s="62"/>
      <c r="BR925" s="62"/>
      <c r="BS925" s="62"/>
      <c r="BT925" s="62"/>
      <c r="BU925" s="62"/>
      <c r="BV925" s="62"/>
      <c r="BW925" s="62"/>
      <c r="BX925" s="62"/>
      <c r="BY925" s="62"/>
      <c r="BZ925" s="62"/>
      <c r="CA925" s="62"/>
      <c r="CB925" s="62"/>
      <c r="CC925" s="62"/>
      <c r="CD925" s="62"/>
      <c r="CE925" s="62"/>
      <c r="CF925" s="62"/>
      <c r="CG925" s="62"/>
      <c r="CH925" s="62"/>
      <c r="CI925" s="62"/>
      <c r="CJ925" s="62"/>
      <c r="CK925" s="62"/>
      <c r="CL925" s="62"/>
      <c r="CM925" s="62"/>
      <c r="CN925" s="62"/>
      <c r="CO925" s="62"/>
      <c r="CP925" s="62"/>
      <c r="CQ925" s="62"/>
      <c r="CR925" s="62"/>
      <c r="CS925" s="62"/>
      <c r="CT925" s="62"/>
      <c r="CU925" s="62"/>
      <c r="CV925" s="62"/>
      <c r="CW925" s="62"/>
      <c r="CX925" s="62"/>
      <c r="CY925" s="62"/>
      <c r="CZ925" s="62"/>
      <c r="DA925" s="62"/>
      <c r="DB925" s="62"/>
      <c r="DC925" s="62"/>
      <c r="DD925" s="62"/>
      <c r="DE925" s="62"/>
      <c r="DF925" s="62"/>
      <c r="DG925" s="62"/>
      <c r="DH925" s="62"/>
      <c r="DI925" s="62"/>
      <c r="DJ925" s="62"/>
      <c r="DK925" s="62"/>
      <c r="DL925" s="62"/>
      <c r="DM925" s="62"/>
      <c r="DN925" s="62"/>
      <c r="DO925" s="62"/>
      <c r="DP925" s="62"/>
      <c r="DQ925" s="62"/>
      <c r="DR925" s="62"/>
      <c r="DS925" s="62"/>
      <c r="DT925" s="62"/>
      <c r="DU925" s="62"/>
      <c r="DV925" s="62"/>
      <c r="DW925" s="62"/>
      <c r="DX925" s="62"/>
      <c r="DY925" s="62"/>
      <c r="DZ925" s="62"/>
      <c r="EA925" s="62"/>
      <c r="EB925" s="62"/>
      <c r="EC925" s="62"/>
      <c r="ED925" s="62"/>
      <c r="EE925" s="62"/>
      <c r="EF925" s="62"/>
      <c r="EG925" s="62"/>
      <c r="EH925" s="62"/>
      <c r="EI925" s="62"/>
      <c r="EJ925" s="62"/>
      <c r="EK925" s="62"/>
      <c r="EL925" s="62"/>
      <c r="EM925" s="62"/>
      <c r="EN925" s="62"/>
      <c r="EO925" s="62"/>
      <c r="EP925" s="62"/>
      <c r="EQ925" s="62"/>
      <c r="ER925" s="62"/>
      <c r="ES925" s="62"/>
      <c r="ET925" s="62"/>
      <c r="EU925" s="62"/>
      <c r="EV925" s="62"/>
      <c r="EW925" s="62"/>
      <c r="EX925" s="62"/>
      <c r="EY925" s="62"/>
      <c r="EZ925" s="62"/>
      <c r="FA925" s="62"/>
      <c r="FB925" s="62"/>
      <c r="FC925" s="62"/>
      <c r="FD925" s="62"/>
      <c r="FE925" s="62"/>
      <c r="FF925" s="62"/>
      <c r="FG925" s="62"/>
      <c r="FH925" s="62"/>
      <c r="FI925" s="62"/>
      <c r="FJ925" s="62"/>
      <c r="FK925" s="62"/>
      <c r="FL925" s="62"/>
      <c r="FM925" s="62"/>
      <c r="FN925" s="62"/>
      <c r="FO925" s="62"/>
      <c r="FP925" s="62"/>
      <c r="FQ925" s="62"/>
      <c r="FR925" s="62"/>
      <c r="FS925" s="62"/>
      <c r="FT925" s="62"/>
      <c r="FU925" s="62"/>
      <c r="FV925" s="62"/>
    </row>
    <row r="926" spans="1:178" ht="13.8">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2"/>
      <c r="AQ926" s="62"/>
      <c r="AR926" s="62"/>
      <c r="AS926" s="62"/>
      <c r="AT926" s="62"/>
      <c r="AU926" s="62"/>
      <c r="AV926" s="62"/>
      <c r="AW926" s="62"/>
      <c r="AX926" s="62"/>
      <c r="AY926" s="62"/>
      <c r="AZ926" s="62"/>
      <c r="BA926" s="62"/>
      <c r="BB926" s="62"/>
      <c r="BC926" s="62"/>
      <c r="BD926" s="62"/>
      <c r="BE926" s="62"/>
      <c r="BF926" s="62"/>
      <c r="BG926" s="62"/>
      <c r="BH926" s="62"/>
      <c r="BI926" s="62"/>
      <c r="BJ926" s="62"/>
      <c r="BK926" s="62"/>
      <c r="BL926" s="62"/>
      <c r="BM926" s="62"/>
      <c r="BN926" s="62"/>
      <c r="BO926" s="62"/>
      <c r="BP926" s="62"/>
      <c r="BQ926" s="62"/>
      <c r="BR926" s="62"/>
      <c r="BS926" s="62"/>
      <c r="BT926" s="62"/>
      <c r="BU926" s="62"/>
      <c r="BV926" s="62"/>
      <c r="BW926" s="62"/>
      <c r="BX926" s="62"/>
      <c r="BY926" s="62"/>
      <c r="BZ926" s="62"/>
      <c r="CA926" s="62"/>
      <c r="CB926" s="62"/>
      <c r="CC926" s="62"/>
      <c r="CD926" s="62"/>
      <c r="CE926" s="62"/>
      <c r="CF926" s="62"/>
      <c r="CG926" s="62"/>
      <c r="CH926" s="62"/>
      <c r="CI926" s="62"/>
      <c r="CJ926" s="62"/>
      <c r="CK926" s="62"/>
      <c r="CL926" s="62"/>
      <c r="CM926" s="62"/>
      <c r="CN926" s="62"/>
      <c r="CO926" s="62"/>
      <c r="CP926" s="62"/>
      <c r="CQ926" s="62"/>
      <c r="CR926" s="62"/>
      <c r="CS926" s="62"/>
      <c r="CT926" s="62"/>
      <c r="CU926" s="62"/>
      <c r="CV926" s="62"/>
      <c r="CW926" s="62"/>
      <c r="CX926" s="62"/>
      <c r="CY926" s="62"/>
      <c r="CZ926" s="62"/>
      <c r="DA926" s="62"/>
      <c r="DB926" s="62"/>
      <c r="DC926" s="62"/>
      <c r="DD926" s="62"/>
      <c r="DE926" s="62"/>
      <c r="DF926" s="62"/>
      <c r="DG926" s="62"/>
      <c r="DH926" s="62"/>
      <c r="DI926" s="62"/>
      <c r="DJ926" s="62"/>
      <c r="DK926" s="62"/>
      <c r="DL926" s="62"/>
      <c r="DM926" s="62"/>
      <c r="DN926" s="62"/>
      <c r="DO926" s="62"/>
      <c r="DP926" s="62"/>
      <c r="DQ926" s="62"/>
      <c r="DR926" s="62"/>
      <c r="DS926" s="62"/>
      <c r="DT926" s="62"/>
      <c r="DU926" s="62"/>
      <c r="DV926" s="62"/>
      <c r="DW926" s="62"/>
      <c r="DX926" s="62"/>
      <c r="DY926" s="62"/>
      <c r="DZ926" s="62"/>
      <c r="EA926" s="62"/>
      <c r="EB926" s="62"/>
      <c r="EC926" s="62"/>
      <c r="ED926" s="62"/>
      <c r="EE926" s="62"/>
      <c r="EF926" s="62"/>
      <c r="EG926" s="62"/>
      <c r="EH926" s="62"/>
      <c r="EI926" s="62"/>
      <c r="EJ926" s="62"/>
      <c r="EK926" s="62"/>
      <c r="EL926" s="62"/>
      <c r="EM926" s="62"/>
      <c r="EN926" s="62"/>
      <c r="EO926" s="62"/>
      <c r="EP926" s="62"/>
      <c r="EQ926" s="62"/>
      <c r="ER926" s="62"/>
      <c r="ES926" s="62"/>
      <c r="ET926" s="62"/>
      <c r="EU926" s="62"/>
      <c r="EV926" s="62"/>
      <c r="EW926" s="62"/>
      <c r="EX926" s="62"/>
      <c r="EY926" s="62"/>
      <c r="EZ926" s="62"/>
      <c r="FA926" s="62"/>
      <c r="FB926" s="62"/>
      <c r="FC926" s="62"/>
      <c r="FD926" s="62"/>
      <c r="FE926" s="62"/>
      <c r="FF926" s="62"/>
      <c r="FG926" s="62"/>
      <c r="FH926" s="62"/>
      <c r="FI926" s="62"/>
      <c r="FJ926" s="62"/>
      <c r="FK926" s="62"/>
      <c r="FL926" s="62"/>
      <c r="FM926" s="62"/>
      <c r="FN926" s="62"/>
      <c r="FO926" s="62"/>
      <c r="FP926" s="62"/>
      <c r="FQ926" s="62"/>
      <c r="FR926" s="62"/>
      <c r="FS926" s="62"/>
      <c r="FT926" s="62"/>
      <c r="FU926" s="62"/>
      <c r="FV926" s="62"/>
    </row>
    <row r="927" spans="1:178" ht="13.8">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2"/>
      <c r="AQ927" s="62"/>
      <c r="AR927" s="62"/>
      <c r="AS927" s="62"/>
      <c r="AT927" s="62"/>
      <c r="AU927" s="62"/>
      <c r="AV927" s="62"/>
      <c r="AW927" s="62"/>
      <c r="AX927" s="62"/>
      <c r="AY927" s="62"/>
      <c r="AZ927" s="62"/>
      <c r="BA927" s="62"/>
      <c r="BB927" s="62"/>
      <c r="BC927" s="62"/>
      <c r="BD927" s="62"/>
      <c r="BE927" s="62"/>
      <c r="BF927" s="62"/>
      <c r="BG927" s="62"/>
      <c r="BH927" s="62"/>
      <c r="BI927" s="62"/>
      <c r="BJ927" s="62"/>
      <c r="BK927" s="62"/>
      <c r="BL927" s="62"/>
      <c r="BM927" s="62"/>
      <c r="BN927" s="62"/>
      <c r="BO927" s="62"/>
      <c r="BP927" s="62"/>
      <c r="BQ927" s="62"/>
      <c r="BR927" s="62"/>
      <c r="BS927" s="62"/>
      <c r="BT927" s="62"/>
      <c r="BU927" s="62"/>
      <c r="BV927" s="62"/>
      <c r="BW927" s="62"/>
      <c r="BX927" s="62"/>
      <c r="BY927" s="62"/>
      <c r="BZ927" s="62"/>
      <c r="CA927" s="62"/>
      <c r="CB927" s="62"/>
      <c r="CC927" s="62"/>
      <c r="CD927" s="62"/>
      <c r="CE927" s="62"/>
      <c r="CF927" s="62"/>
      <c r="CG927" s="62"/>
      <c r="CH927" s="62"/>
      <c r="CI927" s="62"/>
      <c r="CJ927" s="62"/>
      <c r="CK927" s="62"/>
      <c r="CL927" s="62"/>
      <c r="CM927" s="62"/>
      <c r="CN927" s="62"/>
      <c r="CO927" s="62"/>
      <c r="CP927" s="62"/>
      <c r="CQ927" s="62"/>
      <c r="CR927" s="62"/>
      <c r="CS927" s="62"/>
      <c r="CT927" s="62"/>
      <c r="CU927" s="62"/>
      <c r="CV927" s="62"/>
      <c r="CW927" s="62"/>
      <c r="CX927" s="62"/>
      <c r="CY927" s="62"/>
      <c r="CZ927" s="62"/>
      <c r="DA927" s="62"/>
      <c r="DB927" s="62"/>
      <c r="DC927" s="62"/>
      <c r="DD927" s="62"/>
      <c r="DE927" s="62"/>
      <c r="DF927" s="62"/>
      <c r="DG927" s="62"/>
      <c r="DH927" s="62"/>
      <c r="DI927" s="62"/>
      <c r="DJ927" s="62"/>
      <c r="DK927" s="62"/>
      <c r="DL927" s="62"/>
      <c r="DM927" s="62"/>
      <c r="DN927" s="62"/>
      <c r="DO927" s="62"/>
      <c r="DP927" s="62"/>
      <c r="DQ927" s="62"/>
      <c r="DR927" s="62"/>
      <c r="DS927" s="62"/>
      <c r="DT927" s="62"/>
      <c r="DU927" s="62"/>
      <c r="DV927" s="62"/>
      <c r="DW927" s="62"/>
      <c r="DX927" s="62"/>
      <c r="DY927" s="62"/>
      <c r="DZ927" s="62"/>
      <c r="EA927" s="62"/>
      <c r="EB927" s="62"/>
      <c r="EC927" s="62"/>
      <c r="ED927" s="62"/>
      <c r="EE927" s="62"/>
      <c r="EF927" s="62"/>
      <c r="EG927" s="62"/>
      <c r="EH927" s="62"/>
      <c r="EI927" s="62"/>
      <c r="EJ927" s="62"/>
      <c r="EK927" s="62"/>
      <c r="EL927" s="62"/>
      <c r="EM927" s="62"/>
      <c r="EN927" s="62"/>
      <c r="EO927" s="62"/>
      <c r="EP927" s="62"/>
      <c r="EQ927" s="62"/>
      <c r="ER927" s="62"/>
      <c r="ES927" s="62"/>
      <c r="ET927" s="62"/>
      <c r="EU927" s="62"/>
      <c r="EV927" s="62"/>
      <c r="EW927" s="62"/>
      <c r="EX927" s="62"/>
      <c r="EY927" s="62"/>
      <c r="EZ927" s="62"/>
      <c r="FA927" s="62"/>
      <c r="FB927" s="62"/>
      <c r="FC927" s="62"/>
      <c r="FD927" s="62"/>
      <c r="FE927" s="62"/>
      <c r="FF927" s="62"/>
      <c r="FG927" s="62"/>
      <c r="FH927" s="62"/>
      <c r="FI927" s="62"/>
      <c r="FJ927" s="62"/>
      <c r="FK927" s="62"/>
      <c r="FL927" s="62"/>
      <c r="FM927" s="62"/>
      <c r="FN927" s="62"/>
      <c r="FO927" s="62"/>
      <c r="FP927" s="62"/>
      <c r="FQ927" s="62"/>
      <c r="FR927" s="62"/>
      <c r="FS927" s="62"/>
      <c r="FT927" s="62"/>
      <c r="FU927" s="62"/>
      <c r="FV927" s="62"/>
    </row>
    <row r="928" spans="1:178" ht="13.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c r="AT928" s="62"/>
      <c r="AU928" s="62"/>
      <c r="AV928" s="62"/>
      <c r="AW928" s="62"/>
      <c r="AX928" s="62"/>
      <c r="AY928" s="62"/>
      <c r="AZ928" s="62"/>
      <c r="BA928" s="62"/>
      <c r="BB928" s="62"/>
      <c r="BC928" s="62"/>
      <c r="BD928" s="62"/>
      <c r="BE928" s="62"/>
      <c r="BF928" s="62"/>
      <c r="BG928" s="62"/>
      <c r="BH928" s="62"/>
      <c r="BI928" s="62"/>
      <c r="BJ928" s="62"/>
      <c r="BK928" s="62"/>
      <c r="BL928" s="62"/>
      <c r="BM928" s="62"/>
      <c r="BN928" s="62"/>
      <c r="BO928" s="62"/>
      <c r="BP928" s="62"/>
      <c r="BQ928" s="62"/>
      <c r="BR928" s="62"/>
      <c r="BS928" s="62"/>
      <c r="BT928" s="62"/>
      <c r="BU928" s="62"/>
      <c r="BV928" s="62"/>
      <c r="BW928" s="62"/>
      <c r="BX928" s="62"/>
      <c r="BY928" s="62"/>
      <c r="BZ928" s="62"/>
      <c r="CA928" s="62"/>
      <c r="CB928" s="62"/>
      <c r="CC928" s="62"/>
      <c r="CD928" s="62"/>
      <c r="CE928" s="62"/>
      <c r="CF928" s="62"/>
      <c r="CG928" s="62"/>
      <c r="CH928" s="62"/>
      <c r="CI928" s="62"/>
      <c r="CJ928" s="62"/>
      <c r="CK928" s="62"/>
      <c r="CL928" s="62"/>
      <c r="CM928" s="62"/>
      <c r="CN928" s="62"/>
      <c r="CO928" s="62"/>
      <c r="CP928" s="62"/>
      <c r="CQ928" s="62"/>
      <c r="CR928" s="62"/>
      <c r="CS928" s="62"/>
      <c r="CT928" s="62"/>
      <c r="CU928" s="62"/>
      <c r="CV928" s="62"/>
      <c r="CW928" s="62"/>
      <c r="CX928" s="62"/>
      <c r="CY928" s="62"/>
      <c r="CZ928" s="62"/>
      <c r="DA928" s="62"/>
      <c r="DB928" s="62"/>
      <c r="DC928" s="62"/>
      <c r="DD928" s="62"/>
      <c r="DE928" s="62"/>
      <c r="DF928" s="62"/>
      <c r="DG928" s="62"/>
      <c r="DH928" s="62"/>
      <c r="DI928" s="62"/>
      <c r="DJ928" s="62"/>
      <c r="DK928" s="62"/>
      <c r="DL928" s="62"/>
      <c r="DM928" s="62"/>
      <c r="DN928" s="62"/>
      <c r="DO928" s="62"/>
      <c r="DP928" s="62"/>
      <c r="DQ928" s="62"/>
      <c r="DR928" s="62"/>
      <c r="DS928" s="62"/>
      <c r="DT928" s="62"/>
      <c r="DU928" s="62"/>
      <c r="DV928" s="62"/>
      <c r="DW928" s="62"/>
      <c r="DX928" s="62"/>
      <c r="DY928" s="62"/>
      <c r="DZ928" s="62"/>
      <c r="EA928" s="62"/>
      <c r="EB928" s="62"/>
      <c r="EC928" s="62"/>
      <c r="ED928" s="62"/>
      <c r="EE928" s="62"/>
      <c r="EF928" s="62"/>
      <c r="EG928" s="62"/>
      <c r="EH928" s="62"/>
      <c r="EI928" s="62"/>
      <c r="EJ928" s="62"/>
      <c r="EK928" s="62"/>
      <c r="EL928" s="62"/>
      <c r="EM928" s="62"/>
      <c r="EN928" s="62"/>
      <c r="EO928" s="62"/>
      <c r="EP928" s="62"/>
      <c r="EQ928" s="62"/>
      <c r="ER928" s="62"/>
      <c r="ES928" s="62"/>
      <c r="ET928" s="62"/>
      <c r="EU928" s="62"/>
      <c r="EV928" s="62"/>
      <c r="EW928" s="62"/>
      <c r="EX928" s="62"/>
      <c r="EY928" s="62"/>
      <c r="EZ928" s="62"/>
      <c r="FA928" s="62"/>
      <c r="FB928" s="62"/>
      <c r="FC928" s="62"/>
      <c r="FD928" s="62"/>
      <c r="FE928" s="62"/>
      <c r="FF928" s="62"/>
      <c r="FG928" s="62"/>
      <c r="FH928" s="62"/>
      <c r="FI928" s="62"/>
      <c r="FJ928" s="62"/>
      <c r="FK928" s="62"/>
      <c r="FL928" s="62"/>
      <c r="FM928" s="62"/>
      <c r="FN928" s="62"/>
      <c r="FO928" s="62"/>
      <c r="FP928" s="62"/>
      <c r="FQ928" s="62"/>
      <c r="FR928" s="62"/>
      <c r="FS928" s="62"/>
      <c r="FT928" s="62"/>
      <c r="FU928" s="62"/>
      <c r="FV928" s="62"/>
    </row>
    <row r="929" spans="1:178" ht="13.8">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2"/>
      <c r="AQ929" s="62"/>
      <c r="AR929" s="62"/>
      <c r="AS929" s="62"/>
      <c r="AT929" s="62"/>
      <c r="AU929" s="62"/>
      <c r="AV929" s="62"/>
      <c r="AW929" s="62"/>
      <c r="AX929" s="62"/>
      <c r="AY929" s="62"/>
      <c r="AZ929" s="62"/>
      <c r="BA929" s="62"/>
      <c r="BB929" s="62"/>
      <c r="BC929" s="62"/>
      <c r="BD929" s="62"/>
      <c r="BE929" s="62"/>
      <c r="BF929" s="62"/>
      <c r="BG929" s="62"/>
      <c r="BH929" s="62"/>
      <c r="BI929" s="62"/>
      <c r="BJ929" s="62"/>
      <c r="BK929" s="62"/>
      <c r="BL929" s="62"/>
      <c r="BM929" s="62"/>
      <c r="BN929" s="62"/>
      <c r="BO929" s="62"/>
      <c r="BP929" s="62"/>
      <c r="BQ929" s="62"/>
      <c r="BR929" s="62"/>
      <c r="BS929" s="62"/>
      <c r="BT929" s="62"/>
      <c r="BU929" s="62"/>
      <c r="BV929" s="62"/>
      <c r="BW929" s="62"/>
      <c r="BX929" s="62"/>
      <c r="BY929" s="62"/>
      <c r="BZ929" s="62"/>
      <c r="CA929" s="62"/>
      <c r="CB929" s="62"/>
      <c r="CC929" s="62"/>
      <c r="CD929" s="62"/>
      <c r="CE929" s="62"/>
      <c r="CF929" s="62"/>
      <c r="CG929" s="62"/>
      <c r="CH929" s="62"/>
      <c r="CI929" s="62"/>
      <c r="CJ929" s="62"/>
      <c r="CK929" s="62"/>
      <c r="CL929" s="62"/>
      <c r="CM929" s="62"/>
      <c r="CN929" s="62"/>
      <c r="CO929" s="62"/>
      <c r="CP929" s="62"/>
      <c r="CQ929" s="62"/>
      <c r="CR929" s="62"/>
      <c r="CS929" s="62"/>
      <c r="CT929" s="62"/>
      <c r="CU929" s="62"/>
      <c r="CV929" s="62"/>
      <c r="CW929" s="62"/>
      <c r="CX929" s="62"/>
      <c r="CY929" s="62"/>
      <c r="CZ929" s="62"/>
      <c r="DA929" s="62"/>
      <c r="DB929" s="62"/>
      <c r="DC929" s="62"/>
      <c r="DD929" s="62"/>
      <c r="DE929" s="62"/>
      <c r="DF929" s="62"/>
      <c r="DG929" s="62"/>
      <c r="DH929" s="62"/>
      <c r="DI929" s="62"/>
      <c r="DJ929" s="62"/>
      <c r="DK929" s="62"/>
      <c r="DL929" s="62"/>
      <c r="DM929" s="62"/>
      <c r="DN929" s="62"/>
      <c r="DO929" s="62"/>
      <c r="DP929" s="62"/>
      <c r="DQ929" s="62"/>
      <c r="DR929" s="62"/>
      <c r="DS929" s="62"/>
      <c r="DT929" s="62"/>
      <c r="DU929" s="62"/>
      <c r="DV929" s="62"/>
      <c r="DW929" s="62"/>
      <c r="DX929" s="62"/>
      <c r="DY929" s="62"/>
      <c r="DZ929" s="62"/>
      <c r="EA929" s="62"/>
      <c r="EB929" s="62"/>
      <c r="EC929" s="62"/>
      <c r="ED929" s="62"/>
      <c r="EE929" s="62"/>
      <c r="EF929" s="62"/>
      <c r="EG929" s="62"/>
      <c r="EH929" s="62"/>
      <c r="EI929" s="62"/>
      <c r="EJ929" s="62"/>
      <c r="EK929" s="62"/>
      <c r="EL929" s="62"/>
      <c r="EM929" s="62"/>
      <c r="EN929" s="62"/>
      <c r="EO929" s="62"/>
      <c r="EP929" s="62"/>
      <c r="EQ929" s="62"/>
      <c r="ER929" s="62"/>
      <c r="ES929" s="62"/>
      <c r="ET929" s="62"/>
      <c r="EU929" s="62"/>
      <c r="EV929" s="62"/>
      <c r="EW929" s="62"/>
      <c r="EX929" s="62"/>
      <c r="EY929" s="62"/>
      <c r="EZ929" s="62"/>
      <c r="FA929" s="62"/>
      <c r="FB929" s="62"/>
      <c r="FC929" s="62"/>
      <c r="FD929" s="62"/>
      <c r="FE929" s="62"/>
      <c r="FF929" s="62"/>
      <c r="FG929" s="62"/>
      <c r="FH929" s="62"/>
      <c r="FI929" s="62"/>
      <c r="FJ929" s="62"/>
      <c r="FK929" s="62"/>
      <c r="FL929" s="62"/>
      <c r="FM929" s="62"/>
      <c r="FN929" s="62"/>
      <c r="FO929" s="62"/>
      <c r="FP929" s="62"/>
      <c r="FQ929" s="62"/>
      <c r="FR929" s="62"/>
      <c r="FS929" s="62"/>
      <c r="FT929" s="62"/>
      <c r="FU929" s="62"/>
      <c r="FV929" s="62"/>
    </row>
    <row r="930" spans="1:178" ht="13.8">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2"/>
      <c r="AQ930" s="62"/>
      <c r="AR930" s="62"/>
      <c r="AS930" s="62"/>
      <c r="AT930" s="62"/>
      <c r="AU930" s="62"/>
      <c r="AV930" s="62"/>
      <c r="AW930" s="62"/>
      <c r="AX930" s="62"/>
      <c r="AY930" s="62"/>
      <c r="AZ930" s="62"/>
      <c r="BA930" s="62"/>
      <c r="BB930" s="62"/>
      <c r="BC930" s="62"/>
      <c r="BD930" s="62"/>
      <c r="BE930" s="62"/>
      <c r="BF930" s="62"/>
      <c r="BG930" s="62"/>
      <c r="BH930" s="62"/>
      <c r="BI930" s="62"/>
      <c r="BJ930" s="62"/>
      <c r="BK930" s="62"/>
      <c r="BL930" s="62"/>
      <c r="BM930" s="62"/>
      <c r="BN930" s="62"/>
      <c r="BO930" s="62"/>
      <c r="BP930" s="62"/>
      <c r="BQ930" s="62"/>
      <c r="BR930" s="62"/>
      <c r="BS930" s="62"/>
      <c r="BT930" s="62"/>
      <c r="BU930" s="62"/>
      <c r="BV930" s="62"/>
      <c r="BW930" s="62"/>
      <c r="BX930" s="62"/>
      <c r="BY930" s="62"/>
      <c r="BZ930" s="62"/>
      <c r="CA930" s="62"/>
      <c r="CB930" s="62"/>
      <c r="CC930" s="62"/>
      <c r="CD930" s="62"/>
      <c r="CE930" s="62"/>
      <c r="CF930" s="62"/>
      <c r="CG930" s="62"/>
      <c r="CH930" s="62"/>
      <c r="CI930" s="62"/>
      <c r="CJ930" s="62"/>
      <c r="CK930" s="62"/>
      <c r="CL930" s="62"/>
      <c r="CM930" s="62"/>
      <c r="CN930" s="62"/>
      <c r="CO930" s="62"/>
      <c r="CP930" s="62"/>
      <c r="CQ930" s="62"/>
      <c r="CR930" s="62"/>
      <c r="CS930" s="62"/>
      <c r="CT930" s="62"/>
      <c r="CU930" s="62"/>
      <c r="CV930" s="62"/>
      <c r="CW930" s="62"/>
      <c r="CX930" s="62"/>
      <c r="CY930" s="62"/>
      <c r="CZ930" s="62"/>
      <c r="DA930" s="62"/>
      <c r="DB930" s="62"/>
      <c r="DC930" s="62"/>
      <c r="DD930" s="62"/>
      <c r="DE930" s="62"/>
      <c r="DF930" s="62"/>
      <c r="DG930" s="62"/>
      <c r="DH930" s="62"/>
      <c r="DI930" s="62"/>
      <c r="DJ930" s="62"/>
      <c r="DK930" s="62"/>
      <c r="DL930" s="62"/>
      <c r="DM930" s="62"/>
      <c r="DN930" s="62"/>
      <c r="DO930" s="62"/>
      <c r="DP930" s="62"/>
      <c r="DQ930" s="62"/>
      <c r="DR930" s="62"/>
      <c r="DS930" s="62"/>
      <c r="DT930" s="62"/>
      <c r="DU930" s="62"/>
      <c r="DV930" s="62"/>
      <c r="DW930" s="62"/>
      <c r="DX930" s="62"/>
      <c r="DY930" s="62"/>
      <c r="DZ930" s="62"/>
      <c r="EA930" s="62"/>
      <c r="EB930" s="62"/>
      <c r="EC930" s="62"/>
      <c r="ED930" s="62"/>
      <c r="EE930" s="62"/>
      <c r="EF930" s="62"/>
      <c r="EG930" s="62"/>
      <c r="EH930" s="62"/>
      <c r="EI930" s="62"/>
      <c r="EJ930" s="62"/>
      <c r="EK930" s="62"/>
      <c r="EL930" s="62"/>
      <c r="EM930" s="62"/>
      <c r="EN930" s="62"/>
      <c r="EO930" s="62"/>
      <c r="EP930" s="62"/>
      <c r="EQ930" s="62"/>
      <c r="ER930" s="62"/>
      <c r="ES930" s="62"/>
      <c r="ET930" s="62"/>
      <c r="EU930" s="62"/>
      <c r="EV930" s="62"/>
      <c r="EW930" s="62"/>
      <c r="EX930" s="62"/>
      <c r="EY930" s="62"/>
      <c r="EZ930" s="62"/>
      <c r="FA930" s="62"/>
      <c r="FB930" s="62"/>
      <c r="FC930" s="62"/>
      <c r="FD930" s="62"/>
      <c r="FE930" s="62"/>
      <c r="FF930" s="62"/>
      <c r="FG930" s="62"/>
      <c r="FH930" s="62"/>
      <c r="FI930" s="62"/>
      <c r="FJ930" s="62"/>
      <c r="FK930" s="62"/>
      <c r="FL930" s="62"/>
      <c r="FM930" s="62"/>
      <c r="FN930" s="62"/>
      <c r="FO930" s="62"/>
      <c r="FP930" s="62"/>
      <c r="FQ930" s="62"/>
      <c r="FR930" s="62"/>
      <c r="FS930" s="62"/>
      <c r="FT930" s="62"/>
      <c r="FU930" s="62"/>
      <c r="FV930" s="62"/>
    </row>
    <row r="931" spans="1:178" ht="13.8">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c r="AM931" s="62"/>
      <c r="AN931" s="62"/>
      <c r="AO931" s="62"/>
      <c r="AP931" s="62"/>
      <c r="AQ931" s="62"/>
      <c r="AR931" s="62"/>
      <c r="AS931" s="62"/>
      <c r="AT931" s="62"/>
      <c r="AU931" s="62"/>
      <c r="AV931" s="62"/>
      <c r="AW931" s="62"/>
      <c r="AX931" s="62"/>
      <c r="AY931" s="62"/>
      <c r="AZ931" s="62"/>
      <c r="BA931" s="62"/>
      <c r="BB931" s="62"/>
      <c r="BC931" s="62"/>
      <c r="BD931" s="62"/>
      <c r="BE931" s="62"/>
      <c r="BF931" s="62"/>
      <c r="BG931" s="62"/>
      <c r="BH931" s="62"/>
      <c r="BI931" s="62"/>
      <c r="BJ931" s="62"/>
      <c r="BK931" s="62"/>
      <c r="BL931" s="62"/>
      <c r="BM931" s="62"/>
      <c r="BN931" s="62"/>
      <c r="BO931" s="62"/>
      <c r="BP931" s="62"/>
      <c r="BQ931" s="62"/>
      <c r="BR931" s="62"/>
      <c r="BS931" s="62"/>
      <c r="BT931" s="62"/>
      <c r="BU931" s="62"/>
      <c r="BV931" s="62"/>
      <c r="BW931" s="62"/>
      <c r="BX931" s="62"/>
      <c r="BY931" s="62"/>
      <c r="BZ931" s="62"/>
      <c r="CA931" s="62"/>
      <c r="CB931" s="62"/>
      <c r="CC931" s="62"/>
      <c r="CD931" s="62"/>
      <c r="CE931" s="62"/>
      <c r="CF931" s="62"/>
      <c r="CG931" s="62"/>
      <c r="CH931" s="62"/>
      <c r="CI931" s="62"/>
      <c r="CJ931" s="62"/>
      <c r="CK931" s="62"/>
      <c r="CL931" s="62"/>
      <c r="CM931" s="62"/>
      <c r="CN931" s="62"/>
      <c r="CO931" s="62"/>
      <c r="CP931" s="62"/>
      <c r="CQ931" s="62"/>
      <c r="CR931" s="62"/>
      <c r="CS931" s="62"/>
      <c r="CT931" s="62"/>
      <c r="CU931" s="62"/>
      <c r="CV931" s="62"/>
      <c r="CW931" s="62"/>
      <c r="CX931" s="62"/>
      <c r="CY931" s="62"/>
      <c r="CZ931" s="62"/>
      <c r="DA931" s="62"/>
      <c r="DB931" s="62"/>
      <c r="DC931" s="62"/>
      <c r="DD931" s="62"/>
      <c r="DE931" s="62"/>
      <c r="DF931" s="62"/>
      <c r="DG931" s="62"/>
      <c r="DH931" s="62"/>
      <c r="DI931" s="62"/>
      <c r="DJ931" s="62"/>
      <c r="DK931" s="62"/>
      <c r="DL931" s="62"/>
      <c r="DM931" s="62"/>
      <c r="DN931" s="62"/>
      <c r="DO931" s="62"/>
      <c r="DP931" s="62"/>
      <c r="DQ931" s="62"/>
      <c r="DR931" s="62"/>
      <c r="DS931" s="62"/>
      <c r="DT931" s="62"/>
      <c r="DU931" s="62"/>
      <c r="DV931" s="62"/>
      <c r="DW931" s="62"/>
      <c r="DX931" s="62"/>
      <c r="DY931" s="62"/>
      <c r="DZ931" s="62"/>
      <c r="EA931" s="62"/>
      <c r="EB931" s="62"/>
      <c r="EC931" s="62"/>
      <c r="ED931" s="62"/>
      <c r="EE931" s="62"/>
      <c r="EF931" s="62"/>
      <c r="EG931" s="62"/>
      <c r="EH931" s="62"/>
      <c r="EI931" s="62"/>
      <c r="EJ931" s="62"/>
      <c r="EK931" s="62"/>
      <c r="EL931" s="62"/>
      <c r="EM931" s="62"/>
      <c r="EN931" s="62"/>
      <c r="EO931" s="62"/>
      <c r="EP931" s="62"/>
      <c r="EQ931" s="62"/>
      <c r="ER931" s="62"/>
      <c r="ES931" s="62"/>
      <c r="ET931" s="62"/>
      <c r="EU931" s="62"/>
      <c r="EV931" s="62"/>
      <c r="EW931" s="62"/>
      <c r="EX931" s="62"/>
      <c r="EY931" s="62"/>
      <c r="EZ931" s="62"/>
      <c r="FA931" s="62"/>
      <c r="FB931" s="62"/>
      <c r="FC931" s="62"/>
      <c r="FD931" s="62"/>
      <c r="FE931" s="62"/>
      <c r="FF931" s="62"/>
      <c r="FG931" s="62"/>
      <c r="FH931" s="62"/>
      <c r="FI931" s="62"/>
      <c r="FJ931" s="62"/>
      <c r="FK931" s="62"/>
      <c r="FL931" s="62"/>
      <c r="FM931" s="62"/>
      <c r="FN931" s="62"/>
      <c r="FO931" s="62"/>
      <c r="FP931" s="62"/>
      <c r="FQ931" s="62"/>
      <c r="FR931" s="62"/>
      <c r="FS931" s="62"/>
      <c r="FT931" s="62"/>
      <c r="FU931" s="62"/>
      <c r="FV931" s="62"/>
    </row>
    <row r="932" spans="1:178" ht="13.8">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c r="AM932" s="62"/>
      <c r="AN932" s="62"/>
      <c r="AO932" s="62"/>
      <c r="AP932" s="62"/>
      <c r="AQ932" s="62"/>
      <c r="AR932" s="62"/>
      <c r="AS932" s="62"/>
      <c r="AT932" s="62"/>
      <c r="AU932" s="62"/>
      <c r="AV932" s="62"/>
      <c r="AW932" s="62"/>
      <c r="AX932" s="62"/>
      <c r="AY932" s="62"/>
      <c r="AZ932" s="62"/>
      <c r="BA932" s="62"/>
      <c r="BB932" s="62"/>
      <c r="BC932" s="62"/>
      <c r="BD932" s="62"/>
      <c r="BE932" s="62"/>
      <c r="BF932" s="62"/>
      <c r="BG932" s="62"/>
      <c r="BH932" s="62"/>
      <c r="BI932" s="62"/>
      <c r="BJ932" s="62"/>
      <c r="BK932" s="62"/>
      <c r="BL932" s="62"/>
      <c r="BM932" s="62"/>
      <c r="BN932" s="62"/>
      <c r="BO932" s="62"/>
      <c r="BP932" s="62"/>
      <c r="BQ932" s="62"/>
      <c r="BR932" s="62"/>
      <c r="BS932" s="62"/>
      <c r="BT932" s="62"/>
      <c r="BU932" s="62"/>
      <c r="BV932" s="62"/>
      <c r="BW932" s="62"/>
      <c r="BX932" s="62"/>
      <c r="BY932" s="62"/>
      <c r="BZ932" s="62"/>
      <c r="CA932" s="62"/>
      <c r="CB932" s="62"/>
      <c r="CC932" s="62"/>
      <c r="CD932" s="62"/>
      <c r="CE932" s="62"/>
      <c r="CF932" s="62"/>
      <c r="CG932" s="62"/>
      <c r="CH932" s="62"/>
      <c r="CI932" s="62"/>
      <c r="CJ932" s="62"/>
      <c r="CK932" s="62"/>
      <c r="CL932" s="62"/>
      <c r="CM932" s="62"/>
      <c r="CN932" s="62"/>
      <c r="CO932" s="62"/>
      <c r="CP932" s="62"/>
      <c r="CQ932" s="62"/>
      <c r="CR932" s="62"/>
      <c r="CS932" s="62"/>
      <c r="CT932" s="62"/>
      <c r="CU932" s="62"/>
      <c r="CV932" s="62"/>
      <c r="CW932" s="62"/>
      <c r="CX932" s="62"/>
      <c r="CY932" s="62"/>
      <c r="CZ932" s="62"/>
      <c r="DA932" s="62"/>
      <c r="DB932" s="62"/>
      <c r="DC932" s="62"/>
      <c r="DD932" s="62"/>
      <c r="DE932" s="62"/>
      <c r="DF932" s="62"/>
      <c r="DG932" s="62"/>
      <c r="DH932" s="62"/>
      <c r="DI932" s="62"/>
      <c r="DJ932" s="62"/>
      <c r="DK932" s="62"/>
      <c r="DL932" s="62"/>
      <c r="DM932" s="62"/>
      <c r="DN932" s="62"/>
      <c r="DO932" s="62"/>
      <c r="DP932" s="62"/>
      <c r="DQ932" s="62"/>
      <c r="DR932" s="62"/>
      <c r="DS932" s="62"/>
      <c r="DT932" s="62"/>
      <c r="DU932" s="62"/>
      <c r="DV932" s="62"/>
      <c r="DW932" s="62"/>
      <c r="DX932" s="62"/>
      <c r="DY932" s="62"/>
      <c r="DZ932" s="62"/>
      <c r="EA932" s="62"/>
      <c r="EB932" s="62"/>
      <c r="EC932" s="62"/>
      <c r="ED932" s="62"/>
      <c r="EE932" s="62"/>
      <c r="EF932" s="62"/>
      <c r="EG932" s="62"/>
      <c r="EH932" s="62"/>
      <c r="EI932" s="62"/>
      <c r="EJ932" s="62"/>
      <c r="EK932" s="62"/>
      <c r="EL932" s="62"/>
      <c r="EM932" s="62"/>
      <c r="EN932" s="62"/>
      <c r="EO932" s="62"/>
      <c r="EP932" s="62"/>
      <c r="EQ932" s="62"/>
      <c r="ER932" s="62"/>
      <c r="ES932" s="62"/>
      <c r="ET932" s="62"/>
      <c r="EU932" s="62"/>
      <c r="EV932" s="62"/>
      <c r="EW932" s="62"/>
      <c r="EX932" s="62"/>
      <c r="EY932" s="62"/>
      <c r="EZ932" s="62"/>
      <c r="FA932" s="62"/>
      <c r="FB932" s="62"/>
      <c r="FC932" s="62"/>
      <c r="FD932" s="62"/>
      <c r="FE932" s="62"/>
      <c r="FF932" s="62"/>
      <c r="FG932" s="62"/>
      <c r="FH932" s="62"/>
      <c r="FI932" s="62"/>
      <c r="FJ932" s="62"/>
      <c r="FK932" s="62"/>
      <c r="FL932" s="62"/>
      <c r="FM932" s="62"/>
      <c r="FN932" s="62"/>
      <c r="FO932" s="62"/>
      <c r="FP932" s="62"/>
      <c r="FQ932" s="62"/>
      <c r="FR932" s="62"/>
      <c r="FS932" s="62"/>
      <c r="FT932" s="62"/>
      <c r="FU932" s="62"/>
      <c r="FV932" s="62"/>
    </row>
    <row r="933" spans="1:178" ht="13.8">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c r="AM933" s="62"/>
      <c r="AN933" s="62"/>
      <c r="AO933" s="62"/>
      <c r="AP933" s="62"/>
      <c r="AQ933" s="62"/>
      <c r="AR933" s="62"/>
      <c r="AS933" s="62"/>
      <c r="AT933" s="62"/>
      <c r="AU933" s="62"/>
      <c r="AV933" s="62"/>
      <c r="AW933" s="62"/>
      <c r="AX933" s="62"/>
      <c r="AY933" s="62"/>
      <c r="AZ933" s="62"/>
      <c r="BA933" s="62"/>
      <c r="BB933" s="62"/>
      <c r="BC933" s="62"/>
      <c r="BD933" s="62"/>
      <c r="BE933" s="62"/>
      <c r="BF933" s="62"/>
      <c r="BG933" s="62"/>
      <c r="BH933" s="62"/>
      <c r="BI933" s="62"/>
      <c r="BJ933" s="62"/>
      <c r="BK933" s="62"/>
      <c r="BL933" s="62"/>
      <c r="BM933" s="62"/>
      <c r="BN933" s="62"/>
      <c r="BO933" s="62"/>
      <c r="BP933" s="62"/>
      <c r="BQ933" s="62"/>
      <c r="BR933" s="62"/>
      <c r="BS933" s="62"/>
      <c r="BT933" s="62"/>
      <c r="BU933" s="62"/>
      <c r="BV933" s="62"/>
      <c r="BW933" s="62"/>
      <c r="BX933" s="62"/>
      <c r="BY933" s="62"/>
      <c r="BZ933" s="62"/>
      <c r="CA933" s="62"/>
      <c r="CB933" s="62"/>
      <c r="CC933" s="62"/>
      <c r="CD933" s="62"/>
      <c r="CE933" s="62"/>
      <c r="CF933" s="62"/>
      <c r="CG933" s="62"/>
      <c r="CH933" s="62"/>
      <c r="CI933" s="62"/>
      <c r="CJ933" s="62"/>
      <c r="CK933" s="62"/>
      <c r="CL933" s="62"/>
      <c r="CM933" s="62"/>
      <c r="CN933" s="62"/>
      <c r="CO933" s="62"/>
      <c r="CP933" s="62"/>
      <c r="CQ933" s="62"/>
      <c r="CR933" s="62"/>
      <c r="CS933" s="62"/>
      <c r="CT933" s="62"/>
      <c r="CU933" s="62"/>
      <c r="CV933" s="62"/>
      <c r="CW933" s="62"/>
      <c r="CX933" s="62"/>
      <c r="CY933" s="62"/>
      <c r="CZ933" s="62"/>
      <c r="DA933" s="62"/>
      <c r="DB933" s="62"/>
      <c r="DC933" s="62"/>
      <c r="DD933" s="62"/>
      <c r="DE933" s="62"/>
      <c r="DF933" s="62"/>
      <c r="DG933" s="62"/>
      <c r="DH933" s="62"/>
      <c r="DI933" s="62"/>
      <c r="DJ933" s="62"/>
      <c r="DK933" s="62"/>
      <c r="DL933" s="62"/>
      <c r="DM933" s="62"/>
      <c r="DN933" s="62"/>
      <c r="DO933" s="62"/>
      <c r="DP933" s="62"/>
      <c r="DQ933" s="62"/>
      <c r="DR933" s="62"/>
      <c r="DS933" s="62"/>
      <c r="DT933" s="62"/>
      <c r="DU933" s="62"/>
      <c r="DV933" s="62"/>
      <c r="DW933" s="62"/>
      <c r="DX933" s="62"/>
      <c r="DY933" s="62"/>
      <c r="DZ933" s="62"/>
      <c r="EA933" s="62"/>
      <c r="EB933" s="62"/>
      <c r="EC933" s="62"/>
      <c r="ED933" s="62"/>
      <c r="EE933" s="62"/>
      <c r="EF933" s="62"/>
      <c r="EG933" s="62"/>
      <c r="EH933" s="62"/>
      <c r="EI933" s="62"/>
      <c r="EJ933" s="62"/>
      <c r="EK933" s="62"/>
      <c r="EL933" s="62"/>
      <c r="EM933" s="62"/>
      <c r="EN933" s="62"/>
      <c r="EO933" s="62"/>
      <c r="EP933" s="62"/>
      <c r="EQ933" s="62"/>
      <c r="ER933" s="62"/>
      <c r="ES933" s="62"/>
      <c r="ET933" s="62"/>
      <c r="EU933" s="62"/>
      <c r="EV933" s="62"/>
      <c r="EW933" s="62"/>
      <c r="EX933" s="62"/>
      <c r="EY933" s="62"/>
      <c r="EZ933" s="62"/>
      <c r="FA933" s="62"/>
      <c r="FB933" s="62"/>
      <c r="FC933" s="62"/>
      <c r="FD933" s="62"/>
      <c r="FE933" s="62"/>
      <c r="FF933" s="62"/>
      <c r="FG933" s="62"/>
      <c r="FH933" s="62"/>
      <c r="FI933" s="62"/>
      <c r="FJ933" s="62"/>
      <c r="FK933" s="62"/>
      <c r="FL933" s="62"/>
      <c r="FM933" s="62"/>
      <c r="FN933" s="62"/>
      <c r="FO933" s="62"/>
      <c r="FP933" s="62"/>
      <c r="FQ933" s="62"/>
      <c r="FR933" s="62"/>
      <c r="FS933" s="62"/>
      <c r="FT933" s="62"/>
      <c r="FU933" s="62"/>
      <c r="FV933" s="62"/>
    </row>
    <row r="934" spans="1:178" ht="13.8">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c r="AM934" s="62"/>
      <c r="AN934" s="62"/>
      <c r="AO934" s="62"/>
      <c r="AP934" s="62"/>
      <c r="AQ934" s="62"/>
      <c r="AR934" s="62"/>
      <c r="AS934" s="62"/>
      <c r="AT934" s="62"/>
      <c r="AU934" s="62"/>
      <c r="AV934" s="62"/>
      <c r="AW934" s="62"/>
      <c r="AX934" s="62"/>
      <c r="AY934" s="62"/>
      <c r="AZ934" s="62"/>
      <c r="BA934" s="62"/>
      <c r="BB934" s="62"/>
      <c r="BC934" s="62"/>
      <c r="BD934" s="62"/>
      <c r="BE934" s="62"/>
      <c r="BF934" s="62"/>
      <c r="BG934" s="62"/>
      <c r="BH934" s="62"/>
      <c r="BI934" s="62"/>
      <c r="BJ934" s="62"/>
      <c r="BK934" s="62"/>
      <c r="BL934" s="62"/>
      <c r="BM934" s="62"/>
      <c r="BN934" s="62"/>
      <c r="BO934" s="62"/>
      <c r="BP934" s="62"/>
      <c r="BQ934" s="62"/>
      <c r="BR934" s="62"/>
      <c r="BS934" s="62"/>
      <c r="BT934" s="62"/>
      <c r="BU934" s="62"/>
      <c r="BV934" s="62"/>
      <c r="BW934" s="62"/>
      <c r="BX934" s="62"/>
      <c r="BY934" s="62"/>
      <c r="BZ934" s="62"/>
      <c r="CA934" s="62"/>
      <c r="CB934" s="62"/>
      <c r="CC934" s="62"/>
      <c r="CD934" s="62"/>
      <c r="CE934" s="62"/>
      <c r="CF934" s="62"/>
      <c r="CG934" s="62"/>
      <c r="CH934" s="62"/>
      <c r="CI934" s="62"/>
      <c r="CJ934" s="62"/>
      <c r="CK934" s="62"/>
      <c r="CL934" s="62"/>
      <c r="CM934" s="62"/>
      <c r="CN934" s="62"/>
      <c r="CO934" s="62"/>
      <c r="CP934" s="62"/>
      <c r="CQ934" s="62"/>
      <c r="CR934" s="62"/>
      <c r="CS934" s="62"/>
      <c r="CT934" s="62"/>
      <c r="CU934" s="62"/>
      <c r="CV934" s="62"/>
      <c r="CW934" s="62"/>
      <c r="CX934" s="62"/>
      <c r="CY934" s="62"/>
      <c r="CZ934" s="62"/>
      <c r="DA934" s="62"/>
      <c r="DB934" s="62"/>
      <c r="DC934" s="62"/>
      <c r="DD934" s="62"/>
      <c r="DE934" s="62"/>
      <c r="DF934" s="62"/>
      <c r="DG934" s="62"/>
      <c r="DH934" s="62"/>
      <c r="DI934" s="62"/>
      <c r="DJ934" s="62"/>
      <c r="DK934" s="62"/>
      <c r="DL934" s="62"/>
      <c r="DM934" s="62"/>
      <c r="DN934" s="62"/>
      <c r="DO934" s="62"/>
      <c r="DP934" s="62"/>
      <c r="DQ934" s="62"/>
      <c r="DR934" s="62"/>
      <c r="DS934" s="62"/>
      <c r="DT934" s="62"/>
      <c r="DU934" s="62"/>
      <c r="DV934" s="62"/>
      <c r="DW934" s="62"/>
      <c r="DX934" s="62"/>
      <c r="DY934" s="62"/>
      <c r="DZ934" s="62"/>
      <c r="EA934" s="62"/>
      <c r="EB934" s="62"/>
      <c r="EC934" s="62"/>
      <c r="ED934" s="62"/>
      <c r="EE934" s="62"/>
      <c r="EF934" s="62"/>
      <c r="EG934" s="62"/>
      <c r="EH934" s="62"/>
      <c r="EI934" s="62"/>
      <c r="EJ934" s="62"/>
      <c r="EK934" s="62"/>
      <c r="EL934" s="62"/>
      <c r="EM934" s="62"/>
      <c r="EN934" s="62"/>
      <c r="EO934" s="62"/>
      <c r="EP934" s="62"/>
      <c r="EQ934" s="62"/>
      <c r="ER934" s="62"/>
      <c r="ES934" s="62"/>
      <c r="ET934" s="62"/>
      <c r="EU934" s="62"/>
      <c r="EV934" s="62"/>
      <c r="EW934" s="62"/>
      <c r="EX934" s="62"/>
      <c r="EY934" s="62"/>
      <c r="EZ934" s="62"/>
      <c r="FA934" s="62"/>
      <c r="FB934" s="62"/>
      <c r="FC934" s="62"/>
      <c r="FD934" s="62"/>
      <c r="FE934" s="62"/>
      <c r="FF934" s="62"/>
      <c r="FG934" s="62"/>
      <c r="FH934" s="62"/>
      <c r="FI934" s="62"/>
      <c r="FJ934" s="62"/>
      <c r="FK934" s="62"/>
      <c r="FL934" s="62"/>
      <c r="FM934" s="62"/>
      <c r="FN934" s="62"/>
      <c r="FO934" s="62"/>
      <c r="FP934" s="62"/>
      <c r="FQ934" s="62"/>
      <c r="FR934" s="62"/>
      <c r="FS934" s="62"/>
      <c r="FT934" s="62"/>
      <c r="FU934" s="62"/>
      <c r="FV934" s="62"/>
    </row>
    <row r="935" spans="1:178" ht="13.8">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c r="AM935" s="62"/>
      <c r="AN935" s="62"/>
      <c r="AO935" s="62"/>
      <c r="AP935" s="62"/>
      <c r="AQ935" s="62"/>
      <c r="AR935" s="62"/>
      <c r="AS935" s="62"/>
      <c r="AT935" s="62"/>
      <c r="AU935" s="62"/>
      <c r="AV935" s="62"/>
      <c r="AW935" s="62"/>
      <c r="AX935" s="62"/>
      <c r="AY935" s="62"/>
      <c r="AZ935" s="62"/>
      <c r="BA935" s="62"/>
      <c r="BB935" s="62"/>
      <c r="BC935" s="62"/>
      <c r="BD935" s="62"/>
      <c r="BE935" s="62"/>
      <c r="BF935" s="62"/>
      <c r="BG935" s="62"/>
      <c r="BH935" s="62"/>
      <c r="BI935" s="62"/>
      <c r="BJ935" s="62"/>
      <c r="BK935" s="62"/>
      <c r="BL935" s="62"/>
      <c r="BM935" s="62"/>
      <c r="BN935" s="62"/>
      <c r="BO935" s="62"/>
      <c r="BP935" s="62"/>
      <c r="BQ935" s="62"/>
      <c r="BR935" s="62"/>
      <c r="BS935" s="62"/>
      <c r="BT935" s="62"/>
      <c r="BU935" s="62"/>
      <c r="BV935" s="62"/>
      <c r="BW935" s="62"/>
      <c r="BX935" s="62"/>
      <c r="BY935" s="62"/>
      <c r="BZ935" s="62"/>
      <c r="CA935" s="62"/>
      <c r="CB935" s="62"/>
      <c r="CC935" s="62"/>
      <c r="CD935" s="62"/>
      <c r="CE935" s="62"/>
      <c r="CF935" s="62"/>
      <c r="CG935" s="62"/>
      <c r="CH935" s="62"/>
      <c r="CI935" s="62"/>
      <c r="CJ935" s="62"/>
      <c r="CK935" s="62"/>
      <c r="CL935" s="62"/>
      <c r="CM935" s="62"/>
      <c r="CN935" s="62"/>
      <c r="CO935" s="62"/>
      <c r="CP935" s="62"/>
      <c r="CQ935" s="62"/>
      <c r="CR935" s="62"/>
      <c r="CS935" s="62"/>
      <c r="CT935" s="62"/>
      <c r="CU935" s="62"/>
      <c r="CV935" s="62"/>
      <c r="CW935" s="62"/>
      <c r="CX935" s="62"/>
      <c r="CY935" s="62"/>
      <c r="CZ935" s="62"/>
      <c r="DA935" s="62"/>
      <c r="DB935" s="62"/>
      <c r="DC935" s="62"/>
      <c r="DD935" s="62"/>
      <c r="DE935" s="62"/>
      <c r="DF935" s="62"/>
      <c r="DG935" s="62"/>
      <c r="DH935" s="62"/>
      <c r="DI935" s="62"/>
      <c r="DJ935" s="62"/>
      <c r="DK935" s="62"/>
      <c r="DL935" s="62"/>
      <c r="DM935" s="62"/>
      <c r="DN935" s="62"/>
      <c r="DO935" s="62"/>
      <c r="DP935" s="62"/>
      <c r="DQ935" s="62"/>
      <c r="DR935" s="62"/>
      <c r="DS935" s="62"/>
      <c r="DT935" s="62"/>
      <c r="DU935" s="62"/>
      <c r="DV935" s="62"/>
      <c r="DW935" s="62"/>
      <c r="DX935" s="62"/>
      <c r="DY935" s="62"/>
      <c r="DZ935" s="62"/>
      <c r="EA935" s="62"/>
      <c r="EB935" s="62"/>
      <c r="EC935" s="62"/>
      <c r="ED935" s="62"/>
      <c r="EE935" s="62"/>
      <c r="EF935" s="62"/>
      <c r="EG935" s="62"/>
      <c r="EH935" s="62"/>
      <c r="EI935" s="62"/>
      <c r="EJ935" s="62"/>
      <c r="EK935" s="62"/>
      <c r="EL935" s="62"/>
      <c r="EM935" s="62"/>
      <c r="EN935" s="62"/>
      <c r="EO935" s="62"/>
      <c r="EP935" s="62"/>
      <c r="EQ935" s="62"/>
      <c r="ER935" s="62"/>
      <c r="ES935" s="62"/>
      <c r="ET935" s="62"/>
      <c r="EU935" s="62"/>
      <c r="EV935" s="62"/>
      <c r="EW935" s="62"/>
      <c r="EX935" s="62"/>
      <c r="EY935" s="62"/>
      <c r="EZ935" s="62"/>
      <c r="FA935" s="62"/>
      <c r="FB935" s="62"/>
      <c r="FC935" s="62"/>
      <c r="FD935" s="62"/>
      <c r="FE935" s="62"/>
      <c r="FF935" s="62"/>
      <c r="FG935" s="62"/>
      <c r="FH935" s="62"/>
      <c r="FI935" s="62"/>
      <c r="FJ935" s="62"/>
      <c r="FK935" s="62"/>
      <c r="FL935" s="62"/>
      <c r="FM935" s="62"/>
      <c r="FN935" s="62"/>
      <c r="FO935" s="62"/>
      <c r="FP935" s="62"/>
      <c r="FQ935" s="62"/>
      <c r="FR935" s="62"/>
      <c r="FS935" s="62"/>
      <c r="FT935" s="62"/>
      <c r="FU935" s="62"/>
      <c r="FV935" s="62"/>
    </row>
    <row r="936" spans="1:178" ht="13.8">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c r="AM936" s="62"/>
      <c r="AN936" s="62"/>
      <c r="AO936" s="62"/>
      <c r="AP936" s="62"/>
      <c r="AQ936" s="62"/>
      <c r="AR936" s="62"/>
      <c r="AS936" s="62"/>
      <c r="AT936" s="62"/>
      <c r="AU936" s="62"/>
      <c r="AV936" s="62"/>
      <c r="AW936" s="62"/>
      <c r="AX936" s="62"/>
      <c r="AY936" s="62"/>
      <c r="AZ936" s="62"/>
      <c r="BA936" s="62"/>
      <c r="BB936" s="62"/>
      <c r="BC936" s="62"/>
      <c r="BD936" s="62"/>
      <c r="BE936" s="62"/>
      <c r="BF936" s="62"/>
      <c r="BG936" s="62"/>
      <c r="BH936" s="62"/>
      <c r="BI936" s="62"/>
      <c r="BJ936" s="62"/>
      <c r="BK936" s="62"/>
      <c r="BL936" s="62"/>
      <c r="BM936" s="62"/>
      <c r="BN936" s="62"/>
      <c r="BO936" s="62"/>
      <c r="BP936" s="62"/>
      <c r="BQ936" s="62"/>
      <c r="BR936" s="62"/>
      <c r="BS936" s="62"/>
      <c r="BT936" s="62"/>
      <c r="BU936" s="62"/>
      <c r="BV936" s="62"/>
      <c r="BW936" s="62"/>
      <c r="BX936" s="62"/>
      <c r="BY936" s="62"/>
      <c r="BZ936" s="62"/>
      <c r="CA936" s="62"/>
      <c r="CB936" s="62"/>
      <c r="CC936" s="62"/>
      <c r="CD936" s="62"/>
      <c r="CE936" s="62"/>
      <c r="CF936" s="62"/>
      <c r="CG936" s="62"/>
      <c r="CH936" s="62"/>
      <c r="CI936" s="62"/>
      <c r="CJ936" s="62"/>
      <c r="CK936" s="62"/>
      <c r="CL936" s="62"/>
      <c r="CM936" s="62"/>
      <c r="CN936" s="62"/>
      <c r="CO936" s="62"/>
      <c r="CP936" s="62"/>
      <c r="CQ936" s="62"/>
      <c r="CR936" s="62"/>
      <c r="CS936" s="62"/>
      <c r="CT936" s="62"/>
      <c r="CU936" s="62"/>
      <c r="CV936" s="62"/>
      <c r="CW936" s="62"/>
      <c r="CX936" s="62"/>
      <c r="CY936" s="62"/>
      <c r="CZ936" s="62"/>
      <c r="DA936" s="62"/>
      <c r="DB936" s="62"/>
      <c r="DC936" s="62"/>
      <c r="DD936" s="62"/>
      <c r="DE936" s="62"/>
      <c r="DF936" s="62"/>
      <c r="DG936" s="62"/>
      <c r="DH936" s="62"/>
      <c r="DI936" s="62"/>
      <c r="DJ936" s="62"/>
      <c r="DK936" s="62"/>
      <c r="DL936" s="62"/>
      <c r="DM936" s="62"/>
      <c r="DN936" s="62"/>
      <c r="DO936" s="62"/>
      <c r="DP936" s="62"/>
      <c r="DQ936" s="62"/>
      <c r="DR936" s="62"/>
      <c r="DS936" s="62"/>
      <c r="DT936" s="62"/>
      <c r="DU936" s="62"/>
      <c r="DV936" s="62"/>
      <c r="DW936" s="62"/>
      <c r="DX936" s="62"/>
      <c r="DY936" s="62"/>
      <c r="DZ936" s="62"/>
      <c r="EA936" s="62"/>
      <c r="EB936" s="62"/>
      <c r="EC936" s="62"/>
      <c r="ED936" s="62"/>
      <c r="EE936" s="62"/>
      <c r="EF936" s="62"/>
      <c r="EG936" s="62"/>
      <c r="EH936" s="62"/>
      <c r="EI936" s="62"/>
      <c r="EJ936" s="62"/>
      <c r="EK936" s="62"/>
      <c r="EL936" s="62"/>
      <c r="EM936" s="62"/>
      <c r="EN936" s="62"/>
      <c r="EO936" s="62"/>
      <c r="EP936" s="62"/>
      <c r="EQ936" s="62"/>
      <c r="ER936" s="62"/>
      <c r="ES936" s="62"/>
      <c r="ET936" s="62"/>
      <c r="EU936" s="62"/>
      <c r="EV936" s="62"/>
      <c r="EW936" s="62"/>
      <c r="EX936" s="62"/>
      <c r="EY936" s="62"/>
      <c r="EZ936" s="62"/>
      <c r="FA936" s="62"/>
      <c r="FB936" s="62"/>
      <c r="FC936" s="62"/>
      <c r="FD936" s="62"/>
      <c r="FE936" s="62"/>
      <c r="FF936" s="62"/>
      <c r="FG936" s="62"/>
      <c r="FH936" s="62"/>
      <c r="FI936" s="62"/>
      <c r="FJ936" s="62"/>
      <c r="FK936" s="62"/>
      <c r="FL936" s="62"/>
      <c r="FM936" s="62"/>
      <c r="FN936" s="62"/>
      <c r="FO936" s="62"/>
      <c r="FP936" s="62"/>
      <c r="FQ936" s="62"/>
      <c r="FR936" s="62"/>
      <c r="FS936" s="62"/>
      <c r="FT936" s="62"/>
      <c r="FU936" s="62"/>
      <c r="FV936" s="62"/>
    </row>
    <row r="937" spans="1:178" ht="13.8">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c r="AM937" s="62"/>
      <c r="AN937" s="62"/>
      <c r="AO937" s="62"/>
      <c r="AP937" s="62"/>
      <c r="AQ937" s="62"/>
      <c r="AR937" s="62"/>
      <c r="AS937" s="62"/>
      <c r="AT937" s="62"/>
      <c r="AU937" s="62"/>
      <c r="AV937" s="62"/>
      <c r="AW937" s="62"/>
      <c r="AX937" s="62"/>
      <c r="AY937" s="62"/>
      <c r="AZ937" s="62"/>
      <c r="BA937" s="62"/>
      <c r="BB937" s="62"/>
      <c r="BC937" s="62"/>
      <c r="BD937" s="62"/>
      <c r="BE937" s="62"/>
      <c r="BF937" s="62"/>
      <c r="BG937" s="62"/>
      <c r="BH937" s="62"/>
      <c r="BI937" s="62"/>
      <c r="BJ937" s="62"/>
      <c r="BK937" s="62"/>
      <c r="BL937" s="62"/>
      <c r="BM937" s="62"/>
      <c r="BN937" s="62"/>
      <c r="BO937" s="62"/>
      <c r="BP937" s="62"/>
      <c r="BQ937" s="62"/>
      <c r="BR937" s="62"/>
      <c r="BS937" s="62"/>
      <c r="BT937" s="62"/>
      <c r="BU937" s="62"/>
      <c r="BV937" s="62"/>
      <c r="BW937" s="62"/>
      <c r="BX937" s="62"/>
      <c r="BY937" s="62"/>
      <c r="BZ937" s="62"/>
      <c r="CA937" s="62"/>
      <c r="CB937" s="62"/>
      <c r="CC937" s="62"/>
      <c r="CD937" s="62"/>
      <c r="CE937" s="62"/>
      <c r="CF937" s="62"/>
      <c r="CG937" s="62"/>
      <c r="CH937" s="62"/>
      <c r="CI937" s="62"/>
      <c r="CJ937" s="62"/>
      <c r="CK937" s="62"/>
      <c r="CL937" s="62"/>
      <c r="CM937" s="62"/>
      <c r="CN937" s="62"/>
      <c r="CO937" s="62"/>
      <c r="CP937" s="62"/>
      <c r="CQ937" s="62"/>
      <c r="CR937" s="62"/>
      <c r="CS937" s="62"/>
      <c r="CT937" s="62"/>
      <c r="CU937" s="62"/>
      <c r="CV937" s="62"/>
      <c r="CW937" s="62"/>
      <c r="CX937" s="62"/>
      <c r="CY937" s="62"/>
      <c r="CZ937" s="62"/>
      <c r="DA937" s="62"/>
      <c r="DB937" s="62"/>
      <c r="DC937" s="62"/>
      <c r="DD937" s="62"/>
      <c r="DE937" s="62"/>
      <c r="DF937" s="62"/>
      <c r="DG937" s="62"/>
      <c r="DH937" s="62"/>
      <c r="DI937" s="62"/>
      <c r="DJ937" s="62"/>
      <c r="DK937" s="62"/>
      <c r="DL937" s="62"/>
      <c r="DM937" s="62"/>
      <c r="DN937" s="62"/>
      <c r="DO937" s="62"/>
      <c r="DP937" s="62"/>
      <c r="DQ937" s="62"/>
      <c r="DR937" s="62"/>
      <c r="DS937" s="62"/>
      <c r="DT937" s="62"/>
      <c r="DU937" s="62"/>
      <c r="DV937" s="62"/>
      <c r="DW937" s="62"/>
      <c r="DX937" s="62"/>
      <c r="DY937" s="62"/>
      <c r="DZ937" s="62"/>
      <c r="EA937" s="62"/>
      <c r="EB937" s="62"/>
      <c r="EC937" s="62"/>
      <c r="ED937" s="62"/>
      <c r="EE937" s="62"/>
      <c r="EF937" s="62"/>
      <c r="EG937" s="62"/>
      <c r="EH937" s="62"/>
      <c r="EI937" s="62"/>
      <c r="EJ937" s="62"/>
      <c r="EK937" s="62"/>
      <c r="EL937" s="62"/>
      <c r="EM937" s="62"/>
      <c r="EN937" s="62"/>
      <c r="EO937" s="62"/>
      <c r="EP937" s="62"/>
      <c r="EQ937" s="62"/>
      <c r="ER937" s="62"/>
      <c r="ES937" s="62"/>
      <c r="ET937" s="62"/>
      <c r="EU937" s="62"/>
      <c r="EV937" s="62"/>
      <c r="EW937" s="62"/>
      <c r="EX937" s="62"/>
      <c r="EY937" s="62"/>
      <c r="EZ937" s="62"/>
      <c r="FA937" s="62"/>
      <c r="FB937" s="62"/>
      <c r="FC937" s="62"/>
      <c r="FD937" s="62"/>
      <c r="FE937" s="62"/>
      <c r="FF937" s="62"/>
      <c r="FG937" s="62"/>
      <c r="FH937" s="62"/>
      <c r="FI937" s="62"/>
      <c r="FJ937" s="62"/>
      <c r="FK937" s="62"/>
      <c r="FL937" s="62"/>
      <c r="FM937" s="62"/>
      <c r="FN937" s="62"/>
      <c r="FO937" s="62"/>
      <c r="FP937" s="62"/>
      <c r="FQ937" s="62"/>
      <c r="FR937" s="62"/>
      <c r="FS937" s="62"/>
      <c r="FT937" s="62"/>
      <c r="FU937" s="62"/>
      <c r="FV937" s="62"/>
    </row>
    <row r="938" spans="1:178" ht="1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c r="AM938" s="62"/>
      <c r="AN938" s="62"/>
      <c r="AO938" s="62"/>
      <c r="AP938" s="62"/>
      <c r="AQ938" s="62"/>
      <c r="AR938" s="62"/>
      <c r="AS938" s="62"/>
      <c r="AT938" s="62"/>
      <c r="AU938" s="62"/>
      <c r="AV938" s="62"/>
      <c r="AW938" s="62"/>
      <c r="AX938" s="62"/>
      <c r="AY938" s="62"/>
      <c r="AZ938" s="62"/>
      <c r="BA938" s="62"/>
      <c r="BB938" s="62"/>
      <c r="BC938" s="62"/>
      <c r="BD938" s="62"/>
      <c r="BE938" s="62"/>
      <c r="BF938" s="62"/>
      <c r="BG938" s="62"/>
      <c r="BH938" s="62"/>
      <c r="BI938" s="62"/>
      <c r="BJ938" s="62"/>
      <c r="BK938" s="62"/>
      <c r="BL938" s="62"/>
      <c r="BM938" s="62"/>
      <c r="BN938" s="62"/>
      <c r="BO938" s="62"/>
      <c r="BP938" s="62"/>
      <c r="BQ938" s="62"/>
      <c r="BR938" s="62"/>
      <c r="BS938" s="62"/>
      <c r="BT938" s="62"/>
      <c r="BU938" s="62"/>
      <c r="BV938" s="62"/>
      <c r="BW938" s="62"/>
      <c r="BX938" s="62"/>
      <c r="BY938" s="62"/>
      <c r="BZ938" s="62"/>
      <c r="CA938" s="62"/>
      <c r="CB938" s="62"/>
      <c r="CC938" s="62"/>
      <c r="CD938" s="62"/>
      <c r="CE938" s="62"/>
      <c r="CF938" s="62"/>
      <c r="CG938" s="62"/>
      <c r="CH938" s="62"/>
      <c r="CI938" s="62"/>
      <c r="CJ938" s="62"/>
      <c r="CK938" s="62"/>
      <c r="CL938" s="62"/>
      <c r="CM938" s="62"/>
      <c r="CN938" s="62"/>
      <c r="CO938" s="62"/>
      <c r="CP938" s="62"/>
      <c r="CQ938" s="62"/>
      <c r="CR938" s="62"/>
      <c r="CS938" s="62"/>
      <c r="CT938" s="62"/>
      <c r="CU938" s="62"/>
      <c r="CV938" s="62"/>
      <c r="CW938" s="62"/>
      <c r="CX938" s="62"/>
      <c r="CY938" s="62"/>
      <c r="CZ938" s="62"/>
      <c r="DA938" s="62"/>
      <c r="DB938" s="62"/>
      <c r="DC938" s="62"/>
      <c r="DD938" s="62"/>
      <c r="DE938" s="62"/>
      <c r="DF938" s="62"/>
      <c r="DG938" s="62"/>
      <c r="DH938" s="62"/>
      <c r="DI938" s="62"/>
      <c r="DJ938" s="62"/>
      <c r="DK938" s="62"/>
      <c r="DL938" s="62"/>
      <c r="DM938" s="62"/>
      <c r="DN938" s="62"/>
      <c r="DO938" s="62"/>
      <c r="DP938" s="62"/>
      <c r="DQ938" s="62"/>
      <c r="DR938" s="62"/>
      <c r="DS938" s="62"/>
      <c r="DT938" s="62"/>
      <c r="DU938" s="62"/>
      <c r="DV938" s="62"/>
      <c r="DW938" s="62"/>
      <c r="DX938" s="62"/>
      <c r="DY938" s="62"/>
      <c r="DZ938" s="62"/>
      <c r="EA938" s="62"/>
      <c r="EB938" s="62"/>
      <c r="EC938" s="62"/>
      <c r="ED938" s="62"/>
      <c r="EE938" s="62"/>
      <c r="EF938" s="62"/>
      <c r="EG938" s="62"/>
      <c r="EH938" s="62"/>
      <c r="EI938" s="62"/>
      <c r="EJ938" s="62"/>
      <c r="EK938" s="62"/>
      <c r="EL938" s="62"/>
      <c r="EM938" s="62"/>
      <c r="EN938" s="62"/>
      <c r="EO938" s="62"/>
      <c r="EP938" s="62"/>
      <c r="EQ938" s="62"/>
      <c r="ER938" s="62"/>
      <c r="ES938" s="62"/>
      <c r="ET938" s="62"/>
      <c r="EU938" s="62"/>
      <c r="EV938" s="62"/>
      <c r="EW938" s="62"/>
      <c r="EX938" s="62"/>
      <c r="EY938" s="62"/>
      <c r="EZ938" s="62"/>
      <c r="FA938" s="62"/>
      <c r="FB938" s="62"/>
      <c r="FC938" s="62"/>
      <c r="FD938" s="62"/>
      <c r="FE938" s="62"/>
      <c r="FF938" s="62"/>
      <c r="FG938" s="62"/>
      <c r="FH938" s="62"/>
      <c r="FI938" s="62"/>
      <c r="FJ938" s="62"/>
      <c r="FK938" s="62"/>
      <c r="FL938" s="62"/>
      <c r="FM938" s="62"/>
      <c r="FN938" s="62"/>
      <c r="FO938" s="62"/>
      <c r="FP938" s="62"/>
      <c r="FQ938" s="62"/>
      <c r="FR938" s="62"/>
      <c r="FS938" s="62"/>
      <c r="FT938" s="62"/>
      <c r="FU938" s="62"/>
      <c r="FV938" s="62"/>
    </row>
    <row r="939" spans="1:178" ht="13.8">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c r="AM939" s="62"/>
      <c r="AN939" s="62"/>
      <c r="AO939" s="62"/>
      <c r="AP939" s="62"/>
      <c r="AQ939" s="62"/>
      <c r="AR939" s="62"/>
      <c r="AS939" s="62"/>
      <c r="AT939" s="62"/>
      <c r="AU939" s="62"/>
      <c r="AV939" s="62"/>
      <c r="AW939" s="62"/>
      <c r="AX939" s="62"/>
      <c r="AY939" s="62"/>
      <c r="AZ939" s="62"/>
      <c r="BA939" s="62"/>
      <c r="BB939" s="62"/>
      <c r="BC939" s="62"/>
      <c r="BD939" s="62"/>
      <c r="BE939" s="62"/>
      <c r="BF939" s="62"/>
      <c r="BG939" s="62"/>
      <c r="BH939" s="62"/>
      <c r="BI939" s="62"/>
      <c r="BJ939" s="62"/>
      <c r="BK939" s="62"/>
      <c r="BL939" s="62"/>
      <c r="BM939" s="62"/>
      <c r="BN939" s="62"/>
      <c r="BO939" s="62"/>
      <c r="BP939" s="62"/>
      <c r="BQ939" s="62"/>
      <c r="BR939" s="62"/>
      <c r="BS939" s="62"/>
      <c r="BT939" s="62"/>
      <c r="BU939" s="62"/>
      <c r="BV939" s="62"/>
      <c r="BW939" s="62"/>
      <c r="BX939" s="62"/>
      <c r="BY939" s="62"/>
      <c r="BZ939" s="62"/>
      <c r="CA939" s="62"/>
      <c r="CB939" s="62"/>
      <c r="CC939" s="62"/>
      <c r="CD939" s="62"/>
      <c r="CE939" s="62"/>
      <c r="CF939" s="62"/>
      <c r="CG939" s="62"/>
      <c r="CH939" s="62"/>
      <c r="CI939" s="62"/>
      <c r="CJ939" s="62"/>
      <c r="CK939" s="62"/>
      <c r="CL939" s="62"/>
      <c r="CM939" s="62"/>
      <c r="CN939" s="62"/>
      <c r="CO939" s="62"/>
      <c r="CP939" s="62"/>
      <c r="CQ939" s="62"/>
      <c r="CR939" s="62"/>
      <c r="CS939" s="62"/>
      <c r="CT939" s="62"/>
      <c r="CU939" s="62"/>
      <c r="CV939" s="62"/>
      <c r="CW939" s="62"/>
      <c r="CX939" s="62"/>
      <c r="CY939" s="62"/>
      <c r="CZ939" s="62"/>
      <c r="DA939" s="62"/>
      <c r="DB939" s="62"/>
      <c r="DC939" s="62"/>
      <c r="DD939" s="62"/>
      <c r="DE939" s="62"/>
      <c r="DF939" s="62"/>
      <c r="DG939" s="62"/>
      <c r="DH939" s="62"/>
      <c r="DI939" s="62"/>
      <c r="DJ939" s="62"/>
      <c r="DK939" s="62"/>
      <c r="DL939" s="62"/>
      <c r="DM939" s="62"/>
      <c r="DN939" s="62"/>
      <c r="DO939" s="62"/>
      <c r="DP939" s="62"/>
      <c r="DQ939" s="62"/>
      <c r="DR939" s="62"/>
      <c r="DS939" s="62"/>
      <c r="DT939" s="62"/>
      <c r="DU939" s="62"/>
      <c r="DV939" s="62"/>
      <c r="DW939" s="62"/>
      <c r="DX939" s="62"/>
      <c r="DY939" s="62"/>
      <c r="DZ939" s="62"/>
      <c r="EA939" s="62"/>
      <c r="EB939" s="62"/>
      <c r="EC939" s="62"/>
      <c r="ED939" s="62"/>
      <c r="EE939" s="62"/>
      <c r="EF939" s="62"/>
      <c r="EG939" s="62"/>
      <c r="EH939" s="62"/>
      <c r="EI939" s="62"/>
      <c r="EJ939" s="62"/>
      <c r="EK939" s="62"/>
      <c r="EL939" s="62"/>
      <c r="EM939" s="62"/>
      <c r="EN939" s="62"/>
      <c r="EO939" s="62"/>
      <c r="EP939" s="62"/>
      <c r="EQ939" s="62"/>
      <c r="ER939" s="62"/>
      <c r="ES939" s="62"/>
      <c r="ET939" s="62"/>
      <c r="EU939" s="62"/>
      <c r="EV939" s="62"/>
      <c r="EW939" s="62"/>
      <c r="EX939" s="62"/>
      <c r="EY939" s="62"/>
      <c r="EZ939" s="62"/>
      <c r="FA939" s="62"/>
      <c r="FB939" s="62"/>
      <c r="FC939" s="62"/>
      <c r="FD939" s="62"/>
      <c r="FE939" s="62"/>
      <c r="FF939" s="62"/>
      <c r="FG939" s="62"/>
      <c r="FH939" s="62"/>
      <c r="FI939" s="62"/>
      <c r="FJ939" s="62"/>
      <c r="FK939" s="62"/>
      <c r="FL939" s="62"/>
      <c r="FM939" s="62"/>
      <c r="FN939" s="62"/>
      <c r="FO939" s="62"/>
      <c r="FP939" s="62"/>
      <c r="FQ939" s="62"/>
      <c r="FR939" s="62"/>
      <c r="FS939" s="62"/>
      <c r="FT939" s="62"/>
      <c r="FU939" s="62"/>
      <c r="FV939" s="62"/>
    </row>
    <row r="940" spans="1:178" ht="13.8">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c r="AM940" s="62"/>
      <c r="AN940" s="62"/>
      <c r="AO940" s="62"/>
      <c r="AP940" s="62"/>
      <c r="AQ940" s="62"/>
      <c r="AR940" s="62"/>
      <c r="AS940" s="62"/>
      <c r="AT940" s="62"/>
      <c r="AU940" s="62"/>
      <c r="AV940" s="62"/>
      <c r="AW940" s="62"/>
      <c r="AX940" s="62"/>
      <c r="AY940" s="62"/>
      <c r="AZ940" s="62"/>
      <c r="BA940" s="62"/>
      <c r="BB940" s="62"/>
      <c r="BC940" s="62"/>
      <c r="BD940" s="62"/>
      <c r="BE940" s="62"/>
      <c r="BF940" s="62"/>
      <c r="BG940" s="62"/>
      <c r="BH940" s="62"/>
      <c r="BI940" s="62"/>
      <c r="BJ940" s="62"/>
      <c r="BK940" s="62"/>
      <c r="BL940" s="62"/>
      <c r="BM940" s="62"/>
      <c r="BN940" s="62"/>
      <c r="BO940" s="62"/>
      <c r="BP940" s="62"/>
      <c r="BQ940" s="62"/>
      <c r="BR940" s="62"/>
      <c r="BS940" s="62"/>
      <c r="BT940" s="62"/>
      <c r="BU940" s="62"/>
      <c r="BV940" s="62"/>
      <c r="BW940" s="62"/>
      <c r="BX940" s="62"/>
      <c r="BY940" s="62"/>
      <c r="BZ940" s="62"/>
      <c r="CA940" s="62"/>
      <c r="CB940" s="62"/>
      <c r="CC940" s="62"/>
      <c r="CD940" s="62"/>
      <c r="CE940" s="62"/>
      <c r="CF940" s="62"/>
      <c r="CG940" s="62"/>
      <c r="CH940" s="62"/>
      <c r="CI940" s="62"/>
      <c r="CJ940" s="62"/>
      <c r="CK940" s="62"/>
      <c r="CL940" s="62"/>
      <c r="CM940" s="62"/>
      <c r="CN940" s="62"/>
      <c r="CO940" s="62"/>
      <c r="CP940" s="62"/>
      <c r="CQ940" s="62"/>
      <c r="CR940" s="62"/>
      <c r="CS940" s="62"/>
      <c r="CT940" s="62"/>
      <c r="CU940" s="62"/>
      <c r="CV940" s="62"/>
      <c r="CW940" s="62"/>
      <c r="CX940" s="62"/>
      <c r="CY940" s="62"/>
      <c r="CZ940" s="62"/>
      <c r="DA940" s="62"/>
      <c r="DB940" s="62"/>
      <c r="DC940" s="62"/>
      <c r="DD940" s="62"/>
      <c r="DE940" s="62"/>
      <c r="DF940" s="62"/>
      <c r="DG940" s="62"/>
      <c r="DH940" s="62"/>
      <c r="DI940" s="62"/>
      <c r="DJ940" s="62"/>
      <c r="DK940" s="62"/>
      <c r="DL940" s="62"/>
      <c r="DM940" s="62"/>
      <c r="DN940" s="62"/>
      <c r="DO940" s="62"/>
      <c r="DP940" s="62"/>
      <c r="DQ940" s="62"/>
      <c r="DR940" s="62"/>
      <c r="DS940" s="62"/>
      <c r="DT940" s="62"/>
      <c r="DU940" s="62"/>
      <c r="DV940" s="62"/>
      <c r="DW940" s="62"/>
      <c r="DX940" s="62"/>
      <c r="DY940" s="62"/>
      <c r="DZ940" s="62"/>
      <c r="EA940" s="62"/>
      <c r="EB940" s="62"/>
      <c r="EC940" s="62"/>
      <c r="ED940" s="62"/>
      <c r="EE940" s="62"/>
      <c r="EF940" s="62"/>
      <c r="EG940" s="62"/>
      <c r="EH940" s="62"/>
      <c r="EI940" s="62"/>
      <c r="EJ940" s="62"/>
      <c r="EK940" s="62"/>
      <c r="EL940" s="62"/>
      <c r="EM940" s="62"/>
      <c r="EN940" s="62"/>
      <c r="EO940" s="62"/>
      <c r="EP940" s="62"/>
      <c r="EQ940" s="62"/>
      <c r="ER940" s="62"/>
      <c r="ES940" s="62"/>
      <c r="ET940" s="62"/>
      <c r="EU940" s="62"/>
      <c r="EV940" s="62"/>
      <c r="EW940" s="62"/>
      <c r="EX940" s="62"/>
      <c r="EY940" s="62"/>
      <c r="EZ940" s="62"/>
      <c r="FA940" s="62"/>
      <c r="FB940" s="62"/>
      <c r="FC940" s="62"/>
      <c r="FD940" s="62"/>
      <c r="FE940" s="62"/>
      <c r="FF940" s="62"/>
      <c r="FG940" s="62"/>
      <c r="FH940" s="62"/>
      <c r="FI940" s="62"/>
      <c r="FJ940" s="62"/>
      <c r="FK940" s="62"/>
      <c r="FL940" s="62"/>
      <c r="FM940" s="62"/>
      <c r="FN940" s="62"/>
      <c r="FO940" s="62"/>
      <c r="FP940" s="62"/>
      <c r="FQ940" s="62"/>
      <c r="FR940" s="62"/>
      <c r="FS940" s="62"/>
      <c r="FT940" s="62"/>
      <c r="FU940" s="62"/>
      <c r="FV940" s="62"/>
    </row>
    <row r="941" spans="1:178" ht="13.8">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c r="AT941" s="62"/>
      <c r="AU941" s="62"/>
      <c r="AV941" s="62"/>
      <c r="AW941" s="62"/>
      <c r="AX941" s="62"/>
      <c r="AY941" s="62"/>
      <c r="AZ941" s="62"/>
      <c r="BA941" s="62"/>
      <c r="BB941" s="62"/>
      <c r="BC941" s="62"/>
      <c r="BD941" s="62"/>
      <c r="BE941" s="62"/>
      <c r="BF941" s="62"/>
      <c r="BG941" s="62"/>
      <c r="BH941" s="62"/>
      <c r="BI941" s="62"/>
      <c r="BJ941" s="62"/>
      <c r="BK941" s="62"/>
      <c r="BL941" s="62"/>
      <c r="BM941" s="62"/>
      <c r="BN941" s="62"/>
      <c r="BO941" s="62"/>
      <c r="BP941" s="62"/>
      <c r="BQ941" s="62"/>
      <c r="BR941" s="62"/>
      <c r="BS941" s="62"/>
      <c r="BT941" s="62"/>
      <c r="BU941" s="62"/>
      <c r="BV941" s="62"/>
      <c r="BW941" s="62"/>
      <c r="BX941" s="62"/>
      <c r="BY941" s="62"/>
      <c r="BZ941" s="62"/>
      <c r="CA941" s="62"/>
      <c r="CB941" s="62"/>
      <c r="CC941" s="62"/>
      <c r="CD941" s="62"/>
      <c r="CE941" s="62"/>
      <c r="CF941" s="62"/>
      <c r="CG941" s="62"/>
      <c r="CH941" s="62"/>
      <c r="CI941" s="62"/>
      <c r="CJ941" s="62"/>
      <c r="CK941" s="62"/>
      <c r="CL941" s="62"/>
      <c r="CM941" s="62"/>
      <c r="CN941" s="62"/>
      <c r="CO941" s="62"/>
      <c r="CP941" s="62"/>
      <c r="CQ941" s="62"/>
      <c r="CR941" s="62"/>
      <c r="CS941" s="62"/>
      <c r="CT941" s="62"/>
      <c r="CU941" s="62"/>
      <c r="CV941" s="62"/>
      <c r="CW941" s="62"/>
      <c r="CX941" s="62"/>
      <c r="CY941" s="62"/>
      <c r="CZ941" s="62"/>
      <c r="DA941" s="62"/>
      <c r="DB941" s="62"/>
      <c r="DC941" s="62"/>
      <c r="DD941" s="62"/>
      <c r="DE941" s="62"/>
      <c r="DF941" s="62"/>
      <c r="DG941" s="62"/>
      <c r="DH941" s="62"/>
      <c r="DI941" s="62"/>
      <c r="DJ941" s="62"/>
      <c r="DK941" s="62"/>
      <c r="DL941" s="62"/>
      <c r="DM941" s="62"/>
      <c r="DN941" s="62"/>
      <c r="DO941" s="62"/>
      <c r="DP941" s="62"/>
      <c r="DQ941" s="62"/>
      <c r="DR941" s="62"/>
      <c r="DS941" s="62"/>
      <c r="DT941" s="62"/>
      <c r="DU941" s="62"/>
      <c r="DV941" s="62"/>
      <c r="DW941" s="62"/>
      <c r="DX941" s="62"/>
      <c r="DY941" s="62"/>
      <c r="DZ941" s="62"/>
      <c r="EA941" s="62"/>
      <c r="EB941" s="62"/>
      <c r="EC941" s="62"/>
      <c r="ED941" s="62"/>
      <c r="EE941" s="62"/>
      <c r="EF941" s="62"/>
      <c r="EG941" s="62"/>
      <c r="EH941" s="62"/>
      <c r="EI941" s="62"/>
      <c r="EJ941" s="62"/>
      <c r="EK941" s="62"/>
      <c r="EL941" s="62"/>
      <c r="EM941" s="62"/>
      <c r="EN941" s="62"/>
      <c r="EO941" s="62"/>
      <c r="EP941" s="62"/>
      <c r="EQ941" s="62"/>
      <c r="ER941" s="62"/>
      <c r="ES941" s="62"/>
      <c r="ET941" s="62"/>
      <c r="EU941" s="62"/>
      <c r="EV941" s="62"/>
      <c r="EW941" s="62"/>
      <c r="EX941" s="62"/>
      <c r="EY941" s="62"/>
      <c r="EZ941" s="62"/>
      <c r="FA941" s="62"/>
      <c r="FB941" s="62"/>
      <c r="FC941" s="62"/>
      <c r="FD941" s="62"/>
      <c r="FE941" s="62"/>
      <c r="FF941" s="62"/>
      <c r="FG941" s="62"/>
      <c r="FH941" s="62"/>
      <c r="FI941" s="62"/>
      <c r="FJ941" s="62"/>
      <c r="FK941" s="62"/>
      <c r="FL941" s="62"/>
      <c r="FM941" s="62"/>
      <c r="FN941" s="62"/>
      <c r="FO941" s="62"/>
      <c r="FP941" s="62"/>
      <c r="FQ941" s="62"/>
      <c r="FR941" s="62"/>
      <c r="FS941" s="62"/>
      <c r="FT941" s="62"/>
      <c r="FU941" s="62"/>
      <c r="FV941" s="62"/>
    </row>
    <row r="942" spans="1:178" ht="13.8">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c r="AJ942" s="62"/>
      <c r="AK942" s="62"/>
      <c r="AL942" s="62"/>
      <c r="AM942" s="62"/>
      <c r="AN942" s="62"/>
      <c r="AO942" s="62"/>
      <c r="AP942" s="62"/>
      <c r="AQ942" s="62"/>
      <c r="AR942" s="62"/>
      <c r="AS942" s="62"/>
      <c r="AT942" s="62"/>
      <c r="AU942" s="62"/>
      <c r="AV942" s="62"/>
      <c r="AW942" s="62"/>
      <c r="AX942" s="62"/>
      <c r="AY942" s="62"/>
      <c r="AZ942" s="62"/>
      <c r="BA942" s="62"/>
      <c r="BB942" s="62"/>
      <c r="BC942" s="62"/>
      <c r="BD942" s="62"/>
      <c r="BE942" s="62"/>
      <c r="BF942" s="62"/>
      <c r="BG942" s="62"/>
      <c r="BH942" s="62"/>
      <c r="BI942" s="62"/>
      <c r="BJ942" s="62"/>
      <c r="BK942" s="62"/>
      <c r="BL942" s="62"/>
      <c r="BM942" s="62"/>
      <c r="BN942" s="62"/>
      <c r="BO942" s="62"/>
      <c r="BP942" s="62"/>
      <c r="BQ942" s="62"/>
      <c r="BR942" s="62"/>
      <c r="BS942" s="62"/>
      <c r="BT942" s="62"/>
      <c r="BU942" s="62"/>
      <c r="BV942" s="62"/>
      <c r="BW942" s="62"/>
      <c r="BX942" s="62"/>
      <c r="BY942" s="62"/>
      <c r="BZ942" s="62"/>
      <c r="CA942" s="62"/>
      <c r="CB942" s="62"/>
      <c r="CC942" s="62"/>
      <c r="CD942" s="62"/>
      <c r="CE942" s="62"/>
      <c r="CF942" s="62"/>
      <c r="CG942" s="62"/>
      <c r="CH942" s="62"/>
      <c r="CI942" s="62"/>
      <c r="CJ942" s="62"/>
      <c r="CK942" s="62"/>
      <c r="CL942" s="62"/>
      <c r="CM942" s="62"/>
      <c r="CN942" s="62"/>
      <c r="CO942" s="62"/>
      <c r="CP942" s="62"/>
      <c r="CQ942" s="62"/>
      <c r="CR942" s="62"/>
      <c r="CS942" s="62"/>
      <c r="CT942" s="62"/>
      <c r="CU942" s="62"/>
      <c r="CV942" s="62"/>
      <c r="CW942" s="62"/>
      <c r="CX942" s="62"/>
      <c r="CY942" s="62"/>
      <c r="CZ942" s="62"/>
      <c r="DA942" s="62"/>
      <c r="DB942" s="62"/>
      <c r="DC942" s="62"/>
      <c r="DD942" s="62"/>
      <c r="DE942" s="62"/>
      <c r="DF942" s="62"/>
      <c r="DG942" s="62"/>
      <c r="DH942" s="62"/>
      <c r="DI942" s="62"/>
      <c r="DJ942" s="62"/>
      <c r="DK942" s="62"/>
      <c r="DL942" s="62"/>
      <c r="DM942" s="62"/>
      <c r="DN942" s="62"/>
      <c r="DO942" s="62"/>
      <c r="DP942" s="62"/>
      <c r="DQ942" s="62"/>
      <c r="DR942" s="62"/>
      <c r="DS942" s="62"/>
      <c r="DT942" s="62"/>
      <c r="DU942" s="62"/>
      <c r="DV942" s="62"/>
      <c r="DW942" s="62"/>
      <c r="DX942" s="62"/>
      <c r="DY942" s="62"/>
      <c r="DZ942" s="62"/>
      <c r="EA942" s="62"/>
      <c r="EB942" s="62"/>
      <c r="EC942" s="62"/>
      <c r="ED942" s="62"/>
      <c r="EE942" s="62"/>
      <c r="EF942" s="62"/>
      <c r="EG942" s="62"/>
      <c r="EH942" s="62"/>
      <c r="EI942" s="62"/>
      <c r="EJ942" s="62"/>
      <c r="EK942" s="62"/>
      <c r="EL942" s="62"/>
      <c r="EM942" s="62"/>
      <c r="EN942" s="62"/>
      <c r="EO942" s="62"/>
      <c r="EP942" s="62"/>
      <c r="EQ942" s="62"/>
      <c r="ER942" s="62"/>
      <c r="ES942" s="62"/>
      <c r="ET942" s="62"/>
      <c r="EU942" s="62"/>
      <c r="EV942" s="62"/>
      <c r="EW942" s="62"/>
      <c r="EX942" s="62"/>
      <c r="EY942" s="62"/>
      <c r="EZ942" s="62"/>
      <c r="FA942" s="62"/>
      <c r="FB942" s="62"/>
      <c r="FC942" s="62"/>
      <c r="FD942" s="62"/>
      <c r="FE942" s="62"/>
      <c r="FF942" s="62"/>
      <c r="FG942" s="62"/>
      <c r="FH942" s="62"/>
      <c r="FI942" s="62"/>
      <c r="FJ942" s="62"/>
      <c r="FK942" s="62"/>
      <c r="FL942" s="62"/>
      <c r="FM942" s="62"/>
      <c r="FN942" s="62"/>
      <c r="FO942" s="62"/>
      <c r="FP942" s="62"/>
      <c r="FQ942" s="62"/>
      <c r="FR942" s="62"/>
      <c r="FS942" s="62"/>
      <c r="FT942" s="62"/>
      <c r="FU942" s="62"/>
      <c r="FV942" s="62"/>
    </row>
    <row r="943" spans="1:178" ht="13.8">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c r="AJ943" s="62"/>
      <c r="AK943" s="62"/>
      <c r="AL943" s="62"/>
      <c r="AM943" s="62"/>
      <c r="AN943" s="62"/>
      <c r="AO943" s="62"/>
      <c r="AP943" s="62"/>
      <c r="AQ943" s="62"/>
      <c r="AR943" s="62"/>
      <c r="AS943" s="62"/>
      <c r="AT943" s="62"/>
      <c r="AU943" s="62"/>
      <c r="AV943" s="62"/>
      <c r="AW943" s="62"/>
      <c r="AX943" s="62"/>
      <c r="AY943" s="62"/>
      <c r="AZ943" s="62"/>
      <c r="BA943" s="62"/>
      <c r="BB943" s="62"/>
      <c r="BC943" s="62"/>
      <c r="BD943" s="62"/>
      <c r="BE943" s="62"/>
      <c r="BF943" s="62"/>
      <c r="BG943" s="62"/>
      <c r="BH943" s="62"/>
      <c r="BI943" s="62"/>
      <c r="BJ943" s="62"/>
      <c r="BK943" s="62"/>
      <c r="BL943" s="62"/>
      <c r="BM943" s="62"/>
      <c r="BN943" s="62"/>
      <c r="BO943" s="62"/>
      <c r="BP943" s="62"/>
      <c r="BQ943" s="62"/>
      <c r="BR943" s="62"/>
      <c r="BS943" s="62"/>
      <c r="BT943" s="62"/>
      <c r="BU943" s="62"/>
      <c r="BV943" s="62"/>
      <c r="BW943" s="62"/>
      <c r="BX943" s="62"/>
      <c r="BY943" s="62"/>
      <c r="BZ943" s="62"/>
      <c r="CA943" s="62"/>
      <c r="CB943" s="62"/>
      <c r="CC943" s="62"/>
      <c r="CD943" s="62"/>
      <c r="CE943" s="62"/>
      <c r="CF943" s="62"/>
      <c r="CG943" s="62"/>
      <c r="CH943" s="62"/>
      <c r="CI943" s="62"/>
      <c r="CJ943" s="62"/>
      <c r="CK943" s="62"/>
      <c r="CL943" s="62"/>
      <c r="CM943" s="62"/>
      <c r="CN943" s="62"/>
      <c r="CO943" s="62"/>
      <c r="CP943" s="62"/>
      <c r="CQ943" s="62"/>
      <c r="CR943" s="62"/>
      <c r="CS943" s="62"/>
      <c r="CT943" s="62"/>
      <c r="CU943" s="62"/>
      <c r="CV943" s="62"/>
      <c r="CW943" s="62"/>
      <c r="CX943" s="62"/>
      <c r="CY943" s="62"/>
      <c r="CZ943" s="62"/>
      <c r="DA943" s="62"/>
      <c r="DB943" s="62"/>
      <c r="DC943" s="62"/>
      <c r="DD943" s="62"/>
      <c r="DE943" s="62"/>
      <c r="DF943" s="62"/>
      <c r="DG943" s="62"/>
      <c r="DH943" s="62"/>
      <c r="DI943" s="62"/>
      <c r="DJ943" s="62"/>
      <c r="DK943" s="62"/>
      <c r="DL943" s="62"/>
      <c r="DM943" s="62"/>
      <c r="DN943" s="62"/>
      <c r="DO943" s="62"/>
      <c r="DP943" s="62"/>
      <c r="DQ943" s="62"/>
      <c r="DR943" s="62"/>
      <c r="DS943" s="62"/>
      <c r="DT943" s="62"/>
      <c r="DU943" s="62"/>
      <c r="DV943" s="62"/>
      <c r="DW943" s="62"/>
      <c r="DX943" s="62"/>
      <c r="DY943" s="62"/>
      <c r="DZ943" s="62"/>
      <c r="EA943" s="62"/>
      <c r="EB943" s="62"/>
      <c r="EC943" s="62"/>
      <c r="ED943" s="62"/>
      <c r="EE943" s="62"/>
      <c r="EF943" s="62"/>
      <c r="EG943" s="62"/>
      <c r="EH943" s="62"/>
      <c r="EI943" s="62"/>
      <c r="EJ943" s="62"/>
      <c r="EK943" s="62"/>
      <c r="EL943" s="62"/>
      <c r="EM943" s="62"/>
      <c r="EN943" s="62"/>
      <c r="EO943" s="62"/>
      <c r="EP943" s="62"/>
      <c r="EQ943" s="62"/>
      <c r="ER943" s="62"/>
      <c r="ES943" s="62"/>
      <c r="ET943" s="62"/>
      <c r="EU943" s="62"/>
      <c r="EV943" s="62"/>
      <c r="EW943" s="62"/>
      <c r="EX943" s="62"/>
      <c r="EY943" s="62"/>
      <c r="EZ943" s="62"/>
      <c r="FA943" s="62"/>
      <c r="FB943" s="62"/>
      <c r="FC943" s="62"/>
      <c r="FD943" s="62"/>
      <c r="FE943" s="62"/>
      <c r="FF943" s="62"/>
      <c r="FG943" s="62"/>
      <c r="FH943" s="62"/>
      <c r="FI943" s="62"/>
      <c r="FJ943" s="62"/>
      <c r="FK943" s="62"/>
      <c r="FL943" s="62"/>
      <c r="FM943" s="62"/>
      <c r="FN943" s="62"/>
      <c r="FO943" s="62"/>
      <c r="FP943" s="62"/>
      <c r="FQ943" s="62"/>
      <c r="FR943" s="62"/>
      <c r="FS943" s="62"/>
      <c r="FT943" s="62"/>
      <c r="FU943" s="62"/>
      <c r="FV943" s="62"/>
    </row>
    <row r="944" spans="1:178" ht="13.8">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c r="AJ944" s="62"/>
      <c r="AK944" s="62"/>
      <c r="AL944" s="62"/>
      <c r="AM944" s="62"/>
      <c r="AN944" s="62"/>
      <c r="AO944" s="62"/>
      <c r="AP944" s="62"/>
      <c r="AQ944" s="62"/>
      <c r="AR944" s="62"/>
      <c r="AS944" s="62"/>
      <c r="AT944" s="62"/>
      <c r="AU944" s="62"/>
      <c r="AV944" s="62"/>
      <c r="AW944" s="62"/>
      <c r="AX944" s="62"/>
      <c r="AY944" s="62"/>
      <c r="AZ944" s="62"/>
      <c r="BA944" s="62"/>
      <c r="BB944" s="62"/>
      <c r="BC944" s="62"/>
      <c r="BD944" s="62"/>
      <c r="BE944" s="62"/>
      <c r="BF944" s="62"/>
      <c r="BG944" s="62"/>
      <c r="BH944" s="62"/>
      <c r="BI944" s="62"/>
      <c r="BJ944" s="62"/>
      <c r="BK944" s="62"/>
      <c r="BL944" s="62"/>
      <c r="BM944" s="62"/>
      <c r="BN944" s="62"/>
      <c r="BO944" s="62"/>
      <c r="BP944" s="62"/>
      <c r="BQ944" s="62"/>
      <c r="BR944" s="62"/>
      <c r="BS944" s="62"/>
      <c r="BT944" s="62"/>
      <c r="BU944" s="62"/>
      <c r="BV944" s="62"/>
      <c r="BW944" s="62"/>
      <c r="BX944" s="62"/>
      <c r="BY944" s="62"/>
      <c r="BZ944" s="62"/>
      <c r="CA944" s="62"/>
      <c r="CB944" s="62"/>
      <c r="CC944" s="62"/>
      <c r="CD944" s="62"/>
      <c r="CE944" s="62"/>
      <c r="CF944" s="62"/>
      <c r="CG944" s="62"/>
      <c r="CH944" s="62"/>
      <c r="CI944" s="62"/>
      <c r="CJ944" s="62"/>
      <c r="CK944" s="62"/>
      <c r="CL944" s="62"/>
      <c r="CM944" s="62"/>
      <c r="CN944" s="62"/>
      <c r="CO944" s="62"/>
      <c r="CP944" s="62"/>
      <c r="CQ944" s="62"/>
      <c r="CR944" s="62"/>
      <c r="CS944" s="62"/>
      <c r="CT944" s="62"/>
      <c r="CU944" s="62"/>
      <c r="CV944" s="62"/>
      <c r="CW944" s="62"/>
      <c r="CX944" s="62"/>
      <c r="CY944" s="62"/>
      <c r="CZ944" s="62"/>
      <c r="DA944" s="62"/>
      <c r="DB944" s="62"/>
      <c r="DC944" s="62"/>
      <c r="DD944" s="62"/>
      <c r="DE944" s="62"/>
      <c r="DF944" s="62"/>
      <c r="DG944" s="62"/>
      <c r="DH944" s="62"/>
      <c r="DI944" s="62"/>
      <c r="DJ944" s="62"/>
      <c r="DK944" s="62"/>
      <c r="DL944" s="62"/>
      <c r="DM944" s="62"/>
      <c r="DN944" s="62"/>
      <c r="DO944" s="62"/>
      <c r="DP944" s="62"/>
      <c r="DQ944" s="62"/>
      <c r="DR944" s="62"/>
      <c r="DS944" s="62"/>
      <c r="DT944" s="62"/>
      <c r="DU944" s="62"/>
      <c r="DV944" s="62"/>
      <c r="DW944" s="62"/>
      <c r="DX944" s="62"/>
      <c r="DY944" s="62"/>
      <c r="DZ944" s="62"/>
      <c r="EA944" s="62"/>
      <c r="EB944" s="62"/>
      <c r="EC944" s="62"/>
      <c r="ED944" s="62"/>
      <c r="EE944" s="62"/>
      <c r="EF944" s="62"/>
      <c r="EG944" s="62"/>
      <c r="EH944" s="62"/>
      <c r="EI944" s="62"/>
      <c r="EJ944" s="62"/>
      <c r="EK944" s="62"/>
      <c r="EL944" s="62"/>
      <c r="EM944" s="62"/>
      <c r="EN944" s="62"/>
      <c r="EO944" s="62"/>
      <c r="EP944" s="62"/>
      <c r="EQ944" s="62"/>
      <c r="ER944" s="62"/>
      <c r="ES944" s="62"/>
      <c r="ET944" s="62"/>
      <c r="EU944" s="62"/>
      <c r="EV944" s="62"/>
      <c r="EW944" s="62"/>
      <c r="EX944" s="62"/>
      <c r="EY944" s="62"/>
      <c r="EZ944" s="62"/>
      <c r="FA944" s="62"/>
      <c r="FB944" s="62"/>
      <c r="FC944" s="62"/>
      <c r="FD944" s="62"/>
      <c r="FE944" s="62"/>
      <c r="FF944" s="62"/>
      <c r="FG944" s="62"/>
      <c r="FH944" s="62"/>
      <c r="FI944" s="62"/>
      <c r="FJ944" s="62"/>
      <c r="FK944" s="62"/>
      <c r="FL944" s="62"/>
      <c r="FM944" s="62"/>
      <c r="FN944" s="62"/>
      <c r="FO944" s="62"/>
      <c r="FP944" s="62"/>
      <c r="FQ944" s="62"/>
      <c r="FR944" s="62"/>
      <c r="FS944" s="62"/>
      <c r="FT944" s="62"/>
      <c r="FU944" s="62"/>
      <c r="FV944" s="62"/>
    </row>
    <row r="945" spans="1:178" ht="13.8">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c r="AJ945" s="62"/>
      <c r="AK945" s="62"/>
      <c r="AL945" s="62"/>
      <c r="AM945" s="62"/>
      <c r="AN945" s="62"/>
      <c r="AO945" s="62"/>
      <c r="AP945" s="62"/>
      <c r="AQ945" s="62"/>
      <c r="AR945" s="62"/>
      <c r="AS945" s="62"/>
      <c r="AT945" s="62"/>
      <c r="AU945" s="62"/>
      <c r="AV945" s="62"/>
      <c r="AW945" s="62"/>
      <c r="AX945" s="62"/>
      <c r="AY945" s="62"/>
      <c r="AZ945" s="62"/>
      <c r="BA945" s="62"/>
      <c r="BB945" s="62"/>
      <c r="BC945" s="62"/>
      <c r="BD945" s="62"/>
      <c r="BE945" s="62"/>
      <c r="BF945" s="62"/>
      <c r="BG945" s="62"/>
      <c r="BH945" s="62"/>
      <c r="BI945" s="62"/>
      <c r="BJ945" s="62"/>
      <c r="BK945" s="62"/>
      <c r="BL945" s="62"/>
      <c r="BM945" s="62"/>
      <c r="BN945" s="62"/>
      <c r="BO945" s="62"/>
      <c r="BP945" s="62"/>
      <c r="BQ945" s="62"/>
      <c r="BR945" s="62"/>
      <c r="BS945" s="62"/>
      <c r="BT945" s="62"/>
      <c r="BU945" s="62"/>
      <c r="BV945" s="62"/>
      <c r="BW945" s="62"/>
      <c r="BX945" s="62"/>
      <c r="BY945" s="62"/>
      <c r="BZ945" s="62"/>
      <c r="CA945" s="62"/>
      <c r="CB945" s="62"/>
      <c r="CC945" s="62"/>
      <c r="CD945" s="62"/>
      <c r="CE945" s="62"/>
      <c r="CF945" s="62"/>
      <c r="CG945" s="62"/>
      <c r="CH945" s="62"/>
      <c r="CI945" s="62"/>
      <c r="CJ945" s="62"/>
      <c r="CK945" s="62"/>
      <c r="CL945" s="62"/>
      <c r="CM945" s="62"/>
      <c r="CN945" s="62"/>
      <c r="CO945" s="62"/>
      <c r="CP945" s="62"/>
      <c r="CQ945" s="62"/>
      <c r="CR945" s="62"/>
      <c r="CS945" s="62"/>
      <c r="CT945" s="62"/>
      <c r="CU945" s="62"/>
      <c r="CV945" s="62"/>
      <c r="CW945" s="62"/>
      <c r="CX945" s="62"/>
      <c r="CY945" s="62"/>
      <c r="CZ945" s="62"/>
      <c r="DA945" s="62"/>
      <c r="DB945" s="62"/>
      <c r="DC945" s="62"/>
      <c r="DD945" s="62"/>
      <c r="DE945" s="62"/>
      <c r="DF945" s="62"/>
      <c r="DG945" s="62"/>
      <c r="DH945" s="62"/>
      <c r="DI945" s="62"/>
      <c r="DJ945" s="62"/>
      <c r="DK945" s="62"/>
      <c r="DL945" s="62"/>
      <c r="DM945" s="62"/>
      <c r="DN945" s="62"/>
      <c r="DO945" s="62"/>
      <c r="DP945" s="62"/>
      <c r="DQ945" s="62"/>
      <c r="DR945" s="62"/>
      <c r="DS945" s="62"/>
      <c r="DT945" s="62"/>
      <c r="DU945" s="62"/>
      <c r="DV945" s="62"/>
      <c r="DW945" s="62"/>
      <c r="DX945" s="62"/>
      <c r="DY945" s="62"/>
      <c r="DZ945" s="62"/>
      <c r="EA945" s="62"/>
      <c r="EB945" s="62"/>
      <c r="EC945" s="62"/>
      <c r="ED945" s="62"/>
      <c r="EE945" s="62"/>
      <c r="EF945" s="62"/>
      <c r="EG945" s="62"/>
      <c r="EH945" s="62"/>
      <c r="EI945" s="62"/>
      <c r="EJ945" s="62"/>
      <c r="EK945" s="62"/>
      <c r="EL945" s="62"/>
      <c r="EM945" s="62"/>
      <c r="EN945" s="62"/>
      <c r="EO945" s="62"/>
      <c r="EP945" s="62"/>
      <c r="EQ945" s="62"/>
      <c r="ER945" s="62"/>
      <c r="ES945" s="62"/>
      <c r="ET945" s="62"/>
      <c r="EU945" s="62"/>
      <c r="EV945" s="62"/>
      <c r="EW945" s="62"/>
      <c r="EX945" s="62"/>
      <c r="EY945" s="62"/>
      <c r="EZ945" s="62"/>
      <c r="FA945" s="62"/>
      <c r="FB945" s="62"/>
      <c r="FC945" s="62"/>
      <c r="FD945" s="62"/>
      <c r="FE945" s="62"/>
      <c r="FF945" s="62"/>
      <c r="FG945" s="62"/>
      <c r="FH945" s="62"/>
      <c r="FI945" s="62"/>
      <c r="FJ945" s="62"/>
      <c r="FK945" s="62"/>
      <c r="FL945" s="62"/>
      <c r="FM945" s="62"/>
      <c r="FN945" s="62"/>
      <c r="FO945" s="62"/>
      <c r="FP945" s="62"/>
      <c r="FQ945" s="62"/>
      <c r="FR945" s="62"/>
      <c r="FS945" s="62"/>
      <c r="FT945" s="62"/>
      <c r="FU945" s="62"/>
      <c r="FV945" s="62"/>
    </row>
    <row r="946" spans="1:178" ht="13.8">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c r="AJ946" s="62"/>
      <c r="AK946" s="62"/>
      <c r="AL946" s="62"/>
      <c r="AM946" s="62"/>
      <c r="AN946" s="62"/>
      <c r="AO946" s="62"/>
      <c r="AP946" s="62"/>
      <c r="AQ946" s="62"/>
      <c r="AR946" s="62"/>
      <c r="AS946" s="62"/>
      <c r="AT946" s="62"/>
      <c r="AU946" s="62"/>
      <c r="AV946" s="62"/>
      <c r="AW946" s="62"/>
      <c r="AX946" s="62"/>
      <c r="AY946" s="62"/>
      <c r="AZ946" s="62"/>
      <c r="BA946" s="62"/>
      <c r="BB946" s="62"/>
      <c r="BC946" s="62"/>
      <c r="BD946" s="62"/>
      <c r="BE946" s="62"/>
      <c r="BF946" s="62"/>
      <c r="BG946" s="62"/>
      <c r="BH946" s="62"/>
      <c r="BI946" s="62"/>
      <c r="BJ946" s="62"/>
      <c r="BK946" s="62"/>
      <c r="BL946" s="62"/>
      <c r="BM946" s="62"/>
      <c r="BN946" s="62"/>
      <c r="BO946" s="62"/>
      <c r="BP946" s="62"/>
      <c r="BQ946" s="62"/>
      <c r="BR946" s="62"/>
      <c r="BS946" s="62"/>
      <c r="BT946" s="62"/>
      <c r="BU946" s="62"/>
      <c r="BV946" s="62"/>
      <c r="BW946" s="62"/>
      <c r="BX946" s="62"/>
      <c r="BY946" s="62"/>
      <c r="BZ946" s="62"/>
      <c r="CA946" s="62"/>
      <c r="CB946" s="62"/>
      <c r="CC946" s="62"/>
      <c r="CD946" s="62"/>
      <c r="CE946" s="62"/>
      <c r="CF946" s="62"/>
      <c r="CG946" s="62"/>
      <c r="CH946" s="62"/>
      <c r="CI946" s="62"/>
      <c r="CJ946" s="62"/>
      <c r="CK946" s="62"/>
      <c r="CL946" s="62"/>
      <c r="CM946" s="62"/>
      <c r="CN946" s="62"/>
      <c r="CO946" s="62"/>
      <c r="CP946" s="62"/>
      <c r="CQ946" s="62"/>
      <c r="CR946" s="62"/>
      <c r="CS946" s="62"/>
      <c r="CT946" s="62"/>
      <c r="CU946" s="62"/>
      <c r="CV946" s="62"/>
      <c r="CW946" s="62"/>
      <c r="CX946" s="62"/>
      <c r="CY946" s="62"/>
      <c r="CZ946" s="62"/>
      <c r="DA946" s="62"/>
      <c r="DB946" s="62"/>
      <c r="DC946" s="62"/>
      <c r="DD946" s="62"/>
      <c r="DE946" s="62"/>
      <c r="DF946" s="62"/>
      <c r="DG946" s="62"/>
      <c r="DH946" s="62"/>
      <c r="DI946" s="62"/>
      <c r="DJ946" s="62"/>
      <c r="DK946" s="62"/>
      <c r="DL946" s="62"/>
      <c r="DM946" s="62"/>
      <c r="DN946" s="62"/>
      <c r="DO946" s="62"/>
      <c r="DP946" s="62"/>
      <c r="DQ946" s="62"/>
      <c r="DR946" s="62"/>
      <c r="DS946" s="62"/>
      <c r="DT946" s="62"/>
      <c r="DU946" s="62"/>
      <c r="DV946" s="62"/>
      <c r="DW946" s="62"/>
      <c r="DX946" s="62"/>
      <c r="DY946" s="62"/>
      <c r="DZ946" s="62"/>
      <c r="EA946" s="62"/>
      <c r="EB946" s="62"/>
      <c r="EC946" s="62"/>
      <c r="ED946" s="62"/>
      <c r="EE946" s="62"/>
      <c r="EF946" s="62"/>
      <c r="EG946" s="62"/>
      <c r="EH946" s="62"/>
      <c r="EI946" s="62"/>
      <c r="EJ946" s="62"/>
      <c r="EK946" s="62"/>
      <c r="EL946" s="62"/>
      <c r="EM946" s="62"/>
      <c r="EN946" s="62"/>
      <c r="EO946" s="62"/>
      <c r="EP946" s="62"/>
      <c r="EQ946" s="62"/>
      <c r="ER946" s="62"/>
      <c r="ES946" s="62"/>
      <c r="ET946" s="62"/>
      <c r="EU946" s="62"/>
      <c r="EV946" s="62"/>
      <c r="EW946" s="62"/>
      <c r="EX946" s="62"/>
      <c r="EY946" s="62"/>
      <c r="EZ946" s="62"/>
      <c r="FA946" s="62"/>
      <c r="FB946" s="62"/>
      <c r="FC946" s="62"/>
      <c r="FD946" s="62"/>
      <c r="FE946" s="62"/>
      <c r="FF946" s="62"/>
      <c r="FG946" s="62"/>
      <c r="FH946" s="62"/>
      <c r="FI946" s="62"/>
      <c r="FJ946" s="62"/>
      <c r="FK946" s="62"/>
      <c r="FL946" s="62"/>
      <c r="FM946" s="62"/>
      <c r="FN946" s="62"/>
      <c r="FO946" s="62"/>
      <c r="FP946" s="62"/>
      <c r="FQ946" s="62"/>
      <c r="FR946" s="62"/>
      <c r="FS946" s="62"/>
      <c r="FT946" s="62"/>
      <c r="FU946" s="62"/>
      <c r="FV946" s="62"/>
    </row>
    <row r="947" spans="1:178" ht="13.8">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c r="AJ947" s="62"/>
      <c r="AK947" s="62"/>
      <c r="AL947" s="62"/>
      <c r="AM947" s="62"/>
      <c r="AN947" s="62"/>
      <c r="AO947" s="62"/>
      <c r="AP947" s="62"/>
      <c r="AQ947" s="62"/>
      <c r="AR947" s="62"/>
      <c r="AS947" s="62"/>
      <c r="AT947" s="62"/>
      <c r="AU947" s="62"/>
      <c r="AV947" s="62"/>
      <c r="AW947" s="62"/>
      <c r="AX947" s="62"/>
      <c r="AY947" s="62"/>
      <c r="AZ947" s="62"/>
      <c r="BA947" s="62"/>
      <c r="BB947" s="62"/>
      <c r="BC947" s="62"/>
      <c r="BD947" s="62"/>
      <c r="BE947" s="62"/>
      <c r="BF947" s="62"/>
      <c r="BG947" s="62"/>
      <c r="BH947" s="62"/>
      <c r="BI947" s="62"/>
      <c r="BJ947" s="62"/>
      <c r="BK947" s="62"/>
      <c r="BL947" s="62"/>
      <c r="BM947" s="62"/>
      <c r="BN947" s="62"/>
      <c r="BO947" s="62"/>
      <c r="BP947" s="62"/>
      <c r="BQ947" s="62"/>
      <c r="BR947" s="62"/>
      <c r="BS947" s="62"/>
      <c r="BT947" s="62"/>
      <c r="BU947" s="62"/>
      <c r="BV947" s="62"/>
      <c r="BW947" s="62"/>
      <c r="BX947" s="62"/>
      <c r="BY947" s="62"/>
      <c r="BZ947" s="62"/>
      <c r="CA947" s="62"/>
      <c r="CB947" s="62"/>
      <c r="CC947" s="62"/>
      <c r="CD947" s="62"/>
      <c r="CE947" s="62"/>
      <c r="CF947" s="62"/>
      <c r="CG947" s="62"/>
      <c r="CH947" s="62"/>
      <c r="CI947" s="62"/>
      <c r="CJ947" s="62"/>
      <c r="CK947" s="62"/>
      <c r="CL947" s="62"/>
      <c r="CM947" s="62"/>
      <c r="CN947" s="62"/>
      <c r="CO947" s="62"/>
      <c r="CP947" s="62"/>
      <c r="CQ947" s="62"/>
      <c r="CR947" s="62"/>
      <c r="CS947" s="62"/>
      <c r="CT947" s="62"/>
      <c r="CU947" s="62"/>
      <c r="CV947" s="62"/>
      <c r="CW947" s="62"/>
      <c r="CX947" s="62"/>
      <c r="CY947" s="62"/>
      <c r="CZ947" s="62"/>
      <c r="DA947" s="62"/>
      <c r="DB947" s="62"/>
      <c r="DC947" s="62"/>
      <c r="DD947" s="62"/>
      <c r="DE947" s="62"/>
      <c r="DF947" s="62"/>
      <c r="DG947" s="62"/>
      <c r="DH947" s="62"/>
      <c r="DI947" s="62"/>
      <c r="DJ947" s="62"/>
      <c r="DK947" s="62"/>
      <c r="DL947" s="62"/>
      <c r="DM947" s="62"/>
      <c r="DN947" s="62"/>
      <c r="DO947" s="62"/>
      <c r="DP947" s="62"/>
      <c r="DQ947" s="62"/>
      <c r="DR947" s="62"/>
      <c r="DS947" s="62"/>
      <c r="DT947" s="62"/>
      <c r="DU947" s="62"/>
      <c r="DV947" s="62"/>
      <c r="DW947" s="62"/>
      <c r="DX947" s="62"/>
      <c r="DY947" s="62"/>
      <c r="DZ947" s="62"/>
      <c r="EA947" s="62"/>
      <c r="EB947" s="62"/>
      <c r="EC947" s="62"/>
      <c r="ED947" s="62"/>
      <c r="EE947" s="62"/>
      <c r="EF947" s="62"/>
      <c r="EG947" s="62"/>
      <c r="EH947" s="62"/>
      <c r="EI947" s="62"/>
      <c r="EJ947" s="62"/>
      <c r="EK947" s="62"/>
      <c r="EL947" s="62"/>
      <c r="EM947" s="62"/>
      <c r="EN947" s="62"/>
      <c r="EO947" s="62"/>
      <c r="EP947" s="62"/>
      <c r="EQ947" s="62"/>
      <c r="ER947" s="62"/>
      <c r="ES947" s="62"/>
      <c r="ET947" s="62"/>
      <c r="EU947" s="62"/>
      <c r="EV947" s="62"/>
      <c r="EW947" s="62"/>
      <c r="EX947" s="62"/>
      <c r="EY947" s="62"/>
      <c r="EZ947" s="62"/>
      <c r="FA947" s="62"/>
      <c r="FB947" s="62"/>
      <c r="FC947" s="62"/>
      <c r="FD947" s="62"/>
      <c r="FE947" s="62"/>
      <c r="FF947" s="62"/>
      <c r="FG947" s="62"/>
      <c r="FH947" s="62"/>
      <c r="FI947" s="62"/>
      <c r="FJ947" s="62"/>
      <c r="FK947" s="62"/>
      <c r="FL947" s="62"/>
      <c r="FM947" s="62"/>
      <c r="FN947" s="62"/>
      <c r="FO947" s="62"/>
      <c r="FP947" s="62"/>
      <c r="FQ947" s="62"/>
      <c r="FR947" s="62"/>
      <c r="FS947" s="62"/>
      <c r="FT947" s="62"/>
      <c r="FU947" s="62"/>
      <c r="FV947" s="62"/>
    </row>
    <row r="948" spans="1:178" ht="13.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c r="AJ948" s="62"/>
      <c r="AK948" s="62"/>
      <c r="AL948" s="62"/>
      <c r="AM948" s="62"/>
      <c r="AN948" s="62"/>
      <c r="AO948" s="62"/>
      <c r="AP948" s="62"/>
      <c r="AQ948" s="62"/>
      <c r="AR948" s="62"/>
      <c r="AS948" s="62"/>
      <c r="AT948" s="62"/>
      <c r="AU948" s="62"/>
      <c r="AV948" s="62"/>
      <c r="AW948" s="62"/>
      <c r="AX948" s="62"/>
      <c r="AY948" s="62"/>
      <c r="AZ948" s="62"/>
      <c r="BA948" s="62"/>
      <c r="BB948" s="62"/>
      <c r="BC948" s="62"/>
      <c r="BD948" s="62"/>
      <c r="BE948" s="62"/>
      <c r="BF948" s="62"/>
      <c r="BG948" s="62"/>
      <c r="BH948" s="62"/>
      <c r="BI948" s="62"/>
      <c r="BJ948" s="62"/>
      <c r="BK948" s="62"/>
      <c r="BL948" s="62"/>
      <c r="BM948" s="62"/>
      <c r="BN948" s="62"/>
      <c r="BO948" s="62"/>
      <c r="BP948" s="62"/>
      <c r="BQ948" s="62"/>
      <c r="BR948" s="62"/>
      <c r="BS948" s="62"/>
      <c r="BT948" s="62"/>
      <c r="BU948" s="62"/>
      <c r="BV948" s="62"/>
      <c r="BW948" s="62"/>
      <c r="BX948" s="62"/>
      <c r="BY948" s="62"/>
      <c r="BZ948" s="62"/>
      <c r="CA948" s="62"/>
      <c r="CB948" s="62"/>
      <c r="CC948" s="62"/>
      <c r="CD948" s="62"/>
      <c r="CE948" s="62"/>
      <c r="CF948" s="62"/>
      <c r="CG948" s="62"/>
      <c r="CH948" s="62"/>
      <c r="CI948" s="62"/>
      <c r="CJ948" s="62"/>
      <c r="CK948" s="62"/>
      <c r="CL948" s="62"/>
      <c r="CM948" s="62"/>
      <c r="CN948" s="62"/>
      <c r="CO948" s="62"/>
      <c r="CP948" s="62"/>
      <c r="CQ948" s="62"/>
      <c r="CR948" s="62"/>
      <c r="CS948" s="62"/>
      <c r="CT948" s="62"/>
      <c r="CU948" s="62"/>
      <c r="CV948" s="62"/>
      <c r="CW948" s="62"/>
      <c r="CX948" s="62"/>
      <c r="CY948" s="62"/>
      <c r="CZ948" s="62"/>
      <c r="DA948" s="62"/>
      <c r="DB948" s="62"/>
      <c r="DC948" s="62"/>
      <c r="DD948" s="62"/>
      <c r="DE948" s="62"/>
      <c r="DF948" s="62"/>
      <c r="DG948" s="62"/>
      <c r="DH948" s="62"/>
      <c r="DI948" s="62"/>
      <c r="DJ948" s="62"/>
      <c r="DK948" s="62"/>
      <c r="DL948" s="62"/>
      <c r="DM948" s="62"/>
      <c r="DN948" s="62"/>
      <c r="DO948" s="62"/>
      <c r="DP948" s="62"/>
      <c r="DQ948" s="62"/>
      <c r="DR948" s="62"/>
      <c r="DS948" s="62"/>
      <c r="DT948" s="62"/>
      <c r="DU948" s="62"/>
      <c r="DV948" s="62"/>
      <c r="DW948" s="62"/>
      <c r="DX948" s="62"/>
      <c r="DY948" s="62"/>
      <c r="DZ948" s="62"/>
      <c r="EA948" s="62"/>
      <c r="EB948" s="62"/>
      <c r="EC948" s="62"/>
      <c r="ED948" s="62"/>
      <c r="EE948" s="62"/>
      <c r="EF948" s="62"/>
      <c r="EG948" s="62"/>
      <c r="EH948" s="62"/>
      <c r="EI948" s="62"/>
      <c r="EJ948" s="62"/>
      <c r="EK948" s="62"/>
      <c r="EL948" s="62"/>
      <c r="EM948" s="62"/>
      <c r="EN948" s="62"/>
      <c r="EO948" s="62"/>
      <c r="EP948" s="62"/>
      <c r="EQ948" s="62"/>
      <c r="ER948" s="62"/>
      <c r="ES948" s="62"/>
      <c r="ET948" s="62"/>
      <c r="EU948" s="62"/>
      <c r="EV948" s="62"/>
      <c r="EW948" s="62"/>
      <c r="EX948" s="62"/>
      <c r="EY948" s="62"/>
      <c r="EZ948" s="62"/>
      <c r="FA948" s="62"/>
      <c r="FB948" s="62"/>
      <c r="FC948" s="62"/>
      <c r="FD948" s="62"/>
      <c r="FE948" s="62"/>
      <c r="FF948" s="62"/>
      <c r="FG948" s="62"/>
      <c r="FH948" s="62"/>
      <c r="FI948" s="62"/>
      <c r="FJ948" s="62"/>
      <c r="FK948" s="62"/>
      <c r="FL948" s="62"/>
      <c r="FM948" s="62"/>
      <c r="FN948" s="62"/>
      <c r="FO948" s="62"/>
      <c r="FP948" s="62"/>
      <c r="FQ948" s="62"/>
      <c r="FR948" s="62"/>
      <c r="FS948" s="62"/>
      <c r="FT948" s="62"/>
      <c r="FU948" s="62"/>
      <c r="FV948" s="62"/>
    </row>
    <row r="949" spans="1:178" ht="13.8">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c r="AJ949" s="62"/>
      <c r="AK949" s="62"/>
      <c r="AL949" s="62"/>
      <c r="AM949" s="62"/>
      <c r="AN949" s="62"/>
      <c r="AO949" s="62"/>
      <c r="AP949" s="62"/>
      <c r="AQ949" s="62"/>
      <c r="AR949" s="62"/>
      <c r="AS949" s="62"/>
      <c r="AT949" s="62"/>
      <c r="AU949" s="62"/>
      <c r="AV949" s="62"/>
      <c r="AW949" s="62"/>
      <c r="AX949" s="62"/>
      <c r="AY949" s="62"/>
      <c r="AZ949" s="62"/>
      <c r="BA949" s="62"/>
      <c r="BB949" s="62"/>
      <c r="BC949" s="62"/>
      <c r="BD949" s="62"/>
      <c r="BE949" s="62"/>
      <c r="BF949" s="62"/>
      <c r="BG949" s="62"/>
      <c r="BH949" s="62"/>
      <c r="BI949" s="62"/>
      <c r="BJ949" s="62"/>
      <c r="BK949" s="62"/>
      <c r="BL949" s="62"/>
      <c r="BM949" s="62"/>
      <c r="BN949" s="62"/>
      <c r="BO949" s="62"/>
      <c r="BP949" s="62"/>
      <c r="BQ949" s="62"/>
      <c r="BR949" s="62"/>
      <c r="BS949" s="62"/>
      <c r="BT949" s="62"/>
      <c r="BU949" s="62"/>
      <c r="BV949" s="62"/>
      <c r="BW949" s="62"/>
      <c r="BX949" s="62"/>
      <c r="BY949" s="62"/>
      <c r="BZ949" s="62"/>
      <c r="CA949" s="62"/>
      <c r="CB949" s="62"/>
      <c r="CC949" s="62"/>
      <c r="CD949" s="62"/>
      <c r="CE949" s="62"/>
      <c r="CF949" s="62"/>
      <c r="CG949" s="62"/>
      <c r="CH949" s="62"/>
      <c r="CI949" s="62"/>
      <c r="CJ949" s="62"/>
      <c r="CK949" s="62"/>
      <c r="CL949" s="62"/>
      <c r="CM949" s="62"/>
      <c r="CN949" s="62"/>
      <c r="CO949" s="62"/>
      <c r="CP949" s="62"/>
      <c r="CQ949" s="62"/>
      <c r="CR949" s="62"/>
      <c r="CS949" s="62"/>
      <c r="CT949" s="62"/>
      <c r="CU949" s="62"/>
      <c r="CV949" s="62"/>
      <c r="CW949" s="62"/>
      <c r="CX949" s="62"/>
      <c r="CY949" s="62"/>
      <c r="CZ949" s="62"/>
      <c r="DA949" s="62"/>
      <c r="DB949" s="62"/>
      <c r="DC949" s="62"/>
      <c r="DD949" s="62"/>
      <c r="DE949" s="62"/>
      <c r="DF949" s="62"/>
      <c r="DG949" s="62"/>
      <c r="DH949" s="62"/>
      <c r="DI949" s="62"/>
      <c r="DJ949" s="62"/>
      <c r="DK949" s="62"/>
      <c r="DL949" s="62"/>
      <c r="DM949" s="62"/>
      <c r="DN949" s="62"/>
      <c r="DO949" s="62"/>
      <c r="DP949" s="62"/>
      <c r="DQ949" s="62"/>
      <c r="DR949" s="62"/>
      <c r="DS949" s="62"/>
      <c r="DT949" s="62"/>
      <c r="DU949" s="62"/>
      <c r="DV949" s="62"/>
      <c r="DW949" s="62"/>
      <c r="DX949" s="62"/>
      <c r="DY949" s="62"/>
      <c r="DZ949" s="62"/>
      <c r="EA949" s="62"/>
      <c r="EB949" s="62"/>
      <c r="EC949" s="62"/>
      <c r="ED949" s="62"/>
      <c r="EE949" s="62"/>
      <c r="EF949" s="62"/>
      <c r="EG949" s="62"/>
      <c r="EH949" s="62"/>
      <c r="EI949" s="62"/>
      <c r="EJ949" s="62"/>
      <c r="EK949" s="62"/>
      <c r="EL949" s="62"/>
      <c r="EM949" s="62"/>
      <c r="EN949" s="62"/>
      <c r="EO949" s="62"/>
      <c r="EP949" s="62"/>
      <c r="EQ949" s="62"/>
      <c r="ER949" s="62"/>
      <c r="ES949" s="62"/>
      <c r="ET949" s="62"/>
      <c r="EU949" s="62"/>
      <c r="EV949" s="62"/>
      <c r="EW949" s="62"/>
      <c r="EX949" s="62"/>
      <c r="EY949" s="62"/>
      <c r="EZ949" s="62"/>
      <c r="FA949" s="62"/>
      <c r="FB949" s="62"/>
      <c r="FC949" s="62"/>
      <c r="FD949" s="62"/>
      <c r="FE949" s="62"/>
      <c r="FF949" s="62"/>
      <c r="FG949" s="62"/>
      <c r="FH949" s="62"/>
      <c r="FI949" s="62"/>
      <c r="FJ949" s="62"/>
      <c r="FK949" s="62"/>
      <c r="FL949" s="62"/>
      <c r="FM949" s="62"/>
      <c r="FN949" s="62"/>
      <c r="FO949" s="62"/>
      <c r="FP949" s="62"/>
      <c r="FQ949" s="62"/>
      <c r="FR949" s="62"/>
      <c r="FS949" s="62"/>
      <c r="FT949" s="62"/>
      <c r="FU949" s="62"/>
      <c r="FV949" s="62"/>
    </row>
    <row r="950" spans="1:178" ht="13.8">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c r="AM950" s="62"/>
      <c r="AN950" s="62"/>
      <c r="AO950" s="62"/>
      <c r="AP950" s="62"/>
      <c r="AQ950" s="62"/>
      <c r="AR950" s="62"/>
      <c r="AS950" s="62"/>
      <c r="AT950" s="62"/>
      <c r="AU950" s="62"/>
      <c r="AV950" s="62"/>
      <c r="AW950" s="62"/>
      <c r="AX950" s="62"/>
      <c r="AY950" s="62"/>
      <c r="AZ950" s="62"/>
      <c r="BA950" s="62"/>
      <c r="BB950" s="62"/>
      <c r="BC950" s="62"/>
      <c r="BD950" s="62"/>
      <c r="BE950" s="62"/>
      <c r="BF950" s="62"/>
      <c r="BG950" s="62"/>
      <c r="BH950" s="62"/>
      <c r="BI950" s="62"/>
      <c r="BJ950" s="62"/>
      <c r="BK950" s="62"/>
      <c r="BL950" s="62"/>
      <c r="BM950" s="62"/>
      <c r="BN950" s="62"/>
      <c r="BO950" s="62"/>
      <c r="BP950" s="62"/>
      <c r="BQ950" s="62"/>
      <c r="BR950" s="62"/>
      <c r="BS950" s="62"/>
      <c r="BT950" s="62"/>
      <c r="BU950" s="62"/>
      <c r="BV950" s="62"/>
      <c r="BW950" s="62"/>
      <c r="BX950" s="62"/>
      <c r="BY950" s="62"/>
      <c r="BZ950" s="62"/>
      <c r="CA950" s="62"/>
      <c r="CB950" s="62"/>
      <c r="CC950" s="62"/>
      <c r="CD950" s="62"/>
      <c r="CE950" s="62"/>
      <c r="CF950" s="62"/>
      <c r="CG950" s="62"/>
      <c r="CH950" s="62"/>
      <c r="CI950" s="62"/>
      <c r="CJ950" s="62"/>
      <c r="CK950" s="62"/>
      <c r="CL950" s="62"/>
      <c r="CM950" s="62"/>
      <c r="CN950" s="62"/>
      <c r="CO950" s="62"/>
      <c r="CP950" s="62"/>
      <c r="CQ950" s="62"/>
      <c r="CR950" s="62"/>
      <c r="CS950" s="62"/>
      <c r="CT950" s="62"/>
      <c r="CU950" s="62"/>
      <c r="CV950" s="62"/>
      <c r="CW950" s="62"/>
      <c r="CX950" s="62"/>
      <c r="CY950" s="62"/>
      <c r="CZ950" s="62"/>
      <c r="DA950" s="62"/>
      <c r="DB950" s="62"/>
      <c r="DC950" s="62"/>
      <c r="DD950" s="62"/>
      <c r="DE950" s="62"/>
      <c r="DF950" s="62"/>
      <c r="DG950" s="62"/>
      <c r="DH950" s="62"/>
      <c r="DI950" s="62"/>
      <c r="DJ950" s="62"/>
      <c r="DK950" s="62"/>
      <c r="DL950" s="62"/>
      <c r="DM950" s="62"/>
      <c r="DN950" s="62"/>
      <c r="DO950" s="62"/>
      <c r="DP950" s="62"/>
      <c r="DQ950" s="62"/>
      <c r="DR950" s="62"/>
      <c r="DS950" s="62"/>
      <c r="DT950" s="62"/>
      <c r="DU950" s="62"/>
      <c r="DV950" s="62"/>
      <c r="DW950" s="62"/>
      <c r="DX950" s="62"/>
      <c r="DY950" s="62"/>
      <c r="DZ950" s="62"/>
      <c r="EA950" s="62"/>
      <c r="EB950" s="62"/>
      <c r="EC950" s="62"/>
      <c r="ED950" s="62"/>
      <c r="EE950" s="62"/>
      <c r="EF950" s="62"/>
      <c r="EG950" s="62"/>
      <c r="EH950" s="62"/>
      <c r="EI950" s="62"/>
      <c r="EJ950" s="62"/>
      <c r="EK950" s="62"/>
      <c r="EL950" s="62"/>
      <c r="EM950" s="62"/>
      <c r="EN950" s="62"/>
      <c r="EO950" s="62"/>
      <c r="EP950" s="62"/>
      <c r="EQ950" s="62"/>
      <c r="ER950" s="62"/>
      <c r="ES950" s="62"/>
      <c r="ET950" s="62"/>
      <c r="EU950" s="62"/>
      <c r="EV950" s="62"/>
      <c r="EW950" s="62"/>
      <c r="EX950" s="62"/>
      <c r="EY950" s="62"/>
      <c r="EZ950" s="62"/>
      <c r="FA950" s="62"/>
      <c r="FB950" s="62"/>
      <c r="FC950" s="62"/>
      <c r="FD950" s="62"/>
      <c r="FE950" s="62"/>
      <c r="FF950" s="62"/>
      <c r="FG950" s="62"/>
      <c r="FH950" s="62"/>
      <c r="FI950" s="62"/>
      <c r="FJ950" s="62"/>
      <c r="FK950" s="62"/>
      <c r="FL950" s="62"/>
      <c r="FM950" s="62"/>
      <c r="FN950" s="62"/>
      <c r="FO950" s="62"/>
      <c r="FP950" s="62"/>
      <c r="FQ950" s="62"/>
      <c r="FR950" s="62"/>
      <c r="FS950" s="62"/>
      <c r="FT950" s="62"/>
      <c r="FU950" s="62"/>
      <c r="FV950" s="62"/>
    </row>
    <row r="951" spans="1:178" ht="13.8">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c r="AJ951" s="62"/>
      <c r="AK951" s="62"/>
      <c r="AL951" s="62"/>
      <c r="AM951" s="62"/>
      <c r="AN951" s="62"/>
      <c r="AO951" s="62"/>
      <c r="AP951" s="62"/>
      <c r="AQ951" s="62"/>
      <c r="AR951" s="62"/>
      <c r="AS951" s="62"/>
      <c r="AT951" s="62"/>
      <c r="AU951" s="62"/>
      <c r="AV951" s="62"/>
      <c r="AW951" s="62"/>
      <c r="AX951" s="62"/>
      <c r="AY951" s="62"/>
      <c r="AZ951" s="62"/>
      <c r="BA951" s="62"/>
      <c r="BB951" s="62"/>
      <c r="BC951" s="62"/>
      <c r="BD951" s="62"/>
      <c r="BE951" s="62"/>
      <c r="BF951" s="62"/>
      <c r="BG951" s="62"/>
      <c r="BH951" s="62"/>
      <c r="BI951" s="62"/>
      <c r="BJ951" s="62"/>
      <c r="BK951" s="62"/>
      <c r="BL951" s="62"/>
      <c r="BM951" s="62"/>
      <c r="BN951" s="62"/>
      <c r="BO951" s="62"/>
      <c r="BP951" s="62"/>
      <c r="BQ951" s="62"/>
      <c r="BR951" s="62"/>
      <c r="BS951" s="62"/>
      <c r="BT951" s="62"/>
      <c r="BU951" s="62"/>
      <c r="BV951" s="62"/>
      <c r="BW951" s="62"/>
      <c r="BX951" s="62"/>
      <c r="BY951" s="62"/>
      <c r="BZ951" s="62"/>
      <c r="CA951" s="62"/>
      <c r="CB951" s="62"/>
      <c r="CC951" s="62"/>
      <c r="CD951" s="62"/>
      <c r="CE951" s="62"/>
      <c r="CF951" s="62"/>
      <c r="CG951" s="62"/>
      <c r="CH951" s="62"/>
      <c r="CI951" s="62"/>
      <c r="CJ951" s="62"/>
      <c r="CK951" s="62"/>
      <c r="CL951" s="62"/>
      <c r="CM951" s="62"/>
      <c r="CN951" s="62"/>
      <c r="CO951" s="62"/>
      <c r="CP951" s="62"/>
      <c r="CQ951" s="62"/>
      <c r="CR951" s="62"/>
      <c r="CS951" s="62"/>
      <c r="CT951" s="62"/>
      <c r="CU951" s="62"/>
      <c r="CV951" s="62"/>
      <c r="CW951" s="62"/>
      <c r="CX951" s="62"/>
      <c r="CY951" s="62"/>
      <c r="CZ951" s="62"/>
      <c r="DA951" s="62"/>
      <c r="DB951" s="62"/>
      <c r="DC951" s="62"/>
      <c r="DD951" s="62"/>
      <c r="DE951" s="62"/>
      <c r="DF951" s="62"/>
      <c r="DG951" s="62"/>
      <c r="DH951" s="62"/>
      <c r="DI951" s="62"/>
      <c r="DJ951" s="62"/>
      <c r="DK951" s="62"/>
      <c r="DL951" s="62"/>
      <c r="DM951" s="62"/>
      <c r="DN951" s="62"/>
      <c r="DO951" s="62"/>
      <c r="DP951" s="62"/>
      <c r="DQ951" s="62"/>
      <c r="DR951" s="62"/>
      <c r="DS951" s="62"/>
      <c r="DT951" s="62"/>
      <c r="DU951" s="62"/>
      <c r="DV951" s="62"/>
      <c r="DW951" s="62"/>
      <c r="DX951" s="62"/>
      <c r="DY951" s="62"/>
      <c r="DZ951" s="62"/>
      <c r="EA951" s="62"/>
      <c r="EB951" s="62"/>
      <c r="EC951" s="62"/>
      <c r="ED951" s="62"/>
      <c r="EE951" s="62"/>
      <c r="EF951" s="62"/>
      <c r="EG951" s="62"/>
      <c r="EH951" s="62"/>
      <c r="EI951" s="62"/>
      <c r="EJ951" s="62"/>
      <c r="EK951" s="62"/>
      <c r="EL951" s="62"/>
      <c r="EM951" s="62"/>
      <c r="EN951" s="62"/>
      <c r="EO951" s="62"/>
      <c r="EP951" s="62"/>
      <c r="EQ951" s="62"/>
      <c r="ER951" s="62"/>
      <c r="ES951" s="62"/>
      <c r="ET951" s="62"/>
      <c r="EU951" s="62"/>
      <c r="EV951" s="62"/>
      <c r="EW951" s="62"/>
      <c r="EX951" s="62"/>
      <c r="EY951" s="62"/>
      <c r="EZ951" s="62"/>
      <c r="FA951" s="62"/>
      <c r="FB951" s="62"/>
      <c r="FC951" s="62"/>
      <c r="FD951" s="62"/>
      <c r="FE951" s="62"/>
      <c r="FF951" s="62"/>
      <c r="FG951" s="62"/>
      <c r="FH951" s="62"/>
      <c r="FI951" s="62"/>
      <c r="FJ951" s="62"/>
      <c r="FK951" s="62"/>
      <c r="FL951" s="62"/>
      <c r="FM951" s="62"/>
      <c r="FN951" s="62"/>
      <c r="FO951" s="62"/>
      <c r="FP951" s="62"/>
      <c r="FQ951" s="62"/>
      <c r="FR951" s="62"/>
      <c r="FS951" s="62"/>
      <c r="FT951" s="62"/>
      <c r="FU951" s="62"/>
      <c r="FV951" s="62"/>
    </row>
    <row r="952" spans="1:178" ht="13.8">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c r="AJ952" s="62"/>
      <c r="AK952" s="62"/>
      <c r="AL952" s="62"/>
      <c r="AM952" s="62"/>
      <c r="AN952" s="62"/>
      <c r="AO952" s="62"/>
      <c r="AP952" s="62"/>
      <c r="AQ952" s="62"/>
      <c r="AR952" s="62"/>
      <c r="AS952" s="62"/>
      <c r="AT952" s="62"/>
      <c r="AU952" s="62"/>
      <c r="AV952" s="62"/>
      <c r="AW952" s="62"/>
      <c r="AX952" s="62"/>
      <c r="AY952" s="62"/>
      <c r="AZ952" s="62"/>
      <c r="BA952" s="62"/>
      <c r="BB952" s="62"/>
      <c r="BC952" s="62"/>
      <c r="BD952" s="62"/>
      <c r="BE952" s="62"/>
      <c r="BF952" s="62"/>
      <c r="BG952" s="62"/>
      <c r="BH952" s="62"/>
      <c r="BI952" s="62"/>
      <c r="BJ952" s="62"/>
      <c r="BK952" s="62"/>
      <c r="BL952" s="62"/>
      <c r="BM952" s="62"/>
      <c r="BN952" s="62"/>
      <c r="BO952" s="62"/>
      <c r="BP952" s="62"/>
      <c r="BQ952" s="62"/>
      <c r="BR952" s="62"/>
      <c r="BS952" s="62"/>
      <c r="BT952" s="62"/>
      <c r="BU952" s="62"/>
      <c r="BV952" s="62"/>
      <c r="BW952" s="62"/>
      <c r="BX952" s="62"/>
      <c r="BY952" s="62"/>
      <c r="BZ952" s="62"/>
      <c r="CA952" s="62"/>
      <c r="CB952" s="62"/>
      <c r="CC952" s="62"/>
      <c r="CD952" s="62"/>
      <c r="CE952" s="62"/>
      <c r="CF952" s="62"/>
      <c r="CG952" s="62"/>
      <c r="CH952" s="62"/>
      <c r="CI952" s="62"/>
      <c r="CJ952" s="62"/>
      <c r="CK952" s="62"/>
      <c r="CL952" s="62"/>
      <c r="CM952" s="62"/>
      <c r="CN952" s="62"/>
      <c r="CO952" s="62"/>
      <c r="CP952" s="62"/>
      <c r="CQ952" s="62"/>
      <c r="CR952" s="62"/>
      <c r="CS952" s="62"/>
      <c r="CT952" s="62"/>
      <c r="CU952" s="62"/>
      <c r="CV952" s="62"/>
      <c r="CW952" s="62"/>
      <c r="CX952" s="62"/>
      <c r="CY952" s="62"/>
      <c r="CZ952" s="62"/>
      <c r="DA952" s="62"/>
      <c r="DB952" s="62"/>
      <c r="DC952" s="62"/>
      <c r="DD952" s="62"/>
      <c r="DE952" s="62"/>
      <c r="DF952" s="62"/>
      <c r="DG952" s="62"/>
      <c r="DH952" s="62"/>
      <c r="DI952" s="62"/>
      <c r="DJ952" s="62"/>
      <c r="DK952" s="62"/>
      <c r="DL952" s="62"/>
      <c r="DM952" s="62"/>
      <c r="DN952" s="62"/>
      <c r="DO952" s="62"/>
      <c r="DP952" s="62"/>
      <c r="DQ952" s="62"/>
      <c r="DR952" s="62"/>
      <c r="DS952" s="62"/>
      <c r="DT952" s="62"/>
      <c r="DU952" s="62"/>
      <c r="DV952" s="62"/>
      <c r="DW952" s="62"/>
      <c r="DX952" s="62"/>
      <c r="DY952" s="62"/>
      <c r="DZ952" s="62"/>
      <c r="EA952" s="62"/>
      <c r="EB952" s="62"/>
      <c r="EC952" s="62"/>
      <c r="ED952" s="62"/>
      <c r="EE952" s="62"/>
      <c r="EF952" s="62"/>
      <c r="EG952" s="62"/>
      <c r="EH952" s="62"/>
      <c r="EI952" s="62"/>
      <c r="EJ952" s="62"/>
      <c r="EK952" s="62"/>
      <c r="EL952" s="62"/>
      <c r="EM952" s="62"/>
      <c r="EN952" s="62"/>
      <c r="EO952" s="62"/>
      <c r="EP952" s="62"/>
      <c r="EQ952" s="62"/>
      <c r="ER952" s="62"/>
      <c r="ES952" s="62"/>
      <c r="ET952" s="62"/>
      <c r="EU952" s="62"/>
      <c r="EV952" s="62"/>
      <c r="EW952" s="62"/>
      <c r="EX952" s="62"/>
      <c r="EY952" s="62"/>
      <c r="EZ952" s="62"/>
      <c r="FA952" s="62"/>
      <c r="FB952" s="62"/>
      <c r="FC952" s="62"/>
      <c r="FD952" s="62"/>
      <c r="FE952" s="62"/>
      <c r="FF952" s="62"/>
      <c r="FG952" s="62"/>
      <c r="FH952" s="62"/>
      <c r="FI952" s="62"/>
      <c r="FJ952" s="62"/>
      <c r="FK952" s="62"/>
      <c r="FL952" s="62"/>
      <c r="FM952" s="62"/>
      <c r="FN952" s="62"/>
      <c r="FO952" s="62"/>
      <c r="FP952" s="62"/>
      <c r="FQ952" s="62"/>
      <c r="FR952" s="62"/>
      <c r="FS952" s="62"/>
      <c r="FT952" s="62"/>
      <c r="FU952" s="62"/>
      <c r="FV952" s="62"/>
    </row>
    <row r="953" spans="1:178" ht="13.8">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c r="AJ953" s="62"/>
      <c r="AK953" s="62"/>
      <c r="AL953" s="62"/>
      <c r="AM953" s="62"/>
      <c r="AN953" s="62"/>
      <c r="AO953" s="62"/>
      <c r="AP953" s="62"/>
      <c r="AQ953" s="62"/>
      <c r="AR953" s="62"/>
      <c r="AS953" s="62"/>
      <c r="AT953" s="62"/>
      <c r="AU953" s="62"/>
      <c r="AV953" s="62"/>
      <c r="AW953" s="62"/>
      <c r="AX953" s="62"/>
      <c r="AY953" s="62"/>
      <c r="AZ953" s="62"/>
      <c r="BA953" s="62"/>
      <c r="BB953" s="62"/>
      <c r="BC953" s="62"/>
      <c r="BD953" s="62"/>
      <c r="BE953" s="62"/>
      <c r="BF953" s="62"/>
      <c r="BG953" s="62"/>
      <c r="BH953" s="62"/>
      <c r="BI953" s="62"/>
      <c r="BJ953" s="62"/>
      <c r="BK953" s="62"/>
      <c r="BL953" s="62"/>
      <c r="BM953" s="62"/>
      <c r="BN953" s="62"/>
      <c r="BO953" s="62"/>
      <c r="BP953" s="62"/>
      <c r="BQ953" s="62"/>
      <c r="BR953" s="62"/>
      <c r="BS953" s="62"/>
      <c r="BT953" s="62"/>
      <c r="BU953" s="62"/>
      <c r="BV953" s="62"/>
      <c r="BW953" s="62"/>
      <c r="BX953" s="62"/>
      <c r="BY953" s="62"/>
      <c r="BZ953" s="62"/>
      <c r="CA953" s="62"/>
      <c r="CB953" s="62"/>
      <c r="CC953" s="62"/>
      <c r="CD953" s="62"/>
      <c r="CE953" s="62"/>
      <c r="CF953" s="62"/>
      <c r="CG953" s="62"/>
      <c r="CH953" s="62"/>
      <c r="CI953" s="62"/>
      <c r="CJ953" s="62"/>
      <c r="CK953" s="62"/>
      <c r="CL953" s="62"/>
      <c r="CM953" s="62"/>
      <c r="CN953" s="62"/>
      <c r="CO953" s="62"/>
      <c r="CP953" s="62"/>
      <c r="CQ953" s="62"/>
      <c r="CR953" s="62"/>
      <c r="CS953" s="62"/>
      <c r="CT953" s="62"/>
      <c r="CU953" s="62"/>
      <c r="CV953" s="62"/>
      <c r="CW953" s="62"/>
      <c r="CX953" s="62"/>
      <c r="CY953" s="62"/>
      <c r="CZ953" s="62"/>
      <c r="DA953" s="62"/>
      <c r="DB953" s="62"/>
      <c r="DC953" s="62"/>
      <c r="DD953" s="62"/>
      <c r="DE953" s="62"/>
      <c r="DF953" s="62"/>
      <c r="DG953" s="62"/>
      <c r="DH953" s="62"/>
      <c r="DI953" s="62"/>
      <c r="DJ953" s="62"/>
      <c r="DK953" s="62"/>
      <c r="DL953" s="62"/>
      <c r="DM953" s="62"/>
      <c r="DN953" s="62"/>
      <c r="DO953" s="62"/>
      <c r="DP953" s="62"/>
      <c r="DQ953" s="62"/>
      <c r="DR953" s="62"/>
      <c r="DS953" s="62"/>
      <c r="DT953" s="62"/>
      <c r="DU953" s="62"/>
      <c r="DV953" s="62"/>
      <c r="DW953" s="62"/>
      <c r="DX953" s="62"/>
      <c r="DY953" s="62"/>
      <c r="DZ953" s="62"/>
      <c r="EA953" s="62"/>
      <c r="EB953" s="62"/>
      <c r="EC953" s="62"/>
      <c r="ED953" s="62"/>
      <c r="EE953" s="62"/>
      <c r="EF953" s="62"/>
      <c r="EG953" s="62"/>
      <c r="EH953" s="62"/>
      <c r="EI953" s="62"/>
      <c r="EJ953" s="62"/>
      <c r="EK953" s="62"/>
      <c r="EL953" s="62"/>
      <c r="EM953" s="62"/>
      <c r="EN953" s="62"/>
      <c r="EO953" s="62"/>
      <c r="EP953" s="62"/>
      <c r="EQ953" s="62"/>
      <c r="ER953" s="62"/>
      <c r="ES953" s="62"/>
      <c r="ET953" s="62"/>
      <c r="EU953" s="62"/>
      <c r="EV953" s="62"/>
      <c r="EW953" s="62"/>
      <c r="EX953" s="62"/>
      <c r="EY953" s="62"/>
      <c r="EZ953" s="62"/>
      <c r="FA953" s="62"/>
      <c r="FB953" s="62"/>
      <c r="FC953" s="62"/>
      <c r="FD953" s="62"/>
      <c r="FE953" s="62"/>
      <c r="FF953" s="62"/>
      <c r="FG953" s="62"/>
      <c r="FH953" s="62"/>
      <c r="FI953" s="62"/>
      <c r="FJ953" s="62"/>
      <c r="FK953" s="62"/>
      <c r="FL953" s="62"/>
      <c r="FM953" s="62"/>
      <c r="FN953" s="62"/>
      <c r="FO953" s="62"/>
      <c r="FP953" s="62"/>
      <c r="FQ953" s="62"/>
      <c r="FR953" s="62"/>
      <c r="FS953" s="62"/>
      <c r="FT953" s="62"/>
      <c r="FU953" s="62"/>
      <c r="FV953" s="62"/>
    </row>
    <row r="954" spans="1:178" ht="13.8">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c r="AJ954" s="62"/>
      <c r="AK954" s="62"/>
      <c r="AL954" s="62"/>
      <c r="AM954" s="62"/>
      <c r="AN954" s="62"/>
      <c r="AO954" s="62"/>
      <c r="AP954" s="62"/>
      <c r="AQ954" s="62"/>
      <c r="AR954" s="62"/>
      <c r="AS954" s="62"/>
      <c r="AT954" s="62"/>
      <c r="AU954" s="62"/>
      <c r="AV954" s="62"/>
      <c r="AW954" s="62"/>
      <c r="AX954" s="62"/>
      <c r="AY954" s="62"/>
      <c r="AZ954" s="62"/>
      <c r="BA954" s="62"/>
      <c r="BB954" s="62"/>
      <c r="BC954" s="62"/>
      <c r="BD954" s="62"/>
      <c r="BE954" s="62"/>
      <c r="BF954" s="62"/>
      <c r="BG954" s="62"/>
      <c r="BH954" s="62"/>
      <c r="BI954" s="62"/>
      <c r="BJ954" s="62"/>
      <c r="BK954" s="62"/>
      <c r="BL954" s="62"/>
      <c r="BM954" s="62"/>
      <c r="BN954" s="62"/>
      <c r="BO954" s="62"/>
      <c r="BP954" s="62"/>
      <c r="BQ954" s="62"/>
      <c r="BR954" s="62"/>
      <c r="BS954" s="62"/>
      <c r="BT954" s="62"/>
      <c r="BU954" s="62"/>
      <c r="BV954" s="62"/>
      <c r="BW954" s="62"/>
      <c r="BX954" s="62"/>
      <c r="BY954" s="62"/>
      <c r="BZ954" s="62"/>
      <c r="CA954" s="62"/>
      <c r="CB954" s="62"/>
      <c r="CC954" s="62"/>
      <c r="CD954" s="62"/>
      <c r="CE954" s="62"/>
      <c r="CF954" s="62"/>
      <c r="CG954" s="62"/>
      <c r="CH954" s="62"/>
      <c r="CI954" s="62"/>
      <c r="CJ954" s="62"/>
      <c r="CK954" s="62"/>
      <c r="CL954" s="62"/>
      <c r="CM954" s="62"/>
      <c r="CN954" s="62"/>
      <c r="CO954" s="62"/>
      <c r="CP954" s="62"/>
      <c r="CQ954" s="62"/>
      <c r="CR954" s="62"/>
      <c r="CS954" s="62"/>
      <c r="CT954" s="62"/>
      <c r="CU954" s="62"/>
      <c r="CV954" s="62"/>
      <c r="CW954" s="62"/>
      <c r="CX954" s="62"/>
      <c r="CY954" s="62"/>
      <c r="CZ954" s="62"/>
      <c r="DA954" s="62"/>
      <c r="DB954" s="62"/>
      <c r="DC954" s="62"/>
      <c r="DD954" s="62"/>
      <c r="DE954" s="62"/>
      <c r="DF954" s="62"/>
      <c r="DG954" s="62"/>
      <c r="DH954" s="62"/>
      <c r="DI954" s="62"/>
      <c r="DJ954" s="62"/>
      <c r="DK954" s="62"/>
      <c r="DL954" s="62"/>
      <c r="DM954" s="62"/>
      <c r="DN954" s="62"/>
      <c r="DO954" s="62"/>
      <c r="DP954" s="62"/>
      <c r="DQ954" s="62"/>
      <c r="DR954" s="62"/>
      <c r="DS954" s="62"/>
      <c r="DT954" s="62"/>
      <c r="DU954" s="62"/>
      <c r="DV954" s="62"/>
      <c r="DW954" s="62"/>
      <c r="DX954" s="62"/>
      <c r="DY954" s="62"/>
      <c r="DZ954" s="62"/>
      <c r="EA954" s="62"/>
      <c r="EB954" s="62"/>
      <c r="EC954" s="62"/>
      <c r="ED954" s="62"/>
      <c r="EE954" s="62"/>
      <c r="EF954" s="62"/>
      <c r="EG954" s="62"/>
      <c r="EH954" s="62"/>
      <c r="EI954" s="62"/>
      <c r="EJ954" s="62"/>
      <c r="EK954" s="62"/>
      <c r="EL954" s="62"/>
      <c r="EM954" s="62"/>
      <c r="EN954" s="62"/>
      <c r="EO954" s="62"/>
      <c r="EP954" s="62"/>
      <c r="EQ954" s="62"/>
      <c r="ER954" s="62"/>
      <c r="ES954" s="62"/>
      <c r="ET954" s="62"/>
      <c r="EU954" s="62"/>
      <c r="EV954" s="62"/>
      <c r="EW954" s="62"/>
      <c r="EX954" s="62"/>
      <c r="EY954" s="62"/>
      <c r="EZ954" s="62"/>
      <c r="FA954" s="62"/>
      <c r="FB954" s="62"/>
      <c r="FC954" s="62"/>
      <c r="FD954" s="62"/>
      <c r="FE954" s="62"/>
      <c r="FF954" s="62"/>
      <c r="FG954" s="62"/>
      <c r="FH954" s="62"/>
      <c r="FI954" s="62"/>
      <c r="FJ954" s="62"/>
      <c r="FK954" s="62"/>
      <c r="FL954" s="62"/>
      <c r="FM954" s="62"/>
      <c r="FN954" s="62"/>
      <c r="FO954" s="62"/>
      <c r="FP954" s="62"/>
      <c r="FQ954" s="62"/>
      <c r="FR954" s="62"/>
      <c r="FS954" s="62"/>
      <c r="FT954" s="62"/>
      <c r="FU954" s="62"/>
      <c r="FV954" s="62"/>
    </row>
    <row r="955" spans="1:178" ht="13.8">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c r="AJ955" s="62"/>
      <c r="AK955" s="62"/>
      <c r="AL955" s="62"/>
      <c r="AM955" s="62"/>
      <c r="AN955" s="62"/>
      <c r="AO955" s="62"/>
      <c r="AP955" s="62"/>
      <c r="AQ955" s="62"/>
      <c r="AR955" s="62"/>
      <c r="AS955" s="62"/>
      <c r="AT955" s="62"/>
      <c r="AU955" s="62"/>
      <c r="AV955" s="62"/>
      <c r="AW955" s="62"/>
      <c r="AX955" s="62"/>
      <c r="AY955" s="62"/>
      <c r="AZ955" s="62"/>
      <c r="BA955" s="62"/>
      <c r="BB955" s="62"/>
      <c r="BC955" s="62"/>
      <c r="BD955" s="62"/>
      <c r="BE955" s="62"/>
      <c r="BF955" s="62"/>
      <c r="BG955" s="62"/>
      <c r="BH955" s="62"/>
      <c r="BI955" s="62"/>
      <c r="BJ955" s="62"/>
      <c r="BK955" s="62"/>
      <c r="BL955" s="62"/>
      <c r="BM955" s="62"/>
      <c r="BN955" s="62"/>
      <c r="BO955" s="62"/>
      <c r="BP955" s="62"/>
      <c r="BQ955" s="62"/>
      <c r="BR955" s="62"/>
      <c r="BS955" s="62"/>
      <c r="BT955" s="62"/>
      <c r="BU955" s="62"/>
      <c r="BV955" s="62"/>
      <c r="BW955" s="62"/>
      <c r="BX955" s="62"/>
      <c r="BY955" s="62"/>
      <c r="BZ955" s="62"/>
      <c r="CA955" s="62"/>
      <c r="CB955" s="62"/>
      <c r="CC955" s="62"/>
      <c r="CD955" s="62"/>
      <c r="CE955" s="62"/>
      <c r="CF955" s="62"/>
      <c r="CG955" s="62"/>
      <c r="CH955" s="62"/>
      <c r="CI955" s="62"/>
      <c r="CJ955" s="62"/>
      <c r="CK955" s="62"/>
      <c r="CL955" s="62"/>
      <c r="CM955" s="62"/>
      <c r="CN955" s="62"/>
      <c r="CO955" s="62"/>
      <c r="CP955" s="62"/>
      <c r="CQ955" s="62"/>
      <c r="CR955" s="62"/>
      <c r="CS955" s="62"/>
      <c r="CT955" s="62"/>
      <c r="CU955" s="62"/>
      <c r="CV955" s="62"/>
      <c r="CW955" s="62"/>
      <c r="CX955" s="62"/>
      <c r="CY955" s="62"/>
      <c r="CZ955" s="62"/>
      <c r="DA955" s="62"/>
      <c r="DB955" s="62"/>
      <c r="DC955" s="62"/>
      <c r="DD955" s="62"/>
      <c r="DE955" s="62"/>
      <c r="DF955" s="62"/>
      <c r="DG955" s="62"/>
      <c r="DH955" s="62"/>
      <c r="DI955" s="62"/>
      <c r="DJ955" s="62"/>
      <c r="DK955" s="62"/>
      <c r="DL955" s="62"/>
      <c r="DM955" s="62"/>
      <c r="DN955" s="62"/>
      <c r="DO955" s="62"/>
      <c r="DP955" s="62"/>
      <c r="DQ955" s="62"/>
      <c r="DR955" s="62"/>
      <c r="DS955" s="62"/>
      <c r="DT955" s="62"/>
      <c r="DU955" s="62"/>
      <c r="DV955" s="62"/>
      <c r="DW955" s="62"/>
      <c r="DX955" s="62"/>
      <c r="DY955" s="62"/>
      <c r="DZ955" s="62"/>
      <c r="EA955" s="62"/>
      <c r="EB955" s="62"/>
      <c r="EC955" s="62"/>
      <c r="ED955" s="62"/>
      <c r="EE955" s="62"/>
      <c r="EF955" s="62"/>
      <c r="EG955" s="62"/>
      <c r="EH955" s="62"/>
      <c r="EI955" s="62"/>
      <c r="EJ955" s="62"/>
      <c r="EK955" s="62"/>
      <c r="EL955" s="62"/>
      <c r="EM955" s="62"/>
      <c r="EN955" s="62"/>
      <c r="EO955" s="62"/>
      <c r="EP955" s="62"/>
      <c r="EQ955" s="62"/>
      <c r="ER955" s="62"/>
      <c r="ES955" s="62"/>
      <c r="ET955" s="62"/>
      <c r="EU955" s="62"/>
      <c r="EV955" s="62"/>
      <c r="EW955" s="62"/>
      <c r="EX955" s="62"/>
      <c r="EY955" s="62"/>
      <c r="EZ955" s="62"/>
      <c r="FA955" s="62"/>
      <c r="FB955" s="62"/>
      <c r="FC955" s="62"/>
      <c r="FD955" s="62"/>
      <c r="FE955" s="62"/>
      <c r="FF955" s="62"/>
      <c r="FG955" s="62"/>
      <c r="FH955" s="62"/>
      <c r="FI955" s="62"/>
      <c r="FJ955" s="62"/>
      <c r="FK955" s="62"/>
      <c r="FL955" s="62"/>
      <c r="FM955" s="62"/>
      <c r="FN955" s="62"/>
      <c r="FO955" s="62"/>
      <c r="FP955" s="62"/>
      <c r="FQ955" s="62"/>
      <c r="FR955" s="62"/>
      <c r="FS955" s="62"/>
      <c r="FT955" s="62"/>
      <c r="FU955" s="62"/>
      <c r="FV955" s="62"/>
    </row>
    <row r="956" spans="1:178" ht="13.8">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c r="AJ956" s="62"/>
      <c r="AK956" s="62"/>
      <c r="AL956" s="62"/>
      <c r="AM956" s="62"/>
      <c r="AN956" s="62"/>
      <c r="AO956" s="62"/>
      <c r="AP956" s="62"/>
      <c r="AQ956" s="62"/>
      <c r="AR956" s="62"/>
      <c r="AS956" s="62"/>
      <c r="AT956" s="62"/>
      <c r="AU956" s="62"/>
      <c r="AV956" s="62"/>
      <c r="AW956" s="62"/>
      <c r="AX956" s="62"/>
      <c r="AY956" s="62"/>
      <c r="AZ956" s="62"/>
      <c r="BA956" s="62"/>
      <c r="BB956" s="62"/>
      <c r="BC956" s="62"/>
      <c r="BD956" s="62"/>
      <c r="BE956" s="62"/>
      <c r="BF956" s="62"/>
      <c r="BG956" s="62"/>
      <c r="BH956" s="62"/>
      <c r="BI956" s="62"/>
      <c r="BJ956" s="62"/>
      <c r="BK956" s="62"/>
      <c r="BL956" s="62"/>
      <c r="BM956" s="62"/>
      <c r="BN956" s="62"/>
      <c r="BO956" s="62"/>
      <c r="BP956" s="62"/>
      <c r="BQ956" s="62"/>
      <c r="BR956" s="62"/>
      <c r="BS956" s="62"/>
      <c r="BT956" s="62"/>
      <c r="BU956" s="62"/>
      <c r="BV956" s="62"/>
      <c r="BW956" s="62"/>
      <c r="BX956" s="62"/>
      <c r="BY956" s="62"/>
      <c r="BZ956" s="62"/>
      <c r="CA956" s="62"/>
      <c r="CB956" s="62"/>
      <c r="CC956" s="62"/>
      <c r="CD956" s="62"/>
      <c r="CE956" s="62"/>
      <c r="CF956" s="62"/>
      <c r="CG956" s="62"/>
      <c r="CH956" s="62"/>
      <c r="CI956" s="62"/>
      <c r="CJ956" s="62"/>
      <c r="CK956" s="62"/>
      <c r="CL956" s="62"/>
      <c r="CM956" s="62"/>
      <c r="CN956" s="62"/>
      <c r="CO956" s="62"/>
      <c r="CP956" s="62"/>
      <c r="CQ956" s="62"/>
      <c r="CR956" s="62"/>
      <c r="CS956" s="62"/>
      <c r="CT956" s="62"/>
      <c r="CU956" s="62"/>
      <c r="CV956" s="62"/>
      <c r="CW956" s="62"/>
      <c r="CX956" s="62"/>
      <c r="CY956" s="62"/>
      <c r="CZ956" s="62"/>
      <c r="DA956" s="62"/>
      <c r="DB956" s="62"/>
      <c r="DC956" s="62"/>
      <c r="DD956" s="62"/>
      <c r="DE956" s="62"/>
      <c r="DF956" s="62"/>
      <c r="DG956" s="62"/>
      <c r="DH956" s="62"/>
      <c r="DI956" s="62"/>
      <c r="DJ956" s="62"/>
      <c r="DK956" s="62"/>
      <c r="DL956" s="62"/>
      <c r="DM956" s="62"/>
      <c r="DN956" s="62"/>
      <c r="DO956" s="62"/>
      <c r="DP956" s="62"/>
      <c r="DQ956" s="62"/>
      <c r="DR956" s="62"/>
      <c r="DS956" s="62"/>
      <c r="DT956" s="62"/>
      <c r="DU956" s="62"/>
      <c r="DV956" s="62"/>
      <c r="DW956" s="62"/>
      <c r="DX956" s="62"/>
      <c r="DY956" s="62"/>
      <c r="DZ956" s="62"/>
      <c r="EA956" s="62"/>
      <c r="EB956" s="62"/>
      <c r="EC956" s="62"/>
      <c r="ED956" s="62"/>
      <c r="EE956" s="62"/>
      <c r="EF956" s="62"/>
      <c r="EG956" s="62"/>
      <c r="EH956" s="62"/>
      <c r="EI956" s="62"/>
      <c r="EJ956" s="62"/>
      <c r="EK956" s="62"/>
      <c r="EL956" s="62"/>
      <c r="EM956" s="62"/>
      <c r="EN956" s="62"/>
      <c r="EO956" s="62"/>
      <c r="EP956" s="62"/>
      <c r="EQ956" s="62"/>
      <c r="ER956" s="62"/>
      <c r="ES956" s="62"/>
      <c r="ET956" s="62"/>
      <c r="EU956" s="62"/>
      <c r="EV956" s="62"/>
      <c r="EW956" s="62"/>
      <c r="EX956" s="62"/>
      <c r="EY956" s="62"/>
      <c r="EZ956" s="62"/>
      <c r="FA956" s="62"/>
      <c r="FB956" s="62"/>
      <c r="FC956" s="62"/>
      <c r="FD956" s="62"/>
      <c r="FE956" s="62"/>
      <c r="FF956" s="62"/>
      <c r="FG956" s="62"/>
      <c r="FH956" s="62"/>
      <c r="FI956" s="62"/>
      <c r="FJ956" s="62"/>
      <c r="FK956" s="62"/>
      <c r="FL956" s="62"/>
      <c r="FM956" s="62"/>
      <c r="FN956" s="62"/>
      <c r="FO956" s="62"/>
      <c r="FP956" s="62"/>
      <c r="FQ956" s="62"/>
      <c r="FR956" s="62"/>
      <c r="FS956" s="62"/>
      <c r="FT956" s="62"/>
      <c r="FU956" s="62"/>
      <c r="FV956" s="62"/>
    </row>
    <row r="957" spans="1:178" ht="13.8">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c r="AJ957" s="62"/>
      <c r="AK957" s="62"/>
      <c r="AL957" s="62"/>
      <c r="AM957" s="62"/>
      <c r="AN957" s="62"/>
      <c r="AO957" s="62"/>
      <c r="AP957" s="62"/>
      <c r="AQ957" s="62"/>
      <c r="AR957" s="62"/>
      <c r="AS957" s="62"/>
      <c r="AT957" s="62"/>
      <c r="AU957" s="62"/>
      <c r="AV957" s="62"/>
      <c r="AW957" s="62"/>
      <c r="AX957" s="62"/>
      <c r="AY957" s="62"/>
      <c r="AZ957" s="62"/>
      <c r="BA957" s="62"/>
      <c r="BB957" s="62"/>
      <c r="BC957" s="62"/>
      <c r="BD957" s="62"/>
      <c r="BE957" s="62"/>
      <c r="BF957" s="62"/>
      <c r="BG957" s="62"/>
      <c r="BH957" s="62"/>
      <c r="BI957" s="62"/>
      <c r="BJ957" s="62"/>
      <c r="BK957" s="62"/>
      <c r="BL957" s="62"/>
      <c r="BM957" s="62"/>
      <c r="BN957" s="62"/>
      <c r="BO957" s="62"/>
      <c r="BP957" s="62"/>
      <c r="BQ957" s="62"/>
      <c r="BR957" s="62"/>
      <c r="BS957" s="62"/>
      <c r="BT957" s="62"/>
      <c r="BU957" s="62"/>
      <c r="BV957" s="62"/>
      <c r="BW957" s="62"/>
      <c r="BX957" s="62"/>
      <c r="BY957" s="62"/>
      <c r="BZ957" s="62"/>
      <c r="CA957" s="62"/>
      <c r="CB957" s="62"/>
      <c r="CC957" s="62"/>
      <c r="CD957" s="62"/>
      <c r="CE957" s="62"/>
      <c r="CF957" s="62"/>
      <c r="CG957" s="62"/>
      <c r="CH957" s="62"/>
      <c r="CI957" s="62"/>
      <c r="CJ957" s="62"/>
      <c r="CK957" s="62"/>
      <c r="CL957" s="62"/>
      <c r="CM957" s="62"/>
      <c r="CN957" s="62"/>
      <c r="CO957" s="62"/>
      <c r="CP957" s="62"/>
      <c r="CQ957" s="62"/>
      <c r="CR957" s="62"/>
      <c r="CS957" s="62"/>
      <c r="CT957" s="62"/>
      <c r="CU957" s="62"/>
      <c r="CV957" s="62"/>
      <c r="CW957" s="62"/>
      <c r="CX957" s="62"/>
      <c r="CY957" s="62"/>
      <c r="CZ957" s="62"/>
      <c r="DA957" s="62"/>
      <c r="DB957" s="62"/>
      <c r="DC957" s="62"/>
      <c r="DD957" s="62"/>
      <c r="DE957" s="62"/>
      <c r="DF957" s="62"/>
      <c r="DG957" s="62"/>
      <c r="DH957" s="62"/>
      <c r="DI957" s="62"/>
      <c r="DJ957" s="62"/>
      <c r="DK957" s="62"/>
      <c r="DL957" s="62"/>
      <c r="DM957" s="62"/>
      <c r="DN957" s="62"/>
      <c r="DO957" s="62"/>
      <c r="DP957" s="62"/>
      <c r="DQ957" s="62"/>
      <c r="DR957" s="62"/>
      <c r="DS957" s="62"/>
      <c r="DT957" s="62"/>
      <c r="DU957" s="62"/>
      <c r="DV957" s="62"/>
      <c r="DW957" s="62"/>
      <c r="DX957" s="62"/>
      <c r="DY957" s="62"/>
      <c r="DZ957" s="62"/>
      <c r="EA957" s="62"/>
      <c r="EB957" s="62"/>
      <c r="EC957" s="62"/>
      <c r="ED957" s="62"/>
      <c r="EE957" s="62"/>
      <c r="EF957" s="62"/>
      <c r="EG957" s="62"/>
      <c r="EH957" s="62"/>
      <c r="EI957" s="62"/>
      <c r="EJ957" s="62"/>
      <c r="EK957" s="62"/>
      <c r="EL957" s="62"/>
      <c r="EM957" s="62"/>
      <c r="EN957" s="62"/>
      <c r="EO957" s="62"/>
      <c r="EP957" s="62"/>
      <c r="EQ957" s="62"/>
      <c r="ER957" s="62"/>
      <c r="ES957" s="62"/>
      <c r="ET957" s="62"/>
      <c r="EU957" s="62"/>
      <c r="EV957" s="62"/>
      <c r="EW957" s="62"/>
      <c r="EX957" s="62"/>
      <c r="EY957" s="62"/>
      <c r="EZ957" s="62"/>
      <c r="FA957" s="62"/>
      <c r="FB957" s="62"/>
      <c r="FC957" s="62"/>
      <c r="FD957" s="62"/>
      <c r="FE957" s="62"/>
      <c r="FF957" s="62"/>
      <c r="FG957" s="62"/>
      <c r="FH957" s="62"/>
      <c r="FI957" s="62"/>
      <c r="FJ957" s="62"/>
      <c r="FK957" s="62"/>
      <c r="FL957" s="62"/>
      <c r="FM957" s="62"/>
      <c r="FN957" s="62"/>
      <c r="FO957" s="62"/>
      <c r="FP957" s="62"/>
      <c r="FQ957" s="62"/>
      <c r="FR957" s="62"/>
      <c r="FS957" s="62"/>
      <c r="FT957" s="62"/>
      <c r="FU957" s="62"/>
      <c r="FV957" s="62"/>
    </row>
    <row r="958" spans="1:178" ht="13.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c r="AJ958" s="62"/>
      <c r="AK958" s="62"/>
      <c r="AL958" s="62"/>
      <c r="AM958" s="62"/>
      <c r="AN958" s="62"/>
      <c r="AO958" s="62"/>
      <c r="AP958" s="62"/>
      <c r="AQ958" s="62"/>
      <c r="AR958" s="62"/>
      <c r="AS958" s="62"/>
      <c r="AT958" s="62"/>
      <c r="AU958" s="62"/>
      <c r="AV958" s="62"/>
      <c r="AW958" s="62"/>
      <c r="AX958" s="62"/>
      <c r="AY958" s="62"/>
      <c r="AZ958" s="62"/>
      <c r="BA958" s="62"/>
      <c r="BB958" s="62"/>
      <c r="BC958" s="62"/>
      <c r="BD958" s="62"/>
      <c r="BE958" s="62"/>
      <c r="BF958" s="62"/>
      <c r="BG958" s="62"/>
      <c r="BH958" s="62"/>
      <c r="BI958" s="62"/>
      <c r="BJ958" s="62"/>
      <c r="BK958" s="62"/>
      <c r="BL958" s="62"/>
      <c r="BM958" s="62"/>
      <c r="BN958" s="62"/>
      <c r="BO958" s="62"/>
      <c r="BP958" s="62"/>
      <c r="BQ958" s="62"/>
      <c r="BR958" s="62"/>
      <c r="BS958" s="62"/>
      <c r="BT958" s="62"/>
      <c r="BU958" s="62"/>
      <c r="BV958" s="62"/>
      <c r="BW958" s="62"/>
      <c r="BX958" s="62"/>
      <c r="BY958" s="62"/>
      <c r="BZ958" s="62"/>
      <c r="CA958" s="62"/>
      <c r="CB958" s="62"/>
      <c r="CC958" s="62"/>
      <c r="CD958" s="62"/>
      <c r="CE958" s="62"/>
      <c r="CF958" s="62"/>
      <c r="CG958" s="62"/>
      <c r="CH958" s="62"/>
      <c r="CI958" s="62"/>
      <c r="CJ958" s="62"/>
      <c r="CK958" s="62"/>
      <c r="CL958" s="62"/>
      <c r="CM958" s="62"/>
      <c r="CN958" s="62"/>
      <c r="CO958" s="62"/>
      <c r="CP958" s="62"/>
      <c r="CQ958" s="62"/>
      <c r="CR958" s="62"/>
      <c r="CS958" s="62"/>
      <c r="CT958" s="62"/>
      <c r="CU958" s="62"/>
      <c r="CV958" s="62"/>
      <c r="CW958" s="62"/>
      <c r="CX958" s="62"/>
      <c r="CY958" s="62"/>
      <c r="CZ958" s="62"/>
      <c r="DA958" s="62"/>
      <c r="DB958" s="62"/>
      <c r="DC958" s="62"/>
      <c r="DD958" s="62"/>
      <c r="DE958" s="62"/>
      <c r="DF958" s="62"/>
      <c r="DG958" s="62"/>
      <c r="DH958" s="62"/>
      <c r="DI958" s="62"/>
      <c r="DJ958" s="62"/>
      <c r="DK958" s="62"/>
      <c r="DL958" s="62"/>
      <c r="DM958" s="62"/>
      <c r="DN958" s="62"/>
      <c r="DO958" s="62"/>
      <c r="DP958" s="62"/>
      <c r="DQ958" s="62"/>
      <c r="DR958" s="62"/>
      <c r="DS958" s="62"/>
      <c r="DT958" s="62"/>
      <c r="DU958" s="62"/>
      <c r="DV958" s="62"/>
      <c r="DW958" s="62"/>
      <c r="DX958" s="62"/>
      <c r="DY958" s="62"/>
      <c r="DZ958" s="62"/>
      <c r="EA958" s="62"/>
      <c r="EB958" s="62"/>
      <c r="EC958" s="62"/>
      <c r="ED958" s="62"/>
      <c r="EE958" s="62"/>
      <c r="EF958" s="62"/>
      <c r="EG958" s="62"/>
      <c r="EH958" s="62"/>
      <c r="EI958" s="62"/>
      <c r="EJ958" s="62"/>
      <c r="EK958" s="62"/>
      <c r="EL958" s="62"/>
      <c r="EM958" s="62"/>
      <c r="EN958" s="62"/>
      <c r="EO958" s="62"/>
      <c r="EP958" s="62"/>
      <c r="EQ958" s="62"/>
      <c r="ER958" s="62"/>
      <c r="ES958" s="62"/>
      <c r="ET958" s="62"/>
      <c r="EU958" s="62"/>
      <c r="EV958" s="62"/>
      <c r="EW958" s="62"/>
      <c r="EX958" s="62"/>
      <c r="EY958" s="62"/>
      <c r="EZ958" s="62"/>
      <c r="FA958" s="62"/>
      <c r="FB958" s="62"/>
      <c r="FC958" s="62"/>
      <c r="FD958" s="62"/>
      <c r="FE958" s="62"/>
      <c r="FF958" s="62"/>
      <c r="FG958" s="62"/>
      <c r="FH958" s="62"/>
      <c r="FI958" s="62"/>
      <c r="FJ958" s="62"/>
      <c r="FK958" s="62"/>
      <c r="FL958" s="62"/>
      <c r="FM958" s="62"/>
      <c r="FN958" s="62"/>
      <c r="FO958" s="62"/>
      <c r="FP958" s="62"/>
      <c r="FQ958" s="62"/>
      <c r="FR958" s="62"/>
      <c r="FS958" s="62"/>
      <c r="FT958" s="62"/>
      <c r="FU958" s="62"/>
      <c r="FV958" s="62"/>
    </row>
    <row r="959" spans="1:178" ht="13.8">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c r="AJ959" s="62"/>
      <c r="AK959" s="62"/>
      <c r="AL959" s="62"/>
      <c r="AM959" s="62"/>
      <c r="AN959" s="62"/>
      <c r="AO959" s="62"/>
      <c r="AP959" s="62"/>
      <c r="AQ959" s="62"/>
      <c r="AR959" s="62"/>
      <c r="AS959" s="62"/>
      <c r="AT959" s="62"/>
      <c r="AU959" s="62"/>
      <c r="AV959" s="62"/>
      <c r="AW959" s="62"/>
      <c r="AX959" s="62"/>
      <c r="AY959" s="62"/>
      <c r="AZ959" s="62"/>
      <c r="BA959" s="62"/>
      <c r="BB959" s="62"/>
      <c r="BC959" s="62"/>
      <c r="BD959" s="62"/>
      <c r="BE959" s="62"/>
      <c r="BF959" s="62"/>
      <c r="BG959" s="62"/>
      <c r="BH959" s="62"/>
      <c r="BI959" s="62"/>
      <c r="BJ959" s="62"/>
      <c r="BK959" s="62"/>
      <c r="BL959" s="62"/>
      <c r="BM959" s="62"/>
      <c r="BN959" s="62"/>
      <c r="BO959" s="62"/>
      <c r="BP959" s="62"/>
      <c r="BQ959" s="62"/>
      <c r="BR959" s="62"/>
      <c r="BS959" s="62"/>
      <c r="BT959" s="62"/>
      <c r="BU959" s="62"/>
      <c r="BV959" s="62"/>
      <c r="BW959" s="62"/>
      <c r="BX959" s="62"/>
      <c r="BY959" s="62"/>
      <c r="BZ959" s="62"/>
      <c r="CA959" s="62"/>
      <c r="CB959" s="62"/>
      <c r="CC959" s="62"/>
      <c r="CD959" s="62"/>
      <c r="CE959" s="62"/>
      <c r="CF959" s="62"/>
      <c r="CG959" s="62"/>
      <c r="CH959" s="62"/>
      <c r="CI959" s="62"/>
      <c r="CJ959" s="62"/>
      <c r="CK959" s="62"/>
      <c r="CL959" s="62"/>
      <c r="CM959" s="62"/>
      <c r="CN959" s="62"/>
      <c r="CO959" s="62"/>
      <c r="CP959" s="62"/>
      <c r="CQ959" s="62"/>
      <c r="CR959" s="62"/>
      <c r="CS959" s="62"/>
      <c r="CT959" s="62"/>
      <c r="CU959" s="62"/>
      <c r="CV959" s="62"/>
      <c r="CW959" s="62"/>
      <c r="CX959" s="62"/>
      <c r="CY959" s="62"/>
      <c r="CZ959" s="62"/>
      <c r="DA959" s="62"/>
      <c r="DB959" s="62"/>
      <c r="DC959" s="62"/>
      <c r="DD959" s="62"/>
      <c r="DE959" s="62"/>
      <c r="DF959" s="62"/>
      <c r="DG959" s="62"/>
      <c r="DH959" s="62"/>
      <c r="DI959" s="62"/>
      <c r="DJ959" s="62"/>
      <c r="DK959" s="62"/>
      <c r="DL959" s="62"/>
      <c r="DM959" s="62"/>
      <c r="DN959" s="62"/>
      <c r="DO959" s="62"/>
      <c r="DP959" s="62"/>
      <c r="DQ959" s="62"/>
      <c r="DR959" s="62"/>
      <c r="DS959" s="62"/>
      <c r="DT959" s="62"/>
      <c r="DU959" s="62"/>
      <c r="DV959" s="62"/>
      <c r="DW959" s="62"/>
      <c r="DX959" s="62"/>
      <c r="DY959" s="62"/>
      <c r="DZ959" s="62"/>
      <c r="EA959" s="62"/>
      <c r="EB959" s="62"/>
      <c r="EC959" s="62"/>
      <c r="ED959" s="62"/>
      <c r="EE959" s="62"/>
      <c r="EF959" s="62"/>
      <c r="EG959" s="62"/>
      <c r="EH959" s="62"/>
      <c r="EI959" s="62"/>
      <c r="EJ959" s="62"/>
      <c r="EK959" s="62"/>
      <c r="EL959" s="62"/>
      <c r="EM959" s="62"/>
      <c r="EN959" s="62"/>
      <c r="EO959" s="62"/>
      <c r="EP959" s="62"/>
      <c r="EQ959" s="62"/>
      <c r="ER959" s="62"/>
      <c r="ES959" s="62"/>
      <c r="ET959" s="62"/>
      <c r="EU959" s="62"/>
      <c r="EV959" s="62"/>
      <c r="EW959" s="62"/>
      <c r="EX959" s="62"/>
      <c r="EY959" s="62"/>
      <c r="EZ959" s="62"/>
      <c r="FA959" s="62"/>
      <c r="FB959" s="62"/>
      <c r="FC959" s="62"/>
      <c r="FD959" s="62"/>
      <c r="FE959" s="62"/>
      <c r="FF959" s="62"/>
      <c r="FG959" s="62"/>
      <c r="FH959" s="62"/>
      <c r="FI959" s="62"/>
      <c r="FJ959" s="62"/>
      <c r="FK959" s="62"/>
      <c r="FL959" s="62"/>
      <c r="FM959" s="62"/>
      <c r="FN959" s="62"/>
      <c r="FO959" s="62"/>
      <c r="FP959" s="62"/>
      <c r="FQ959" s="62"/>
      <c r="FR959" s="62"/>
      <c r="FS959" s="62"/>
      <c r="FT959" s="62"/>
      <c r="FU959" s="62"/>
      <c r="FV959" s="62"/>
    </row>
    <row r="960" spans="1:178" ht="13.8">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c r="AJ960" s="62"/>
      <c r="AK960" s="62"/>
      <c r="AL960" s="62"/>
      <c r="AM960" s="62"/>
      <c r="AN960" s="62"/>
      <c r="AO960" s="62"/>
      <c r="AP960" s="62"/>
      <c r="AQ960" s="62"/>
      <c r="AR960" s="62"/>
      <c r="AS960" s="62"/>
      <c r="AT960" s="62"/>
      <c r="AU960" s="62"/>
      <c r="AV960" s="62"/>
      <c r="AW960" s="62"/>
      <c r="AX960" s="62"/>
      <c r="AY960" s="62"/>
      <c r="AZ960" s="62"/>
      <c r="BA960" s="62"/>
      <c r="BB960" s="62"/>
      <c r="BC960" s="62"/>
      <c r="BD960" s="62"/>
      <c r="BE960" s="62"/>
      <c r="BF960" s="62"/>
      <c r="BG960" s="62"/>
      <c r="BH960" s="62"/>
      <c r="BI960" s="62"/>
      <c r="BJ960" s="62"/>
      <c r="BK960" s="62"/>
      <c r="BL960" s="62"/>
      <c r="BM960" s="62"/>
      <c r="BN960" s="62"/>
      <c r="BO960" s="62"/>
      <c r="BP960" s="62"/>
      <c r="BQ960" s="62"/>
      <c r="BR960" s="62"/>
      <c r="BS960" s="62"/>
      <c r="BT960" s="62"/>
      <c r="BU960" s="62"/>
      <c r="BV960" s="62"/>
      <c r="BW960" s="62"/>
      <c r="BX960" s="62"/>
      <c r="BY960" s="62"/>
      <c r="BZ960" s="62"/>
      <c r="CA960" s="62"/>
      <c r="CB960" s="62"/>
      <c r="CC960" s="62"/>
      <c r="CD960" s="62"/>
      <c r="CE960" s="62"/>
      <c r="CF960" s="62"/>
      <c r="CG960" s="62"/>
      <c r="CH960" s="62"/>
      <c r="CI960" s="62"/>
      <c r="CJ960" s="62"/>
      <c r="CK960" s="62"/>
      <c r="CL960" s="62"/>
      <c r="CM960" s="62"/>
      <c r="CN960" s="62"/>
      <c r="CO960" s="62"/>
      <c r="CP960" s="62"/>
      <c r="CQ960" s="62"/>
      <c r="CR960" s="62"/>
      <c r="CS960" s="62"/>
      <c r="CT960" s="62"/>
      <c r="CU960" s="62"/>
      <c r="CV960" s="62"/>
      <c r="CW960" s="62"/>
      <c r="CX960" s="62"/>
      <c r="CY960" s="62"/>
      <c r="CZ960" s="62"/>
      <c r="DA960" s="62"/>
      <c r="DB960" s="62"/>
      <c r="DC960" s="62"/>
      <c r="DD960" s="62"/>
      <c r="DE960" s="62"/>
      <c r="DF960" s="62"/>
      <c r="DG960" s="62"/>
      <c r="DH960" s="62"/>
      <c r="DI960" s="62"/>
      <c r="DJ960" s="62"/>
      <c r="DK960" s="62"/>
      <c r="DL960" s="62"/>
      <c r="DM960" s="62"/>
      <c r="DN960" s="62"/>
      <c r="DO960" s="62"/>
      <c r="DP960" s="62"/>
      <c r="DQ960" s="62"/>
      <c r="DR960" s="62"/>
      <c r="DS960" s="62"/>
      <c r="DT960" s="62"/>
      <c r="DU960" s="62"/>
      <c r="DV960" s="62"/>
      <c r="DW960" s="62"/>
      <c r="DX960" s="62"/>
      <c r="DY960" s="62"/>
      <c r="DZ960" s="62"/>
      <c r="EA960" s="62"/>
      <c r="EB960" s="62"/>
      <c r="EC960" s="62"/>
      <c r="ED960" s="62"/>
      <c r="EE960" s="62"/>
      <c r="EF960" s="62"/>
      <c r="EG960" s="62"/>
      <c r="EH960" s="62"/>
      <c r="EI960" s="62"/>
      <c r="EJ960" s="62"/>
      <c r="EK960" s="62"/>
      <c r="EL960" s="62"/>
      <c r="EM960" s="62"/>
      <c r="EN960" s="62"/>
      <c r="EO960" s="62"/>
      <c r="EP960" s="62"/>
      <c r="EQ960" s="62"/>
      <c r="ER960" s="62"/>
      <c r="ES960" s="62"/>
      <c r="ET960" s="62"/>
      <c r="EU960" s="62"/>
      <c r="EV960" s="62"/>
      <c r="EW960" s="62"/>
      <c r="EX960" s="62"/>
      <c r="EY960" s="62"/>
      <c r="EZ960" s="62"/>
      <c r="FA960" s="62"/>
      <c r="FB960" s="62"/>
      <c r="FC960" s="62"/>
      <c r="FD960" s="62"/>
      <c r="FE960" s="62"/>
      <c r="FF960" s="62"/>
      <c r="FG960" s="62"/>
      <c r="FH960" s="62"/>
      <c r="FI960" s="62"/>
      <c r="FJ960" s="62"/>
      <c r="FK960" s="62"/>
      <c r="FL960" s="62"/>
      <c r="FM960" s="62"/>
      <c r="FN960" s="62"/>
      <c r="FO960" s="62"/>
      <c r="FP960" s="62"/>
      <c r="FQ960" s="62"/>
      <c r="FR960" s="62"/>
      <c r="FS960" s="62"/>
      <c r="FT960" s="62"/>
      <c r="FU960" s="62"/>
      <c r="FV960" s="62"/>
    </row>
    <row r="961" spans="1:178" ht="13.8">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c r="AJ961" s="62"/>
      <c r="AK961" s="62"/>
      <c r="AL961" s="62"/>
      <c r="AM961" s="62"/>
      <c r="AN961" s="62"/>
      <c r="AO961" s="62"/>
      <c r="AP961" s="62"/>
      <c r="AQ961" s="62"/>
      <c r="AR961" s="62"/>
      <c r="AS961" s="62"/>
      <c r="AT961" s="62"/>
      <c r="AU961" s="62"/>
      <c r="AV961" s="62"/>
      <c r="AW961" s="62"/>
      <c r="AX961" s="62"/>
      <c r="AY961" s="62"/>
      <c r="AZ961" s="62"/>
      <c r="BA961" s="62"/>
      <c r="BB961" s="62"/>
      <c r="BC961" s="62"/>
      <c r="BD961" s="62"/>
      <c r="BE961" s="62"/>
      <c r="BF961" s="62"/>
      <c r="BG961" s="62"/>
      <c r="BH961" s="62"/>
      <c r="BI961" s="62"/>
      <c r="BJ961" s="62"/>
      <c r="BK961" s="62"/>
      <c r="BL961" s="62"/>
      <c r="BM961" s="62"/>
      <c r="BN961" s="62"/>
      <c r="BO961" s="62"/>
      <c r="BP961" s="62"/>
      <c r="BQ961" s="62"/>
      <c r="BR961" s="62"/>
      <c r="BS961" s="62"/>
      <c r="BT961" s="62"/>
      <c r="BU961" s="62"/>
      <c r="BV961" s="62"/>
      <c r="BW961" s="62"/>
      <c r="BX961" s="62"/>
      <c r="BY961" s="62"/>
      <c r="BZ961" s="62"/>
      <c r="CA961" s="62"/>
      <c r="CB961" s="62"/>
      <c r="CC961" s="62"/>
      <c r="CD961" s="62"/>
      <c r="CE961" s="62"/>
      <c r="CF961" s="62"/>
      <c r="CG961" s="62"/>
      <c r="CH961" s="62"/>
      <c r="CI961" s="62"/>
      <c r="CJ961" s="62"/>
      <c r="CK961" s="62"/>
      <c r="CL961" s="62"/>
      <c r="CM961" s="62"/>
      <c r="CN961" s="62"/>
      <c r="CO961" s="62"/>
      <c r="CP961" s="62"/>
      <c r="CQ961" s="62"/>
      <c r="CR961" s="62"/>
      <c r="CS961" s="62"/>
      <c r="CT961" s="62"/>
      <c r="CU961" s="62"/>
      <c r="CV961" s="62"/>
      <c r="CW961" s="62"/>
      <c r="CX961" s="62"/>
      <c r="CY961" s="62"/>
      <c r="CZ961" s="62"/>
      <c r="DA961" s="62"/>
      <c r="DB961" s="62"/>
      <c r="DC961" s="62"/>
      <c r="DD961" s="62"/>
      <c r="DE961" s="62"/>
      <c r="DF961" s="62"/>
      <c r="DG961" s="62"/>
      <c r="DH961" s="62"/>
      <c r="DI961" s="62"/>
      <c r="DJ961" s="62"/>
      <c r="DK961" s="62"/>
      <c r="DL961" s="62"/>
      <c r="DM961" s="62"/>
      <c r="DN961" s="62"/>
      <c r="DO961" s="62"/>
      <c r="DP961" s="62"/>
      <c r="DQ961" s="62"/>
      <c r="DR961" s="62"/>
      <c r="DS961" s="62"/>
      <c r="DT961" s="62"/>
      <c r="DU961" s="62"/>
      <c r="DV961" s="62"/>
      <c r="DW961" s="62"/>
      <c r="DX961" s="62"/>
      <c r="DY961" s="62"/>
      <c r="DZ961" s="62"/>
      <c r="EA961" s="62"/>
      <c r="EB961" s="62"/>
      <c r="EC961" s="62"/>
      <c r="ED961" s="62"/>
      <c r="EE961" s="62"/>
      <c r="EF961" s="62"/>
      <c r="EG961" s="62"/>
      <c r="EH961" s="62"/>
      <c r="EI961" s="62"/>
      <c r="EJ961" s="62"/>
      <c r="EK961" s="62"/>
      <c r="EL961" s="62"/>
      <c r="EM961" s="62"/>
      <c r="EN961" s="62"/>
      <c r="EO961" s="62"/>
      <c r="EP961" s="62"/>
      <c r="EQ961" s="62"/>
      <c r="ER961" s="62"/>
      <c r="ES961" s="62"/>
      <c r="ET961" s="62"/>
      <c r="EU961" s="62"/>
      <c r="EV961" s="62"/>
      <c r="EW961" s="62"/>
      <c r="EX961" s="62"/>
      <c r="EY961" s="62"/>
      <c r="EZ961" s="62"/>
      <c r="FA961" s="62"/>
      <c r="FB961" s="62"/>
      <c r="FC961" s="62"/>
      <c r="FD961" s="62"/>
      <c r="FE961" s="62"/>
      <c r="FF961" s="62"/>
      <c r="FG961" s="62"/>
      <c r="FH961" s="62"/>
      <c r="FI961" s="62"/>
      <c r="FJ961" s="62"/>
      <c r="FK961" s="62"/>
      <c r="FL961" s="62"/>
      <c r="FM961" s="62"/>
      <c r="FN961" s="62"/>
      <c r="FO961" s="62"/>
      <c r="FP961" s="62"/>
      <c r="FQ961" s="62"/>
      <c r="FR961" s="62"/>
      <c r="FS961" s="62"/>
      <c r="FT961" s="62"/>
      <c r="FU961" s="62"/>
      <c r="FV961" s="62"/>
    </row>
    <row r="962" spans="1:178" ht="13.8">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c r="AJ962" s="62"/>
      <c r="AK962" s="62"/>
      <c r="AL962" s="62"/>
      <c r="AM962" s="62"/>
      <c r="AN962" s="62"/>
      <c r="AO962" s="62"/>
      <c r="AP962" s="62"/>
      <c r="AQ962" s="62"/>
      <c r="AR962" s="62"/>
      <c r="AS962" s="62"/>
      <c r="AT962" s="62"/>
      <c r="AU962" s="62"/>
      <c r="AV962" s="62"/>
      <c r="AW962" s="62"/>
      <c r="AX962" s="62"/>
      <c r="AY962" s="62"/>
      <c r="AZ962" s="62"/>
      <c r="BA962" s="62"/>
      <c r="BB962" s="62"/>
      <c r="BC962" s="62"/>
      <c r="BD962" s="62"/>
      <c r="BE962" s="62"/>
      <c r="BF962" s="62"/>
      <c r="BG962" s="62"/>
      <c r="BH962" s="62"/>
      <c r="BI962" s="62"/>
      <c r="BJ962" s="62"/>
      <c r="BK962" s="62"/>
      <c r="BL962" s="62"/>
      <c r="BM962" s="62"/>
      <c r="BN962" s="62"/>
      <c r="BO962" s="62"/>
      <c r="BP962" s="62"/>
      <c r="BQ962" s="62"/>
      <c r="BR962" s="62"/>
      <c r="BS962" s="62"/>
      <c r="BT962" s="62"/>
      <c r="BU962" s="62"/>
      <c r="BV962" s="62"/>
      <c r="BW962" s="62"/>
      <c r="BX962" s="62"/>
      <c r="BY962" s="62"/>
      <c r="BZ962" s="62"/>
      <c r="CA962" s="62"/>
      <c r="CB962" s="62"/>
      <c r="CC962" s="62"/>
      <c r="CD962" s="62"/>
      <c r="CE962" s="62"/>
      <c r="CF962" s="62"/>
      <c r="CG962" s="62"/>
      <c r="CH962" s="62"/>
      <c r="CI962" s="62"/>
      <c r="CJ962" s="62"/>
      <c r="CK962" s="62"/>
      <c r="CL962" s="62"/>
      <c r="CM962" s="62"/>
      <c r="CN962" s="62"/>
      <c r="CO962" s="62"/>
      <c r="CP962" s="62"/>
      <c r="CQ962" s="62"/>
      <c r="CR962" s="62"/>
      <c r="CS962" s="62"/>
      <c r="CT962" s="62"/>
      <c r="CU962" s="62"/>
      <c r="CV962" s="62"/>
      <c r="CW962" s="62"/>
      <c r="CX962" s="62"/>
      <c r="CY962" s="62"/>
      <c r="CZ962" s="62"/>
      <c r="DA962" s="62"/>
      <c r="DB962" s="62"/>
      <c r="DC962" s="62"/>
      <c r="DD962" s="62"/>
      <c r="DE962" s="62"/>
      <c r="DF962" s="62"/>
      <c r="DG962" s="62"/>
      <c r="DH962" s="62"/>
      <c r="DI962" s="62"/>
      <c r="DJ962" s="62"/>
      <c r="DK962" s="62"/>
      <c r="DL962" s="62"/>
      <c r="DM962" s="62"/>
      <c r="DN962" s="62"/>
      <c r="DO962" s="62"/>
      <c r="DP962" s="62"/>
      <c r="DQ962" s="62"/>
      <c r="DR962" s="62"/>
      <c r="DS962" s="62"/>
      <c r="DT962" s="62"/>
      <c r="DU962" s="62"/>
      <c r="DV962" s="62"/>
      <c r="DW962" s="62"/>
      <c r="DX962" s="62"/>
      <c r="DY962" s="62"/>
      <c r="DZ962" s="62"/>
      <c r="EA962" s="62"/>
      <c r="EB962" s="62"/>
      <c r="EC962" s="62"/>
      <c r="ED962" s="62"/>
      <c r="EE962" s="62"/>
      <c r="EF962" s="62"/>
      <c r="EG962" s="62"/>
      <c r="EH962" s="62"/>
      <c r="EI962" s="62"/>
      <c r="EJ962" s="62"/>
      <c r="EK962" s="62"/>
      <c r="EL962" s="62"/>
      <c r="EM962" s="62"/>
      <c r="EN962" s="62"/>
      <c r="EO962" s="62"/>
      <c r="EP962" s="62"/>
      <c r="EQ962" s="62"/>
      <c r="ER962" s="62"/>
      <c r="ES962" s="62"/>
      <c r="ET962" s="62"/>
      <c r="EU962" s="62"/>
      <c r="EV962" s="62"/>
      <c r="EW962" s="62"/>
      <c r="EX962" s="62"/>
      <c r="EY962" s="62"/>
      <c r="EZ962" s="62"/>
      <c r="FA962" s="62"/>
      <c r="FB962" s="62"/>
      <c r="FC962" s="62"/>
      <c r="FD962" s="62"/>
      <c r="FE962" s="62"/>
      <c r="FF962" s="62"/>
      <c r="FG962" s="62"/>
      <c r="FH962" s="62"/>
      <c r="FI962" s="62"/>
      <c r="FJ962" s="62"/>
      <c r="FK962" s="62"/>
      <c r="FL962" s="62"/>
      <c r="FM962" s="62"/>
      <c r="FN962" s="62"/>
      <c r="FO962" s="62"/>
      <c r="FP962" s="62"/>
      <c r="FQ962" s="62"/>
      <c r="FR962" s="62"/>
      <c r="FS962" s="62"/>
      <c r="FT962" s="62"/>
      <c r="FU962" s="62"/>
      <c r="FV962" s="62"/>
    </row>
    <row r="963" spans="1:178" ht="13.8">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c r="AJ963" s="62"/>
      <c r="AK963" s="62"/>
      <c r="AL963" s="62"/>
      <c r="AM963" s="62"/>
      <c r="AN963" s="62"/>
      <c r="AO963" s="62"/>
      <c r="AP963" s="62"/>
      <c r="AQ963" s="62"/>
      <c r="AR963" s="62"/>
      <c r="AS963" s="62"/>
      <c r="AT963" s="62"/>
      <c r="AU963" s="62"/>
      <c r="AV963" s="62"/>
      <c r="AW963" s="62"/>
      <c r="AX963" s="62"/>
      <c r="AY963" s="62"/>
      <c r="AZ963" s="62"/>
      <c r="BA963" s="62"/>
      <c r="BB963" s="62"/>
      <c r="BC963" s="62"/>
      <c r="BD963" s="62"/>
      <c r="BE963" s="62"/>
      <c r="BF963" s="62"/>
      <c r="BG963" s="62"/>
      <c r="BH963" s="62"/>
      <c r="BI963" s="62"/>
      <c r="BJ963" s="62"/>
      <c r="BK963" s="62"/>
      <c r="BL963" s="62"/>
      <c r="BM963" s="62"/>
      <c r="BN963" s="62"/>
      <c r="BO963" s="62"/>
      <c r="BP963" s="62"/>
      <c r="BQ963" s="62"/>
      <c r="BR963" s="62"/>
      <c r="BS963" s="62"/>
      <c r="BT963" s="62"/>
      <c r="BU963" s="62"/>
      <c r="BV963" s="62"/>
      <c r="BW963" s="62"/>
      <c r="BX963" s="62"/>
      <c r="BY963" s="62"/>
      <c r="BZ963" s="62"/>
      <c r="CA963" s="62"/>
      <c r="CB963" s="62"/>
      <c r="CC963" s="62"/>
      <c r="CD963" s="62"/>
      <c r="CE963" s="62"/>
      <c r="CF963" s="62"/>
      <c r="CG963" s="62"/>
      <c r="CH963" s="62"/>
      <c r="CI963" s="62"/>
      <c r="CJ963" s="62"/>
      <c r="CK963" s="62"/>
      <c r="CL963" s="62"/>
      <c r="CM963" s="62"/>
      <c r="CN963" s="62"/>
      <c r="CO963" s="62"/>
      <c r="CP963" s="62"/>
      <c r="CQ963" s="62"/>
      <c r="CR963" s="62"/>
      <c r="CS963" s="62"/>
      <c r="CT963" s="62"/>
      <c r="CU963" s="62"/>
      <c r="CV963" s="62"/>
      <c r="CW963" s="62"/>
      <c r="CX963" s="62"/>
      <c r="CY963" s="62"/>
      <c r="CZ963" s="62"/>
      <c r="DA963" s="62"/>
      <c r="DB963" s="62"/>
      <c r="DC963" s="62"/>
      <c r="DD963" s="62"/>
      <c r="DE963" s="62"/>
      <c r="DF963" s="62"/>
      <c r="DG963" s="62"/>
      <c r="DH963" s="62"/>
      <c r="DI963" s="62"/>
      <c r="DJ963" s="62"/>
      <c r="DK963" s="62"/>
      <c r="DL963" s="62"/>
      <c r="DM963" s="62"/>
      <c r="DN963" s="62"/>
      <c r="DO963" s="62"/>
      <c r="DP963" s="62"/>
      <c r="DQ963" s="62"/>
      <c r="DR963" s="62"/>
      <c r="DS963" s="62"/>
      <c r="DT963" s="62"/>
      <c r="DU963" s="62"/>
      <c r="DV963" s="62"/>
      <c r="DW963" s="62"/>
      <c r="DX963" s="62"/>
      <c r="DY963" s="62"/>
      <c r="DZ963" s="62"/>
      <c r="EA963" s="62"/>
      <c r="EB963" s="62"/>
      <c r="EC963" s="62"/>
      <c r="ED963" s="62"/>
      <c r="EE963" s="62"/>
      <c r="EF963" s="62"/>
      <c r="EG963" s="62"/>
      <c r="EH963" s="62"/>
      <c r="EI963" s="62"/>
      <c r="EJ963" s="62"/>
      <c r="EK963" s="62"/>
      <c r="EL963" s="62"/>
      <c r="EM963" s="62"/>
      <c r="EN963" s="62"/>
      <c r="EO963" s="62"/>
      <c r="EP963" s="62"/>
      <c r="EQ963" s="62"/>
      <c r="ER963" s="62"/>
      <c r="ES963" s="62"/>
      <c r="ET963" s="62"/>
      <c r="EU963" s="62"/>
      <c r="EV963" s="62"/>
      <c r="EW963" s="62"/>
      <c r="EX963" s="62"/>
      <c r="EY963" s="62"/>
      <c r="EZ963" s="62"/>
      <c r="FA963" s="62"/>
      <c r="FB963" s="62"/>
      <c r="FC963" s="62"/>
      <c r="FD963" s="62"/>
      <c r="FE963" s="62"/>
      <c r="FF963" s="62"/>
      <c r="FG963" s="62"/>
      <c r="FH963" s="62"/>
      <c r="FI963" s="62"/>
      <c r="FJ963" s="62"/>
      <c r="FK963" s="62"/>
      <c r="FL963" s="62"/>
      <c r="FM963" s="62"/>
      <c r="FN963" s="62"/>
      <c r="FO963" s="62"/>
      <c r="FP963" s="62"/>
      <c r="FQ963" s="62"/>
      <c r="FR963" s="62"/>
      <c r="FS963" s="62"/>
      <c r="FT963" s="62"/>
      <c r="FU963" s="62"/>
      <c r="FV963" s="62"/>
    </row>
    <row r="964" spans="1:178" ht="13.8">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c r="AJ964" s="62"/>
      <c r="AK964" s="62"/>
      <c r="AL964" s="62"/>
      <c r="AM964" s="62"/>
      <c r="AN964" s="62"/>
      <c r="AO964" s="62"/>
      <c r="AP964" s="62"/>
      <c r="AQ964" s="62"/>
      <c r="AR964" s="62"/>
      <c r="AS964" s="62"/>
      <c r="AT964" s="62"/>
      <c r="AU964" s="62"/>
      <c r="AV964" s="62"/>
      <c r="AW964" s="62"/>
      <c r="AX964" s="62"/>
      <c r="AY964" s="62"/>
      <c r="AZ964" s="62"/>
      <c r="BA964" s="62"/>
      <c r="BB964" s="62"/>
      <c r="BC964" s="62"/>
      <c r="BD964" s="62"/>
      <c r="BE964" s="62"/>
      <c r="BF964" s="62"/>
      <c r="BG964" s="62"/>
      <c r="BH964" s="62"/>
      <c r="BI964" s="62"/>
      <c r="BJ964" s="62"/>
      <c r="BK964" s="62"/>
      <c r="BL964" s="62"/>
      <c r="BM964" s="62"/>
      <c r="BN964" s="62"/>
      <c r="BO964" s="62"/>
      <c r="BP964" s="62"/>
      <c r="BQ964" s="62"/>
      <c r="BR964" s="62"/>
      <c r="BS964" s="62"/>
      <c r="BT964" s="62"/>
      <c r="BU964" s="62"/>
      <c r="BV964" s="62"/>
      <c r="BW964" s="62"/>
      <c r="BX964" s="62"/>
      <c r="BY964" s="62"/>
      <c r="BZ964" s="62"/>
      <c r="CA964" s="62"/>
      <c r="CB964" s="62"/>
      <c r="CC964" s="62"/>
      <c r="CD964" s="62"/>
      <c r="CE964" s="62"/>
      <c r="CF964" s="62"/>
      <c r="CG964" s="62"/>
      <c r="CH964" s="62"/>
      <c r="CI964" s="62"/>
      <c r="CJ964" s="62"/>
      <c r="CK964" s="62"/>
      <c r="CL964" s="62"/>
      <c r="CM964" s="62"/>
      <c r="CN964" s="62"/>
      <c r="CO964" s="62"/>
      <c r="CP964" s="62"/>
      <c r="CQ964" s="62"/>
      <c r="CR964" s="62"/>
      <c r="CS964" s="62"/>
      <c r="CT964" s="62"/>
      <c r="CU964" s="62"/>
      <c r="CV964" s="62"/>
      <c r="CW964" s="62"/>
      <c r="CX964" s="62"/>
      <c r="CY964" s="62"/>
      <c r="CZ964" s="62"/>
      <c r="DA964" s="62"/>
      <c r="DB964" s="62"/>
      <c r="DC964" s="62"/>
      <c r="DD964" s="62"/>
      <c r="DE964" s="62"/>
      <c r="DF964" s="62"/>
      <c r="DG964" s="62"/>
      <c r="DH964" s="62"/>
      <c r="DI964" s="62"/>
      <c r="DJ964" s="62"/>
      <c r="DK964" s="62"/>
      <c r="DL964" s="62"/>
      <c r="DM964" s="62"/>
      <c r="DN964" s="62"/>
      <c r="DO964" s="62"/>
      <c r="DP964" s="62"/>
      <c r="DQ964" s="62"/>
      <c r="DR964" s="62"/>
      <c r="DS964" s="62"/>
      <c r="DT964" s="62"/>
      <c r="DU964" s="62"/>
      <c r="DV964" s="62"/>
      <c r="DW964" s="62"/>
      <c r="DX964" s="62"/>
      <c r="DY964" s="62"/>
      <c r="DZ964" s="62"/>
      <c r="EA964" s="62"/>
      <c r="EB964" s="62"/>
      <c r="EC964" s="62"/>
      <c r="ED964" s="62"/>
      <c r="EE964" s="62"/>
      <c r="EF964" s="62"/>
      <c r="EG964" s="62"/>
      <c r="EH964" s="62"/>
      <c r="EI964" s="62"/>
      <c r="EJ964" s="62"/>
      <c r="EK964" s="62"/>
      <c r="EL964" s="62"/>
      <c r="EM964" s="62"/>
      <c r="EN964" s="62"/>
      <c r="EO964" s="62"/>
      <c r="EP964" s="62"/>
      <c r="EQ964" s="62"/>
      <c r="ER964" s="62"/>
      <c r="ES964" s="62"/>
      <c r="ET964" s="62"/>
      <c r="EU964" s="62"/>
      <c r="EV964" s="62"/>
      <c r="EW964" s="62"/>
      <c r="EX964" s="62"/>
      <c r="EY964" s="62"/>
      <c r="EZ964" s="62"/>
      <c r="FA964" s="62"/>
      <c r="FB964" s="62"/>
      <c r="FC964" s="62"/>
      <c r="FD964" s="62"/>
      <c r="FE964" s="62"/>
      <c r="FF964" s="62"/>
      <c r="FG964" s="62"/>
      <c r="FH964" s="62"/>
      <c r="FI964" s="62"/>
      <c r="FJ964" s="62"/>
      <c r="FK964" s="62"/>
      <c r="FL964" s="62"/>
      <c r="FM964" s="62"/>
      <c r="FN964" s="62"/>
      <c r="FO964" s="62"/>
      <c r="FP964" s="62"/>
      <c r="FQ964" s="62"/>
      <c r="FR964" s="62"/>
      <c r="FS964" s="62"/>
      <c r="FT964" s="62"/>
      <c r="FU964" s="62"/>
      <c r="FV964" s="62"/>
    </row>
    <row r="965" spans="1:178" ht="13.8">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c r="AJ965" s="62"/>
      <c r="AK965" s="62"/>
      <c r="AL965" s="62"/>
      <c r="AM965" s="62"/>
      <c r="AN965" s="62"/>
      <c r="AO965" s="62"/>
      <c r="AP965" s="62"/>
      <c r="AQ965" s="62"/>
      <c r="AR965" s="62"/>
      <c r="AS965" s="62"/>
      <c r="AT965" s="62"/>
      <c r="AU965" s="62"/>
      <c r="AV965" s="62"/>
      <c r="AW965" s="62"/>
      <c r="AX965" s="62"/>
      <c r="AY965" s="62"/>
      <c r="AZ965" s="62"/>
      <c r="BA965" s="62"/>
      <c r="BB965" s="62"/>
      <c r="BC965" s="62"/>
      <c r="BD965" s="62"/>
      <c r="BE965" s="62"/>
      <c r="BF965" s="62"/>
      <c r="BG965" s="62"/>
      <c r="BH965" s="62"/>
      <c r="BI965" s="62"/>
      <c r="BJ965" s="62"/>
      <c r="BK965" s="62"/>
      <c r="BL965" s="62"/>
      <c r="BM965" s="62"/>
      <c r="BN965" s="62"/>
      <c r="BO965" s="62"/>
      <c r="BP965" s="62"/>
      <c r="BQ965" s="62"/>
      <c r="BR965" s="62"/>
      <c r="BS965" s="62"/>
      <c r="BT965" s="62"/>
      <c r="BU965" s="62"/>
      <c r="BV965" s="62"/>
      <c r="BW965" s="62"/>
      <c r="BX965" s="62"/>
      <c r="BY965" s="62"/>
      <c r="BZ965" s="62"/>
      <c r="CA965" s="62"/>
      <c r="CB965" s="62"/>
      <c r="CC965" s="62"/>
      <c r="CD965" s="62"/>
      <c r="CE965" s="62"/>
      <c r="CF965" s="62"/>
      <c r="CG965" s="62"/>
      <c r="CH965" s="62"/>
      <c r="CI965" s="62"/>
      <c r="CJ965" s="62"/>
      <c r="CK965" s="62"/>
      <c r="CL965" s="62"/>
      <c r="CM965" s="62"/>
      <c r="CN965" s="62"/>
      <c r="CO965" s="62"/>
      <c r="CP965" s="62"/>
      <c r="CQ965" s="62"/>
      <c r="CR965" s="62"/>
      <c r="CS965" s="62"/>
      <c r="CT965" s="62"/>
      <c r="CU965" s="62"/>
      <c r="CV965" s="62"/>
      <c r="CW965" s="62"/>
      <c r="CX965" s="62"/>
      <c r="CY965" s="62"/>
      <c r="CZ965" s="62"/>
      <c r="DA965" s="62"/>
      <c r="DB965" s="62"/>
      <c r="DC965" s="62"/>
      <c r="DD965" s="62"/>
      <c r="DE965" s="62"/>
      <c r="DF965" s="62"/>
      <c r="DG965" s="62"/>
      <c r="DH965" s="62"/>
      <c r="DI965" s="62"/>
      <c r="DJ965" s="62"/>
      <c r="DK965" s="62"/>
      <c r="DL965" s="62"/>
      <c r="DM965" s="62"/>
      <c r="DN965" s="62"/>
      <c r="DO965" s="62"/>
      <c r="DP965" s="62"/>
      <c r="DQ965" s="62"/>
      <c r="DR965" s="62"/>
      <c r="DS965" s="62"/>
      <c r="DT965" s="62"/>
      <c r="DU965" s="62"/>
      <c r="DV965" s="62"/>
      <c r="DW965" s="62"/>
      <c r="DX965" s="62"/>
      <c r="DY965" s="62"/>
      <c r="DZ965" s="62"/>
      <c r="EA965" s="62"/>
      <c r="EB965" s="62"/>
      <c r="EC965" s="62"/>
      <c r="ED965" s="62"/>
      <c r="EE965" s="62"/>
      <c r="EF965" s="62"/>
      <c r="EG965" s="62"/>
      <c r="EH965" s="62"/>
      <c r="EI965" s="62"/>
      <c r="EJ965" s="62"/>
      <c r="EK965" s="62"/>
      <c r="EL965" s="62"/>
      <c r="EM965" s="62"/>
      <c r="EN965" s="62"/>
      <c r="EO965" s="62"/>
      <c r="EP965" s="62"/>
      <c r="EQ965" s="62"/>
      <c r="ER965" s="62"/>
      <c r="ES965" s="62"/>
      <c r="ET965" s="62"/>
      <c r="EU965" s="62"/>
      <c r="EV965" s="62"/>
      <c r="EW965" s="62"/>
      <c r="EX965" s="62"/>
      <c r="EY965" s="62"/>
      <c r="EZ965" s="62"/>
      <c r="FA965" s="62"/>
      <c r="FB965" s="62"/>
      <c r="FC965" s="62"/>
      <c r="FD965" s="62"/>
      <c r="FE965" s="62"/>
      <c r="FF965" s="62"/>
      <c r="FG965" s="62"/>
      <c r="FH965" s="62"/>
      <c r="FI965" s="62"/>
      <c r="FJ965" s="62"/>
      <c r="FK965" s="62"/>
      <c r="FL965" s="62"/>
      <c r="FM965" s="62"/>
      <c r="FN965" s="62"/>
      <c r="FO965" s="62"/>
      <c r="FP965" s="62"/>
      <c r="FQ965" s="62"/>
      <c r="FR965" s="62"/>
      <c r="FS965" s="62"/>
      <c r="FT965" s="62"/>
      <c r="FU965" s="62"/>
      <c r="FV965" s="62"/>
    </row>
    <row r="966" spans="1:178" ht="13.8">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c r="AJ966" s="62"/>
      <c r="AK966" s="62"/>
      <c r="AL966" s="62"/>
      <c r="AM966" s="62"/>
      <c r="AN966" s="62"/>
      <c r="AO966" s="62"/>
      <c r="AP966" s="62"/>
      <c r="AQ966" s="62"/>
      <c r="AR966" s="62"/>
      <c r="AS966" s="62"/>
      <c r="AT966" s="62"/>
      <c r="AU966" s="62"/>
      <c r="AV966" s="62"/>
      <c r="AW966" s="62"/>
      <c r="AX966" s="62"/>
      <c r="AY966" s="62"/>
      <c r="AZ966" s="62"/>
      <c r="BA966" s="62"/>
      <c r="BB966" s="62"/>
      <c r="BC966" s="62"/>
      <c r="BD966" s="62"/>
      <c r="BE966" s="62"/>
      <c r="BF966" s="62"/>
      <c r="BG966" s="62"/>
      <c r="BH966" s="62"/>
      <c r="BI966" s="62"/>
      <c r="BJ966" s="62"/>
      <c r="BK966" s="62"/>
      <c r="BL966" s="62"/>
      <c r="BM966" s="62"/>
      <c r="BN966" s="62"/>
      <c r="BO966" s="62"/>
      <c r="BP966" s="62"/>
      <c r="BQ966" s="62"/>
      <c r="BR966" s="62"/>
      <c r="BS966" s="62"/>
      <c r="BT966" s="62"/>
      <c r="BU966" s="62"/>
      <c r="BV966" s="62"/>
      <c r="BW966" s="62"/>
      <c r="BX966" s="62"/>
      <c r="BY966" s="62"/>
      <c r="BZ966" s="62"/>
      <c r="CA966" s="62"/>
      <c r="CB966" s="62"/>
      <c r="CC966" s="62"/>
      <c r="CD966" s="62"/>
      <c r="CE966" s="62"/>
      <c r="CF966" s="62"/>
      <c r="CG966" s="62"/>
      <c r="CH966" s="62"/>
      <c r="CI966" s="62"/>
      <c r="CJ966" s="62"/>
      <c r="CK966" s="62"/>
      <c r="CL966" s="62"/>
      <c r="CM966" s="62"/>
      <c r="CN966" s="62"/>
      <c r="CO966" s="62"/>
      <c r="CP966" s="62"/>
      <c r="CQ966" s="62"/>
      <c r="CR966" s="62"/>
      <c r="CS966" s="62"/>
      <c r="CT966" s="62"/>
      <c r="CU966" s="62"/>
      <c r="CV966" s="62"/>
      <c r="CW966" s="62"/>
      <c r="CX966" s="62"/>
      <c r="CY966" s="62"/>
      <c r="CZ966" s="62"/>
      <c r="DA966" s="62"/>
      <c r="DB966" s="62"/>
      <c r="DC966" s="62"/>
      <c r="DD966" s="62"/>
      <c r="DE966" s="62"/>
      <c r="DF966" s="62"/>
      <c r="DG966" s="62"/>
      <c r="DH966" s="62"/>
      <c r="DI966" s="62"/>
      <c r="DJ966" s="62"/>
      <c r="DK966" s="62"/>
      <c r="DL966" s="62"/>
      <c r="DM966" s="62"/>
      <c r="DN966" s="62"/>
      <c r="DO966" s="62"/>
      <c r="DP966" s="62"/>
      <c r="DQ966" s="62"/>
      <c r="DR966" s="62"/>
      <c r="DS966" s="62"/>
      <c r="DT966" s="62"/>
      <c r="DU966" s="62"/>
      <c r="DV966" s="62"/>
      <c r="DW966" s="62"/>
      <c r="DX966" s="62"/>
      <c r="DY966" s="62"/>
      <c r="DZ966" s="62"/>
      <c r="EA966" s="62"/>
      <c r="EB966" s="62"/>
      <c r="EC966" s="62"/>
      <c r="ED966" s="62"/>
      <c r="EE966" s="62"/>
      <c r="EF966" s="62"/>
      <c r="EG966" s="62"/>
      <c r="EH966" s="62"/>
      <c r="EI966" s="62"/>
      <c r="EJ966" s="62"/>
      <c r="EK966" s="62"/>
      <c r="EL966" s="62"/>
      <c r="EM966" s="62"/>
      <c r="EN966" s="62"/>
      <c r="EO966" s="62"/>
      <c r="EP966" s="62"/>
      <c r="EQ966" s="62"/>
      <c r="ER966" s="62"/>
      <c r="ES966" s="62"/>
      <c r="ET966" s="62"/>
      <c r="EU966" s="62"/>
      <c r="EV966" s="62"/>
      <c r="EW966" s="62"/>
      <c r="EX966" s="62"/>
      <c r="EY966" s="62"/>
      <c r="EZ966" s="62"/>
      <c r="FA966" s="62"/>
      <c r="FB966" s="62"/>
      <c r="FC966" s="62"/>
      <c r="FD966" s="62"/>
      <c r="FE966" s="62"/>
      <c r="FF966" s="62"/>
      <c r="FG966" s="62"/>
      <c r="FH966" s="62"/>
      <c r="FI966" s="62"/>
      <c r="FJ966" s="62"/>
      <c r="FK966" s="62"/>
      <c r="FL966" s="62"/>
      <c r="FM966" s="62"/>
      <c r="FN966" s="62"/>
      <c r="FO966" s="62"/>
      <c r="FP966" s="62"/>
      <c r="FQ966" s="62"/>
      <c r="FR966" s="62"/>
      <c r="FS966" s="62"/>
      <c r="FT966" s="62"/>
      <c r="FU966" s="62"/>
      <c r="FV966" s="62"/>
    </row>
    <row r="967" spans="1:178" ht="13.8">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c r="AJ967" s="62"/>
      <c r="AK967" s="62"/>
      <c r="AL967" s="62"/>
      <c r="AM967" s="62"/>
      <c r="AN967" s="62"/>
      <c r="AO967" s="62"/>
      <c r="AP967" s="62"/>
      <c r="AQ967" s="62"/>
      <c r="AR967" s="62"/>
      <c r="AS967" s="62"/>
      <c r="AT967" s="62"/>
      <c r="AU967" s="62"/>
      <c r="AV967" s="62"/>
      <c r="AW967" s="62"/>
      <c r="AX967" s="62"/>
      <c r="AY967" s="62"/>
      <c r="AZ967" s="62"/>
      <c r="BA967" s="62"/>
      <c r="BB967" s="62"/>
      <c r="BC967" s="62"/>
      <c r="BD967" s="62"/>
      <c r="BE967" s="62"/>
      <c r="BF967" s="62"/>
      <c r="BG967" s="62"/>
      <c r="BH967" s="62"/>
      <c r="BI967" s="62"/>
      <c r="BJ967" s="62"/>
      <c r="BK967" s="62"/>
      <c r="BL967" s="62"/>
      <c r="BM967" s="62"/>
      <c r="BN967" s="62"/>
      <c r="BO967" s="62"/>
      <c r="BP967" s="62"/>
      <c r="BQ967" s="62"/>
      <c r="BR967" s="62"/>
      <c r="BS967" s="62"/>
      <c r="BT967" s="62"/>
      <c r="BU967" s="62"/>
      <c r="BV967" s="62"/>
      <c r="BW967" s="62"/>
      <c r="BX967" s="62"/>
      <c r="BY967" s="62"/>
      <c r="BZ967" s="62"/>
      <c r="CA967" s="62"/>
      <c r="CB967" s="62"/>
      <c r="CC967" s="62"/>
      <c r="CD967" s="62"/>
      <c r="CE967" s="62"/>
      <c r="CF967" s="62"/>
      <c r="CG967" s="62"/>
      <c r="CH967" s="62"/>
      <c r="CI967" s="62"/>
      <c r="CJ967" s="62"/>
      <c r="CK967" s="62"/>
      <c r="CL967" s="62"/>
      <c r="CM967" s="62"/>
      <c r="CN967" s="62"/>
      <c r="CO967" s="62"/>
      <c r="CP967" s="62"/>
      <c r="CQ967" s="62"/>
      <c r="CR967" s="62"/>
      <c r="CS967" s="62"/>
      <c r="CT967" s="62"/>
      <c r="CU967" s="62"/>
      <c r="CV967" s="62"/>
      <c r="CW967" s="62"/>
      <c r="CX967" s="62"/>
      <c r="CY967" s="62"/>
      <c r="CZ967" s="62"/>
      <c r="DA967" s="62"/>
      <c r="DB967" s="62"/>
      <c r="DC967" s="62"/>
      <c r="DD967" s="62"/>
      <c r="DE967" s="62"/>
      <c r="DF967" s="62"/>
      <c r="DG967" s="62"/>
      <c r="DH967" s="62"/>
      <c r="DI967" s="62"/>
      <c r="DJ967" s="62"/>
      <c r="DK967" s="62"/>
      <c r="DL967" s="62"/>
      <c r="DM967" s="62"/>
      <c r="DN967" s="62"/>
      <c r="DO967" s="62"/>
      <c r="DP967" s="62"/>
      <c r="DQ967" s="62"/>
      <c r="DR967" s="62"/>
      <c r="DS967" s="62"/>
      <c r="DT967" s="62"/>
      <c r="DU967" s="62"/>
      <c r="DV967" s="62"/>
      <c r="DW967" s="62"/>
      <c r="DX967" s="62"/>
      <c r="DY967" s="62"/>
      <c r="DZ967" s="62"/>
      <c r="EA967" s="62"/>
      <c r="EB967" s="62"/>
      <c r="EC967" s="62"/>
      <c r="ED967" s="62"/>
      <c r="EE967" s="62"/>
      <c r="EF967" s="62"/>
      <c r="EG967" s="62"/>
      <c r="EH967" s="62"/>
      <c r="EI967" s="62"/>
      <c r="EJ967" s="62"/>
      <c r="EK967" s="62"/>
      <c r="EL967" s="62"/>
      <c r="EM967" s="62"/>
      <c r="EN967" s="62"/>
      <c r="EO967" s="62"/>
      <c r="EP967" s="62"/>
      <c r="EQ967" s="62"/>
      <c r="ER967" s="62"/>
      <c r="ES967" s="62"/>
      <c r="ET967" s="62"/>
      <c r="EU967" s="62"/>
      <c r="EV967" s="62"/>
      <c r="EW967" s="62"/>
      <c r="EX967" s="62"/>
      <c r="EY967" s="62"/>
      <c r="EZ967" s="62"/>
      <c r="FA967" s="62"/>
      <c r="FB967" s="62"/>
      <c r="FC967" s="62"/>
      <c r="FD967" s="62"/>
      <c r="FE967" s="62"/>
      <c r="FF967" s="62"/>
      <c r="FG967" s="62"/>
      <c r="FH967" s="62"/>
      <c r="FI967" s="62"/>
      <c r="FJ967" s="62"/>
      <c r="FK967" s="62"/>
      <c r="FL967" s="62"/>
      <c r="FM967" s="62"/>
      <c r="FN967" s="62"/>
      <c r="FO967" s="62"/>
      <c r="FP967" s="62"/>
      <c r="FQ967" s="62"/>
      <c r="FR967" s="62"/>
      <c r="FS967" s="62"/>
      <c r="FT967" s="62"/>
      <c r="FU967" s="62"/>
      <c r="FV967" s="62"/>
    </row>
    <row r="968" spans="1:178" ht="13.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c r="AJ968" s="62"/>
      <c r="AK968" s="62"/>
      <c r="AL968" s="62"/>
      <c r="AM968" s="62"/>
      <c r="AN968" s="62"/>
      <c r="AO968" s="62"/>
      <c r="AP968" s="62"/>
      <c r="AQ968" s="62"/>
      <c r="AR968" s="62"/>
      <c r="AS968" s="62"/>
      <c r="AT968" s="62"/>
      <c r="AU968" s="62"/>
      <c r="AV968" s="62"/>
      <c r="AW968" s="62"/>
      <c r="AX968" s="62"/>
      <c r="AY968" s="62"/>
      <c r="AZ968" s="62"/>
      <c r="BA968" s="62"/>
      <c r="BB968" s="62"/>
      <c r="BC968" s="62"/>
      <c r="BD968" s="62"/>
      <c r="BE968" s="62"/>
      <c r="BF968" s="62"/>
      <c r="BG968" s="62"/>
      <c r="BH968" s="62"/>
      <c r="BI968" s="62"/>
      <c r="BJ968" s="62"/>
      <c r="BK968" s="62"/>
      <c r="BL968" s="62"/>
      <c r="BM968" s="62"/>
      <c r="BN968" s="62"/>
      <c r="BO968" s="62"/>
      <c r="BP968" s="62"/>
      <c r="BQ968" s="62"/>
      <c r="BR968" s="62"/>
      <c r="BS968" s="62"/>
      <c r="BT968" s="62"/>
      <c r="BU968" s="62"/>
      <c r="BV968" s="62"/>
      <c r="BW968" s="62"/>
      <c r="BX968" s="62"/>
      <c r="BY968" s="62"/>
      <c r="BZ968" s="62"/>
      <c r="CA968" s="62"/>
      <c r="CB968" s="62"/>
      <c r="CC968" s="62"/>
      <c r="CD968" s="62"/>
      <c r="CE968" s="62"/>
      <c r="CF968" s="62"/>
      <c r="CG968" s="62"/>
      <c r="CH968" s="62"/>
      <c r="CI968" s="62"/>
      <c r="CJ968" s="62"/>
      <c r="CK968" s="62"/>
      <c r="CL968" s="62"/>
      <c r="CM968" s="62"/>
      <c r="CN968" s="62"/>
      <c r="CO968" s="62"/>
      <c r="CP968" s="62"/>
      <c r="CQ968" s="62"/>
      <c r="CR968" s="62"/>
      <c r="CS968" s="62"/>
      <c r="CT968" s="62"/>
      <c r="CU968" s="62"/>
      <c r="CV968" s="62"/>
      <c r="CW968" s="62"/>
      <c r="CX968" s="62"/>
      <c r="CY968" s="62"/>
      <c r="CZ968" s="62"/>
      <c r="DA968" s="62"/>
      <c r="DB968" s="62"/>
      <c r="DC968" s="62"/>
      <c r="DD968" s="62"/>
      <c r="DE968" s="62"/>
      <c r="DF968" s="62"/>
      <c r="DG968" s="62"/>
      <c r="DH968" s="62"/>
      <c r="DI968" s="62"/>
      <c r="DJ968" s="62"/>
      <c r="DK968" s="62"/>
      <c r="DL968" s="62"/>
      <c r="DM968" s="62"/>
      <c r="DN968" s="62"/>
      <c r="DO968" s="62"/>
      <c r="DP968" s="62"/>
      <c r="DQ968" s="62"/>
      <c r="DR968" s="62"/>
      <c r="DS968" s="62"/>
      <c r="DT968" s="62"/>
      <c r="DU968" s="62"/>
      <c r="DV968" s="62"/>
      <c r="DW968" s="62"/>
      <c r="DX968" s="62"/>
      <c r="DY968" s="62"/>
      <c r="DZ968" s="62"/>
      <c r="EA968" s="62"/>
      <c r="EB968" s="62"/>
      <c r="EC968" s="62"/>
      <c r="ED968" s="62"/>
      <c r="EE968" s="62"/>
      <c r="EF968" s="62"/>
      <c r="EG968" s="62"/>
      <c r="EH968" s="62"/>
      <c r="EI968" s="62"/>
      <c r="EJ968" s="62"/>
      <c r="EK968" s="62"/>
      <c r="EL968" s="62"/>
      <c r="EM968" s="62"/>
      <c r="EN968" s="62"/>
      <c r="EO968" s="62"/>
      <c r="EP968" s="62"/>
      <c r="EQ968" s="62"/>
      <c r="ER968" s="62"/>
      <c r="ES968" s="62"/>
      <c r="ET968" s="62"/>
      <c r="EU968" s="62"/>
      <c r="EV968" s="62"/>
      <c r="EW968" s="62"/>
      <c r="EX968" s="62"/>
      <c r="EY968" s="62"/>
      <c r="EZ968" s="62"/>
      <c r="FA968" s="62"/>
      <c r="FB968" s="62"/>
      <c r="FC968" s="62"/>
      <c r="FD968" s="62"/>
      <c r="FE968" s="62"/>
      <c r="FF968" s="62"/>
      <c r="FG968" s="62"/>
      <c r="FH968" s="62"/>
      <c r="FI968" s="62"/>
      <c r="FJ968" s="62"/>
      <c r="FK968" s="62"/>
      <c r="FL968" s="62"/>
      <c r="FM968" s="62"/>
      <c r="FN968" s="62"/>
      <c r="FO968" s="62"/>
      <c r="FP968" s="62"/>
      <c r="FQ968" s="62"/>
      <c r="FR968" s="62"/>
      <c r="FS968" s="62"/>
      <c r="FT968" s="62"/>
      <c r="FU968" s="62"/>
      <c r="FV968" s="62"/>
    </row>
    <row r="969" spans="1:178" ht="13.8">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c r="AJ969" s="62"/>
      <c r="AK969" s="62"/>
      <c r="AL969" s="62"/>
      <c r="AM969" s="62"/>
      <c r="AN969" s="62"/>
      <c r="AO969" s="62"/>
      <c r="AP969" s="62"/>
      <c r="AQ969" s="62"/>
      <c r="AR969" s="62"/>
      <c r="AS969" s="62"/>
      <c r="AT969" s="62"/>
      <c r="AU969" s="62"/>
      <c r="AV969" s="62"/>
      <c r="AW969" s="62"/>
      <c r="AX969" s="62"/>
      <c r="AY969" s="62"/>
      <c r="AZ969" s="62"/>
      <c r="BA969" s="62"/>
      <c r="BB969" s="62"/>
      <c r="BC969" s="62"/>
      <c r="BD969" s="62"/>
      <c r="BE969" s="62"/>
      <c r="BF969" s="62"/>
      <c r="BG969" s="62"/>
      <c r="BH969" s="62"/>
      <c r="BI969" s="62"/>
      <c r="BJ969" s="62"/>
      <c r="BK969" s="62"/>
      <c r="BL969" s="62"/>
      <c r="BM969" s="62"/>
      <c r="BN969" s="62"/>
      <c r="BO969" s="62"/>
      <c r="BP969" s="62"/>
      <c r="BQ969" s="62"/>
      <c r="BR969" s="62"/>
      <c r="BS969" s="62"/>
      <c r="BT969" s="62"/>
      <c r="BU969" s="62"/>
      <c r="BV969" s="62"/>
      <c r="BW969" s="62"/>
      <c r="BX969" s="62"/>
      <c r="BY969" s="62"/>
      <c r="BZ969" s="62"/>
      <c r="CA969" s="62"/>
      <c r="CB969" s="62"/>
      <c r="CC969" s="62"/>
      <c r="CD969" s="62"/>
      <c r="CE969" s="62"/>
      <c r="CF969" s="62"/>
      <c r="CG969" s="62"/>
      <c r="CH969" s="62"/>
      <c r="CI969" s="62"/>
      <c r="CJ969" s="62"/>
      <c r="CK969" s="62"/>
      <c r="CL969" s="62"/>
      <c r="CM969" s="62"/>
      <c r="CN969" s="62"/>
      <c r="CO969" s="62"/>
      <c r="CP969" s="62"/>
      <c r="CQ969" s="62"/>
      <c r="CR969" s="62"/>
      <c r="CS969" s="62"/>
      <c r="CT969" s="62"/>
      <c r="CU969" s="62"/>
      <c r="CV969" s="62"/>
      <c r="CW969" s="62"/>
      <c r="CX969" s="62"/>
      <c r="CY969" s="62"/>
      <c r="CZ969" s="62"/>
      <c r="DA969" s="62"/>
      <c r="DB969" s="62"/>
      <c r="DC969" s="62"/>
      <c r="DD969" s="62"/>
      <c r="DE969" s="62"/>
      <c r="DF969" s="62"/>
      <c r="DG969" s="62"/>
      <c r="DH969" s="62"/>
      <c r="DI969" s="62"/>
      <c r="DJ969" s="62"/>
      <c r="DK969" s="62"/>
      <c r="DL969" s="62"/>
      <c r="DM969" s="62"/>
      <c r="DN969" s="62"/>
      <c r="DO969" s="62"/>
      <c r="DP969" s="62"/>
      <c r="DQ969" s="62"/>
      <c r="DR969" s="62"/>
      <c r="DS969" s="62"/>
      <c r="DT969" s="62"/>
      <c r="DU969" s="62"/>
      <c r="DV969" s="62"/>
      <c r="DW969" s="62"/>
      <c r="DX969" s="62"/>
      <c r="DY969" s="62"/>
      <c r="DZ969" s="62"/>
      <c r="EA969" s="62"/>
      <c r="EB969" s="62"/>
      <c r="EC969" s="62"/>
      <c r="ED969" s="62"/>
      <c r="EE969" s="62"/>
      <c r="EF969" s="62"/>
      <c r="EG969" s="62"/>
      <c r="EH969" s="62"/>
      <c r="EI969" s="62"/>
      <c r="EJ969" s="62"/>
      <c r="EK969" s="62"/>
      <c r="EL969" s="62"/>
      <c r="EM969" s="62"/>
      <c r="EN969" s="62"/>
      <c r="EO969" s="62"/>
      <c r="EP969" s="62"/>
      <c r="EQ969" s="62"/>
      <c r="ER969" s="62"/>
      <c r="ES969" s="62"/>
      <c r="ET969" s="62"/>
      <c r="EU969" s="62"/>
      <c r="EV969" s="62"/>
      <c r="EW969" s="62"/>
      <c r="EX969" s="62"/>
      <c r="EY969" s="62"/>
      <c r="EZ969" s="62"/>
      <c r="FA969" s="62"/>
      <c r="FB969" s="62"/>
      <c r="FC969" s="62"/>
      <c r="FD969" s="62"/>
      <c r="FE969" s="62"/>
      <c r="FF969" s="62"/>
      <c r="FG969" s="62"/>
      <c r="FH969" s="62"/>
      <c r="FI969" s="62"/>
      <c r="FJ969" s="62"/>
      <c r="FK969" s="62"/>
      <c r="FL969" s="62"/>
      <c r="FM969" s="62"/>
      <c r="FN969" s="62"/>
      <c r="FO969" s="62"/>
      <c r="FP969" s="62"/>
      <c r="FQ969" s="62"/>
      <c r="FR969" s="62"/>
      <c r="FS969" s="62"/>
      <c r="FT969" s="62"/>
      <c r="FU969" s="62"/>
      <c r="FV969" s="62"/>
    </row>
    <row r="970" spans="1:178" ht="13.8">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c r="AJ970" s="62"/>
      <c r="AK970" s="62"/>
      <c r="AL970" s="62"/>
      <c r="AM970" s="62"/>
      <c r="AN970" s="62"/>
      <c r="AO970" s="62"/>
      <c r="AP970" s="62"/>
      <c r="AQ970" s="62"/>
      <c r="AR970" s="62"/>
      <c r="AS970" s="62"/>
      <c r="AT970" s="62"/>
      <c r="AU970" s="62"/>
      <c r="AV970" s="62"/>
      <c r="AW970" s="62"/>
      <c r="AX970" s="62"/>
      <c r="AY970" s="62"/>
      <c r="AZ970" s="62"/>
      <c r="BA970" s="62"/>
      <c r="BB970" s="62"/>
      <c r="BC970" s="62"/>
      <c r="BD970" s="62"/>
      <c r="BE970" s="62"/>
      <c r="BF970" s="62"/>
      <c r="BG970" s="62"/>
      <c r="BH970" s="62"/>
      <c r="BI970" s="62"/>
      <c r="BJ970" s="62"/>
      <c r="BK970" s="62"/>
      <c r="BL970" s="62"/>
      <c r="BM970" s="62"/>
      <c r="BN970" s="62"/>
      <c r="BO970" s="62"/>
      <c r="BP970" s="62"/>
      <c r="BQ970" s="62"/>
      <c r="BR970" s="62"/>
      <c r="BS970" s="62"/>
      <c r="BT970" s="62"/>
      <c r="BU970" s="62"/>
      <c r="BV970" s="62"/>
      <c r="BW970" s="62"/>
      <c r="BX970" s="62"/>
      <c r="BY970" s="62"/>
      <c r="BZ970" s="62"/>
      <c r="CA970" s="62"/>
      <c r="CB970" s="62"/>
      <c r="CC970" s="62"/>
      <c r="CD970" s="62"/>
      <c r="CE970" s="62"/>
      <c r="CF970" s="62"/>
      <c r="CG970" s="62"/>
      <c r="CH970" s="62"/>
      <c r="CI970" s="62"/>
      <c r="CJ970" s="62"/>
      <c r="CK970" s="62"/>
      <c r="CL970" s="62"/>
      <c r="CM970" s="62"/>
      <c r="CN970" s="62"/>
      <c r="CO970" s="62"/>
      <c r="CP970" s="62"/>
      <c r="CQ970" s="62"/>
      <c r="CR970" s="62"/>
      <c r="CS970" s="62"/>
      <c r="CT970" s="62"/>
      <c r="CU970" s="62"/>
      <c r="CV970" s="62"/>
      <c r="CW970" s="62"/>
      <c r="CX970" s="62"/>
      <c r="CY970" s="62"/>
      <c r="CZ970" s="62"/>
      <c r="DA970" s="62"/>
      <c r="DB970" s="62"/>
      <c r="DC970" s="62"/>
      <c r="DD970" s="62"/>
      <c r="DE970" s="62"/>
      <c r="DF970" s="62"/>
      <c r="DG970" s="62"/>
      <c r="DH970" s="62"/>
      <c r="DI970" s="62"/>
      <c r="DJ970" s="62"/>
      <c r="DK970" s="62"/>
      <c r="DL970" s="62"/>
      <c r="DM970" s="62"/>
      <c r="DN970" s="62"/>
      <c r="DO970" s="62"/>
      <c r="DP970" s="62"/>
      <c r="DQ970" s="62"/>
      <c r="DR970" s="62"/>
      <c r="DS970" s="62"/>
      <c r="DT970" s="62"/>
      <c r="DU970" s="62"/>
      <c r="DV970" s="62"/>
      <c r="DW970" s="62"/>
      <c r="DX970" s="62"/>
      <c r="DY970" s="62"/>
      <c r="DZ970" s="62"/>
      <c r="EA970" s="62"/>
      <c r="EB970" s="62"/>
      <c r="EC970" s="62"/>
      <c r="ED970" s="62"/>
      <c r="EE970" s="62"/>
      <c r="EF970" s="62"/>
      <c r="EG970" s="62"/>
      <c r="EH970" s="62"/>
      <c r="EI970" s="62"/>
      <c r="EJ970" s="62"/>
      <c r="EK970" s="62"/>
      <c r="EL970" s="62"/>
      <c r="EM970" s="62"/>
      <c r="EN970" s="62"/>
      <c r="EO970" s="62"/>
      <c r="EP970" s="62"/>
      <c r="EQ970" s="62"/>
      <c r="ER970" s="62"/>
      <c r="ES970" s="62"/>
      <c r="ET970" s="62"/>
      <c r="EU970" s="62"/>
      <c r="EV970" s="62"/>
      <c r="EW970" s="62"/>
      <c r="EX970" s="62"/>
      <c r="EY970" s="62"/>
      <c r="EZ970" s="62"/>
      <c r="FA970" s="62"/>
      <c r="FB970" s="62"/>
      <c r="FC970" s="62"/>
      <c r="FD970" s="62"/>
      <c r="FE970" s="62"/>
      <c r="FF970" s="62"/>
      <c r="FG970" s="62"/>
      <c r="FH970" s="62"/>
      <c r="FI970" s="62"/>
      <c r="FJ970" s="62"/>
      <c r="FK970" s="62"/>
      <c r="FL970" s="62"/>
      <c r="FM970" s="62"/>
      <c r="FN970" s="62"/>
      <c r="FO970" s="62"/>
      <c r="FP970" s="62"/>
      <c r="FQ970" s="62"/>
      <c r="FR970" s="62"/>
      <c r="FS970" s="62"/>
      <c r="FT970" s="62"/>
      <c r="FU970" s="62"/>
      <c r="FV970" s="62"/>
    </row>
    <row r="971" spans="1:178" ht="13.8">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c r="AJ971" s="62"/>
      <c r="AK971" s="62"/>
      <c r="AL971" s="62"/>
      <c r="AM971" s="62"/>
      <c r="AN971" s="62"/>
      <c r="AO971" s="62"/>
      <c r="AP971" s="62"/>
      <c r="AQ971" s="62"/>
      <c r="AR971" s="62"/>
      <c r="AS971" s="62"/>
      <c r="AT971" s="62"/>
      <c r="AU971" s="62"/>
      <c r="AV971" s="62"/>
      <c r="AW971" s="62"/>
      <c r="AX971" s="62"/>
      <c r="AY971" s="62"/>
      <c r="AZ971" s="62"/>
      <c r="BA971" s="62"/>
      <c r="BB971" s="62"/>
      <c r="BC971" s="62"/>
      <c r="BD971" s="62"/>
      <c r="BE971" s="62"/>
      <c r="BF971" s="62"/>
      <c r="BG971" s="62"/>
      <c r="BH971" s="62"/>
      <c r="BI971" s="62"/>
      <c r="BJ971" s="62"/>
      <c r="BK971" s="62"/>
      <c r="BL971" s="62"/>
      <c r="BM971" s="62"/>
      <c r="BN971" s="62"/>
      <c r="BO971" s="62"/>
      <c r="BP971" s="62"/>
      <c r="BQ971" s="62"/>
      <c r="BR971" s="62"/>
      <c r="BS971" s="62"/>
      <c r="BT971" s="62"/>
      <c r="BU971" s="62"/>
      <c r="BV971" s="62"/>
      <c r="BW971" s="62"/>
      <c r="BX971" s="62"/>
      <c r="BY971" s="62"/>
      <c r="BZ971" s="62"/>
      <c r="CA971" s="62"/>
      <c r="CB971" s="62"/>
      <c r="CC971" s="62"/>
      <c r="CD971" s="62"/>
      <c r="CE971" s="62"/>
      <c r="CF971" s="62"/>
      <c r="CG971" s="62"/>
      <c r="CH971" s="62"/>
      <c r="CI971" s="62"/>
      <c r="CJ971" s="62"/>
      <c r="CK971" s="62"/>
      <c r="CL971" s="62"/>
      <c r="CM971" s="62"/>
      <c r="CN971" s="62"/>
      <c r="CO971" s="62"/>
      <c r="CP971" s="62"/>
      <c r="CQ971" s="62"/>
      <c r="CR971" s="62"/>
      <c r="CS971" s="62"/>
      <c r="CT971" s="62"/>
      <c r="CU971" s="62"/>
      <c r="CV971" s="62"/>
      <c r="CW971" s="62"/>
      <c r="CX971" s="62"/>
      <c r="CY971" s="62"/>
      <c r="CZ971" s="62"/>
      <c r="DA971" s="62"/>
      <c r="DB971" s="62"/>
      <c r="DC971" s="62"/>
      <c r="DD971" s="62"/>
      <c r="DE971" s="62"/>
      <c r="DF971" s="62"/>
      <c r="DG971" s="62"/>
      <c r="DH971" s="62"/>
      <c r="DI971" s="62"/>
      <c r="DJ971" s="62"/>
      <c r="DK971" s="62"/>
      <c r="DL971" s="62"/>
      <c r="DM971" s="62"/>
      <c r="DN971" s="62"/>
      <c r="DO971" s="62"/>
      <c r="DP971" s="62"/>
      <c r="DQ971" s="62"/>
      <c r="DR971" s="62"/>
      <c r="DS971" s="62"/>
      <c r="DT971" s="62"/>
      <c r="DU971" s="62"/>
      <c r="DV971" s="62"/>
      <c r="DW971" s="62"/>
      <c r="DX971" s="62"/>
      <c r="DY971" s="62"/>
      <c r="DZ971" s="62"/>
      <c r="EA971" s="62"/>
      <c r="EB971" s="62"/>
      <c r="EC971" s="62"/>
      <c r="ED971" s="62"/>
      <c r="EE971" s="62"/>
      <c r="EF971" s="62"/>
      <c r="EG971" s="62"/>
      <c r="EH971" s="62"/>
      <c r="EI971" s="62"/>
      <c r="EJ971" s="62"/>
      <c r="EK971" s="62"/>
      <c r="EL971" s="62"/>
      <c r="EM971" s="62"/>
      <c r="EN971" s="62"/>
      <c r="EO971" s="62"/>
      <c r="EP971" s="62"/>
      <c r="EQ971" s="62"/>
      <c r="ER971" s="62"/>
      <c r="ES971" s="62"/>
      <c r="ET971" s="62"/>
      <c r="EU971" s="62"/>
      <c r="EV971" s="62"/>
      <c r="EW971" s="62"/>
      <c r="EX971" s="62"/>
      <c r="EY971" s="62"/>
      <c r="EZ971" s="62"/>
      <c r="FA971" s="62"/>
      <c r="FB971" s="62"/>
      <c r="FC971" s="62"/>
      <c r="FD971" s="62"/>
      <c r="FE971" s="62"/>
      <c r="FF971" s="62"/>
      <c r="FG971" s="62"/>
      <c r="FH971" s="62"/>
      <c r="FI971" s="62"/>
      <c r="FJ971" s="62"/>
      <c r="FK971" s="62"/>
      <c r="FL971" s="62"/>
      <c r="FM971" s="62"/>
      <c r="FN971" s="62"/>
      <c r="FO971" s="62"/>
      <c r="FP971" s="62"/>
      <c r="FQ971" s="62"/>
      <c r="FR971" s="62"/>
      <c r="FS971" s="62"/>
      <c r="FT971" s="62"/>
      <c r="FU971" s="62"/>
      <c r="FV971" s="62"/>
    </row>
    <row r="972" spans="1:178" ht="13.8">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c r="AM972" s="62"/>
      <c r="AN972" s="62"/>
      <c r="AO972" s="62"/>
      <c r="AP972" s="62"/>
      <c r="AQ972" s="62"/>
      <c r="AR972" s="62"/>
      <c r="AS972" s="62"/>
      <c r="AT972" s="62"/>
      <c r="AU972" s="62"/>
      <c r="AV972" s="62"/>
      <c r="AW972" s="62"/>
      <c r="AX972" s="62"/>
      <c r="AY972" s="62"/>
      <c r="AZ972" s="62"/>
      <c r="BA972" s="62"/>
      <c r="BB972" s="62"/>
      <c r="BC972" s="62"/>
      <c r="BD972" s="62"/>
      <c r="BE972" s="62"/>
      <c r="BF972" s="62"/>
      <c r="BG972" s="62"/>
      <c r="BH972" s="62"/>
      <c r="BI972" s="62"/>
      <c r="BJ972" s="62"/>
      <c r="BK972" s="62"/>
      <c r="BL972" s="62"/>
      <c r="BM972" s="62"/>
      <c r="BN972" s="62"/>
      <c r="BO972" s="62"/>
      <c r="BP972" s="62"/>
      <c r="BQ972" s="62"/>
      <c r="BR972" s="62"/>
      <c r="BS972" s="62"/>
      <c r="BT972" s="62"/>
      <c r="BU972" s="62"/>
      <c r="BV972" s="62"/>
      <c r="BW972" s="62"/>
      <c r="BX972" s="62"/>
      <c r="BY972" s="62"/>
      <c r="BZ972" s="62"/>
      <c r="CA972" s="62"/>
      <c r="CB972" s="62"/>
      <c r="CC972" s="62"/>
      <c r="CD972" s="62"/>
      <c r="CE972" s="62"/>
      <c r="CF972" s="62"/>
      <c r="CG972" s="62"/>
      <c r="CH972" s="62"/>
      <c r="CI972" s="62"/>
      <c r="CJ972" s="62"/>
      <c r="CK972" s="62"/>
      <c r="CL972" s="62"/>
      <c r="CM972" s="62"/>
      <c r="CN972" s="62"/>
      <c r="CO972" s="62"/>
      <c r="CP972" s="62"/>
      <c r="CQ972" s="62"/>
      <c r="CR972" s="62"/>
      <c r="CS972" s="62"/>
      <c r="CT972" s="62"/>
      <c r="CU972" s="62"/>
      <c r="CV972" s="62"/>
      <c r="CW972" s="62"/>
      <c r="CX972" s="62"/>
      <c r="CY972" s="62"/>
      <c r="CZ972" s="62"/>
      <c r="DA972" s="62"/>
      <c r="DB972" s="62"/>
      <c r="DC972" s="62"/>
      <c r="DD972" s="62"/>
      <c r="DE972" s="62"/>
      <c r="DF972" s="62"/>
      <c r="DG972" s="62"/>
      <c r="DH972" s="62"/>
      <c r="DI972" s="62"/>
      <c r="DJ972" s="62"/>
      <c r="DK972" s="62"/>
      <c r="DL972" s="62"/>
      <c r="DM972" s="62"/>
      <c r="DN972" s="62"/>
      <c r="DO972" s="62"/>
      <c r="DP972" s="62"/>
      <c r="DQ972" s="62"/>
      <c r="DR972" s="62"/>
      <c r="DS972" s="62"/>
      <c r="DT972" s="62"/>
      <c r="DU972" s="62"/>
      <c r="DV972" s="62"/>
      <c r="DW972" s="62"/>
      <c r="DX972" s="62"/>
      <c r="DY972" s="62"/>
      <c r="DZ972" s="62"/>
      <c r="EA972" s="62"/>
      <c r="EB972" s="62"/>
      <c r="EC972" s="62"/>
      <c r="ED972" s="62"/>
      <c r="EE972" s="62"/>
      <c r="EF972" s="62"/>
      <c r="EG972" s="62"/>
      <c r="EH972" s="62"/>
      <c r="EI972" s="62"/>
      <c r="EJ972" s="62"/>
      <c r="EK972" s="62"/>
      <c r="EL972" s="62"/>
      <c r="EM972" s="62"/>
      <c r="EN972" s="62"/>
      <c r="EO972" s="62"/>
      <c r="EP972" s="62"/>
      <c r="EQ972" s="62"/>
      <c r="ER972" s="62"/>
      <c r="ES972" s="62"/>
      <c r="ET972" s="62"/>
      <c r="EU972" s="62"/>
      <c r="EV972" s="62"/>
      <c r="EW972" s="62"/>
      <c r="EX972" s="62"/>
      <c r="EY972" s="62"/>
      <c r="EZ972" s="62"/>
      <c r="FA972" s="62"/>
      <c r="FB972" s="62"/>
      <c r="FC972" s="62"/>
      <c r="FD972" s="62"/>
      <c r="FE972" s="62"/>
      <c r="FF972" s="62"/>
      <c r="FG972" s="62"/>
      <c r="FH972" s="62"/>
      <c r="FI972" s="62"/>
      <c r="FJ972" s="62"/>
      <c r="FK972" s="62"/>
      <c r="FL972" s="62"/>
      <c r="FM972" s="62"/>
      <c r="FN972" s="62"/>
      <c r="FO972" s="62"/>
      <c r="FP972" s="62"/>
      <c r="FQ972" s="62"/>
      <c r="FR972" s="62"/>
      <c r="FS972" s="62"/>
      <c r="FT972" s="62"/>
      <c r="FU972" s="62"/>
      <c r="FV972" s="62"/>
    </row>
    <row r="973" spans="1:178" ht="13.8">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c r="AJ973" s="62"/>
      <c r="AK973" s="62"/>
      <c r="AL973" s="62"/>
      <c r="AM973" s="62"/>
      <c r="AN973" s="62"/>
      <c r="AO973" s="62"/>
      <c r="AP973" s="62"/>
      <c r="AQ973" s="62"/>
      <c r="AR973" s="62"/>
      <c r="AS973" s="62"/>
      <c r="AT973" s="62"/>
      <c r="AU973" s="62"/>
      <c r="AV973" s="62"/>
      <c r="AW973" s="62"/>
      <c r="AX973" s="62"/>
      <c r="AY973" s="62"/>
      <c r="AZ973" s="62"/>
      <c r="BA973" s="62"/>
      <c r="BB973" s="62"/>
      <c r="BC973" s="62"/>
      <c r="BD973" s="62"/>
      <c r="BE973" s="62"/>
      <c r="BF973" s="62"/>
      <c r="BG973" s="62"/>
      <c r="BH973" s="62"/>
      <c r="BI973" s="62"/>
      <c r="BJ973" s="62"/>
      <c r="BK973" s="62"/>
      <c r="BL973" s="62"/>
      <c r="BM973" s="62"/>
      <c r="BN973" s="62"/>
      <c r="BO973" s="62"/>
      <c r="BP973" s="62"/>
      <c r="BQ973" s="62"/>
      <c r="BR973" s="62"/>
      <c r="BS973" s="62"/>
      <c r="BT973" s="62"/>
      <c r="BU973" s="62"/>
      <c r="BV973" s="62"/>
      <c r="BW973" s="62"/>
      <c r="BX973" s="62"/>
      <c r="BY973" s="62"/>
      <c r="BZ973" s="62"/>
      <c r="CA973" s="62"/>
      <c r="CB973" s="62"/>
      <c r="CC973" s="62"/>
      <c r="CD973" s="62"/>
      <c r="CE973" s="62"/>
      <c r="CF973" s="62"/>
      <c r="CG973" s="62"/>
      <c r="CH973" s="62"/>
      <c r="CI973" s="62"/>
      <c r="CJ973" s="62"/>
      <c r="CK973" s="62"/>
      <c r="CL973" s="62"/>
      <c r="CM973" s="62"/>
      <c r="CN973" s="62"/>
      <c r="CO973" s="62"/>
      <c r="CP973" s="62"/>
      <c r="CQ973" s="62"/>
      <c r="CR973" s="62"/>
      <c r="CS973" s="62"/>
      <c r="CT973" s="62"/>
      <c r="CU973" s="62"/>
      <c r="CV973" s="62"/>
      <c r="CW973" s="62"/>
      <c r="CX973" s="62"/>
      <c r="CY973" s="62"/>
      <c r="CZ973" s="62"/>
      <c r="DA973" s="62"/>
      <c r="DB973" s="62"/>
      <c r="DC973" s="62"/>
      <c r="DD973" s="62"/>
      <c r="DE973" s="62"/>
      <c r="DF973" s="62"/>
      <c r="DG973" s="62"/>
      <c r="DH973" s="62"/>
      <c r="DI973" s="62"/>
      <c r="DJ973" s="62"/>
      <c r="DK973" s="62"/>
      <c r="DL973" s="62"/>
      <c r="DM973" s="62"/>
      <c r="DN973" s="62"/>
      <c r="DO973" s="62"/>
      <c r="DP973" s="62"/>
      <c r="DQ973" s="62"/>
      <c r="DR973" s="62"/>
      <c r="DS973" s="62"/>
      <c r="DT973" s="62"/>
      <c r="DU973" s="62"/>
      <c r="DV973" s="62"/>
      <c r="DW973" s="62"/>
      <c r="DX973" s="62"/>
      <c r="DY973" s="62"/>
      <c r="DZ973" s="62"/>
      <c r="EA973" s="62"/>
      <c r="EB973" s="62"/>
      <c r="EC973" s="62"/>
      <c r="ED973" s="62"/>
      <c r="EE973" s="62"/>
      <c r="EF973" s="62"/>
      <c r="EG973" s="62"/>
      <c r="EH973" s="62"/>
      <c r="EI973" s="62"/>
      <c r="EJ973" s="62"/>
      <c r="EK973" s="62"/>
      <c r="EL973" s="62"/>
      <c r="EM973" s="62"/>
      <c r="EN973" s="62"/>
      <c r="EO973" s="62"/>
      <c r="EP973" s="62"/>
      <c r="EQ973" s="62"/>
      <c r="ER973" s="62"/>
      <c r="ES973" s="62"/>
      <c r="ET973" s="62"/>
      <c r="EU973" s="62"/>
      <c r="EV973" s="62"/>
      <c r="EW973" s="62"/>
      <c r="EX973" s="62"/>
      <c r="EY973" s="62"/>
      <c r="EZ973" s="62"/>
      <c r="FA973" s="62"/>
      <c r="FB973" s="62"/>
      <c r="FC973" s="62"/>
      <c r="FD973" s="62"/>
      <c r="FE973" s="62"/>
      <c r="FF973" s="62"/>
      <c r="FG973" s="62"/>
      <c r="FH973" s="62"/>
      <c r="FI973" s="62"/>
      <c r="FJ973" s="62"/>
      <c r="FK973" s="62"/>
      <c r="FL973" s="62"/>
      <c r="FM973" s="62"/>
      <c r="FN973" s="62"/>
      <c r="FO973" s="62"/>
      <c r="FP973" s="62"/>
      <c r="FQ973" s="62"/>
      <c r="FR973" s="62"/>
      <c r="FS973" s="62"/>
      <c r="FT973" s="62"/>
      <c r="FU973" s="62"/>
      <c r="FV973" s="62"/>
    </row>
    <row r="974" spans="1:178" ht="13.8">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c r="AJ974" s="62"/>
      <c r="AK974" s="62"/>
      <c r="AL974" s="62"/>
      <c r="AM974" s="62"/>
      <c r="AN974" s="62"/>
      <c r="AO974" s="62"/>
      <c r="AP974" s="62"/>
      <c r="AQ974" s="62"/>
      <c r="AR974" s="62"/>
      <c r="AS974" s="62"/>
      <c r="AT974" s="62"/>
      <c r="AU974" s="62"/>
      <c r="AV974" s="62"/>
      <c r="AW974" s="62"/>
      <c r="AX974" s="62"/>
      <c r="AY974" s="62"/>
      <c r="AZ974" s="62"/>
      <c r="BA974" s="62"/>
      <c r="BB974" s="62"/>
      <c r="BC974" s="62"/>
      <c r="BD974" s="62"/>
      <c r="BE974" s="62"/>
      <c r="BF974" s="62"/>
      <c r="BG974" s="62"/>
      <c r="BH974" s="62"/>
      <c r="BI974" s="62"/>
      <c r="BJ974" s="62"/>
      <c r="BK974" s="62"/>
      <c r="BL974" s="62"/>
      <c r="BM974" s="62"/>
      <c r="BN974" s="62"/>
      <c r="BO974" s="62"/>
      <c r="BP974" s="62"/>
      <c r="BQ974" s="62"/>
      <c r="BR974" s="62"/>
      <c r="BS974" s="62"/>
      <c r="BT974" s="62"/>
      <c r="BU974" s="62"/>
      <c r="BV974" s="62"/>
      <c r="BW974" s="62"/>
      <c r="BX974" s="62"/>
      <c r="BY974" s="62"/>
      <c r="BZ974" s="62"/>
      <c r="CA974" s="62"/>
      <c r="CB974" s="62"/>
      <c r="CC974" s="62"/>
      <c r="CD974" s="62"/>
      <c r="CE974" s="62"/>
      <c r="CF974" s="62"/>
      <c r="CG974" s="62"/>
      <c r="CH974" s="62"/>
      <c r="CI974" s="62"/>
      <c r="CJ974" s="62"/>
      <c r="CK974" s="62"/>
      <c r="CL974" s="62"/>
      <c r="CM974" s="62"/>
      <c r="CN974" s="62"/>
      <c r="CO974" s="62"/>
      <c r="CP974" s="62"/>
      <c r="CQ974" s="62"/>
      <c r="CR974" s="62"/>
      <c r="CS974" s="62"/>
      <c r="CT974" s="62"/>
      <c r="CU974" s="62"/>
      <c r="CV974" s="62"/>
      <c r="CW974" s="62"/>
      <c r="CX974" s="62"/>
      <c r="CY974" s="62"/>
      <c r="CZ974" s="62"/>
      <c r="DA974" s="62"/>
      <c r="DB974" s="62"/>
      <c r="DC974" s="62"/>
      <c r="DD974" s="62"/>
      <c r="DE974" s="62"/>
      <c r="DF974" s="62"/>
      <c r="DG974" s="62"/>
      <c r="DH974" s="62"/>
      <c r="DI974" s="62"/>
      <c r="DJ974" s="62"/>
      <c r="DK974" s="62"/>
      <c r="DL974" s="62"/>
      <c r="DM974" s="62"/>
      <c r="DN974" s="62"/>
      <c r="DO974" s="62"/>
      <c r="DP974" s="62"/>
      <c r="DQ974" s="62"/>
      <c r="DR974" s="62"/>
      <c r="DS974" s="62"/>
      <c r="DT974" s="62"/>
      <c r="DU974" s="62"/>
      <c r="DV974" s="62"/>
      <c r="DW974" s="62"/>
      <c r="DX974" s="62"/>
      <c r="DY974" s="62"/>
      <c r="DZ974" s="62"/>
      <c r="EA974" s="62"/>
      <c r="EB974" s="62"/>
      <c r="EC974" s="62"/>
      <c r="ED974" s="62"/>
      <c r="EE974" s="62"/>
      <c r="EF974" s="62"/>
      <c r="EG974" s="62"/>
      <c r="EH974" s="62"/>
      <c r="EI974" s="62"/>
      <c r="EJ974" s="62"/>
      <c r="EK974" s="62"/>
      <c r="EL974" s="62"/>
      <c r="EM974" s="62"/>
      <c r="EN974" s="62"/>
      <c r="EO974" s="62"/>
      <c r="EP974" s="62"/>
      <c r="EQ974" s="62"/>
      <c r="ER974" s="62"/>
      <c r="ES974" s="62"/>
      <c r="ET974" s="62"/>
      <c r="EU974" s="62"/>
      <c r="EV974" s="62"/>
      <c r="EW974" s="62"/>
      <c r="EX974" s="62"/>
      <c r="EY974" s="62"/>
      <c r="EZ974" s="62"/>
      <c r="FA974" s="62"/>
      <c r="FB974" s="62"/>
      <c r="FC974" s="62"/>
      <c r="FD974" s="62"/>
      <c r="FE974" s="62"/>
      <c r="FF974" s="62"/>
      <c r="FG974" s="62"/>
      <c r="FH974" s="62"/>
      <c r="FI974" s="62"/>
      <c r="FJ974" s="62"/>
      <c r="FK974" s="62"/>
      <c r="FL974" s="62"/>
      <c r="FM974" s="62"/>
      <c r="FN974" s="62"/>
      <c r="FO974" s="62"/>
      <c r="FP974" s="62"/>
      <c r="FQ974" s="62"/>
      <c r="FR974" s="62"/>
      <c r="FS974" s="62"/>
      <c r="FT974" s="62"/>
      <c r="FU974" s="62"/>
      <c r="FV974" s="62"/>
    </row>
    <row r="975" spans="1:178" ht="13.8">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c r="AJ975" s="62"/>
      <c r="AK975" s="62"/>
      <c r="AL975" s="62"/>
      <c r="AM975" s="62"/>
      <c r="AN975" s="62"/>
      <c r="AO975" s="62"/>
      <c r="AP975" s="62"/>
      <c r="AQ975" s="62"/>
      <c r="AR975" s="62"/>
      <c r="AS975" s="62"/>
      <c r="AT975" s="62"/>
      <c r="AU975" s="62"/>
      <c r="AV975" s="62"/>
      <c r="AW975" s="62"/>
      <c r="AX975" s="62"/>
      <c r="AY975" s="62"/>
      <c r="AZ975" s="62"/>
      <c r="BA975" s="62"/>
      <c r="BB975" s="62"/>
      <c r="BC975" s="62"/>
      <c r="BD975" s="62"/>
      <c r="BE975" s="62"/>
      <c r="BF975" s="62"/>
      <c r="BG975" s="62"/>
      <c r="BH975" s="62"/>
      <c r="BI975" s="62"/>
      <c r="BJ975" s="62"/>
      <c r="BK975" s="62"/>
      <c r="BL975" s="62"/>
      <c r="BM975" s="62"/>
      <c r="BN975" s="62"/>
      <c r="BO975" s="62"/>
      <c r="BP975" s="62"/>
      <c r="BQ975" s="62"/>
      <c r="BR975" s="62"/>
      <c r="BS975" s="62"/>
      <c r="BT975" s="62"/>
      <c r="BU975" s="62"/>
      <c r="BV975" s="62"/>
      <c r="BW975" s="62"/>
      <c r="BX975" s="62"/>
      <c r="BY975" s="62"/>
      <c r="BZ975" s="62"/>
      <c r="CA975" s="62"/>
      <c r="CB975" s="62"/>
      <c r="CC975" s="62"/>
      <c r="CD975" s="62"/>
      <c r="CE975" s="62"/>
      <c r="CF975" s="62"/>
      <c r="CG975" s="62"/>
      <c r="CH975" s="62"/>
      <c r="CI975" s="62"/>
      <c r="CJ975" s="62"/>
      <c r="CK975" s="62"/>
      <c r="CL975" s="62"/>
      <c r="CM975" s="62"/>
      <c r="CN975" s="62"/>
      <c r="CO975" s="62"/>
      <c r="CP975" s="62"/>
      <c r="CQ975" s="62"/>
      <c r="CR975" s="62"/>
      <c r="CS975" s="62"/>
      <c r="CT975" s="62"/>
      <c r="CU975" s="62"/>
      <c r="CV975" s="62"/>
      <c r="CW975" s="62"/>
      <c r="CX975" s="62"/>
      <c r="CY975" s="62"/>
      <c r="CZ975" s="62"/>
      <c r="DA975" s="62"/>
      <c r="DB975" s="62"/>
      <c r="DC975" s="62"/>
      <c r="DD975" s="62"/>
      <c r="DE975" s="62"/>
      <c r="DF975" s="62"/>
      <c r="DG975" s="62"/>
      <c r="DH975" s="62"/>
      <c r="DI975" s="62"/>
      <c r="DJ975" s="62"/>
      <c r="DK975" s="62"/>
      <c r="DL975" s="62"/>
      <c r="DM975" s="62"/>
      <c r="DN975" s="62"/>
      <c r="DO975" s="62"/>
      <c r="DP975" s="62"/>
      <c r="DQ975" s="62"/>
      <c r="DR975" s="62"/>
      <c r="DS975" s="62"/>
      <c r="DT975" s="62"/>
      <c r="DU975" s="62"/>
      <c r="DV975" s="62"/>
      <c r="DW975" s="62"/>
      <c r="DX975" s="62"/>
      <c r="DY975" s="62"/>
      <c r="DZ975" s="62"/>
      <c r="EA975" s="62"/>
      <c r="EB975" s="62"/>
      <c r="EC975" s="62"/>
      <c r="ED975" s="62"/>
      <c r="EE975" s="62"/>
      <c r="EF975" s="62"/>
      <c r="EG975" s="62"/>
      <c r="EH975" s="62"/>
      <c r="EI975" s="62"/>
      <c r="EJ975" s="62"/>
      <c r="EK975" s="62"/>
      <c r="EL975" s="62"/>
      <c r="EM975" s="62"/>
      <c r="EN975" s="62"/>
      <c r="EO975" s="62"/>
      <c r="EP975" s="62"/>
      <c r="EQ975" s="62"/>
      <c r="ER975" s="62"/>
      <c r="ES975" s="62"/>
      <c r="ET975" s="62"/>
      <c r="EU975" s="62"/>
      <c r="EV975" s="62"/>
      <c r="EW975" s="62"/>
      <c r="EX975" s="62"/>
      <c r="EY975" s="62"/>
      <c r="EZ975" s="62"/>
      <c r="FA975" s="62"/>
      <c r="FB975" s="62"/>
      <c r="FC975" s="62"/>
      <c r="FD975" s="62"/>
      <c r="FE975" s="62"/>
      <c r="FF975" s="62"/>
      <c r="FG975" s="62"/>
      <c r="FH975" s="62"/>
      <c r="FI975" s="62"/>
      <c r="FJ975" s="62"/>
      <c r="FK975" s="62"/>
      <c r="FL975" s="62"/>
      <c r="FM975" s="62"/>
      <c r="FN975" s="62"/>
      <c r="FO975" s="62"/>
      <c r="FP975" s="62"/>
      <c r="FQ975" s="62"/>
      <c r="FR975" s="62"/>
      <c r="FS975" s="62"/>
      <c r="FT975" s="62"/>
      <c r="FU975" s="62"/>
      <c r="FV975" s="62"/>
    </row>
    <row r="976" spans="1:178" ht="13.8">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c r="AJ976" s="62"/>
      <c r="AK976" s="62"/>
      <c r="AL976" s="62"/>
      <c r="AM976" s="62"/>
      <c r="AN976" s="62"/>
      <c r="AO976" s="62"/>
      <c r="AP976" s="62"/>
      <c r="AQ976" s="62"/>
      <c r="AR976" s="62"/>
      <c r="AS976" s="62"/>
      <c r="AT976" s="62"/>
      <c r="AU976" s="62"/>
      <c r="AV976" s="62"/>
      <c r="AW976" s="62"/>
      <c r="AX976" s="62"/>
      <c r="AY976" s="62"/>
      <c r="AZ976" s="62"/>
      <c r="BA976" s="62"/>
      <c r="BB976" s="62"/>
      <c r="BC976" s="62"/>
      <c r="BD976" s="62"/>
      <c r="BE976" s="62"/>
      <c r="BF976" s="62"/>
      <c r="BG976" s="62"/>
      <c r="BH976" s="62"/>
      <c r="BI976" s="62"/>
      <c r="BJ976" s="62"/>
      <c r="BK976" s="62"/>
      <c r="BL976" s="62"/>
      <c r="BM976" s="62"/>
      <c r="BN976" s="62"/>
      <c r="BO976" s="62"/>
      <c r="BP976" s="62"/>
      <c r="BQ976" s="62"/>
      <c r="BR976" s="62"/>
      <c r="BS976" s="62"/>
      <c r="BT976" s="62"/>
      <c r="BU976" s="62"/>
      <c r="BV976" s="62"/>
      <c r="BW976" s="62"/>
      <c r="BX976" s="62"/>
      <c r="BY976" s="62"/>
      <c r="BZ976" s="62"/>
      <c r="CA976" s="62"/>
      <c r="CB976" s="62"/>
      <c r="CC976" s="62"/>
      <c r="CD976" s="62"/>
      <c r="CE976" s="62"/>
      <c r="CF976" s="62"/>
      <c r="CG976" s="62"/>
      <c r="CH976" s="62"/>
      <c r="CI976" s="62"/>
      <c r="CJ976" s="62"/>
      <c r="CK976" s="62"/>
      <c r="CL976" s="62"/>
      <c r="CM976" s="62"/>
      <c r="CN976" s="62"/>
      <c r="CO976" s="62"/>
      <c r="CP976" s="62"/>
      <c r="CQ976" s="62"/>
      <c r="CR976" s="62"/>
      <c r="CS976" s="62"/>
      <c r="CT976" s="62"/>
      <c r="CU976" s="62"/>
      <c r="CV976" s="62"/>
      <c r="CW976" s="62"/>
      <c r="CX976" s="62"/>
      <c r="CY976" s="62"/>
      <c r="CZ976" s="62"/>
      <c r="DA976" s="62"/>
      <c r="DB976" s="62"/>
      <c r="DC976" s="62"/>
      <c r="DD976" s="62"/>
      <c r="DE976" s="62"/>
      <c r="DF976" s="62"/>
      <c r="DG976" s="62"/>
      <c r="DH976" s="62"/>
      <c r="DI976" s="62"/>
      <c r="DJ976" s="62"/>
      <c r="DK976" s="62"/>
      <c r="DL976" s="62"/>
      <c r="DM976" s="62"/>
      <c r="DN976" s="62"/>
      <c r="DO976" s="62"/>
      <c r="DP976" s="62"/>
      <c r="DQ976" s="62"/>
      <c r="DR976" s="62"/>
      <c r="DS976" s="62"/>
      <c r="DT976" s="62"/>
      <c r="DU976" s="62"/>
      <c r="DV976" s="62"/>
      <c r="DW976" s="62"/>
      <c r="DX976" s="62"/>
      <c r="DY976" s="62"/>
      <c r="DZ976" s="62"/>
      <c r="EA976" s="62"/>
      <c r="EB976" s="62"/>
      <c r="EC976" s="62"/>
      <c r="ED976" s="62"/>
      <c r="EE976" s="62"/>
      <c r="EF976" s="62"/>
      <c r="EG976" s="62"/>
      <c r="EH976" s="62"/>
      <c r="EI976" s="62"/>
      <c r="EJ976" s="62"/>
      <c r="EK976" s="62"/>
      <c r="EL976" s="62"/>
      <c r="EM976" s="62"/>
      <c r="EN976" s="62"/>
      <c r="EO976" s="62"/>
      <c r="EP976" s="62"/>
      <c r="EQ976" s="62"/>
      <c r="ER976" s="62"/>
      <c r="ES976" s="62"/>
      <c r="ET976" s="62"/>
      <c r="EU976" s="62"/>
      <c r="EV976" s="62"/>
      <c r="EW976" s="62"/>
      <c r="EX976" s="62"/>
      <c r="EY976" s="62"/>
      <c r="EZ976" s="62"/>
      <c r="FA976" s="62"/>
      <c r="FB976" s="62"/>
      <c r="FC976" s="62"/>
      <c r="FD976" s="62"/>
      <c r="FE976" s="62"/>
      <c r="FF976" s="62"/>
      <c r="FG976" s="62"/>
      <c r="FH976" s="62"/>
      <c r="FI976" s="62"/>
      <c r="FJ976" s="62"/>
      <c r="FK976" s="62"/>
      <c r="FL976" s="62"/>
      <c r="FM976" s="62"/>
      <c r="FN976" s="62"/>
      <c r="FO976" s="62"/>
      <c r="FP976" s="62"/>
      <c r="FQ976" s="62"/>
      <c r="FR976" s="62"/>
      <c r="FS976" s="62"/>
      <c r="FT976" s="62"/>
      <c r="FU976" s="62"/>
      <c r="FV976" s="62"/>
    </row>
    <row r="977" spans="1:178" ht="13.8">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c r="AJ977" s="62"/>
      <c r="AK977" s="62"/>
      <c r="AL977" s="62"/>
      <c r="AM977" s="62"/>
      <c r="AN977" s="62"/>
      <c r="AO977" s="62"/>
      <c r="AP977" s="62"/>
      <c r="AQ977" s="62"/>
      <c r="AR977" s="62"/>
      <c r="AS977" s="62"/>
      <c r="AT977" s="62"/>
      <c r="AU977" s="62"/>
      <c r="AV977" s="62"/>
      <c r="AW977" s="62"/>
      <c r="AX977" s="62"/>
      <c r="AY977" s="62"/>
      <c r="AZ977" s="62"/>
      <c r="BA977" s="62"/>
      <c r="BB977" s="62"/>
      <c r="BC977" s="62"/>
      <c r="BD977" s="62"/>
      <c r="BE977" s="62"/>
      <c r="BF977" s="62"/>
      <c r="BG977" s="62"/>
      <c r="BH977" s="62"/>
      <c r="BI977" s="62"/>
      <c r="BJ977" s="62"/>
      <c r="BK977" s="62"/>
      <c r="BL977" s="62"/>
      <c r="BM977" s="62"/>
      <c r="BN977" s="62"/>
      <c r="BO977" s="62"/>
      <c r="BP977" s="62"/>
      <c r="BQ977" s="62"/>
      <c r="BR977" s="62"/>
      <c r="BS977" s="62"/>
      <c r="BT977" s="62"/>
      <c r="BU977" s="62"/>
      <c r="BV977" s="62"/>
      <c r="BW977" s="62"/>
      <c r="BX977" s="62"/>
      <c r="BY977" s="62"/>
      <c r="BZ977" s="62"/>
      <c r="CA977" s="62"/>
      <c r="CB977" s="62"/>
      <c r="CC977" s="62"/>
      <c r="CD977" s="62"/>
      <c r="CE977" s="62"/>
      <c r="CF977" s="62"/>
      <c r="CG977" s="62"/>
      <c r="CH977" s="62"/>
      <c r="CI977" s="62"/>
      <c r="CJ977" s="62"/>
      <c r="CK977" s="62"/>
      <c r="CL977" s="62"/>
      <c r="CM977" s="62"/>
      <c r="CN977" s="62"/>
      <c r="CO977" s="62"/>
      <c r="CP977" s="62"/>
      <c r="CQ977" s="62"/>
      <c r="CR977" s="62"/>
      <c r="CS977" s="62"/>
      <c r="CT977" s="62"/>
      <c r="CU977" s="62"/>
      <c r="CV977" s="62"/>
      <c r="CW977" s="62"/>
      <c r="CX977" s="62"/>
      <c r="CY977" s="62"/>
      <c r="CZ977" s="62"/>
      <c r="DA977" s="62"/>
      <c r="DB977" s="62"/>
      <c r="DC977" s="62"/>
      <c r="DD977" s="62"/>
      <c r="DE977" s="62"/>
      <c r="DF977" s="62"/>
      <c r="DG977" s="62"/>
      <c r="DH977" s="62"/>
      <c r="DI977" s="62"/>
      <c r="DJ977" s="62"/>
      <c r="DK977" s="62"/>
      <c r="DL977" s="62"/>
      <c r="DM977" s="62"/>
      <c r="DN977" s="62"/>
      <c r="DO977" s="62"/>
      <c r="DP977" s="62"/>
      <c r="DQ977" s="62"/>
      <c r="DR977" s="62"/>
      <c r="DS977" s="62"/>
      <c r="DT977" s="62"/>
      <c r="DU977" s="62"/>
      <c r="DV977" s="62"/>
      <c r="DW977" s="62"/>
      <c r="DX977" s="62"/>
      <c r="DY977" s="62"/>
      <c r="DZ977" s="62"/>
      <c r="EA977" s="62"/>
      <c r="EB977" s="62"/>
      <c r="EC977" s="62"/>
      <c r="ED977" s="62"/>
      <c r="EE977" s="62"/>
      <c r="EF977" s="62"/>
      <c r="EG977" s="62"/>
      <c r="EH977" s="62"/>
      <c r="EI977" s="62"/>
      <c r="EJ977" s="62"/>
      <c r="EK977" s="62"/>
      <c r="EL977" s="62"/>
      <c r="EM977" s="62"/>
      <c r="EN977" s="62"/>
      <c r="EO977" s="62"/>
      <c r="EP977" s="62"/>
      <c r="EQ977" s="62"/>
      <c r="ER977" s="62"/>
      <c r="ES977" s="62"/>
      <c r="ET977" s="62"/>
      <c r="EU977" s="62"/>
      <c r="EV977" s="62"/>
      <c r="EW977" s="62"/>
      <c r="EX977" s="62"/>
      <c r="EY977" s="62"/>
      <c r="EZ977" s="62"/>
      <c r="FA977" s="62"/>
      <c r="FB977" s="62"/>
      <c r="FC977" s="62"/>
      <c r="FD977" s="62"/>
      <c r="FE977" s="62"/>
      <c r="FF977" s="62"/>
      <c r="FG977" s="62"/>
      <c r="FH977" s="62"/>
      <c r="FI977" s="62"/>
      <c r="FJ977" s="62"/>
      <c r="FK977" s="62"/>
      <c r="FL977" s="62"/>
      <c r="FM977" s="62"/>
      <c r="FN977" s="62"/>
      <c r="FO977" s="62"/>
      <c r="FP977" s="62"/>
      <c r="FQ977" s="62"/>
      <c r="FR977" s="62"/>
      <c r="FS977" s="62"/>
      <c r="FT977" s="62"/>
      <c r="FU977" s="62"/>
      <c r="FV977" s="62"/>
    </row>
    <row r="978" spans="1:178" ht="13.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c r="AJ978" s="62"/>
      <c r="AK978" s="62"/>
      <c r="AL978" s="62"/>
      <c r="AM978" s="62"/>
      <c r="AN978" s="62"/>
      <c r="AO978" s="62"/>
      <c r="AP978" s="62"/>
      <c r="AQ978" s="62"/>
      <c r="AR978" s="62"/>
      <c r="AS978" s="62"/>
      <c r="AT978" s="62"/>
      <c r="AU978" s="62"/>
      <c r="AV978" s="62"/>
      <c r="AW978" s="62"/>
      <c r="AX978" s="62"/>
      <c r="AY978" s="62"/>
      <c r="AZ978" s="62"/>
      <c r="BA978" s="62"/>
      <c r="BB978" s="62"/>
      <c r="BC978" s="62"/>
      <c r="BD978" s="62"/>
      <c r="BE978" s="62"/>
      <c r="BF978" s="62"/>
      <c r="BG978" s="62"/>
      <c r="BH978" s="62"/>
      <c r="BI978" s="62"/>
      <c r="BJ978" s="62"/>
      <c r="BK978" s="62"/>
      <c r="BL978" s="62"/>
      <c r="BM978" s="62"/>
      <c r="BN978" s="62"/>
      <c r="BO978" s="62"/>
      <c r="BP978" s="62"/>
      <c r="BQ978" s="62"/>
      <c r="BR978" s="62"/>
      <c r="BS978" s="62"/>
      <c r="BT978" s="62"/>
      <c r="BU978" s="62"/>
      <c r="BV978" s="62"/>
      <c r="BW978" s="62"/>
      <c r="BX978" s="62"/>
      <c r="BY978" s="62"/>
      <c r="BZ978" s="62"/>
      <c r="CA978" s="62"/>
      <c r="CB978" s="62"/>
      <c r="CC978" s="62"/>
      <c r="CD978" s="62"/>
      <c r="CE978" s="62"/>
      <c r="CF978" s="62"/>
      <c r="CG978" s="62"/>
      <c r="CH978" s="62"/>
      <c r="CI978" s="62"/>
      <c r="CJ978" s="62"/>
      <c r="CK978" s="62"/>
      <c r="CL978" s="62"/>
      <c r="CM978" s="62"/>
      <c r="CN978" s="62"/>
      <c r="CO978" s="62"/>
      <c r="CP978" s="62"/>
      <c r="CQ978" s="62"/>
      <c r="CR978" s="62"/>
      <c r="CS978" s="62"/>
      <c r="CT978" s="62"/>
      <c r="CU978" s="62"/>
      <c r="CV978" s="62"/>
      <c r="CW978" s="62"/>
      <c r="CX978" s="62"/>
      <c r="CY978" s="62"/>
      <c r="CZ978" s="62"/>
      <c r="DA978" s="62"/>
      <c r="DB978" s="62"/>
      <c r="DC978" s="62"/>
      <c r="DD978" s="62"/>
      <c r="DE978" s="62"/>
      <c r="DF978" s="62"/>
      <c r="DG978" s="62"/>
      <c r="DH978" s="62"/>
      <c r="DI978" s="62"/>
      <c r="DJ978" s="62"/>
      <c r="DK978" s="62"/>
      <c r="DL978" s="62"/>
      <c r="DM978" s="62"/>
      <c r="DN978" s="62"/>
      <c r="DO978" s="62"/>
      <c r="DP978" s="62"/>
      <c r="DQ978" s="62"/>
      <c r="DR978" s="62"/>
      <c r="DS978" s="62"/>
      <c r="DT978" s="62"/>
      <c r="DU978" s="62"/>
      <c r="DV978" s="62"/>
      <c r="DW978" s="62"/>
      <c r="DX978" s="62"/>
      <c r="DY978" s="62"/>
      <c r="DZ978" s="62"/>
      <c r="EA978" s="62"/>
      <c r="EB978" s="62"/>
      <c r="EC978" s="62"/>
      <c r="ED978" s="62"/>
      <c r="EE978" s="62"/>
      <c r="EF978" s="62"/>
      <c r="EG978" s="62"/>
      <c r="EH978" s="62"/>
      <c r="EI978" s="62"/>
      <c r="EJ978" s="62"/>
      <c r="EK978" s="62"/>
      <c r="EL978" s="62"/>
      <c r="EM978" s="62"/>
      <c r="EN978" s="62"/>
      <c r="EO978" s="62"/>
      <c r="EP978" s="62"/>
      <c r="EQ978" s="62"/>
      <c r="ER978" s="62"/>
      <c r="ES978" s="62"/>
      <c r="ET978" s="62"/>
      <c r="EU978" s="62"/>
      <c r="EV978" s="62"/>
      <c r="EW978" s="62"/>
      <c r="EX978" s="62"/>
      <c r="EY978" s="62"/>
      <c r="EZ978" s="62"/>
      <c r="FA978" s="62"/>
      <c r="FB978" s="62"/>
      <c r="FC978" s="62"/>
      <c r="FD978" s="62"/>
      <c r="FE978" s="62"/>
      <c r="FF978" s="62"/>
      <c r="FG978" s="62"/>
      <c r="FH978" s="62"/>
      <c r="FI978" s="62"/>
      <c r="FJ978" s="62"/>
      <c r="FK978" s="62"/>
      <c r="FL978" s="62"/>
      <c r="FM978" s="62"/>
      <c r="FN978" s="62"/>
      <c r="FO978" s="62"/>
      <c r="FP978" s="62"/>
      <c r="FQ978" s="62"/>
      <c r="FR978" s="62"/>
      <c r="FS978" s="62"/>
      <c r="FT978" s="62"/>
      <c r="FU978" s="62"/>
      <c r="FV978" s="62"/>
    </row>
    <row r="979" spans="1:178" ht="13.8">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c r="AJ979" s="62"/>
      <c r="AK979" s="62"/>
      <c r="AL979" s="62"/>
      <c r="AM979" s="62"/>
      <c r="AN979" s="62"/>
      <c r="AO979" s="62"/>
      <c r="AP979" s="62"/>
      <c r="AQ979" s="62"/>
      <c r="AR979" s="62"/>
      <c r="AS979" s="62"/>
      <c r="AT979" s="62"/>
      <c r="AU979" s="62"/>
      <c r="AV979" s="62"/>
      <c r="AW979" s="62"/>
      <c r="AX979" s="62"/>
      <c r="AY979" s="62"/>
      <c r="AZ979" s="62"/>
      <c r="BA979" s="62"/>
      <c r="BB979" s="62"/>
      <c r="BC979" s="62"/>
      <c r="BD979" s="62"/>
      <c r="BE979" s="62"/>
      <c r="BF979" s="62"/>
      <c r="BG979" s="62"/>
      <c r="BH979" s="62"/>
      <c r="BI979" s="62"/>
      <c r="BJ979" s="62"/>
      <c r="BK979" s="62"/>
      <c r="BL979" s="62"/>
      <c r="BM979" s="62"/>
      <c r="BN979" s="62"/>
      <c r="BO979" s="62"/>
      <c r="BP979" s="62"/>
      <c r="BQ979" s="62"/>
      <c r="BR979" s="62"/>
      <c r="BS979" s="62"/>
      <c r="BT979" s="62"/>
      <c r="BU979" s="62"/>
      <c r="BV979" s="62"/>
      <c r="BW979" s="62"/>
      <c r="BX979" s="62"/>
      <c r="BY979" s="62"/>
      <c r="BZ979" s="62"/>
      <c r="CA979" s="62"/>
      <c r="CB979" s="62"/>
      <c r="CC979" s="62"/>
      <c r="CD979" s="62"/>
      <c r="CE979" s="62"/>
      <c r="CF979" s="62"/>
      <c r="CG979" s="62"/>
      <c r="CH979" s="62"/>
      <c r="CI979" s="62"/>
      <c r="CJ979" s="62"/>
      <c r="CK979" s="62"/>
      <c r="CL979" s="62"/>
      <c r="CM979" s="62"/>
      <c r="CN979" s="62"/>
      <c r="CO979" s="62"/>
      <c r="CP979" s="62"/>
      <c r="CQ979" s="62"/>
      <c r="CR979" s="62"/>
      <c r="CS979" s="62"/>
      <c r="CT979" s="62"/>
      <c r="CU979" s="62"/>
      <c r="CV979" s="62"/>
      <c r="CW979" s="62"/>
      <c r="CX979" s="62"/>
      <c r="CY979" s="62"/>
      <c r="CZ979" s="62"/>
      <c r="DA979" s="62"/>
      <c r="DB979" s="62"/>
      <c r="DC979" s="62"/>
      <c r="DD979" s="62"/>
      <c r="DE979" s="62"/>
      <c r="DF979" s="62"/>
      <c r="DG979" s="62"/>
      <c r="DH979" s="62"/>
      <c r="DI979" s="62"/>
      <c r="DJ979" s="62"/>
      <c r="DK979" s="62"/>
      <c r="DL979" s="62"/>
      <c r="DM979" s="62"/>
      <c r="DN979" s="62"/>
      <c r="DO979" s="62"/>
      <c r="DP979" s="62"/>
      <c r="DQ979" s="62"/>
      <c r="DR979" s="62"/>
      <c r="DS979" s="62"/>
      <c r="DT979" s="62"/>
      <c r="DU979" s="62"/>
      <c r="DV979" s="62"/>
      <c r="DW979" s="62"/>
      <c r="DX979" s="62"/>
      <c r="DY979" s="62"/>
      <c r="DZ979" s="62"/>
      <c r="EA979" s="62"/>
      <c r="EB979" s="62"/>
      <c r="EC979" s="62"/>
      <c r="ED979" s="62"/>
      <c r="EE979" s="62"/>
      <c r="EF979" s="62"/>
      <c r="EG979" s="62"/>
      <c r="EH979" s="62"/>
      <c r="EI979" s="62"/>
      <c r="EJ979" s="62"/>
      <c r="EK979" s="62"/>
      <c r="EL979" s="62"/>
      <c r="EM979" s="62"/>
      <c r="EN979" s="62"/>
      <c r="EO979" s="62"/>
      <c r="EP979" s="62"/>
      <c r="EQ979" s="62"/>
      <c r="ER979" s="62"/>
      <c r="ES979" s="62"/>
      <c r="ET979" s="62"/>
      <c r="EU979" s="62"/>
      <c r="EV979" s="62"/>
      <c r="EW979" s="62"/>
      <c r="EX979" s="62"/>
      <c r="EY979" s="62"/>
      <c r="EZ979" s="62"/>
      <c r="FA979" s="62"/>
      <c r="FB979" s="62"/>
      <c r="FC979" s="62"/>
      <c r="FD979" s="62"/>
      <c r="FE979" s="62"/>
      <c r="FF979" s="62"/>
      <c r="FG979" s="62"/>
      <c r="FH979" s="62"/>
      <c r="FI979" s="62"/>
      <c r="FJ979" s="62"/>
      <c r="FK979" s="62"/>
      <c r="FL979" s="62"/>
      <c r="FM979" s="62"/>
      <c r="FN979" s="62"/>
      <c r="FO979" s="62"/>
      <c r="FP979" s="62"/>
      <c r="FQ979" s="62"/>
      <c r="FR979" s="62"/>
      <c r="FS979" s="62"/>
      <c r="FT979" s="62"/>
      <c r="FU979" s="62"/>
      <c r="FV979" s="62"/>
    </row>
    <row r="980" spans="1:178" ht="13.8">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c r="AJ980" s="62"/>
      <c r="AK980" s="62"/>
      <c r="AL980" s="62"/>
      <c r="AM980" s="62"/>
      <c r="AN980" s="62"/>
      <c r="AO980" s="62"/>
      <c r="AP980" s="62"/>
      <c r="AQ980" s="62"/>
      <c r="AR980" s="62"/>
      <c r="AS980" s="62"/>
      <c r="AT980" s="62"/>
      <c r="AU980" s="62"/>
      <c r="AV980" s="62"/>
      <c r="AW980" s="62"/>
      <c r="AX980" s="62"/>
      <c r="AY980" s="62"/>
      <c r="AZ980" s="62"/>
      <c r="BA980" s="62"/>
      <c r="BB980" s="62"/>
      <c r="BC980" s="62"/>
      <c r="BD980" s="62"/>
      <c r="BE980" s="62"/>
      <c r="BF980" s="62"/>
      <c r="BG980" s="62"/>
      <c r="BH980" s="62"/>
      <c r="BI980" s="62"/>
      <c r="BJ980" s="62"/>
      <c r="BK980" s="62"/>
      <c r="BL980" s="62"/>
      <c r="BM980" s="62"/>
      <c r="BN980" s="62"/>
      <c r="BO980" s="62"/>
      <c r="BP980" s="62"/>
      <c r="BQ980" s="62"/>
      <c r="BR980" s="62"/>
      <c r="BS980" s="62"/>
      <c r="BT980" s="62"/>
      <c r="BU980" s="62"/>
      <c r="BV980" s="62"/>
      <c r="BW980" s="62"/>
      <c r="BX980" s="62"/>
      <c r="BY980" s="62"/>
      <c r="BZ980" s="62"/>
      <c r="CA980" s="62"/>
      <c r="CB980" s="62"/>
      <c r="CC980" s="62"/>
      <c r="CD980" s="62"/>
      <c r="CE980" s="62"/>
      <c r="CF980" s="62"/>
      <c r="CG980" s="62"/>
      <c r="CH980" s="62"/>
      <c r="CI980" s="62"/>
      <c r="CJ980" s="62"/>
      <c r="CK980" s="62"/>
      <c r="CL980" s="62"/>
      <c r="CM980" s="62"/>
      <c r="CN980" s="62"/>
      <c r="CO980" s="62"/>
      <c r="CP980" s="62"/>
      <c r="CQ980" s="62"/>
      <c r="CR980" s="62"/>
      <c r="CS980" s="62"/>
      <c r="CT980" s="62"/>
      <c r="CU980" s="62"/>
      <c r="CV980" s="62"/>
      <c r="CW980" s="62"/>
      <c r="CX980" s="62"/>
      <c r="CY980" s="62"/>
      <c r="CZ980" s="62"/>
      <c r="DA980" s="62"/>
      <c r="DB980" s="62"/>
      <c r="DC980" s="62"/>
      <c r="DD980" s="62"/>
      <c r="DE980" s="62"/>
      <c r="DF980" s="62"/>
      <c r="DG980" s="62"/>
      <c r="DH980" s="62"/>
      <c r="DI980" s="62"/>
      <c r="DJ980" s="62"/>
      <c r="DK980" s="62"/>
      <c r="DL980" s="62"/>
      <c r="DM980" s="62"/>
      <c r="DN980" s="62"/>
      <c r="DO980" s="62"/>
      <c r="DP980" s="62"/>
      <c r="DQ980" s="62"/>
      <c r="DR980" s="62"/>
      <c r="DS980" s="62"/>
      <c r="DT980" s="62"/>
      <c r="DU980" s="62"/>
      <c r="DV980" s="62"/>
      <c r="DW980" s="62"/>
      <c r="DX980" s="62"/>
      <c r="DY980" s="62"/>
      <c r="DZ980" s="62"/>
      <c r="EA980" s="62"/>
      <c r="EB980" s="62"/>
      <c r="EC980" s="62"/>
      <c r="ED980" s="62"/>
      <c r="EE980" s="62"/>
      <c r="EF980" s="62"/>
      <c r="EG980" s="62"/>
      <c r="EH980" s="62"/>
      <c r="EI980" s="62"/>
      <c r="EJ980" s="62"/>
      <c r="EK980" s="62"/>
      <c r="EL980" s="62"/>
      <c r="EM980" s="62"/>
      <c r="EN980" s="62"/>
      <c r="EO980" s="62"/>
      <c r="EP980" s="62"/>
      <c r="EQ980" s="62"/>
      <c r="ER980" s="62"/>
      <c r="ES980" s="62"/>
      <c r="ET980" s="62"/>
      <c r="EU980" s="62"/>
      <c r="EV980" s="62"/>
      <c r="EW980" s="62"/>
      <c r="EX980" s="62"/>
      <c r="EY980" s="62"/>
      <c r="EZ980" s="62"/>
      <c r="FA980" s="62"/>
      <c r="FB980" s="62"/>
      <c r="FC980" s="62"/>
      <c r="FD980" s="62"/>
      <c r="FE980" s="62"/>
      <c r="FF980" s="62"/>
      <c r="FG980" s="62"/>
      <c r="FH980" s="62"/>
      <c r="FI980" s="62"/>
      <c r="FJ980" s="62"/>
      <c r="FK980" s="62"/>
      <c r="FL980" s="62"/>
      <c r="FM980" s="62"/>
      <c r="FN980" s="62"/>
      <c r="FO980" s="62"/>
      <c r="FP980" s="62"/>
      <c r="FQ980" s="62"/>
      <c r="FR980" s="62"/>
      <c r="FS980" s="62"/>
      <c r="FT980" s="62"/>
      <c r="FU980" s="62"/>
      <c r="FV980" s="62"/>
    </row>
    <row r="981" spans="1:178" ht="13.8">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c r="AJ981" s="62"/>
      <c r="AK981" s="62"/>
      <c r="AL981" s="62"/>
      <c r="AM981" s="62"/>
      <c r="AN981" s="62"/>
      <c r="AO981" s="62"/>
      <c r="AP981" s="62"/>
      <c r="AQ981" s="62"/>
      <c r="AR981" s="62"/>
      <c r="AS981" s="62"/>
      <c r="AT981" s="62"/>
      <c r="AU981" s="62"/>
      <c r="AV981" s="62"/>
      <c r="AW981" s="62"/>
      <c r="AX981" s="62"/>
      <c r="AY981" s="62"/>
      <c r="AZ981" s="62"/>
      <c r="BA981" s="62"/>
      <c r="BB981" s="62"/>
      <c r="BC981" s="62"/>
      <c r="BD981" s="62"/>
      <c r="BE981" s="62"/>
      <c r="BF981" s="62"/>
      <c r="BG981" s="62"/>
      <c r="BH981" s="62"/>
      <c r="BI981" s="62"/>
      <c r="BJ981" s="62"/>
      <c r="BK981" s="62"/>
      <c r="BL981" s="62"/>
      <c r="BM981" s="62"/>
      <c r="BN981" s="62"/>
      <c r="BO981" s="62"/>
      <c r="BP981" s="62"/>
      <c r="BQ981" s="62"/>
      <c r="BR981" s="62"/>
      <c r="BS981" s="62"/>
      <c r="BT981" s="62"/>
      <c r="BU981" s="62"/>
      <c r="BV981" s="62"/>
      <c r="BW981" s="62"/>
      <c r="BX981" s="62"/>
      <c r="BY981" s="62"/>
      <c r="BZ981" s="62"/>
      <c r="CA981" s="62"/>
      <c r="CB981" s="62"/>
      <c r="CC981" s="62"/>
      <c r="CD981" s="62"/>
      <c r="CE981" s="62"/>
      <c r="CF981" s="62"/>
      <c r="CG981" s="62"/>
      <c r="CH981" s="62"/>
      <c r="CI981" s="62"/>
      <c r="CJ981" s="62"/>
      <c r="CK981" s="62"/>
      <c r="CL981" s="62"/>
      <c r="CM981" s="62"/>
      <c r="CN981" s="62"/>
      <c r="CO981" s="62"/>
      <c r="CP981" s="62"/>
      <c r="CQ981" s="62"/>
      <c r="CR981" s="62"/>
      <c r="CS981" s="62"/>
      <c r="CT981" s="62"/>
      <c r="CU981" s="62"/>
      <c r="CV981" s="62"/>
      <c r="CW981" s="62"/>
      <c r="CX981" s="62"/>
      <c r="CY981" s="62"/>
      <c r="CZ981" s="62"/>
      <c r="DA981" s="62"/>
      <c r="DB981" s="62"/>
      <c r="DC981" s="62"/>
      <c r="DD981" s="62"/>
      <c r="DE981" s="62"/>
      <c r="DF981" s="62"/>
      <c r="DG981" s="62"/>
      <c r="DH981" s="62"/>
      <c r="DI981" s="62"/>
      <c r="DJ981" s="62"/>
      <c r="DK981" s="62"/>
      <c r="DL981" s="62"/>
      <c r="DM981" s="62"/>
      <c r="DN981" s="62"/>
      <c r="DO981" s="62"/>
      <c r="DP981" s="62"/>
      <c r="DQ981" s="62"/>
      <c r="DR981" s="62"/>
      <c r="DS981" s="62"/>
      <c r="DT981" s="62"/>
      <c r="DU981" s="62"/>
      <c r="DV981" s="62"/>
      <c r="DW981" s="62"/>
      <c r="DX981" s="62"/>
      <c r="DY981" s="62"/>
      <c r="DZ981" s="62"/>
      <c r="EA981" s="62"/>
      <c r="EB981" s="62"/>
      <c r="EC981" s="62"/>
      <c r="ED981" s="62"/>
      <c r="EE981" s="62"/>
      <c r="EF981" s="62"/>
      <c r="EG981" s="62"/>
      <c r="EH981" s="62"/>
      <c r="EI981" s="62"/>
      <c r="EJ981" s="62"/>
      <c r="EK981" s="62"/>
      <c r="EL981" s="62"/>
      <c r="EM981" s="62"/>
      <c r="EN981" s="62"/>
      <c r="EO981" s="62"/>
      <c r="EP981" s="62"/>
      <c r="EQ981" s="62"/>
      <c r="ER981" s="62"/>
      <c r="ES981" s="62"/>
      <c r="ET981" s="62"/>
      <c r="EU981" s="62"/>
      <c r="EV981" s="62"/>
      <c r="EW981" s="62"/>
      <c r="EX981" s="62"/>
      <c r="EY981" s="62"/>
      <c r="EZ981" s="62"/>
      <c r="FA981" s="62"/>
      <c r="FB981" s="62"/>
      <c r="FC981" s="62"/>
      <c r="FD981" s="62"/>
      <c r="FE981" s="62"/>
      <c r="FF981" s="62"/>
      <c r="FG981" s="62"/>
      <c r="FH981" s="62"/>
      <c r="FI981" s="62"/>
      <c r="FJ981" s="62"/>
      <c r="FK981" s="62"/>
      <c r="FL981" s="62"/>
      <c r="FM981" s="62"/>
      <c r="FN981" s="62"/>
      <c r="FO981" s="62"/>
      <c r="FP981" s="62"/>
      <c r="FQ981" s="62"/>
      <c r="FR981" s="62"/>
      <c r="FS981" s="62"/>
      <c r="FT981" s="62"/>
      <c r="FU981" s="62"/>
      <c r="FV981" s="62"/>
    </row>
    <row r="982" spans="1:178" ht="13.8">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c r="AJ982" s="62"/>
      <c r="AK982" s="62"/>
      <c r="AL982" s="62"/>
      <c r="AM982" s="62"/>
      <c r="AN982" s="62"/>
      <c r="AO982" s="62"/>
      <c r="AP982" s="62"/>
      <c r="AQ982" s="62"/>
      <c r="AR982" s="62"/>
      <c r="AS982" s="62"/>
      <c r="AT982" s="62"/>
      <c r="AU982" s="62"/>
      <c r="AV982" s="62"/>
      <c r="AW982" s="62"/>
      <c r="AX982" s="62"/>
      <c r="AY982" s="62"/>
      <c r="AZ982" s="62"/>
      <c r="BA982" s="62"/>
      <c r="BB982" s="62"/>
      <c r="BC982" s="62"/>
      <c r="BD982" s="62"/>
      <c r="BE982" s="62"/>
      <c r="BF982" s="62"/>
      <c r="BG982" s="62"/>
      <c r="BH982" s="62"/>
      <c r="BI982" s="62"/>
      <c r="BJ982" s="62"/>
      <c r="BK982" s="62"/>
      <c r="BL982" s="62"/>
      <c r="BM982" s="62"/>
      <c r="BN982" s="62"/>
      <c r="BO982" s="62"/>
      <c r="BP982" s="62"/>
      <c r="BQ982" s="62"/>
      <c r="BR982" s="62"/>
      <c r="BS982" s="62"/>
      <c r="BT982" s="62"/>
      <c r="BU982" s="62"/>
      <c r="BV982" s="62"/>
      <c r="BW982" s="62"/>
      <c r="BX982" s="62"/>
      <c r="BY982" s="62"/>
      <c r="BZ982" s="62"/>
      <c r="CA982" s="62"/>
      <c r="CB982" s="62"/>
      <c r="CC982" s="62"/>
      <c r="CD982" s="62"/>
      <c r="CE982" s="62"/>
      <c r="CF982" s="62"/>
      <c r="CG982" s="62"/>
      <c r="CH982" s="62"/>
      <c r="CI982" s="62"/>
      <c r="CJ982" s="62"/>
      <c r="CK982" s="62"/>
      <c r="CL982" s="62"/>
      <c r="CM982" s="62"/>
      <c r="CN982" s="62"/>
      <c r="CO982" s="62"/>
      <c r="CP982" s="62"/>
      <c r="CQ982" s="62"/>
      <c r="CR982" s="62"/>
      <c r="CS982" s="62"/>
      <c r="CT982" s="62"/>
      <c r="CU982" s="62"/>
      <c r="CV982" s="62"/>
      <c r="CW982" s="62"/>
      <c r="CX982" s="62"/>
      <c r="CY982" s="62"/>
      <c r="CZ982" s="62"/>
      <c r="DA982" s="62"/>
      <c r="DB982" s="62"/>
      <c r="DC982" s="62"/>
      <c r="DD982" s="62"/>
      <c r="DE982" s="62"/>
      <c r="DF982" s="62"/>
      <c r="DG982" s="62"/>
      <c r="DH982" s="62"/>
      <c r="DI982" s="62"/>
      <c r="DJ982" s="62"/>
      <c r="DK982" s="62"/>
      <c r="DL982" s="62"/>
      <c r="DM982" s="62"/>
      <c r="DN982" s="62"/>
      <c r="DO982" s="62"/>
      <c r="DP982" s="62"/>
      <c r="DQ982" s="62"/>
      <c r="DR982" s="62"/>
      <c r="DS982" s="62"/>
      <c r="DT982" s="62"/>
      <c r="DU982" s="62"/>
      <c r="DV982" s="62"/>
      <c r="DW982" s="62"/>
      <c r="DX982" s="62"/>
      <c r="DY982" s="62"/>
      <c r="DZ982" s="62"/>
      <c r="EA982" s="62"/>
      <c r="EB982" s="62"/>
      <c r="EC982" s="62"/>
      <c r="ED982" s="62"/>
      <c r="EE982" s="62"/>
      <c r="EF982" s="62"/>
      <c r="EG982" s="62"/>
      <c r="EH982" s="62"/>
      <c r="EI982" s="62"/>
      <c r="EJ982" s="62"/>
      <c r="EK982" s="62"/>
      <c r="EL982" s="62"/>
      <c r="EM982" s="62"/>
      <c r="EN982" s="62"/>
      <c r="EO982" s="62"/>
      <c r="EP982" s="62"/>
      <c r="EQ982" s="62"/>
      <c r="ER982" s="62"/>
      <c r="ES982" s="62"/>
      <c r="ET982" s="62"/>
      <c r="EU982" s="62"/>
      <c r="EV982" s="62"/>
      <c r="EW982" s="62"/>
      <c r="EX982" s="62"/>
      <c r="EY982" s="62"/>
      <c r="EZ982" s="62"/>
      <c r="FA982" s="62"/>
      <c r="FB982" s="62"/>
      <c r="FC982" s="62"/>
      <c r="FD982" s="62"/>
      <c r="FE982" s="62"/>
      <c r="FF982" s="62"/>
      <c r="FG982" s="62"/>
      <c r="FH982" s="62"/>
      <c r="FI982" s="62"/>
      <c r="FJ982" s="62"/>
      <c r="FK982" s="62"/>
      <c r="FL982" s="62"/>
      <c r="FM982" s="62"/>
      <c r="FN982" s="62"/>
      <c r="FO982" s="62"/>
      <c r="FP982" s="62"/>
      <c r="FQ982" s="62"/>
      <c r="FR982" s="62"/>
      <c r="FS982" s="62"/>
      <c r="FT982" s="62"/>
      <c r="FU982" s="62"/>
      <c r="FV982" s="62"/>
    </row>
    <row r="983" spans="1:178" ht="13.8">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c r="AJ983" s="62"/>
      <c r="AK983" s="62"/>
      <c r="AL983" s="62"/>
      <c r="AM983" s="62"/>
      <c r="AN983" s="62"/>
      <c r="AO983" s="62"/>
      <c r="AP983" s="62"/>
      <c r="AQ983" s="62"/>
      <c r="AR983" s="62"/>
      <c r="AS983" s="62"/>
      <c r="AT983" s="62"/>
      <c r="AU983" s="62"/>
      <c r="AV983" s="62"/>
      <c r="AW983" s="62"/>
      <c r="AX983" s="62"/>
      <c r="AY983" s="62"/>
      <c r="AZ983" s="62"/>
      <c r="BA983" s="62"/>
      <c r="BB983" s="62"/>
      <c r="BC983" s="62"/>
      <c r="BD983" s="62"/>
      <c r="BE983" s="62"/>
      <c r="BF983" s="62"/>
      <c r="BG983" s="62"/>
      <c r="BH983" s="62"/>
      <c r="BI983" s="62"/>
      <c r="BJ983" s="62"/>
      <c r="BK983" s="62"/>
      <c r="BL983" s="62"/>
      <c r="BM983" s="62"/>
      <c r="BN983" s="62"/>
      <c r="BO983" s="62"/>
      <c r="BP983" s="62"/>
      <c r="BQ983" s="62"/>
      <c r="BR983" s="62"/>
      <c r="BS983" s="62"/>
      <c r="BT983" s="62"/>
      <c r="BU983" s="62"/>
      <c r="BV983" s="62"/>
      <c r="BW983" s="62"/>
      <c r="BX983" s="62"/>
      <c r="BY983" s="62"/>
      <c r="BZ983" s="62"/>
      <c r="CA983" s="62"/>
      <c r="CB983" s="62"/>
      <c r="CC983" s="62"/>
      <c r="CD983" s="62"/>
      <c r="CE983" s="62"/>
      <c r="CF983" s="62"/>
      <c r="CG983" s="62"/>
      <c r="CH983" s="62"/>
      <c r="CI983" s="62"/>
      <c r="CJ983" s="62"/>
      <c r="CK983" s="62"/>
      <c r="CL983" s="62"/>
      <c r="CM983" s="62"/>
      <c r="CN983" s="62"/>
      <c r="CO983" s="62"/>
      <c r="CP983" s="62"/>
      <c r="CQ983" s="62"/>
      <c r="CR983" s="62"/>
      <c r="CS983" s="62"/>
      <c r="CT983" s="62"/>
      <c r="CU983" s="62"/>
      <c r="CV983" s="62"/>
      <c r="CW983" s="62"/>
      <c r="CX983" s="62"/>
      <c r="CY983" s="62"/>
      <c r="CZ983" s="62"/>
      <c r="DA983" s="62"/>
      <c r="DB983" s="62"/>
      <c r="DC983" s="62"/>
      <c r="DD983" s="62"/>
      <c r="DE983" s="62"/>
      <c r="DF983" s="62"/>
      <c r="DG983" s="62"/>
      <c r="DH983" s="62"/>
      <c r="DI983" s="62"/>
      <c r="DJ983" s="62"/>
      <c r="DK983" s="62"/>
      <c r="DL983" s="62"/>
      <c r="DM983" s="62"/>
      <c r="DN983" s="62"/>
      <c r="DO983" s="62"/>
      <c r="DP983" s="62"/>
      <c r="DQ983" s="62"/>
      <c r="DR983" s="62"/>
      <c r="DS983" s="62"/>
      <c r="DT983" s="62"/>
      <c r="DU983" s="62"/>
      <c r="DV983" s="62"/>
      <c r="DW983" s="62"/>
      <c r="DX983" s="62"/>
      <c r="DY983" s="62"/>
      <c r="DZ983" s="62"/>
      <c r="EA983" s="62"/>
      <c r="EB983" s="62"/>
      <c r="EC983" s="62"/>
      <c r="ED983" s="62"/>
      <c r="EE983" s="62"/>
      <c r="EF983" s="62"/>
      <c r="EG983" s="62"/>
      <c r="EH983" s="62"/>
      <c r="EI983" s="62"/>
      <c r="EJ983" s="62"/>
      <c r="EK983" s="62"/>
      <c r="EL983" s="62"/>
      <c r="EM983" s="62"/>
      <c r="EN983" s="62"/>
      <c r="EO983" s="62"/>
      <c r="EP983" s="62"/>
      <c r="EQ983" s="62"/>
      <c r="ER983" s="62"/>
      <c r="ES983" s="62"/>
      <c r="ET983" s="62"/>
      <c r="EU983" s="62"/>
      <c r="EV983" s="62"/>
      <c r="EW983" s="62"/>
      <c r="EX983" s="62"/>
      <c r="EY983" s="62"/>
      <c r="EZ983" s="62"/>
      <c r="FA983" s="62"/>
      <c r="FB983" s="62"/>
      <c r="FC983" s="62"/>
      <c r="FD983" s="62"/>
      <c r="FE983" s="62"/>
      <c r="FF983" s="62"/>
      <c r="FG983" s="62"/>
      <c r="FH983" s="62"/>
      <c r="FI983" s="62"/>
      <c r="FJ983" s="62"/>
      <c r="FK983" s="62"/>
      <c r="FL983" s="62"/>
      <c r="FM983" s="62"/>
      <c r="FN983" s="62"/>
      <c r="FO983" s="62"/>
      <c r="FP983" s="62"/>
      <c r="FQ983" s="62"/>
      <c r="FR983" s="62"/>
      <c r="FS983" s="62"/>
      <c r="FT983" s="62"/>
      <c r="FU983" s="62"/>
      <c r="FV983" s="62"/>
    </row>
    <row r="984" spans="1:178" ht="13.8">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c r="AJ984" s="62"/>
      <c r="AK984" s="62"/>
      <c r="AL984" s="62"/>
      <c r="AM984" s="62"/>
      <c r="AN984" s="62"/>
      <c r="AO984" s="62"/>
      <c r="AP984" s="62"/>
      <c r="AQ984" s="62"/>
      <c r="AR984" s="62"/>
      <c r="AS984" s="62"/>
      <c r="AT984" s="62"/>
      <c r="AU984" s="62"/>
      <c r="AV984" s="62"/>
      <c r="AW984" s="62"/>
      <c r="AX984" s="62"/>
      <c r="AY984" s="62"/>
      <c r="AZ984" s="62"/>
      <c r="BA984" s="62"/>
      <c r="BB984" s="62"/>
      <c r="BC984" s="62"/>
      <c r="BD984" s="62"/>
      <c r="BE984" s="62"/>
      <c r="BF984" s="62"/>
      <c r="BG984" s="62"/>
      <c r="BH984" s="62"/>
      <c r="BI984" s="62"/>
      <c r="BJ984" s="62"/>
      <c r="BK984" s="62"/>
      <c r="BL984" s="62"/>
      <c r="BM984" s="62"/>
      <c r="BN984" s="62"/>
      <c r="BO984" s="62"/>
      <c r="BP984" s="62"/>
      <c r="BQ984" s="62"/>
      <c r="BR984" s="62"/>
      <c r="BS984" s="62"/>
      <c r="BT984" s="62"/>
      <c r="BU984" s="62"/>
      <c r="BV984" s="62"/>
      <c r="BW984" s="62"/>
      <c r="BX984" s="62"/>
      <c r="BY984" s="62"/>
      <c r="BZ984" s="62"/>
      <c r="CA984" s="62"/>
      <c r="CB984" s="62"/>
      <c r="CC984" s="62"/>
      <c r="CD984" s="62"/>
      <c r="CE984" s="62"/>
      <c r="CF984" s="62"/>
      <c r="CG984" s="62"/>
      <c r="CH984" s="62"/>
      <c r="CI984" s="62"/>
      <c r="CJ984" s="62"/>
      <c r="CK984" s="62"/>
      <c r="CL984" s="62"/>
      <c r="CM984" s="62"/>
      <c r="CN984" s="62"/>
      <c r="CO984" s="62"/>
      <c r="CP984" s="62"/>
      <c r="CQ984" s="62"/>
      <c r="CR984" s="62"/>
      <c r="CS984" s="62"/>
      <c r="CT984" s="62"/>
      <c r="CU984" s="62"/>
      <c r="CV984" s="62"/>
      <c r="CW984" s="62"/>
      <c r="CX984" s="62"/>
      <c r="CY984" s="62"/>
      <c r="CZ984" s="62"/>
      <c r="DA984" s="62"/>
      <c r="DB984" s="62"/>
      <c r="DC984" s="62"/>
      <c r="DD984" s="62"/>
      <c r="DE984" s="62"/>
      <c r="DF984" s="62"/>
      <c r="DG984" s="62"/>
      <c r="DH984" s="62"/>
      <c r="DI984" s="62"/>
      <c r="DJ984" s="62"/>
      <c r="DK984" s="62"/>
      <c r="DL984" s="62"/>
      <c r="DM984" s="62"/>
      <c r="DN984" s="62"/>
      <c r="DO984" s="62"/>
      <c r="DP984" s="62"/>
      <c r="DQ984" s="62"/>
      <c r="DR984" s="62"/>
      <c r="DS984" s="62"/>
      <c r="DT984" s="62"/>
      <c r="DU984" s="62"/>
      <c r="DV984" s="62"/>
      <c r="DW984" s="62"/>
      <c r="DX984" s="62"/>
      <c r="DY984" s="62"/>
      <c r="DZ984" s="62"/>
      <c r="EA984" s="62"/>
      <c r="EB984" s="62"/>
      <c r="EC984" s="62"/>
      <c r="ED984" s="62"/>
      <c r="EE984" s="62"/>
      <c r="EF984" s="62"/>
      <c r="EG984" s="62"/>
      <c r="EH984" s="62"/>
      <c r="EI984" s="62"/>
      <c r="EJ984" s="62"/>
      <c r="EK984" s="62"/>
      <c r="EL984" s="62"/>
      <c r="EM984" s="62"/>
      <c r="EN984" s="62"/>
      <c r="EO984" s="62"/>
      <c r="EP984" s="62"/>
      <c r="EQ984" s="62"/>
      <c r="ER984" s="62"/>
      <c r="ES984" s="62"/>
      <c r="ET984" s="62"/>
      <c r="EU984" s="62"/>
      <c r="EV984" s="62"/>
      <c r="EW984" s="62"/>
      <c r="EX984" s="62"/>
      <c r="EY984" s="62"/>
      <c r="EZ984" s="62"/>
      <c r="FA984" s="62"/>
      <c r="FB984" s="62"/>
      <c r="FC984" s="62"/>
      <c r="FD984" s="62"/>
      <c r="FE984" s="62"/>
      <c r="FF984" s="62"/>
      <c r="FG984" s="62"/>
      <c r="FH984" s="62"/>
      <c r="FI984" s="62"/>
      <c r="FJ984" s="62"/>
      <c r="FK984" s="62"/>
      <c r="FL984" s="62"/>
      <c r="FM984" s="62"/>
      <c r="FN984" s="62"/>
      <c r="FO984" s="62"/>
      <c r="FP984" s="62"/>
      <c r="FQ984" s="62"/>
      <c r="FR984" s="62"/>
      <c r="FS984" s="62"/>
      <c r="FT984" s="62"/>
      <c r="FU984" s="62"/>
      <c r="FV984" s="62"/>
    </row>
    <row r="985" spans="1:178" ht="13.8">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c r="AJ985" s="62"/>
      <c r="AK985" s="62"/>
      <c r="AL985" s="62"/>
      <c r="AM985" s="62"/>
      <c r="AN985" s="62"/>
      <c r="AO985" s="62"/>
      <c r="AP985" s="62"/>
      <c r="AQ985" s="62"/>
      <c r="AR985" s="62"/>
      <c r="AS985" s="62"/>
      <c r="AT985" s="62"/>
      <c r="AU985" s="62"/>
      <c r="AV985" s="62"/>
      <c r="AW985" s="62"/>
      <c r="AX985" s="62"/>
      <c r="AY985" s="62"/>
      <c r="AZ985" s="62"/>
      <c r="BA985" s="62"/>
      <c r="BB985" s="62"/>
      <c r="BC985" s="62"/>
      <c r="BD985" s="62"/>
      <c r="BE985" s="62"/>
      <c r="BF985" s="62"/>
      <c r="BG985" s="62"/>
      <c r="BH985" s="62"/>
      <c r="BI985" s="62"/>
      <c r="BJ985" s="62"/>
      <c r="BK985" s="62"/>
      <c r="BL985" s="62"/>
      <c r="BM985" s="62"/>
      <c r="BN985" s="62"/>
      <c r="BO985" s="62"/>
      <c r="BP985" s="62"/>
      <c r="BQ985" s="62"/>
      <c r="BR985" s="62"/>
      <c r="BS985" s="62"/>
      <c r="BT985" s="62"/>
      <c r="BU985" s="62"/>
      <c r="BV985" s="62"/>
      <c r="BW985" s="62"/>
      <c r="BX985" s="62"/>
      <c r="BY985" s="62"/>
      <c r="BZ985" s="62"/>
      <c r="CA985" s="62"/>
      <c r="CB985" s="62"/>
      <c r="CC985" s="62"/>
      <c r="CD985" s="62"/>
      <c r="CE985" s="62"/>
      <c r="CF985" s="62"/>
      <c r="CG985" s="62"/>
      <c r="CH985" s="62"/>
      <c r="CI985" s="62"/>
      <c r="CJ985" s="62"/>
      <c r="CK985" s="62"/>
      <c r="CL985" s="62"/>
      <c r="CM985" s="62"/>
      <c r="CN985" s="62"/>
      <c r="CO985" s="62"/>
      <c r="CP985" s="62"/>
      <c r="CQ985" s="62"/>
      <c r="CR985" s="62"/>
      <c r="CS985" s="62"/>
      <c r="CT985" s="62"/>
      <c r="CU985" s="62"/>
      <c r="CV985" s="62"/>
      <c r="CW985" s="62"/>
      <c r="CX985" s="62"/>
      <c r="CY985" s="62"/>
      <c r="CZ985" s="62"/>
      <c r="DA985" s="62"/>
      <c r="DB985" s="62"/>
      <c r="DC985" s="62"/>
      <c r="DD985" s="62"/>
      <c r="DE985" s="62"/>
      <c r="DF985" s="62"/>
      <c r="DG985" s="62"/>
      <c r="DH985" s="62"/>
      <c r="DI985" s="62"/>
      <c r="DJ985" s="62"/>
      <c r="DK985" s="62"/>
      <c r="DL985" s="62"/>
      <c r="DM985" s="62"/>
      <c r="DN985" s="62"/>
      <c r="DO985" s="62"/>
      <c r="DP985" s="62"/>
      <c r="DQ985" s="62"/>
      <c r="DR985" s="62"/>
      <c r="DS985" s="62"/>
      <c r="DT985" s="62"/>
      <c r="DU985" s="62"/>
      <c r="DV985" s="62"/>
      <c r="DW985" s="62"/>
      <c r="DX985" s="62"/>
      <c r="DY985" s="62"/>
      <c r="DZ985" s="62"/>
      <c r="EA985" s="62"/>
      <c r="EB985" s="62"/>
      <c r="EC985" s="62"/>
      <c r="ED985" s="62"/>
      <c r="EE985" s="62"/>
      <c r="EF985" s="62"/>
      <c r="EG985" s="62"/>
      <c r="EH985" s="62"/>
      <c r="EI985" s="62"/>
      <c r="EJ985" s="62"/>
      <c r="EK985" s="62"/>
      <c r="EL985" s="62"/>
      <c r="EM985" s="62"/>
      <c r="EN985" s="62"/>
      <c r="EO985" s="62"/>
      <c r="EP985" s="62"/>
      <c r="EQ985" s="62"/>
      <c r="ER985" s="62"/>
      <c r="ES985" s="62"/>
      <c r="ET985" s="62"/>
      <c r="EU985" s="62"/>
      <c r="EV985" s="62"/>
      <c r="EW985" s="62"/>
      <c r="EX985" s="62"/>
      <c r="EY985" s="62"/>
      <c r="EZ985" s="62"/>
      <c r="FA985" s="62"/>
      <c r="FB985" s="62"/>
      <c r="FC985" s="62"/>
      <c r="FD985" s="62"/>
      <c r="FE985" s="62"/>
      <c r="FF985" s="62"/>
      <c r="FG985" s="62"/>
      <c r="FH985" s="62"/>
      <c r="FI985" s="62"/>
      <c r="FJ985" s="62"/>
      <c r="FK985" s="62"/>
      <c r="FL985" s="62"/>
      <c r="FM985" s="62"/>
      <c r="FN985" s="62"/>
      <c r="FO985" s="62"/>
      <c r="FP985" s="62"/>
      <c r="FQ985" s="62"/>
      <c r="FR985" s="62"/>
      <c r="FS985" s="62"/>
      <c r="FT985" s="62"/>
      <c r="FU985" s="62"/>
      <c r="FV985" s="62"/>
    </row>
    <row r="986" spans="1:178" ht="13.8">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c r="AJ986" s="62"/>
      <c r="AK986" s="62"/>
      <c r="AL986" s="62"/>
      <c r="AM986" s="62"/>
      <c r="AN986" s="62"/>
      <c r="AO986" s="62"/>
      <c r="AP986" s="62"/>
      <c r="AQ986" s="62"/>
      <c r="AR986" s="62"/>
      <c r="AS986" s="62"/>
      <c r="AT986" s="62"/>
      <c r="AU986" s="62"/>
      <c r="AV986" s="62"/>
      <c r="AW986" s="62"/>
      <c r="AX986" s="62"/>
      <c r="AY986" s="62"/>
      <c r="AZ986" s="62"/>
      <c r="BA986" s="62"/>
      <c r="BB986" s="62"/>
      <c r="BC986" s="62"/>
      <c r="BD986" s="62"/>
      <c r="BE986" s="62"/>
      <c r="BF986" s="62"/>
      <c r="BG986" s="62"/>
      <c r="BH986" s="62"/>
      <c r="BI986" s="62"/>
      <c r="BJ986" s="62"/>
      <c r="BK986" s="62"/>
      <c r="BL986" s="62"/>
      <c r="BM986" s="62"/>
      <c r="BN986" s="62"/>
      <c r="BO986" s="62"/>
      <c r="BP986" s="62"/>
      <c r="BQ986" s="62"/>
      <c r="BR986" s="62"/>
      <c r="BS986" s="62"/>
      <c r="BT986" s="62"/>
      <c r="BU986" s="62"/>
      <c r="BV986" s="62"/>
      <c r="BW986" s="62"/>
      <c r="BX986" s="62"/>
      <c r="BY986" s="62"/>
      <c r="BZ986" s="62"/>
      <c r="CA986" s="62"/>
      <c r="CB986" s="62"/>
      <c r="CC986" s="62"/>
      <c r="CD986" s="62"/>
      <c r="CE986" s="62"/>
      <c r="CF986" s="62"/>
      <c r="CG986" s="62"/>
      <c r="CH986" s="62"/>
      <c r="CI986" s="62"/>
      <c r="CJ986" s="62"/>
      <c r="CK986" s="62"/>
      <c r="CL986" s="62"/>
      <c r="CM986" s="62"/>
      <c r="CN986" s="62"/>
      <c r="CO986" s="62"/>
      <c r="CP986" s="62"/>
      <c r="CQ986" s="62"/>
      <c r="CR986" s="62"/>
      <c r="CS986" s="62"/>
      <c r="CT986" s="62"/>
      <c r="CU986" s="62"/>
      <c r="CV986" s="62"/>
      <c r="CW986" s="62"/>
      <c r="CX986" s="62"/>
      <c r="CY986" s="62"/>
      <c r="CZ986" s="62"/>
      <c r="DA986" s="62"/>
      <c r="DB986" s="62"/>
      <c r="DC986" s="62"/>
      <c r="DD986" s="62"/>
      <c r="DE986" s="62"/>
      <c r="DF986" s="62"/>
      <c r="DG986" s="62"/>
      <c r="DH986" s="62"/>
      <c r="DI986" s="62"/>
      <c r="DJ986" s="62"/>
      <c r="DK986" s="62"/>
      <c r="DL986" s="62"/>
      <c r="DM986" s="62"/>
      <c r="DN986" s="62"/>
      <c r="DO986" s="62"/>
      <c r="DP986" s="62"/>
      <c r="DQ986" s="62"/>
      <c r="DR986" s="62"/>
      <c r="DS986" s="62"/>
      <c r="DT986" s="62"/>
      <c r="DU986" s="62"/>
      <c r="DV986" s="62"/>
      <c r="DW986" s="62"/>
      <c r="DX986" s="62"/>
      <c r="DY986" s="62"/>
      <c r="DZ986" s="62"/>
      <c r="EA986" s="62"/>
      <c r="EB986" s="62"/>
      <c r="EC986" s="62"/>
      <c r="ED986" s="62"/>
      <c r="EE986" s="62"/>
      <c r="EF986" s="62"/>
      <c r="EG986" s="62"/>
      <c r="EH986" s="62"/>
      <c r="EI986" s="62"/>
      <c r="EJ986" s="62"/>
      <c r="EK986" s="62"/>
      <c r="EL986" s="62"/>
      <c r="EM986" s="62"/>
      <c r="EN986" s="62"/>
      <c r="EO986" s="62"/>
      <c r="EP986" s="62"/>
      <c r="EQ986" s="62"/>
      <c r="ER986" s="62"/>
      <c r="ES986" s="62"/>
      <c r="ET986" s="62"/>
      <c r="EU986" s="62"/>
      <c r="EV986" s="62"/>
      <c r="EW986" s="62"/>
      <c r="EX986" s="62"/>
      <c r="EY986" s="62"/>
      <c r="EZ986" s="62"/>
      <c r="FA986" s="62"/>
      <c r="FB986" s="62"/>
      <c r="FC986" s="62"/>
      <c r="FD986" s="62"/>
      <c r="FE986" s="62"/>
      <c r="FF986" s="62"/>
      <c r="FG986" s="62"/>
      <c r="FH986" s="62"/>
      <c r="FI986" s="62"/>
      <c r="FJ986" s="62"/>
      <c r="FK986" s="62"/>
      <c r="FL986" s="62"/>
      <c r="FM986" s="62"/>
      <c r="FN986" s="62"/>
      <c r="FO986" s="62"/>
      <c r="FP986" s="62"/>
      <c r="FQ986" s="62"/>
      <c r="FR986" s="62"/>
      <c r="FS986" s="62"/>
      <c r="FT986" s="62"/>
      <c r="FU986" s="62"/>
      <c r="FV986" s="62"/>
    </row>
    <row r="987" spans="1:178" ht="13.8">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c r="AJ987" s="62"/>
      <c r="AK987" s="62"/>
      <c r="AL987" s="62"/>
      <c r="AM987" s="62"/>
      <c r="AN987" s="62"/>
      <c r="AO987" s="62"/>
      <c r="AP987" s="62"/>
      <c r="AQ987" s="62"/>
      <c r="AR987" s="62"/>
      <c r="AS987" s="62"/>
      <c r="AT987" s="62"/>
      <c r="AU987" s="62"/>
      <c r="AV987" s="62"/>
      <c r="AW987" s="62"/>
      <c r="AX987" s="62"/>
      <c r="AY987" s="62"/>
      <c r="AZ987" s="62"/>
      <c r="BA987" s="62"/>
      <c r="BB987" s="62"/>
      <c r="BC987" s="62"/>
      <c r="BD987" s="62"/>
      <c r="BE987" s="62"/>
      <c r="BF987" s="62"/>
      <c r="BG987" s="62"/>
      <c r="BH987" s="62"/>
      <c r="BI987" s="62"/>
      <c r="BJ987" s="62"/>
      <c r="BK987" s="62"/>
      <c r="BL987" s="62"/>
      <c r="BM987" s="62"/>
      <c r="BN987" s="62"/>
      <c r="BO987" s="62"/>
      <c r="BP987" s="62"/>
      <c r="BQ987" s="62"/>
      <c r="BR987" s="62"/>
      <c r="BS987" s="62"/>
      <c r="BT987" s="62"/>
      <c r="BU987" s="62"/>
      <c r="BV987" s="62"/>
      <c r="BW987" s="62"/>
      <c r="BX987" s="62"/>
      <c r="BY987" s="62"/>
      <c r="BZ987" s="62"/>
      <c r="CA987" s="62"/>
      <c r="CB987" s="62"/>
      <c r="CC987" s="62"/>
      <c r="CD987" s="62"/>
      <c r="CE987" s="62"/>
      <c r="CF987" s="62"/>
      <c r="CG987" s="62"/>
      <c r="CH987" s="62"/>
      <c r="CI987" s="62"/>
      <c r="CJ987" s="62"/>
      <c r="CK987" s="62"/>
      <c r="CL987" s="62"/>
      <c r="CM987" s="62"/>
      <c r="CN987" s="62"/>
      <c r="CO987" s="62"/>
      <c r="CP987" s="62"/>
      <c r="CQ987" s="62"/>
      <c r="CR987" s="62"/>
      <c r="CS987" s="62"/>
      <c r="CT987" s="62"/>
      <c r="CU987" s="62"/>
      <c r="CV987" s="62"/>
      <c r="CW987" s="62"/>
      <c r="CX987" s="62"/>
      <c r="CY987" s="62"/>
      <c r="CZ987" s="62"/>
      <c r="DA987" s="62"/>
      <c r="DB987" s="62"/>
      <c r="DC987" s="62"/>
      <c r="DD987" s="62"/>
      <c r="DE987" s="62"/>
      <c r="DF987" s="62"/>
      <c r="DG987" s="62"/>
      <c r="DH987" s="62"/>
      <c r="DI987" s="62"/>
      <c r="DJ987" s="62"/>
      <c r="DK987" s="62"/>
      <c r="DL987" s="62"/>
      <c r="DM987" s="62"/>
      <c r="DN987" s="62"/>
      <c r="DO987" s="62"/>
      <c r="DP987" s="62"/>
      <c r="DQ987" s="62"/>
      <c r="DR987" s="62"/>
      <c r="DS987" s="62"/>
      <c r="DT987" s="62"/>
      <c r="DU987" s="62"/>
      <c r="DV987" s="62"/>
      <c r="DW987" s="62"/>
      <c r="DX987" s="62"/>
      <c r="DY987" s="62"/>
      <c r="DZ987" s="62"/>
      <c r="EA987" s="62"/>
      <c r="EB987" s="62"/>
      <c r="EC987" s="62"/>
      <c r="ED987" s="62"/>
      <c r="EE987" s="62"/>
      <c r="EF987" s="62"/>
      <c r="EG987" s="62"/>
      <c r="EH987" s="62"/>
      <c r="EI987" s="62"/>
      <c r="EJ987" s="62"/>
      <c r="EK987" s="62"/>
      <c r="EL987" s="62"/>
      <c r="EM987" s="62"/>
      <c r="EN987" s="62"/>
      <c r="EO987" s="62"/>
      <c r="EP987" s="62"/>
      <c r="EQ987" s="62"/>
      <c r="ER987" s="62"/>
      <c r="ES987" s="62"/>
      <c r="ET987" s="62"/>
      <c r="EU987" s="62"/>
      <c r="EV987" s="62"/>
      <c r="EW987" s="62"/>
      <c r="EX987" s="62"/>
      <c r="EY987" s="62"/>
      <c r="EZ987" s="62"/>
      <c r="FA987" s="62"/>
      <c r="FB987" s="62"/>
      <c r="FC987" s="62"/>
      <c r="FD987" s="62"/>
      <c r="FE987" s="62"/>
      <c r="FF987" s="62"/>
      <c r="FG987" s="62"/>
      <c r="FH987" s="62"/>
      <c r="FI987" s="62"/>
      <c r="FJ987" s="62"/>
      <c r="FK987" s="62"/>
      <c r="FL987" s="62"/>
      <c r="FM987" s="62"/>
      <c r="FN987" s="62"/>
      <c r="FO987" s="62"/>
      <c r="FP987" s="62"/>
      <c r="FQ987" s="62"/>
      <c r="FR987" s="62"/>
      <c r="FS987" s="62"/>
      <c r="FT987" s="62"/>
      <c r="FU987" s="62"/>
      <c r="FV987" s="62"/>
    </row>
    <row r="988" spans="1:178" ht="13.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c r="AJ988" s="62"/>
      <c r="AK988" s="62"/>
      <c r="AL988" s="62"/>
      <c r="AM988" s="62"/>
      <c r="AN988" s="62"/>
      <c r="AO988" s="62"/>
      <c r="AP988" s="62"/>
      <c r="AQ988" s="62"/>
      <c r="AR988" s="62"/>
      <c r="AS988" s="62"/>
      <c r="AT988" s="62"/>
      <c r="AU988" s="62"/>
      <c r="AV988" s="62"/>
      <c r="AW988" s="62"/>
      <c r="AX988" s="62"/>
      <c r="AY988" s="62"/>
      <c r="AZ988" s="62"/>
      <c r="BA988" s="62"/>
      <c r="BB988" s="62"/>
      <c r="BC988" s="62"/>
      <c r="BD988" s="62"/>
      <c r="BE988" s="62"/>
      <c r="BF988" s="62"/>
      <c r="BG988" s="62"/>
      <c r="BH988" s="62"/>
      <c r="BI988" s="62"/>
      <c r="BJ988" s="62"/>
      <c r="BK988" s="62"/>
      <c r="BL988" s="62"/>
      <c r="BM988" s="62"/>
      <c r="BN988" s="62"/>
      <c r="BO988" s="62"/>
      <c r="BP988" s="62"/>
      <c r="BQ988" s="62"/>
      <c r="BR988" s="62"/>
      <c r="BS988" s="62"/>
      <c r="BT988" s="62"/>
      <c r="BU988" s="62"/>
      <c r="BV988" s="62"/>
      <c r="BW988" s="62"/>
      <c r="BX988" s="62"/>
      <c r="BY988" s="62"/>
      <c r="BZ988" s="62"/>
      <c r="CA988" s="62"/>
      <c r="CB988" s="62"/>
      <c r="CC988" s="62"/>
      <c r="CD988" s="62"/>
      <c r="CE988" s="62"/>
      <c r="CF988" s="62"/>
      <c r="CG988" s="62"/>
      <c r="CH988" s="62"/>
      <c r="CI988" s="62"/>
      <c r="CJ988" s="62"/>
      <c r="CK988" s="62"/>
      <c r="CL988" s="62"/>
      <c r="CM988" s="62"/>
      <c r="CN988" s="62"/>
      <c r="CO988" s="62"/>
      <c r="CP988" s="62"/>
      <c r="CQ988" s="62"/>
      <c r="CR988" s="62"/>
      <c r="CS988" s="62"/>
      <c r="CT988" s="62"/>
      <c r="CU988" s="62"/>
      <c r="CV988" s="62"/>
      <c r="CW988" s="62"/>
      <c r="CX988" s="62"/>
      <c r="CY988" s="62"/>
      <c r="CZ988" s="62"/>
      <c r="DA988" s="62"/>
      <c r="DB988" s="62"/>
      <c r="DC988" s="62"/>
      <c r="DD988" s="62"/>
      <c r="DE988" s="62"/>
      <c r="DF988" s="62"/>
      <c r="DG988" s="62"/>
      <c r="DH988" s="62"/>
      <c r="DI988" s="62"/>
      <c r="DJ988" s="62"/>
      <c r="DK988" s="62"/>
      <c r="DL988" s="62"/>
      <c r="DM988" s="62"/>
      <c r="DN988" s="62"/>
      <c r="DO988" s="62"/>
      <c r="DP988" s="62"/>
      <c r="DQ988" s="62"/>
      <c r="DR988" s="62"/>
      <c r="DS988" s="62"/>
      <c r="DT988" s="62"/>
      <c r="DU988" s="62"/>
      <c r="DV988" s="62"/>
      <c r="DW988" s="62"/>
      <c r="DX988" s="62"/>
      <c r="DY988" s="62"/>
      <c r="DZ988" s="62"/>
      <c r="EA988" s="62"/>
      <c r="EB988" s="62"/>
      <c r="EC988" s="62"/>
      <c r="ED988" s="62"/>
      <c r="EE988" s="62"/>
      <c r="EF988" s="62"/>
      <c r="EG988" s="62"/>
      <c r="EH988" s="62"/>
      <c r="EI988" s="62"/>
      <c r="EJ988" s="62"/>
      <c r="EK988" s="62"/>
      <c r="EL988" s="62"/>
      <c r="EM988" s="62"/>
      <c r="EN988" s="62"/>
      <c r="EO988" s="62"/>
      <c r="EP988" s="62"/>
      <c r="EQ988" s="62"/>
      <c r="ER988" s="62"/>
      <c r="ES988" s="62"/>
      <c r="ET988" s="62"/>
      <c r="EU988" s="62"/>
      <c r="EV988" s="62"/>
      <c r="EW988" s="62"/>
      <c r="EX988" s="62"/>
      <c r="EY988" s="62"/>
      <c r="EZ988" s="62"/>
      <c r="FA988" s="62"/>
      <c r="FB988" s="62"/>
      <c r="FC988" s="62"/>
      <c r="FD988" s="62"/>
      <c r="FE988" s="62"/>
      <c r="FF988" s="62"/>
      <c r="FG988" s="62"/>
      <c r="FH988" s="62"/>
      <c r="FI988" s="62"/>
      <c r="FJ988" s="62"/>
      <c r="FK988" s="62"/>
      <c r="FL988" s="62"/>
      <c r="FM988" s="62"/>
      <c r="FN988" s="62"/>
      <c r="FO988" s="62"/>
      <c r="FP988" s="62"/>
      <c r="FQ988" s="62"/>
      <c r="FR988" s="62"/>
      <c r="FS988" s="62"/>
      <c r="FT988" s="62"/>
      <c r="FU988" s="62"/>
      <c r="FV988" s="62"/>
    </row>
    <row r="989" spans="1:178" ht="13.8">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c r="AJ989" s="62"/>
      <c r="AK989" s="62"/>
      <c r="AL989" s="62"/>
      <c r="AM989" s="62"/>
      <c r="AN989" s="62"/>
      <c r="AO989" s="62"/>
      <c r="AP989" s="62"/>
      <c r="AQ989" s="62"/>
      <c r="AR989" s="62"/>
      <c r="AS989" s="62"/>
      <c r="AT989" s="62"/>
      <c r="AU989" s="62"/>
      <c r="AV989" s="62"/>
      <c r="AW989" s="62"/>
      <c r="AX989" s="62"/>
      <c r="AY989" s="62"/>
      <c r="AZ989" s="62"/>
      <c r="BA989" s="62"/>
      <c r="BB989" s="62"/>
      <c r="BC989" s="62"/>
      <c r="BD989" s="62"/>
      <c r="BE989" s="62"/>
      <c r="BF989" s="62"/>
      <c r="BG989" s="62"/>
      <c r="BH989" s="62"/>
      <c r="BI989" s="62"/>
      <c r="BJ989" s="62"/>
      <c r="BK989" s="62"/>
      <c r="BL989" s="62"/>
      <c r="BM989" s="62"/>
      <c r="BN989" s="62"/>
      <c r="BO989" s="62"/>
      <c r="BP989" s="62"/>
      <c r="BQ989" s="62"/>
      <c r="BR989" s="62"/>
      <c r="BS989" s="62"/>
      <c r="BT989" s="62"/>
      <c r="BU989" s="62"/>
      <c r="BV989" s="62"/>
      <c r="BW989" s="62"/>
      <c r="BX989" s="62"/>
      <c r="BY989" s="62"/>
      <c r="BZ989" s="62"/>
      <c r="CA989" s="62"/>
      <c r="CB989" s="62"/>
      <c r="CC989" s="62"/>
      <c r="CD989" s="62"/>
      <c r="CE989" s="62"/>
      <c r="CF989" s="62"/>
      <c r="CG989" s="62"/>
      <c r="CH989" s="62"/>
      <c r="CI989" s="62"/>
      <c r="CJ989" s="62"/>
      <c r="CK989" s="62"/>
      <c r="CL989" s="62"/>
      <c r="CM989" s="62"/>
      <c r="CN989" s="62"/>
      <c r="CO989" s="62"/>
      <c r="CP989" s="62"/>
      <c r="CQ989" s="62"/>
      <c r="CR989" s="62"/>
      <c r="CS989" s="62"/>
      <c r="CT989" s="62"/>
      <c r="CU989" s="62"/>
      <c r="CV989" s="62"/>
      <c r="CW989" s="62"/>
      <c r="CX989" s="62"/>
      <c r="CY989" s="62"/>
      <c r="CZ989" s="62"/>
      <c r="DA989" s="62"/>
      <c r="DB989" s="62"/>
      <c r="DC989" s="62"/>
      <c r="DD989" s="62"/>
      <c r="DE989" s="62"/>
      <c r="DF989" s="62"/>
      <c r="DG989" s="62"/>
      <c r="DH989" s="62"/>
      <c r="DI989" s="62"/>
      <c r="DJ989" s="62"/>
      <c r="DK989" s="62"/>
      <c r="DL989" s="62"/>
      <c r="DM989" s="62"/>
      <c r="DN989" s="62"/>
      <c r="DO989" s="62"/>
      <c r="DP989" s="62"/>
      <c r="DQ989" s="62"/>
      <c r="DR989" s="62"/>
      <c r="DS989" s="62"/>
      <c r="DT989" s="62"/>
      <c r="DU989" s="62"/>
      <c r="DV989" s="62"/>
      <c r="DW989" s="62"/>
      <c r="DX989" s="62"/>
      <c r="DY989" s="62"/>
      <c r="DZ989" s="62"/>
      <c r="EA989" s="62"/>
      <c r="EB989" s="62"/>
      <c r="EC989" s="62"/>
      <c r="ED989" s="62"/>
      <c r="EE989" s="62"/>
      <c r="EF989" s="62"/>
      <c r="EG989" s="62"/>
      <c r="EH989" s="62"/>
      <c r="EI989" s="62"/>
      <c r="EJ989" s="62"/>
      <c r="EK989" s="62"/>
      <c r="EL989" s="62"/>
      <c r="EM989" s="62"/>
      <c r="EN989" s="62"/>
      <c r="EO989" s="62"/>
      <c r="EP989" s="62"/>
      <c r="EQ989" s="62"/>
      <c r="ER989" s="62"/>
      <c r="ES989" s="62"/>
      <c r="ET989" s="62"/>
      <c r="EU989" s="62"/>
      <c r="EV989" s="62"/>
      <c r="EW989" s="62"/>
      <c r="EX989" s="62"/>
      <c r="EY989" s="62"/>
      <c r="EZ989" s="62"/>
      <c r="FA989" s="62"/>
      <c r="FB989" s="62"/>
      <c r="FC989" s="62"/>
      <c r="FD989" s="62"/>
      <c r="FE989" s="62"/>
      <c r="FF989" s="62"/>
      <c r="FG989" s="62"/>
      <c r="FH989" s="62"/>
      <c r="FI989" s="62"/>
      <c r="FJ989" s="62"/>
      <c r="FK989" s="62"/>
      <c r="FL989" s="62"/>
      <c r="FM989" s="62"/>
      <c r="FN989" s="62"/>
      <c r="FO989" s="62"/>
      <c r="FP989" s="62"/>
      <c r="FQ989" s="62"/>
      <c r="FR989" s="62"/>
      <c r="FS989" s="62"/>
      <c r="FT989" s="62"/>
      <c r="FU989" s="62"/>
      <c r="FV989" s="62"/>
    </row>
    <row r="990" spans="1:178" ht="13.8">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c r="AJ990" s="62"/>
      <c r="AK990" s="62"/>
      <c r="AL990" s="62"/>
      <c r="AM990" s="62"/>
      <c r="AN990" s="62"/>
      <c r="AO990" s="62"/>
      <c r="AP990" s="62"/>
      <c r="AQ990" s="62"/>
      <c r="AR990" s="62"/>
      <c r="AS990" s="62"/>
      <c r="AT990" s="62"/>
      <c r="AU990" s="62"/>
      <c r="AV990" s="62"/>
      <c r="AW990" s="62"/>
      <c r="AX990" s="62"/>
      <c r="AY990" s="62"/>
      <c r="AZ990" s="62"/>
      <c r="BA990" s="62"/>
      <c r="BB990" s="62"/>
      <c r="BC990" s="62"/>
      <c r="BD990" s="62"/>
      <c r="BE990" s="62"/>
      <c r="BF990" s="62"/>
      <c r="BG990" s="62"/>
      <c r="BH990" s="62"/>
      <c r="BI990" s="62"/>
      <c r="BJ990" s="62"/>
      <c r="BK990" s="62"/>
      <c r="BL990" s="62"/>
      <c r="BM990" s="62"/>
      <c r="BN990" s="62"/>
      <c r="BO990" s="62"/>
      <c r="BP990" s="62"/>
      <c r="BQ990" s="62"/>
      <c r="BR990" s="62"/>
      <c r="BS990" s="62"/>
      <c r="BT990" s="62"/>
      <c r="BU990" s="62"/>
      <c r="BV990" s="62"/>
      <c r="BW990" s="62"/>
      <c r="BX990" s="62"/>
      <c r="BY990" s="62"/>
      <c r="BZ990" s="62"/>
      <c r="CA990" s="62"/>
      <c r="CB990" s="62"/>
      <c r="CC990" s="62"/>
      <c r="CD990" s="62"/>
      <c r="CE990" s="62"/>
      <c r="CF990" s="62"/>
      <c r="CG990" s="62"/>
      <c r="CH990" s="62"/>
      <c r="CI990" s="62"/>
      <c r="CJ990" s="62"/>
      <c r="CK990" s="62"/>
      <c r="CL990" s="62"/>
      <c r="CM990" s="62"/>
      <c r="CN990" s="62"/>
      <c r="CO990" s="62"/>
      <c r="CP990" s="62"/>
      <c r="CQ990" s="62"/>
      <c r="CR990" s="62"/>
      <c r="CS990" s="62"/>
      <c r="CT990" s="62"/>
      <c r="CU990" s="62"/>
      <c r="CV990" s="62"/>
      <c r="CW990" s="62"/>
      <c r="CX990" s="62"/>
      <c r="CY990" s="62"/>
      <c r="CZ990" s="62"/>
      <c r="DA990" s="62"/>
      <c r="DB990" s="62"/>
      <c r="DC990" s="62"/>
      <c r="DD990" s="62"/>
      <c r="DE990" s="62"/>
      <c r="DF990" s="62"/>
      <c r="DG990" s="62"/>
      <c r="DH990" s="62"/>
      <c r="DI990" s="62"/>
      <c r="DJ990" s="62"/>
      <c r="DK990" s="62"/>
      <c r="DL990" s="62"/>
      <c r="DM990" s="62"/>
      <c r="DN990" s="62"/>
      <c r="DO990" s="62"/>
      <c r="DP990" s="62"/>
      <c r="DQ990" s="62"/>
      <c r="DR990" s="62"/>
      <c r="DS990" s="62"/>
      <c r="DT990" s="62"/>
      <c r="DU990" s="62"/>
      <c r="DV990" s="62"/>
      <c r="DW990" s="62"/>
      <c r="DX990" s="62"/>
      <c r="DY990" s="62"/>
      <c r="DZ990" s="62"/>
      <c r="EA990" s="62"/>
      <c r="EB990" s="62"/>
      <c r="EC990" s="62"/>
      <c r="ED990" s="62"/>
      <c r="EE990" s="62"/>
      <c r="EF990" s="62"/>
      <c r="EG990" s="62"/>
      <c r="EH990" s="62"/>
      <c r="EI990" s="62"/>
      <c r="EJ990" s="62"/>
      <c r="EK990" s="62"/>
      <c r="EL990" s="62"/>
      <c r="EM990" s="62"/>
      <c r="EN990" s="62"/>
      <c r="EO990" s="62"/>
      <c r="EP990" s="62"/>
      <c r="EQ990" s="62"/>
      <c r="ER990" s="62"/>
      <c r="ES990" s="62"/>
      <c r="ET990" s="62"/>
      <c r="EU990" s="62"/>
      <c r="EV990" s="62"/>
      <c r="EW990" s="62"/>
      <c r="EX990" s="62"/>
      <c r="EY990" s="62"/>
      <c r="EZ990" s="62"/>
      <c r="FA990" s="62"/>
      <c r="FB990" s="62"/>
      <c r="FC990" s="62"/>
      <c r="FD990" s="62"/>
      <c r="FE990" s="62"/>
      <c r="FF990" s="62"/>
      <c r="FG990" s="62"/>
      <c r="FH990" s="62"/>
      <c r="FI990" s="62"/>
      <c r="FJ990" s="62"/>
      <c r="FK990" s="62"/>
      <c r="FL990" s="62"/>
      <c r="FM990" s="62"/>
      <c r="FN990" s="62"/>
      <c r="FO990" s="62"/>
      <c r="FP990" s="62"/>
      <c r="FQ990" s="62"/>
      <c r="FR990" s="62"/>
      <c r="FS990" s="62"/>
      <c r="FT990" s="62"/>
      <c r="FU990" s="62"/>
      <c r="FV990" s="62"/>
    </row>
    <row r="991" spans="1:178" ht="13.8">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c r="AJ991" s="62"/>
      <c r="AK991" s="62"/>
      <c r="AL991" s="62"/>
      <c r="AM991" s="62"/>
      <c r="AN991" s="62"/>
      <c r="AO991" s="62"/>
      <c r="AP991" s="62"/>
      <c r="AQ991" s="62"/>
      <c r="AR991" s="62"/>
      <c r="AS991" s="62"/>
      <c r="AT991" s="62"/>
      <c r="AU991" s="62"/>
      <c r="AV991" s="62"/>
      <c r="AW991" s="62"/>
      <c r="AX991" s="62"/>
      <c r="AY991" s="62"/>
      <c r="AZ991" s="62"/>
      <c r="BA991" s="62"/>
      <c r="BB991" s="62"/>
      <c r="BC991" s="62"/>
      <c r="BD991" s="62"/>
      <c r="BE991" s="62"/>
      <c r="BF991" s="62"/>
      <c r="BG991" s="62"/>
      <c r="BH991" s="62"/>
      <c r="BI991" s="62"/>
      <c r="BJ991" s="62"/>
      <c r="BK991" s="62"/>
      <c r="BL991" s="62"/>
      <c r="BM991" s="62"/>
      <c r="BN991" s="62"/>
      <c r="BO991" s="62"/>
      <c r="BP991" s="62"/>
      <c r="BQ991" s="62"/>
      <c r="BR991" s="62"/>
      <c r="BS991" s="62"/>
      <c r="BT991" s="62"/>
      <c r="BU991" s="62"/>
      <c r="BV991" s="62"/>
      <c r="BW991" s="62"/>
      <c r="BX991" s="62"/>
      <c r="BY991" s="62"/>
      <c r="BZ991" s="62"/>
      <c r="CA991" s="62"/>
      <c r="CB991" s="62"/>
      <c r="CC991" s="62"/>
      <c r="CD991" s="62"/>
      <c r="CE991" s="62"/>
      <c r="CF991" s="62"/>
      <c r="CG991" s="62"/>
      <c r="CH991" s="62"/>
      <c r="CI991" s="62"/>
      <c r="CJ991" s="62"/>
      <c r="CK991" s="62"/>
      <c r="CL991" s="62"/>
      <c r="CM991" s="62"/>
      <c r="CN991" s="62"/>
      <c r="CO991" s="62"/>
      <c r="CP991" s="62"/>
      <c r="CQ991" s="62"/>
      <c r="CR991" s="62"/>
      <c r="CS991" s="62"/>
      <c r="CT991" s="62"/>
      <c r="CU991" s="62"/>
      <c r="CV991" s="62"/>
      <c r="CW991" s="62"/>
      <c r="CX991" s="62"/>
      <c r="CY991" s="62"/>
      <c r="CZ991" s="62"/>
      <c r="DA991" s="62"/>
      <c r="DB991" s="62"/>
      <c r="DC991" s="62"/>
      <c r="DD991" s="62"/>
      <c r="DE991" s="62"/>
      <c r="DF991" s="62"/>
      <c r="DG991" s="62"/>
      <c r="DH991" s="62"/>
      <c r="DI991" s="62"/>
      <c r="DJ991" s="62"/>
      <c r="DK991" s="62"/>
      <c r="DL991" s="62"/>
      <c r="DM991" s="62"/>
      <c r="DN991" s="62"/>
      <c r="DO991" s="62"/>
      <c r="DP991" s="62"/>
      <c r="DQ991" s="62"/>
      <c r="DR991" s="62"/>
      <c r="DS991" s="62"/>
      <c r="DT991" s="62"/>
      <c r="DU991" s="62"/>
      <c r="DV991" s="62"/>
      <c r="DW991" s="62"/>
      <c r="DX991" s="62"/>
      <c r="DY991" s="62"/>
      <c r="DZ991" s="62"/>
      <c r="EA991" s="62"/>
      <c r="EB991" s="62"/>
      <c r="EC991" s="62"/>
      <c r="ED991" s="62"/>
      <c r="EE991" s="62"/>
      <c r="EF991" s="62"/>
      <c r="EG991" s="62"/>
      <c r="EH991" s="62"/>
      <c r="EI991" s="62"/>
      <c r="EJ991" s="62"/>
      <c r="EK991" s="62"/>
      <c r="EL991" s="62"/>
      <c r="EM991" s="62"/>
      <c r="EN991" s="62"/>
      <c r="EO991" s="62"/>
      <c r="EP991" s="62"/>
      <c r="EQ991" s="62"/>
      <c r="ER991" s="62"/>
      <c r="ES991" s="62"/>
      <c r="ET991" s="62"/>
      <c r="EU991" s="62"/>
      <c r="EV991" s="62"/>
      <c r="EW991" s="62"/>
      <c r="EX991" s="62"/>
      <c r="EY991" s="62"/>
      <c r="EZ991" s="62"/>
      <c r="FA991" s="62"/>
      <c r="FB991" s="62"/>
      <c r="FC991" s="62"/>
      <c r="FD991" s="62"/>
      <c r="FE991" s="62"/>
      <c r="FF991" s="62"/>
      <c r="FG991" s="62"/>
      <c r="FH991" s="62"/>
      <c r="FI991" s="62"/>
      <c r="FJ991" s="62"/>
      <c r="FK991" s="62"/>
      <c r="FL991" s="62"/>
      <c r="FM991" s="62"/>
      <c r="FN991" s="62"/>
      <c r="FO991" s="62"/>
      <c r="FP991" s="62"/>
      <c r="FQ991" s="62"/>
      <c r="FR991" s="62"/>
      <c r="FS991" s="62"/>
      <c r="FT991" s="62"/>
      <c r="FU991" s="62"/>
      <c r="FV991" s="62"/>
    </row>
    <row r="992" spans="1:178" ht="13.8">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c r="AJ992" s="62"/>
      <c r="AK992" s="62"/>
      <c r="AL992" s="62"/>
      <c r="AM992" s="62"/>
      <c r="AN992" s="62"/>
      <c r="AO992" s="62"/>
      <c r="AP992" s="62"/>
      <c r="AQ992" s="62"/>
      <c r="AR992" s="62"/>
      <c r="AS992" s="62"/>
      <c r="AT992" s="62"/>
      <c r="AU992" s="62"/>
      <c r="AV992" s="62"/>
      <c r="AW992" s="62"/>
      <c r="AX992" s="62"/>
      <c r="AY992" s="62"/>
      <c r="AZ992" s="62"/>
      <c r="BA992" s="62"/>
      <c r="BB992" s="62"/>
      <c r="BC992" s="62"/>
      <c r="BD992" s="62"/>
      <c r="BE992" s="62"/>
      <c r="BF992" s="62"/>
      <c r="BG992" s="62"/>
      <c r="BH992" s="62"/>
      <c r="BI992" s="62"/>
      <c r="BJ992" s="62"/>
      <c r="BK992" s="62"/>
      <c r="BL992" s="62"/>
      <c r="BM992" s="62"/>
      <c r="BN992" s="62"/>
      <c r="BO992" s="62"/>
      <c r="BP992" s="62"/>
      <c r="BQ992" s="62"/>
      <c r="BR992" s="62"/>
      <c r="BS992" s="62"/>
      <c r="BT992" s="62"/>
      <c r="BU992" s="62"/>
      <c r="BV992" s="62"/>
      <c r="BW992" s="62"/>
      <c r="BX992" s="62"/>
      <c r="BY992" s="62"/>
      <c r="BZ992" s="62"/>
      <c r="CA992" s="62"/>
      <c r="CB992" s="62"/>
      <c r="CC992" s="62"/>
      <c r="CD992" s="62"/>
      <c r="CE992" s="62"/>
      <c r="CF992" s="62"/>
      <c r="CG992" s="62"/>
      <c r="CH992" s="62"/>
      <c r="CI992" s="62"/>
      <c r="CJ992" s="62"/>
      <c r="CK992" s="62"/>
      <c r="CL992" s="62"/>
      <c r="CM992" s="62"/>
      <c r="CN992" s="62"/>
      <c r="CO992" s="62"/>
      <c r="CP992" s="62"/>
      <c r="CQ992" s="62"/>
      <c r="CR992" s="62"/>
      <c r="CS992" s="62"/>
      <c r="CT992" s="62"/>
      <c r="CU992" s="62"/>
      <c r="CV992" s="62"/>
      <c r="CW992" s="62"/>
      <c r="CX992" s="62"/>
      <c r="CY992" s="62"/>
      <c r="CZ992" s="62"/>
      <c r="DA992" s="62"/>
      <c r="DB992" s="62"/>
      <c r="DC992" s="62"/>
      <c r="DD992" s="62"/>
      <c r="DE992" s="62"/>
      <c r="DF992" s="62"/>
      <c r="DG992" s="62"/>
      <c r="DH992" s="62"/>
      <c r="DI992" s="62"/>
      <c r="DJ992" s="62"/>
      <c r="DK992" s="62"/>
      <c r="DL992" s="62"/>
      <c r="DM992" s="62"/>
      <c r="DN992" s="62"/>
      <c r="DO992" s="62"/>
      <c r="DP992" s="62"/>
      <c r="DQ992" s="62"/>
      <c r="DR992" s="62"/>
      <c r="DS992" s="62"/>
      <c r="DT992" s="62"/>
      <c r="DU992" s="62"/>
      <c r="DV992" s="62"/>
      <c r="DW992" s="62"/>
      <c r="DX992" s="62"/>
      <c r="DY992" s="62"/>
      <c r="DZ992" s="62"/>
      <c r="EA992" s="62"/>
      <c r="EB992" s="62"/>
      <c r="EC992" s="62"/>
      <c r="ED992" s="62"/>
      <c r="EE992" s="62"/>
      <c r="EF992" s="62"/>
      <c r="EG992" s="62"/>
      <c r="EH992" s="62"/>
      <c r="EI992" s="62"/>
      <c r="EJ992" s="62"/>
      <c r="EK992" s="62"/>
      <c r="EL992" s="62"/>
      <c r="EM992" s="62"/>
      <c r="EN992" s="62"/>
      <c r="EO992" s="62"/>
      <c r="EP992" s="62"/>
      <c r="EQ992" s="62"/>
      <c r="ER992" s="62"/>
      <c r="ES992" s="62"/>
      <c r="ET992" s="62"/>
      <c r="EU992" s="62"/>
      <c r="EV992" s="62"/>
      <c r="EW992" s="62"/>
      <c r="EX992" s="62"/>
      <c r="EY992" s="62"/>
      <c r="EZ992" s="62"/>
      <c r="FA992" s="62"/>
      <c r="FB992" s="62"/>
      <c r="FC992" s="62"/>
      <c r="FD992" s="62"/>
      <c r="FE992" s="62"/>
      <c r="FF992" s="62"/>
      <c r="FG992" s="62"/>
      <c r="FH992" s="62"/>
      <c r="FI992" s="62"/>
      <c r="FJ992" s="62"/>
      <c r="FK992" s="62"/>
      <c r="FL992" s="62"/>
      <c r="FM992" s="62"/>
      <c r="FN992" s="62"/>
      <c r="FO992" s="62"/>
      <c r="FP992" s="62"/>
      <c r="FQ992" s="62"/>
      <c r="FR992" s="62"/>
      <c r="FS992" s="62"/>
      <c r="FT992" s="62"/>
      <c r="FU992" s="62"/>
      <c r="FV992" s="62"/>
    </row>
    <row r="993" spans="1:178" ht="13.8">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c r="AJ993" s="62"/>
      <c r="AK993" s="62"/>
      <c r="AL993" s="62"/>
      <c r="AM993" s="62"/>
      <c r="AN993" s="62"/>
      <c r="AO993" s="62"/>
      <c r="AP993" s="62"/>
      <c r="AQ993" s="62"/>
      <c r="AR993" s="62"/>
      <c r="AS993" s="62"/>
      <c r="AT993" s="62"/>
      <c r="AU993" s="62"/>
      <c r="AV993" s="62"/>
      <c r="AW993" s="62"/>
      <c r="AX993" s="62"/>
      <c r="AY993" s="62"/>
      <c r="AZ993" s="62"/>
      <c r="BA993" s="62"/>
      <c r="BB993" s="62"/>
      <c r="BC993" s="62"/>
      <c r="BD993" s="62"/>
      <c r="BE993" s="62"/>
      <c r="BF993" s="62"/>
      <c r="BG993" s="62"/>
      <c r="BH993" s="62"/>
      <c r="BI993" s="62"/>
      <c r="BJ993" s="62"/>
      <c r="BK993" s="62"/>
      <c r="BL993" s="62"/>
      <c r="BM993" s="62"/>
      <c r="BN993" s="62"/>
      <c r="BO993" s="62"/>
      <c r="BP993" s="62"/>
      <c r="BQ993" s="62"/>
      <c r="BR993" s="62"/>
      <c r="BS993" s="62"/>
      <c r="BT993" s="62"/>
      <c r="BU993" s="62"/>
      <c r="BV993" s="62"/>
      <c r="BW993" s="62"/>
      <c r="BX993" s="62"/>
      <c r="BY993" s="62"/>
      <c r="BZ993" s="62"/>
      <c r="CA993" s="62"/>
      <c r="CB993" s="62"/>
      <c r="CC993" s="62"/>
      <c r="CD993" s="62"/>
      <c r="CE993" s="62"/>
      <c r="CF993" s="62"/>
      <c r="CG993" s="62"/>
      <c r="CH993" s="62"/>
      <c r="CI993" s="62"/>
      <c r="CJ993" s="62"/>
      <c r="CK993" s="62"/>
      <c r="CL993" s="62"/>
      <c r="CM993" s="62"/>
      <c r="CN993" s="62"/>
      <c r="CO993" s="62"/>
      <c r="CP993" s="62"/>
      <c r="CQ993" s="62"/>
      <c r="CR993" s="62"/>
      <c r="CS993" s="62"/>
      <c r="CT993" s="62"/>
      <c r="CU993" s="62"/>
      <c r="CV993" s="62"/>
      <c r="CW993" s="62"/>
      <c r="CX993" s="62"/>
      <c r="CY993" s="62"/>
      <c r="CZ993" s="62"/>
      <c r="DA993" s="62"/>
      <c r="DB993" s="62"/>
      <c r="DC993" s="62"/>
      <c r="DD993" s="62"/>
      <c r="DE993" s="62"/>
      <c r="DF993" s="62"/>
      <c r="DG993" s="62"/>
      <c r="DH993" s="62"/>
      <c r="DI993" s="62"/>
      <c r="DJ993" s="62"/>
      <c r="DK993" s="62"/>
      <c r="DL993" s="62"/>
      <c r="DM993" s="62"/>
      <c r="DN993" s="62"/>
      <c r="DO993" s="62"/>
      <c r="DP993" s="62"/>
      <c r="DQ993" s="62"/>
      <c r="DR993" s="62"/>
      <c r="DS993" s="62"/>
      <c r="DT993" s="62"/>
      <c r="DU993" s="62"/>
      <c r="DV993" s="62"/>
      <c r="DW993" s="62"/>
      <c r="DX993" s="62"/>
      <c r="DY993" s="62"/>
      <c r="DZ993" s="62"/>
      <c r="EA993" s="62"/>
      <c r="EB993" s="62"/>
      <c r="EC993" s="62"/>
      <c r="ED993" s="62"/>
      <c r="EE993" s="62"/>
      <c r="EF993" s="62"/>
      <c r="EG993" s="62"/>
      <c r="EH993" s="62"/>
      <c r="EI993" s="62"/>
      <c r="EJ993" s="62"/>
      <c r="EK993" s="62"/>
      <c r="EL993" s="62"/>
      <c r="EM993" s="62"/>
      <c r="EN993" s="62"/>
      <c r="EO993" s="62"/>
      <c r="EP993" s="62"/>
      <c r="EQ993" s="62"/>
      <c r="ER993" s="62"/>
      <c r="ES993" s="62"/>
      <c r="ET993" s="62"/>
      <c r="EU993" s="62"/>
      <c r="EV993" s="62"/>
      <c r="EW993" s="62"/>
      <c r="EX993" s="62"/>
      <c r="EY993" s="62"/>
      <c r="EZ993" s="62"/>
      <c r="FA993" s="62"/>
      <c r="FB993" s="62"/>
      <c r="FC993" s="62"/>
      <c r="FD993" s="62"/>
      <c r="FE993" s="62"/>
      <c r="FF993" s="62"/>
      <c r="FG993" s="62"/>
      <c r="FH993" s="62"/>
      <c r="FI993" s="62"/>
      <c r="FJ993" s="62"/>
      <c r="FK993" s="62"/>
      <c r="FL993" s="62"/>
      <c r="FM993" s="62"/>
      <c r="FN993" s="62"/>
      <c r="FO993" s="62"/>
      <c r="FP993" s="62"/>
      <c r="FQ993" s="62"/>
      <c r="FR993" s="62"/>
      <c r="FS993" s="62"/>
      <c r="FT993" s="62"/>
      <c r="FU993" s="62"/>
      <c r="FV993" s="62"/>
    </row>
    <row r="994" spans="1:178" ht="13.8">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c r="AJ994" s="62"/>
      <c r="AK994" s="62"/>
      <c r="AL994" s="62"/>
      <c r="AM994" s="62"/>
      <c r="AN994" s="62"/>
      <c r="AO994" s="62"/>
      <c r="AP994" s="62"/>
      <c r="AQ994" s="62"/>
      <c r="AR994" s="62"/>
      <c r="AS994" s="62"/>
      <c r="AT994" s="62"/>
      <c r="AU994" s="62"/>
      <c r="AV994" s="62"/>
      <c r="AW994" s="62"/>
      <c r="AX994" s="62"/>
      <c r="AY994" s="62"/>
      <c r="AZ994" s="62"/>
      <c r="BA994" s="62"/>
      <c r="BB994" s="62"/>
      <c r="BC994" s="62"/>
      <c r="BD994" s="62"/>
      <c r="BE994" s="62"/>
      <c r="BF994" s="62"/>
      <c r="BG994" s="62"/>
      <c r="BH994" s="62"/>
      <c r="BI994" s="62"/>
      <c r="BJ994" s="62"/>
      <c r="BK994" s="62"/>
      <c r="BL994" s="62"/>
      <c r="BM994" s="62"/>
      <c r="BN994" s="62"/>
      <c r="BO994" s="62"/>
      <c r="BP994" s="62"/>
      <c r="BQ994" s="62"/>
      <c r="BR994" s="62"/>
      <c r="BS994" s="62"/>
      <c r="BT994" s="62"/>
      <c r="BU994" s="62"/>
      <c r="BV994" s="62"/>
      <c r="BW994" s="62"/>
      <c r="BX994" s="62"/>
      <c r="BY994" s="62"/>
      <c r="BZ994" s="62"/>
      <c r="CA994" s="62"/>
      <c r="CB994" s="62"/>
      <c r="CC994" s="62"/>
      <c r="CD994" s="62"/>
      <c r="CE994" s="62"/>
      <c r="CF994" s="62"/>
      <c r="CG994" s="62"/>
      <c r="CH994" s="62"/>
      <c r="CI994" s="62"/>
      <c r="CJ994" s="62"/>
      <c r="CK994" s="62"/>
      <c r="CL994" s="62"/>
      <c r="CM994" s="62"/>
      <c r="CN994" s="62"/>
      <c r="CO994" s="62"/>
      <c r="CP994" s="62"/>
      <c r="CQ994" s="62"/>
      <c r="CR994" s="62"/>
      <c r="CS994" s="62"/>
      <c r="CT994" s="62"/>
      <c r="CU994" s="62"/>
      <c r="CV994" s="62"/>
      <c r="CW994" s="62"/>
      <c r="CX994" s="62"/>
      <c r="CY994" s="62"/>
      <c r="CZ994" s="62"/>
      <c r="DA994" s="62"/>
      <c r="DB994" s="62"/>
      <c r="DC994" s="62"/>
      <c r="DD994" s="62"/>
      <c r="DE994" s="62"/>
      <c r="DF994" s="62"/>
      <c r="DG994" s="62"/>
      <c r="DH994" s="62"/>
      <c r="DI994" s="62"/>
      <c r="DJ994" s="62"/>
      <c r="DK994" s="62"/>
      <c r="DL994" s="62"/>
      <c r="DM994" s="62"/>
      <c r="DN994" s="62"/>
      <c r="DO994" s="62"/>
      <c r="DP994" s="62"/>
      <c r="DQ994" s="62"/>
      <c r="DR994" s="62"/>
      <c r="DS994" s="62"/>
      <c r="DT994" s="62"/>
      <c r="DU994" s="62"/>
      <c r="DV994" s="62"/>
      <c r="DW994" s="62"/>
      <c r="DX994" s="62"/>
      <c r="DY994" s="62"/>
      <c r="DZ994" s="62"/>
      <c r="EA994" s="62"/>
      <c r="EB994" s="62"/>
      <c r="EC994" s="62"/>
      <c r="ED994" s="62"/>
      <c r="EE994" s="62"/>
      <c r="EF994" s="62"/>
      <c r="EG994" s="62"/>
      <c r="EH994" s="62"/>
      <c r="EI994" s="62"/>
      <c r="EJ994" s="62"/>
      <c r="EK994" s="62"/>
      <c r="EL994" s="62"/>
      <c r="EM994" s="62"/>
      <c r="EN994" s="62"/>
      <c r="EO994" s="62"/>
      <c r="EP994" s="62"/>
      <c r="EQ994" s="62"/>
      <c r="ER994" s="62"/>
      <c r="ES994" s="62"/>
      <c r="ET994" s="62"/>
      <c r="EU994" s="62"/>
      <c r="EV994" s="62"/>
      <c r="EW994" s="62"/>
      <c r="EX994" s="62"/>
      <c r="EY994" s="62"/>
      <c r="EZ994" s="62"/>
      <c r="FA994" s="62"/>
      <c r="FB994" s="62"/>
      <c r="FC994" s="62"/>
      <c r="FD994" s="62"/>
      <c r="FE994" s="62"/>
      <c r="FF994" s="62"/>
      <c r="FG994" s="62"/>
      <c r="FH994" s="62"/>
      <c r="FI994" s="62"/>
      <c r="FJ994" s="62"/>
      <c r="FK994" s="62"/>
      <c r="FL994" s="62"/>
      <c r="FM994" s="62"/>
      <c r="FN994" s="62"/>
      <c r="FO994" s="62"/>
      <c r="FP994" s="62"/>
      <c r="FQ994" s="62"/>
      <c r="FR994" s="62"/>
      <c r="FS994" s="62"/>
      <c r="FT994" s="62"/>
      <c r="FU994" s="62"/>
      <c r="FV994" s="62"/>
    </row>
    <row r="995" spans="1:178" ht="13.8">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c r="AJ995" s="62"/>
      <c r="AK995" s="62"/>
      <c r="AL995" s="62"/>
      <c r="AM995" s="62"/>
      <c r="AN995" s="62"/>
      <c r="AO995" s="62"/>
      <c r="AP995" s="62"/>
      <c r="AQ995" s="62"/>
      <c r="AR995" s="62"/>
      <c r="AS995" s="62"/>
      <c r="AT995" s="62"/>
      <c r="AU995" s="62"/>
      <c r="AV995" s="62"/>
      <c r="AW995" s="62"/>
      <c r="AX995" s="62"/>
      <c r="AY995" s="62"/>
      <c r="AZ995" s="62"/>
      <c r="BA995" s="62"/>
      <c r="BB995" s="62"/>
      <c r="BC995" s="62"/>
      <c r="BD995" s="62"/>
      <c r="BE995" s="62"/>
      <c r="BF995" s="62"/>
      <c r="BG995" s="62"/>
      <c r="BH995" s="62"/>
      <c r="BI995" s="62"/>
      <c r="BJ995" s="62"/>
      <c r="BK995" s="62"/>
      <c r="BL995" s="62"/>
      <c r="BM995" s="62"/>
      <c r="BN995" s="62"/>
      <c r="BO995" s="62"/>
      <c r="BP995" s="62"/>
      <c r="BQ995" s="62"/>
      <c r="BR995" s="62"/>
      <c r="BS995" s="62"/>
      <c r="BT995" s="62"/>
      <c r="BU995" s="62"/>
      <c r="BV995" s="62"/>
      <c r="BW995" s="62"/>
      <c r="BX995" s="62"/>
      <c r="BY995" s="62"/>
      <c r="BZ995" s="62"/>
      <c r="CA995" s="62"/>
      <c r="CB995" s="62"/>
      <c r="CC995" s="62"/>
      <c r="CD995" s="62"/>
      <c r="CE995" s="62"/>
      <c r="CF995" s="62"/>
      <c r="CG995" s="62"/>
      <c r="CH995" s="62"/>
      <c r="CI995" s="62"/>
      <c r="CJ995" s="62"/>
      <c r="CK995" s="62"/>
      <c r="CL995" s="62"/>
      <c r="CM995" s="62"/>
      <c r="CN995" s="62"/>
      <c r="CO995" s="62"/>
      <c r="CP995" s="62"/>
      <c r="CQ995" s="62"/>
      <c r="CR995" s="62"/>
      <c r="CS995" s="62"/>
      <c r="CT995" s="62"/>
      <c r="CU995" s="62"/>
      <c r="CV995" s="62"/>
      <c r="CW995" s="62"/>
      <c r="CX995" s="62"/>
      <c r="CY995" s="62"/>
      <c r="CZ995" s="62"/>
      <c r="DA995" s="62"/>
      <c r="DB995" s="62"/>
      <c r="DC995" s="62"/>
      <c r="DD995" s="62"/>
      <c r="DE995" s="62"/>
      <c r="DF995" s="62"/>
      <c r="DG995" s="62"/>
      <c r="DH995" s="62"/>
      <c r="DI995" s="62"/>
      <c r="DJ995" s="62"/>
      <c r="DK995" s="62"/>
      <c r="DL995" s="62"/>
      <c r="DM995" s="62"/>
      <c r="DN995" s="62"/>
      <c r="DO995" s="62"/>
      <c r="DP995" s="62"/>
      <c r="DQ995" s="62"/>
      <c r="DR995" s="62"/>
      <c r="DS995" s="62"/>
      <c r="DT995" s="62"/>
      <c r="DU995" s="62"/>
      <c r="DV995" s="62"/>
      <c r="DW995" s="62"/>
      <c r="DX995" s="62"/>
      <c r="DY995" s="62"/>
      <c r="DZ995" s="62"/>
      <c r="EA995" s="62"/>
      <c r="EB995" s="62"/>
      <c r="EC995" s="62"/>
      <c r="ED995" s="62"/>
      <c r="EE995" s="62"/>
      <c r="EF995" s="62"/>
      <c r="EG995" s="62"/>
      <c r="EH995" s="62"/>
      <c r="EI995" s="62"/>
      <c r="EJ995" s="62"/>
      <c r="EK995" s="62"/>
      <c r="EL995" s="62"/>
      <c r="EM995" s="62"/>
      <c r="EN995" s="62"/>
      <c r="EO995" s="62"/>
      <c r="EP995" s="62"/>
      <c r="EQ995" s="62"/>
      <c r="ER995" s="62"/>
      <c r="ES995" s="62"/>
      <c r="ET995" s="62"/>
      <c r="EU995" s="62"/>
      <c r="EV995" s="62"/>
      <c r="EW995" s="62"/>
      <c r="EX995" s="62"/>
      <c r="EY995" s="62"/>
      <c r="EZ995" s="62"/>
      <c r="FA995" s="62"/>
      <c r="FB995" s="62"/>
      <c r="FC995" s="62"/>
      <c r="FD995" s="62"/>
      <c r="FE995" s="62"/>
      <c r="FF995" s="62"/>
      <c r="FG995" s="62"/>
      <c r="FH995" s="62"/>
      <c r="FI995" s="62"/>
      <c r="FJ995" s="62"/>
      <c r="FK995" s="62"/>
      <c r="FL995" s="62"/>
      <c r="FM995" s="62"/>
      <c r="FN995" s="62"/>
      <c r="FO995" s="62"/>
      <c r="FP995" s="62"/>
      <c r="FQ995" s="62"/>
      <c r="FR995" s="62"/>
      <c r="FS995" s="62"/>
      <c r="FT995" s="62"/>
      <c r="FU995" s="62"/>
      <c r="FV995" s="62"/>
    </row>
    <row r="996" spans="1:178" ht="13.8">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62"/>
      <c r="AN996" s="62"/>
      <c r="AO996" s="62"/>
      <c r="AP996" s="62"/>
      <c r="AQ996" s="62"/>
      <c r="AR996" s="62"/>
      <c r="AS996" s="62"/>
      <c r="AT996" s="62"/>
      <c r="AU996" s="62"/>
      <c r="AV996" s="62"/>
      <c r="AW996" s="62"/>
      <c r="AX996" s="62"/>
      <c r="AY996" s="62"/>
      <c r="AZ996" s="62"/>
      <c r="BA996" s="62"/>
      <c r="BB996" s="62"/>
      <c r="BC996" s="62"/>
      <c r="BD996" s="62"/>
      <c r="BE996" s="62"/>
      <c r="BF996" s="62"/>
      <c r="BG996" s="62"/>
      <c r="BH996" s="62"/>
      <c r="BI996" s="62"/>
      <c r="BJ996" s="62"/>
      <c r="BK996" s="62"/>
      <c r="BL996" s="62"/>
      <c r="BM996" s="62"/>
      <c r="BN996" s="62"/>
      <c r="BO996" s="62"/>
      <c r="BP996" s="62"/>
      <c r="BQ996" s="62"/>
      <c r="BR996" s="62"/>
      <c r="BS996" s="62"/>
      <c r="BT996" s="62"/>
      <c r="BU996" s="62"/>
      <c r="BV996" s="62"/>
      <c r="BW996" s="62"/>
      <c r="BX996" s="62"/>
      <c r="BY996" s="62"/>
      <c r="BZ996" s="62"/>
      <c r="CA996" s="62"/>
      <c r="CB996" s="62"/>
      <c r="CC996" s="62"/>
      <c r="CD996" s="62"/>
      <c r="CE996" s="62"/>
      <c r="CF996" s="62"/>
      <c r="CG996" s="62"/>
      <c r="CH996" s="62"/>
      <c r="CI996" s="62"/>
      <c r="CJ996" s="62"/>
      <c r="CK996" s="62"/>
      <c r="CL996" s="62"/>
      <c r="CM996" s="62"/>
      <c r="CN996" s="62"/>
      <c r="CO996" s="62"/>
      <c r="CP996" s="62"/>
      <c r="CQ996" s="62"/>
      <c r="CR996" s="62"/>
      <c r="CS996" s="62"/>
      <c r="CT996" s="62"/>
      <c r="CU996" s="62"/>
      <c r="CV996" s="62"/>
      <c r="CW996" s="62"/>
      <c r="CX996" s="62"/>
      <c r="CY996" s="62"/>
      <c r="CZ996" s="62"/>
      <c r="DA996" s="62"/>
      <c r="DB996" s="62"/>
      <c r="DC996" s="62"/>
      <c r="DD996" s="62"/>
      <c r="DE996" s="62"/>
      <c r="DF996" s="62"/>
      <c r="DG996" s="62"/>
      <c r="DH996" s="62"/>
      <c r="DI996" s="62"/>
      <c r="DJ996" s="62"/>
      <c r="DK996" s="62"/>
      <c r="DL996" s="62"/>
      <c r="DM996" s="62"/>
      <c r="DN996" s="62"/>
      <c r="DO996" s="62"/>
      <c r="DP996" s="62"/>
      <c r="DQ996" s="62"/>
      <c r="DR996" s="62"/>
      <c r="DS996" s="62"/>
      <c r="DT996" s="62"/>
      <c r="DU996" s="62"/>
      <c r="DV996" s="62"/>
      <c r="DW996" s="62"/>
      <c r="DX996" s="62"/>
      <c r="DY996" s="62"/>
      <c r="DZ996" s="62"/>
      <c r="EA996" s="62"/>
      <c r="EB996" s="62"/>
      <c r="EC996" s="62"/>
      <c r="ED996" s="62"/>
      <c r="EE996" s="62"/>
      <c r="EF996" s="62"/>
      <c r="EG996" s="62"/>
      <c r="EH996" s="62"/>
      <c r="EI996" s="62"/>
      <c r="EJ996" s="62"/>
      <c r="EK996" s="62"/>
      <c r="EL996" s="62"/>
      <c r="EM996" s="62"/>
      <c r="EN996" s="62"/>
      <c r="EO996" s="62"/>
      <c r="EP996" s="62"/>
      <c r="EQ996" s="62"/>
      <c r="ER996" s="62"/>
      <c r="ES996" s="62"/>
      <c r="ET996" s="62"/>
      <c r="EU996" s="62"/>
      <c r="EV996" s="62"/>
      <c r="EW996" s="62"/>
      <c r="EX996" s="62"/>
      <c r="EY996" s="62"/>
      <c r="EZ996" s="62"/>
      <c r="FA996" s="62"/>
      <c r="FB996" s="62"/>
      <c r="FC996" s="62"/>
      <c r="FD996" s="62"/>
      <c r="FE996" s="62"/>
      <c r="FF996" s="62"/>
      <c r="FG996" s="62"/>
      <c r="FH996" s="62"/>
      <c r="FI996" s="62"/>
      <c r="FJ996" s="62"/>
      <c r="FK996" s="62"/>
      <c r="FL996" s="62"/>
      <c r="FM996" s="62"/>
      <c r="FN996" s="62"/>
      <c r="FO996" s="62"/>
      <c r="FP996" s="62"/>
      <c r="FQ996" s="62"/>
      <c r="FR996" s="62"/>
      <c r="FS996" s="62"/>
      <c r="FT996" s="62"/>
      <c r="FU996" s="62"/>
      <c r="FV996" s="62"/>
    </row>
    <row r="997" spans="1:178" ht="13.8">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c r="AM997" s="62"/>
      <c r="AN997" s="62"/>
      <c r="AO997" s="62"/>
      <c r="AP997" s="62"/>
      <c r="AQ997" s="62"/>
      <c r="AR997" s="62"/>
      <c r="AS997" s="62"/>
      <c r="AT997" s="62"/>
      <c r="AU997" s="62"/>
      <c r="AV997" s="62"/>
      <c r="AW997" s="62"/>
      <c r="AX997" s="62"/>
      <c r="AY997" s="62"/>
      <c r="AZ997" s="62"/>
      <c r="BA997" s="62"/>
      <c r="BB997" s="62"/>
      <c r="BC997" s="62"/>
      <c r="BD997" s="62"/>
      <c r="BE997" s="62"/>
      <c r="BF997" s="62"/>
      <c r="BG997" s="62"/>
      <c r="BH997" s="62"/>
      <c r="BI997" s="62"/>
      <c r="BJ997" s="62"/>
      <c r="BK997" s="62"/>
      <c r="BL997" s="62"/>
      <c r="BM997" s="62"/>
      <c r="BN997" s="62"/>
      <c r="BO997" s="62"/>
      <c r="BP997" s="62"/>
      <c r="BQ997" s="62"/>
      <c r="BR997" s="62"/>
      <c r="BS997" s="62"/>
      <c r="BT997" s="62"/>
      <c r="BU997" s="62"/>
      <c r="BV997" s="62"/>
      <c r="BW997" s="62"/>
      <c r="BX997" s="62"/>
      <c r="BY997" s="62"/>
      <c r="BZ997" s="62"/>
      <c r="CA997" s="62"/>
      <c r="CB997" s="62"/>
      <c r="CC997" s="62"/>
      <c r="CD997" s="62"/>
      <c r="CE997" s="62"/>
      <c r="CF997" s="62"/>
      <c r="CG997" s="62"/>
      <c r="CH997" s="62"/>
      <c r="CI997" s="62"/>
      <c r="CJ997" s="62"/>
      <c r="CK997" s="62"/>
      <c r="CL997" s="62"/>
      <c r="CM997" s="62"/>
      <c r="CN997" s="62"/>
      <c r="CO997" s="62"/>
      <c r="CP997" s="62"/>
      <c r="CQ997" s="62"/>
      <c r="CR997" s="62"/>
      <c r="CS997" s="62"/>
      <c r="CT997" s="62"/>
      <c r="CU997" s="62"/>
      <c r="CV997" s="62"/>
      <c r="CW997" s="62"/>
      <c r="CX997" s="62"/>
      <c r="CY997" s="62"/>
      <c r="CZ997" s="62"/>
      <c r="DA997" s="62"/>
      <c r="DB997" s="62"/>
      <c r="DC997" s="62"/>
      <c r="DD997" s="62"/>
      <c r="DE997" s="62"/>
      <c r="DF997" s="62"/>
      <c r="DG997" s="62"/>
      <c r="DH997" s="62"/>
      <c r="DI997" s="62"/>
      <c r="DJ997" s="62"/>
      <c r="DK997" s="62"/>
      <c r="DL997" s="62"/>
      <c r="DM997" s="62"/>
      <c r="DN997" s="62"/>
      <c r="DO997" s="62"/>
      <c r="DP997" s="62"/>
      <c r="DQ997" s="62"/>
      <c r="DR997" s="62"/>
      <c r="DS997" s="62"/>
      <c r="DT997" s="62"/>
      <c r="DU997" s="62"/>
      <c r="DV997" s="62"/>
      <c r="DW997" s="62"/>
      <c r="DX997" s="62"/>
      <c r="DY997" s="62"/>
      <c r="DZ997" s="62"/>
      <c r="EA997" s="62"/>
      <c r="EB997" s="62"/>
      <c r="EC997" s="62"/>
      <c r="ED997" s="62"/>
      <c r="EE997" s="62"/>
      <c r="EF997" s="62"/>
      <c r="EG997" s="62"/>
      <c r="EH997" s="62"/>
      <c r="EI997" s="62"/>
      <c r="EJ997" s="62"/>
      <c r="EK997" s="62"/>
      <c r="EL997" s="62"/>
      <c r="EM997" s="62"/>
      <c r="EN997" s="62"/>
      <c r="EO997" s="62"/>
      <c r="EP997" s="62"/>
      <c r="EQ997" s="62"/>
      <c r="ER997" s="62"/>
      <c r="ES997" s="62"/>
      <c r="ET997" s="62"/>
      <c r="EU997" s="62"/>
      <c r="EV997" s="62"/>
      <c r="EW997" s="62"/>
      <c r="EX997" s="62"/>
      <c r="EY997" s="62"/>
      <c r="EZ997" s="62"/>
      <c r="FA997" s="62"/>
      <c r="FB997" s="62"/>
      <c r="FC997" s="62"/>
      <c r="FD997" s="62"/>
      <c r="FE997" s="62"/>
      <c r="FF997" s="62"/>
      <c r="FG997" s="62"/>
      <c r="FH997" s="62"/>
      <c r="FI997" s="62"/>
      <c r="FJ997" s="62"/>
      <c r="FK997" s="62"/>
      <c r="FL997" s="62"/>
      <c r="FM997" s="62"/>
      <c r="FN997" s="62"/>
      <c r="FO997" s="62"/>
      <c r="FP997" s="62"/>
      <c r="FQ997" s="62"/>
      <c r="FR997" s="62"/>
      <c r="FS997" s="62"/>
      <c r="FT997" s="62"/>
      <c r="FU997" s="62"/>
      <c r="FV997" s="62"/>
    </row>
    <row r="998" spans="1:178" ht="13.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c r="AM998" s="62"/>
      <c r="AN998" s="62"/>
      <c r="AO998" s="62"/>
      <c r="AP998" s="62"/>
      <c r="AQ998" s="62"/>
      <c r="AR998" s="62"/>
      <c r="AS998" s="62"/>
      <c r="AT998" s="62"/>
      <c r="AU998" s="62"/>
      <c r="AV998" s="62"/>
      <c r="AW998" s="62"/>
      <c r="AX998" s="62"/>
      <c r="AY998" s="62"/>
      <c r="AZ998" s="62"/>
      <c r="BA998" s="62"/>
      <c r="BB998" s="62"/>
      <c r="BC998" s="62"/>
      <c r="BD998" s="62"/>
      <c r="BE998" s="62"/>
      <c r="BF998" s="62"/>
      <c r="BG998" s="62"/>
      <c r="BH998" s="62"/>
      <c r="BI998" s="62"/>
      <c r="BJ998" s="62"/>
      <c r="BK998" s="62"/>
      <c r="BL998" s="62"/>
      <c r="BM998" s="62"/>
      <c r="BN998" s="62"/>
      <c r="BO998" s="62"/>
      <c r="BP998" s="62"/>
      <c r="BQ998" s="62"/>
      <c r="BR998" s="62"/>
      <c r="BS998" s="62"/>
      <c r="BT998" s="62"/>
      <c r="BU998" s="62"/>
      <c r="BV998" s="62"/>
      <c r="BW998" s="62"/>
      <c r="BX998" s="62"/>
      <c r="BY998" s="62"/>
      <c r="BZ998" s="62"/>
      <c r="CA998" s="62"/>
      <c r="CB998" s="62"/>
      <c r="CC998" s="62"/>
      <c r="CD998" s="62"/>
      <c r="CE998" s="62"/>
      <c r="CF998" s="62"/>
      <c r="CG998" s="62"/>
      <c r="CH998" s="62"/>
      <c r="CI998" s="62"/>
      <c r="CJ998" s="62"/>
      <c r="CK998" s="62"/>
      <c r="CL998" s="62"/>
      <c r="CM998" s="62"/>
      <c r="CN998" s="62"/>
      <c r="CO998" s="62"/>
      <c r="CP998" s="62"/>
      <c r="CQ998" s="62"/>
      <c r="CR998" s="62"/>
      <c r="CS998" s="62"/>
      <c r="CT998" s="62"/>
      <c r="CU998" s="62"/>
      <c r="CV998" s="62"/>
      <c r="CW998" s="62"/>
      <c r="CX998" s="62"/>
      <c r="CY998" s="62"/>
      <c r="CZ998" s="62"/>
      <c r="DA998" s="62"/>
      <c r="DB998" s="62"/>
      <c r="DC998" s="62"/>
      <c r="DD998" s="62"/>
      <c r="DE998" s="62"/>
      <c r="DF998" s="62"/>
      <c r="DG998" s="62"/>
      <c r="DH998" s="62"/>
      <c r="DI998" s="62"/>
      <c r="DJ998" s="62"/>
      <c r="DK998" s="62"/>
      <c r="DL998" s="62"/>
      <c r="DM998" s="62"/>
      <c r="DN998" s="62"/>
      <c r="DO998" s="62"/>
      <c r="DP998" s="62"/>
      <c r="DQ998" s="62"/>
      <c r="DR998" s="62"/>
      <c r="DS998" s="62"/>
      <c r="DT998" s="62"/>
      <c r="DU998" s="62"/>
      <c r="DV998" s="62"/>
      <c r="DW998" s="62"/>
      <c r="DX998" s="62"/>
      <c r="DY998" s="62"/>
      <c r="DZ998" s="62"/>
      <c r="EA998" s="62"/>
      <c r="EB998" s="62"/>
      <c r="EC998" s="62"/>
      <c r="ED998" s="62"/>
      <c r="EE998" s="62"/>
      <c r="EF998" s="62"/>
      <c r="EG998" s="62"/>
      <c r="EH998" s="62"/>
      <c r="EI998" s="62"/>
      <c r="EJ998" s="62"/>
      <c r="EK998" s="62"/>
      <c r="EL998" s="62"/>
      <c r="EM998" s="62"/>
      <c r="EN998" s="62"/>
      <c r="EO998" s="62"/>
      <c r="EP998" s="62"/>
      <c r="EQ998" s="62"/>
      <c r="ER998" s="62"/>
      <c r="ES998" s="62"/>
      <c r="ET998" s="62"/>
      <c r="EU998" s="62"/>
      <c r="EV998" s="62"/>
      <c r="EW998" s="62"/>
      <c r="EX998" s="62"/>
      <c r="EY998" s="62"/>
      <c r="EZ998" s="62"/>
      <c r="FA998" s="62"/>
      <c r="FB998" s="62"/>
      <c r="FC998" s="62"/>
      <c r="FD998" s="62"/>
      <c r="FE998" s="62"/>
      <c r="FF998" s="62"/>
      <c r="FG998" s="62"/>
      <c r="FH998" s="62"/>
      <c r="FI998" s="62"/>
      <c r="FJ998" s="62"/>
      <c r="FK998" s="62"/>
      <c r="FL998" s="62"/>
      <c r="FM998" s="62"/>
      <c r="FN998" s="62"/>
      <c r="FO998" s="62"/>
      <c r="FP998" s="62"/>
      <c r="FQ998" s="62"/>
      <c r="FR998" s="62"/>
      <c r="FS998" s="62"/>
      <c r="FT998" s="62"/>
      <c r="FU998" s="62"/>
      <c r="FV998" s="62"/>
    </row>
    <row r="999" spans="1:178" ht="13.8">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c r="AM999" s="62"/>
      <c r="AN999" s="62"/>
      <c r="AO999" s="62"/>
      <c r="AP999" s="62"/>
      <c r="AQ999" s="62"/>
      <c r="AR999" s="62"/>
      <c r="AS999" s="62"/>
      <c r="AT999" s="62"/>
      <c r="AU999" s="62"/>
      <c r="AV999" s="62"/>
      <c r="AW999" s="62"/>
      <c r="AX999" s="62"/>
      <c r="AY999" s="62"/>
      <c r="AZ999" s="62"/>
      <c r="BA999" s="62"/>
      <c r="BB999" s="62"/>
      <c r="BC999" s="62"/>
      <c r="BD999" s="62"/>
      <c r="BE999" s="62"/>
      <c r="BF999" s="62"/>
      <c r="BG999" s="62"/>
      <c r="BH999" s="62"/>
      <c r="BI999" s="62"/>
      <c r="BJ999" s="62"/>
      <c r="BK999" s="62"/>
      <c r="BL999" s="62"/>
      <c r="BM999" s="62"/>
      <c r="BN999" s="62"/>
      <c r="BO999" s="62"/>
      <c r="BP999" s="62"/>
      <c r="BQ999" s="62"/>
      <c r="BR999" s="62"/>
      <c r="BS999" s="62"/>
      <c r="BT999" s="62"/>
      <c r="BU999" s="62"/>
      <c r="BV999" s="62"/>
      <c r="BW999" s="62"/>
      <c r="BX999" s="62"/>
      <c r="BY999" s="62"/>
      <c r="BZ999" s="62"/>
      <c r="CA999" s="62"/>
      <c r="CB999" s="62"/>
      <c r="CC999" s="62"/>
      <c r="CD999" s="62"/>
      <c r="CE999" s="62"/>
      <c r="CF999" s="62"/>
      <c r="CG999" s="62"/>
      <c r="CH999" s="62"/>
      <c r="CI999" s="62"/>
      <c r="CJ999" s="62"/>
      <c r="CK999" s="62"/>
      <c r="CL999" s="62"/>
      <c r="CM999" s="62"/>
      <c r="CN999" s="62"/>
      <c r="CO999" s="62"/>
      <c r="CP999" s="62"/>
      <c r="CQ999" s="62"/>
      <c r="CR999" s="62"/>
      <c r="CS999" s="62"/>
      <c r="CT999" s="62"/>
      <c r="CU999" s="62"/>
      <c r="CV999" s="62"/>
      <c r="CW999" s="62"/>
      <c r="CX999" s="62"/>
      <c r="CY999" s="62"/>
      <c r="CZ999" s="62"/>
      <c r="DA999" s="62"/>
      <c r="DB999" s="62"/>
      <c r="DC999" s="62"/>
      <c r="DD999" s="62"/>
      <c r="DE999" s="62"/>
      <c r="DF999" s="62"/>
      <c r="DG999" s="62"/>
      <c r="DH999" s="62"/>
      <c r="DI999" s="62"/>
      <c r="DJ999" s="62"/>
      <c r="DK999" s="62"/>
      <c r="DL999" s="62"/>
      <c r="DM999" s="62"/>
      <c r="DN999" s="62"/>
      <c r="DO999" s="62"/>
      <c r="DP999" s="62"/>
      <c r="DQ999" s="62"/>
      <c r="DR999" s="62"/>
      <c r="DS999" s="62"/>
      <c r="DT999" s="62"/>
      <c r="DU999" s="62"/>
      <c r="DV999" s="62"/>
      <c r="DW999" s="62"/>
      <c r="DX999" s="62"/>
      <c r="DY999" s="62"/>
      <c r="DZ999" s="62"/>
      <c r="EA999" s="62"/>
      <c r="EB999" s="62"/>
      <c r="EC999" s="62"/>
      <c r="ED999" s="62"/>
      <c r="EE999" s="62"/>
      <c r="EF999" s="62"/>
      <c r="EG999" s="62"/>
      <c r="EH999" s="62"/>
      <c r="EI999" s="62"/>
      <c r="EJ999" s="62"/>
      <c r="EK999" s="62"/>
      <c r="EL999" s="62"/>
      <c r="EM999" s="62"/>
      <c r="EN999" s="62"/>
      <c r="EO999" s="62"/>
      <c r="EP999" s="62"/>
      <c r="EQ999" s="62"/>
      <c r="ER999" s="62"/>
      <c r="ES999" s="62"/>
      <c r="ET999" s="62"/>
      <c r="EU999" s="62"/>
      <c r="EV999" s="62"/>
      <c r="EW999" s="62"/>
      <c r="EX999" s="62"/>
      <c r="EY999" s="62"/>
      <c r="EZ999" s="62"/>
      <c r="FA999" s="62"/>
      <c r="FB999" s="62"/>
      <c r="FC999" s="62"/>
      <c r="FD999" s="62"/>
      <c r="FE999" s="62"/>
      <c r="FF999" s="62"/>
      <c r="FG999" s="62"/>
      <c r="FH999" s="62"/>
      <c r="FI999" s="62"/>
      <c r="FJ999" s="62"/>
      <c r="FK999" s="62"/>
      <c r="FL999" s="62"/>
      <c r="FM999" s="62"/>
      <c r="FN999" s="62"/>
      <c r="FO999" s="62"/>
      <c r="FP999" s="62"/>
      <c r="FQ999" s="62"/>
      <c r="FR999" s="62"/>
      <c r="FS999" s="62"/>
      <c r="FT999" s="62"/>
      <c r="FU999" s="62"/>
      <c r="FV999" s="62"/>
    </row>
    <row r="1000" spans="1:178" ht="13.8">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62"/>
      <c r="AN1000" s="62"/>
      <c r="AO1000" s="62"/>
      <c r="AP1000" s="62"/>
      <c r="AQ1000" s="62"/>
      <c r="AR1000" s="62"/>
      <c r="AS1000" s="62"/>
      <c r="AT1000" s="62"/>
      <c r="AU1000" s="62"/>
      <c r="AV1000" s="62"/>
      <c r="AW1000" s="62"/>
      <c r="AX1000" s="62"/>
      <c r="AY1000" s="62"/>
      <c r="AZ1000" s="62"/>
      <c r="BA1000" s="62"/>
      <c r="BB1000" s="62"/>
      <c r="BC1000" s="62"/>
      <c r="BD1000" s="62"/>
      <c r="BE1000" s="62"/>
      <c r="BF1000" s="62"/>
      <c r="BG1000" s="62"/>
      <c r="BH1000" s="62"/>
      <c r="BI1000" s="62"/>
      <c r="BJ1000" s="62"/>
      <c r="BK1000" s="62"/>
      <c r="BL1000" s="62"/>
      <c r="BM1000" s="62"/>
      <c r="BN1000" s="62"/>
      <c r="BO1000" s="62"/>
      <c r="BP1000" s="62"/>
      <c r="BQ1000" s="62"/>
      <c r="BR1000" s="62"/>
      <c r="BS1000" s="62"/>
      <c r="BT1000" s="62"/>
      <c r="BU1000" s="62"/>
      <c r="BV1000" s="62"/>
      <c r="BW1000" s="62"/>
      <c r="BX1000" s="62"/>
      <c r="BY1000" s="62"/>
      <c r="BZ1000" s="62"/>
      <c r="CA1000" s="62"/>
      <c r="CB1000" s="62"/>
      <c r="CC1000" s="62"/>
      <c r="CD1000" s="62"/>
      <c r="CE1000" s="62"/>
      <c r="CF1000" s="62"/>
      <c r="CG1000" s="62"/>
      <c r="CH1000" s="62"/>
      <c r="CI1000" s="62"/>
      <c r="CJ1000" s="62"/>
      <c r="CK1000" s="62"/>
      <c r="CL1000" s="62"/>
      <c r="CM1000" s="62"/>
      <c r="CN1000" s="62"/>
      <c r="CO1000" s="62"/>
      <c r="CP1000" s="62"/>
      <c r="CQ1000" s="62"/>
      <c r="CR1000" s="62"/>
      <c r="CS1000" s="62"/>
      <c r="CT1000" s="62"/>
      <c r="CU1000" s="62"/>
      <c r="CV1000" s="62"/>
      <c r="CW1000" s="62"/>
      <c r="CX1000" s="62"/>
      <c r="CY1000" s="62"/>
      <c r="CZ1000" s="62"/>
      <c r="DA1000" s="62"/>
      <c r="DB1000" s="62"/>
      <c r="DC1000" s="62"/>
      <c r="DD1000" s="62"/>
      <c r="DE1000" s="62"/>
      <c r="DF1000" s="62"/>
      <c r="DG1000" s="62"/>
      <c r="DH1000" s="62"/>
      <c r="DI1000" s="62"/>
      <c r="DJ1000" s="62"/>
      <c r="DK1000" s="62"/>
      <c r="DL1000" s="62"/>
      <c r="DM1000" s="62"/>
      <c r="DN1000" s="62"/>
      <c r="DO1000" s="62"/>
      <c r="DP1000" s="62"/>
      <c r="DQ1000" s="62"/>
      <c r="DR1000" s="62"/>
      <c r="DS1000" s="62"/>
      <c r="DT1000" s="62"/>
      <c r="DU1000" s="62"/>
      <c r="DV1000" s="62"/>
      <c r="DW1000" s="62"/>
      <c r="DX1000" s="62"/>
      <c r="DY1000" s="62"/>
      <c r="DZ1000" s="62"/>
      <c r="EA1000" s="62"/>
      <c r="EB1000" s="62"/>
      <c r="EC1000" s="62"/>
      <c r="ED1000" s="62"/>
      <c r="EE1000" s="62"/>
      <c r="EF1000" s="62"/>
      <c r="EG1000" s="62"/>
      <c r="EH1000" s="62"/>
      <c r="EI1000" s="62"/>
      <c r="EJ1000" s="62"/>
      <c r="EK1000" s="62"/>
      <c r="EL1000" s="62"/>
      <c r="EM1000" s="62"/>
      <c r="EN1000" s="62"/>
      <c r="EO1000" s="62"/>
      <c r="EP1000" s="62"/>
      <c r="EQ1000" s="62"/>
      <c r="ER1000" s="62"/>
      <c r="ES1000" s="62"/>
      <c r="ET1000" s="62"/>
      <c r="EU1000" s="62"/>
      <c r="EV1000" s="62"/>
      <c r="EW1000" s="62"/>
      <c r="EX1000" s="62"/>
      <c r="EY1000" s="62"/>
      <c r="EZ1000" s="62"/>
      <c r="FA1000" s="62"/>
      <c r="FB1000" s="62"/>
      <c r="FC1000" s="62"/>
      <c r="FD1000" s="62"/>
      <c r="FE1000" s="62"/>
      <c r="FF1000" s="62"/>
      <c r="FG1000" s="62"/>
      <c r="FH1000" s="62"/>
      <c r="FI1000" s="62"/>
      <c r="FJ1000" s="62"/>
      <c r="FK1000" s="62"/>
      <c r="FL1000" s="62"/>
      <c r="FM1000" s="62"/>
      <c r="FN1000" s="62"/>
      <c r="FO1000" s="62"/>
      <c r="FP1000" s="62"/>
      <c r="FQ1000" s="62"/>
      <c r="FR1000" s="62"/>
      <c r="FS1000" s="62"/>
      <c r="FT1000" s="62"/>
      <c r="FU1000" s="62"/>
      <c r="FV1000" s="62"/>
    </row>
    <row r="1001" spans="1:178" ht="13.8">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c r="AB1001" s="62"/>
      <c r="AC1001" s="62"/>
      <c r="AD1001" s="62"/>
      <c r="AE1001" s="62"/>
      <c r="AF1001" s="62"/>
      <c r="AG1001" s="62"/>
      <c r="AH1001" s="62"/>
      <c r="AI1001" s="62"/>
      <c r="AJ1001" s="62"/>
      <c r="AK1001" s="62"/>
      <c r="AL1001" s="62"/>
      <c r="AM1001" s="62"/>
      <c r="AN1001" s="62"/>
      <c r="AO1001" s="62"/>
      <c r="AP1001" s="62"/>
      <c r="AQ1001" s="62"/>
      <c r="AR1001" s="62"/>
      <c r="AS1001" s="62"/>
      <c r="AT1001" s="62"/>
      <c r="AU1001" s="62"/>
      <c r="AV1001" s="62"/>
      <c r="AW1001" s="62"/>
      <c r="AX1001" s="62"/>
      <c r="AY1001" s="62"/>
      <c r="AZ1001" s="62"/>
      <c r="BA1001" s="62"/>
      <c r="BB1001" s="62"/>
      <c r="BC1001" s="62"/>
      <c r="BD1001" s="62"/>
      <c r="BE1001" s="62"/>
      <c r="BF1001" s="62"/>
      <c r="BG1001" s="62"/>
      <c r="BH1001" s="62"/>
      <c r="BI1001" s="62"/>
      <c r="BJ1001" s="62"/>
      <c r="BK1001" s="62"/>
      <c r="BL1001" s="62"/>
      <c r="BM1001" s="62"/>
      <c r="BN1001" s="62"/>
      <c r="BO1001" s="62"/>
      <c r="BP1001" s="62"/>
      <c r="BQ1001" s="62"/>
      <c r="BR1001" s="62"/>
      <c r="BS1001" s="62"/>
      <c r="BT1001" s="62"/>
      <c r="BU1001" s="62"/>
      <c r="BV1001" s="62"/>
      <c r="BW1001" s="62"/>
      <c r="BX1001" s="62"/>
      <c r="BY1001" s="62"/>
      <c r="BZ1001" s="62"/>
      <c r="CA1001" s="62"/>
      <c r="CB1001" s="62"/>
      <c r="CC1001" s="62"/>
      <c r="CD1001" s="62"/>
      <c r="CE1001" s="62"/>
      <c r="CF1001" s="62"/>
      <c r="CG1001" s="62"/>
      <c r="CH1001" s="62"/>
      <c r="CI1001" s="62"/>
      <c r="CJ1001" s="62"/>
      <c r="CK1001" s="62"/>
      <c r="CL1001" s="62"/>
      <c r="CM1001" s="62"/>
      <c r="CN1001" s="62"/>
      <c r="CO1001" s="62"/>
      <c r="CP1001" s="62"/>
      <c r="CQ1001" s="62"/>
      <c r="CR1001" s="62"/>
      <c r="CS1001" s="62"/>
      <c r="CT1001" s="62"/>
      <c r="CU1001" s="62"/>
      <c r="CV1001" s="62"/>
      <c r="CW1001" s="62"/>
      <c r="CX1001" s="62"/>
      <c r="CY1001" s="62"/>
      <c r="CZ1001" s="62"/>
      <c r="DA1001" s="62"/>
      <c r="DB1001" s="62"/>
      <c r="DC1001" s="62"/>
      <c r="DD1001" s="62"/>
      <c r="DE1001" s="62"/>
      <c r="DF1001" s="62"/>
      <c r="DG1001" s="62"/>
      <c r="DH1001" s="62"/>
      <c r="DI1001" s="62"/>
      <c r="DJ1001" s="62"/>
      <c r="DK1001" s="62"/>
      <c r="DL1001" s="62"/>
      <c r="DM1001" s="62"/>
      <c r="DN1001" s="62"/>
      <c r="DO1001" s="62"/>
      <c r="DP1001" s="62"/>
      <c r="DQ1001" s="62"/>
      <c r="DR1001" s="62"/>
      <c r="DS1001" s="62"/>
      <c r="DT1001" s="62"/>
      <c r="DU1001" s="62"/>
      <c r="DV1001" s="62"/>
      <c r="DW1001" s="62"/>
      <c r="DX1001" s="62"/>
      <c r="DY1001" s="62"/>
      <c r="DZ1001" s="62"/>
      <c r="EA1001" s="62"/>
      <c r="EB1001" s="62"/>
      <c r="EC1001" s="62"/>
      <c r="ED1001" s="62"/>
      <c r="EE1001" s="62"/>
      <c r="EF1001" s="62"/>
      <c r="EG1001" s="62"/>
      <c r="EH1001" s="62"/>
      <c r="EI1001" s="62"/>
      <c r="EJ1001" s="62"/>
      <c r="EK1001" s="62"/>
      <c r="EL1001" s="62"/>
      <c r="EM1001" s="62"/>
      <c r="EN1001" s="62"/>
      <c r="EO1001" s="62"/>
      <c r="EP1001" s="62"/>
      <c r="EQ1001" s="62"/>
      <c r="ER1001" s="62"/>
      <c r="ES1001" s="62"/>
      <c r="ET1001" s="62"/>
      <c r="EU1001" s="62"/>
      <c r="EV1001" s="62"/>
      <c r="EW1001" s="62"/>
      <c r="EX1001" s="62"/>
      <c r="EY1001" s="62"/>
      <c r="EZ1001" s="62"/>
      <c r="FA1001" s="62"/>
      <c r="FB1001" s="62"/>
      <c r="FC1001" s="62"/>
      <c r="FD1001" s="62"/>
      <c r="FE1001" s="62"/>
      <c r="FF1001" s="62"/>
      <c r="FG1001" s="62"/>
      <c r="FH1001" s="62"/>
      <c r="FI1001" s="62"/>
      <c r="FJ1001" s="62"/>
      <c r="FK1001" s="62"/>
      <c r="FL1001" s="62"/>
      <c r="FM1001" s="62"/>
      <c r="FN1001" s="62"/>
      <c r="FO1001" s="62"/>
      <c r="FP1001" s="62"/>
      <c r="FQ1001" s="62"/>
      <c r="FR1001" s="62"/>
      <c r="FS1001" s="62"/>
      <c r="FT1001" s="62"/>
      <c r="FU1001" s="62"/>
      <c r="FV1001" s="62"/>
    </row>
    <row r="1002" spans="1:178" ht="13.8">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c r="AB1002" s="62"/>
      <c r="AC1002" s="62"/>
      <c r="AD1002" s="62"/>
      <c r="AE1002" s="62"/>
      <c r="AF1002" s="62"/>
      <c r="AG1002" s="62"/>
      <c r="AH1002" s="62"/>
      <c r="AI1002" s="62"/>
      <c r="AJ1002" s="62"/>
      <c r="AK1002" s="62"/>
      <c r="AL1002" s="62"/>
      <c r="AM1002" s="62"/>
      <c r="AN1002" s="62"/>
      <c r="AO1002" s="62"/>
      <c r="AP1002" s="62"/>
      <c r="AQ1002" s="62"/>
      <c r="AR1002" s="62"/>
      <c r="AS1002" s="62"/>
      <c r="AT1002" s="62"/>
      <c r="AU1002" s="62"/>
      <c r="AV1002" s="62"/>
      <c r="AW1002" s="62"/>
      <c r="AX1002" s="62"/>
      <c r="AY1002" s="62"/>
      <c r="AZ1002" s="62"/>
      <c r="BA1002" s="62"/>
      <c r="BB1002" s="62"/>
      <c r="BC1002" s="62"/>
      <c r="BD1002" s="62"/>
      <c r="BE1002" s="62"/>
      <c r="BF1002" s="62"/>
      <c r="BG1002" s="62"/>
      <c r="BH1002" s="62"/>
      <c r="BI1002" s="62"/>
      <c r="BJ1002" s="62"/>
      <c r="BK1002" s="62"/>
      <c r="BL1002" s="62"/>
      <c r="BM1002" s="62"/>
      <c r="BN1002" s="62"/>
      <c r="BO1002" s="62"/>
      <c r="BP1002" s="62"/>
      <c r="BQ1002" s="62"/>
      <c r="BR1002" s="62"/>
      <c r="BS1002" s="62"/>
      <c r="BT1002" s="62"/>
      <c r="BU1002" s="62"/>
      <c r="BV1002" s="62"/>
      <c r="BW1002" s="62"/>
      <c r="BX1002" s="62"/>
      <c r="BY1002" s="62"/>
      <c r="BZ1002" s="62"/>
      <c r="CA1002" s="62"/>
      <c r="CB1002" s="62"/>
      <c r="CC1002" s="62"/>
      <c r="CD1002" s="62"/>
      <c r="CE1002" s="62"/>
      <c r="CF1002" s="62"/>
      <c r="CG1002" s="62"/>
      <c r="CH1002" s="62"/>
      <c r="CI1002" s="62"/>
      <c r="CJ1002" s="62"/>
      <c r="CK1002" s="62"/>
      <c r="CL1002" s="62"/>
      <c r="CM1002" s="62"/>
      <c r="CN1002" s="62"/>
      <c r="CO1002" s="62"/>
      <c r="CP1002" s="62"/>
      <c r="CQ1002" s="62"/>
      <c r="CR1002" s="62"/>
      <c r="CS1002" s="62"/>
      <c r="CT1002" s="62"/>
      <c r="CU1002" s="62"/>
      <c r="CV1002" s="62"/>
      <c r="CW1002" s="62"/>
      <c r="CX1002" s="62"/>
      <c r="CY1002" s="62"/>
      <c r="CZ1002" s="62"/>
      <c r="DA1002" s="62"/>
      <c r="DB1002" s="62"/>
      <c r="DC1002" s="62"/>
      <c r="DD1002" s="62"/>
      <c r="DE1002" s="62"/>
      <c r="DF1002" s="62"/>
      <c r="DG1002" s="62"/>
      <c r="DH1002" s="62"/>
      <c r="DI1002" s="62"/>
      <c r="DJ1002" s="62"/>
      <c r="DK1002" s="62"/>
      <c r="DL1002" s="62"/>
      <c r="DM1002" s="62"/>
      <c r="DN1002" s="62"/>
      <c r="DO1002" s="62"/>
      <c r="DP1002" s="62"/>
      <c r="DQ1002" s="62"/>
      <c r="DR1002" s="62"/>
      <c r="DS1002" s="62"/>
      <c r="DT1002" s="62"/>
      <c r="DU1002" s="62"/>
      <c r="DV1002" s="62"/>
      <c r="DW1002" s="62"/>
      <c r="DX1002" s="62"/>
      <c r="DY1002" s="62"/>
      <c r="DZ1002" s="62"/>
      <c r="EA1002" s="62"/>
      <c r="EB1002" s="62"/>
      <c r="EC1002" s="62"/>
      <c r="ED1002" s="62"/>
      <c r="EE1002" s="62"/>
      <c r="EF1002" s="62"/>
      <c r="EG1002" s="62"/>
      <c r="EH1002" s="62"/>
      <c r="EI1002" s="62"/>
      <c r="EJ1002" s="62"/>
      <c r="EK1002" s="62"/>
      <c r="EL1002" s="62"/>
      <c r="EM1002" s="62"/>
      <c r="EN1002" s="62"/>
      <c r="EO1002" s="62"/>
      <c r="EP1002" s="62"/>
      <c r="EQ1002" s="62"/>
      <c r="ER1002" s="62"/>
      <c r="ES1002" s="62"/>
      <c r="ET1002" s="62"/>
      <c r="EU1002" s="62"/>
      <c r="EV1002" s="62"/>
      <c r="EW1002" s="62"/>
      <c r="EX1002" s="62"/>
      <c r="EY1002" s="62"/>
      <c r="EZ1002" s="62"/>
      <c r="FA1002" s="62"/>
      <c r="FB1002" s="62"/>
      <c r="FC1002" s="62"/>
      <c r="FD1002" s="62"/>
      <c r="FE1002" s="62"/>
      <c r="FF1002" s="62"/>
      <c r="FG1002" s="62"/>
      <c r="FH1002" s="62"/>
      <c r="FI1002" s="62"/>
      <c r="FJ1002" s="62"/>
      <c r="FK1002" s="62"/>
      <c r="FL1002" s="62"/>
      <c r="FM1002" s="62"/>
      <c r="FN1002" s="62"/>
      <c r="FO1002" s="62"/>
      <c r="FP1002" s="62"/>
      <c r="FQ1002" s="62"/>
      <c r="FR1002" s="62"/>
      <c r="FS1002" s="62"/>
      <c r="FT1002" s="62"/>
      <c r="FU1002" s="62"/>
      <c r="FV1002" s="62"/>
    </row>
    <row r="1003" spans="1:178" ht="13.8">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c r="AB1003" s="62"/>
      <c r="AC1003" s="62"/>
      <c r="AD1003" s="62"/>
      <c r="AE1003" s="62"/>
      <c r="AF1003" s="62"/>
      <c r="AG1003" s="62"/>
      <c r="AH1003" s="62"/>
      <c r="AI1003" s="62"/>
      <c r="AJ1003" s="62"/>
      <c r="AK1003" s="62"/>
      <c r="AL1003" s="62"/>
      <c r="AM1003" s="62"/>
      <c r="AN1003" s="62"/>
      <c r="AO1003" s="62"/>
      <c r="AP1003" s="62"/>
      <c r="AQ1003" s="62"/>
      <c r="AR1003" s="62"/>
      <c r="AS1003" s="62"/>
      <c r="AT1003" s="62"/>
      <c r="AU1003" s="62"/>
      <c r="AV1003" s="62"/>
      <c r="AW1003" s="62"/>
      <c r="AX1003" s="62"/>
      <c r="AY1003" s="62"/>
      <c r="AZ1003" s="62"/>
      <c r="BA1003" s="62"/>
      <c r="BB1003" s="62"/>
      <c r="BC1003" s="62"/>
      <c r="BD1003" s="62"/>
      <c r="BE1003" s="62"/>
      <c r="BF1003" s="62"/>
      <c r="BG1003" s="62"/>
      <c r="BH1003" s="62"/>
      <c r="BI1003" s="62"/>
      <c r="BJ1003" s="62"/>
      <c r="BK1003" s="62"/>
      <c r="BL1003" s="62"/>
      <c r="BM1003" s="62"/>
      <c r="BN1003" s="62"/>
      <c r="BO1003" s="62"/>
      <c r="BP1003" s="62"/>
      <c r="BQ1003" s="62"/>
      <c r="BR1003" s="62"/>
      <c r="BS1003" s="62"/>
      <c r="BT1003" s="62"/>
      <c r="BU1003" s="62"/>
      <c r="BV1003" s="62"/>
      <c r="BW1003" s="62"/>
      <c r="BX1003" s="62"/>
      <c r="BY1003" s="62"/>
      <c r="BZ1003" s="62"/>
      <c r="CA1003" s="62"/>
      <c r="CB1003" s="62"/>
      <c r="CC1003" s="62"/>
      <c r="CD1003" s="62"/>
      <c r="CE1003" s="62"/>
      <c r="CF1003" s="62"/>
      <c r="CG1003" s="62"/>
      <c r="CH1003" s="62"/>
      <c r="CI1003" s="62"/>
      <c r="CJ1003" s="62"/>
      <c r="CK1003" s="62"/>
      <c r="CL1003" s="62"/>
      <c r="CM1003" s="62"/>
      <c r="CN1003" s="62"/>
      <c r="CO1003" s="62"/>
      <c r="CP1003" s="62"/>
      <c r="CQ1003" s="62"/>
      <c r="CR1003" s="62"/>
      <c r="CS1003" s="62"/>
      <c r="CT1003" s="62"/>
      <c r="CU1003" s="62"/>
      <c r="CV1003" s="62"/>
      <c r="CW1003" s="62"/>
      <c r="CX1003" s="62"/>
      <c r="CY1003" s="62"/>
      <c r="CZ1003" s="62"/>
      <c r="DA1003" s="62"/>
      <c r="DB1003" s="62"/>
      <c r="DC1003" s="62"/>
      <c r="DD1003" s="62"/>
      <c r="DE1003" s="62"/>
      <c r="DF1003" s="62"/>
      <c r="DG1003" s="62"/>
      <c r="DH1003" s="62"/>
      <c r="DI1003" s="62"/>
      <c r="DJ1003" s="62"/>
      <c r="DK1003" s="62"/>
      <c r="DL1003" s="62"/>
      <c r="DM1003" s="62"/>
      <c r="DN1003" s="62"/>
      <c r="DO1003" s="62"/>
      <c r="DP1003" s="62"/>
      <c r="DQ1003" s="62"/>
      <c r="DR1003" s="62"/>
      <c r="DS1003" s="62"/>
      <c r="DT1003" s="62"/>
      <c r="DU1003" s="62"/>
      <c r="DV1003" s="62"/>
      <c r="DW1003" s="62"/>
      <c r="DX1003" s="62"/>
      <c r="DY1003" s="62"/>
      <c r="DZ1003" s="62"/>
      <c r="EA1003" s="62"/>
      <c r="EB1003" s="62"/>
      <c r="EC1003" s="62"/>
      <c r="ED1003" s="62"/>
      <c r="EE1003" s="62"/>
      <c r="EF1003" s="62"/>
      <c r="EG1003" s="62"/>
      <c r="EH1003" s="62"/>
      <c r="EI1003" s="62"/>
      <c r="EJ1003" s="62"/>
      <c r="EK1003" s="62"/>
      <c r="EL1003" s="62"/>
      <c r="EM1003" s="62"/>
      <c r="EN1003" s="62"/>
      <c r="EO1003" s="62"/>
      <c r="EP1003" s="62"/>
      <c r="EQ1003" s="62"/>
      <c r="ER1003" s="62"/>
      <c r="ES1003" s="62"/>
      <c r="ET1003" s="62"/>
      <c r="EU1003" s="62"/>
      <c r="EV1003" s="62"/>
      <c r="EW1003" s="62"/>
      <c r="EX1003" s="62"/>
      <c r="EY1003" s="62"/>
      <c r="EZ1003" s="62"/>
      <c r="FA1003" s="62"/>
      <c r="FB1003" s="62"/>
      <c r="FC1003" s="62"/>
      <c r="FD1003" s="62"/>
      <c r="FE1003" s="62"/>
      <c r="FF1003" s="62"/>
      <c r="FG1003" s="62"/>
      <c r="FH1003" s="62"/>
      <c r="FI1003" s="62"/>
      <c r="FJ1003" s="62"/>
      <c r="FK1003" s="62"/>
      <c r="FL1003" s="62"/>
      <c r="FM1003" s="62"/>
      <c r="FN1003" s="62"/>
      <c r="FO1003" s="62"/>
      <c r="FP1003" s="62"/>
      <c r="FQ1003" s="62"/>
      <c r="FR1003" s="62"/>
      <c r="FS1003" s="62"/>
      <c r="FT1003" s="62"/>
      <c r="FU1003" s="62"/>
      <c r="FV1003" s="62"/>
    </row>
    <row r="1004" spans="1:178" ht="13.8">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c r="AA1004" s="62"/>
      <c r="AB1004" s="62"/>
      <c r="AC1004" s="62"/>
      <c r="AD1004" s="62"/>
      <c r="AE1004" s="62"/>
      <c r="AF1004" s="62"/>
      <c r="AG1004" s="62"/>
      <c r="AH1004" s="62"/>
      <c r="AI1004" s="62"/>
      <c r="AJ1004" s="62"/>
      <c r="AK1004" s="62"/>
      <c r="AL1004" s="62"/>
      <c r="AM1004" s="62"/>
      <c r="AN1004" s="62"/>
      <c r="AO1004" s="62"/>
      <c r="AP1004" s="62"/>
      <c r="AQ1004" s="62"/>
      <c r="AR1004" s="62"/>
      <c r="AS1004" s="62"/>
      <c r="AT1004" s="62"/>
      <c r="AU1004" s="62"/>
      <c r="AV1004" s="62"/>
      <c r="AW1004" s="62"/>
      <c r="AX1004" s="62"/>
      <c r="AY1004" s="62"/>
      <c r="AZ1004" s="62"/>
      <c r="BA1004" s="62"/>
      <c r="BB1004" s="62"/>
      <c r="BC1004" s="62"/>
      <c r="BD1004" s="62"/>
      <c r="BE1004" s="62"/>
      <c r="BF1004" s="62"/>
      <c r="BG1004" s="62"/>
      <c r="BH1004" s="62"/>
      <c r="BI1004" s="62"/>
      <c r="BJ1004" s="62"/>
      <c r="BK1004" s="62"/>
      <c r="BL1004" s="62"/>
      <c r="BM1004" s="62"/>
      <c r="BN1004" s="62"/>
      <c r="BO1004" s="62"/>
      <c r="BP1004" s="62"/>
      <c r="BQ1004" s="62"/>
      <c r="BR1004" s="62"/>
      <c r="BS1004" s="62"/>
      <c r="BT1004" s="62"/>
      <c r="BU1004" s="62"/>
      <c r="BV1004" s="62"/>
      <c r="BW1004" s="62"/>
      <c r="BX1004" s="62"/>
      <c r="BY1004" s="62"/>
      <c r="BZ1004" s="62"/>
      <c r="CA1004" s="62"/>
      <c r="CB1004" s="62"/>
      <c r="CC1004" s="62"/>
      <c r="CD1004" s="62"/>
      <c r="CE1004" s="62"/>
      <c r="CF1004" s="62"/>
      <c r="CG1004" s="62"/>
      <c r="CH1004" s="62"/>
      <c r="CI1004" s="62"/>
      <c r="CJ1004" s="62"/>
      <c r="CK1004" s="62"/>
      <c r="CL1004" s="62"/>
      <c r="CM1004" s="62"/>
      <c r="CN1004" s="62"/>
      <c r="CO1004" s="62"/>
      <c r="CP1004" s="62"/>
      <c r="CQ1004" s="62"/>
      <c r="CR1004" s="62"/>
      <c r="CS1004" s="62"/>
      <c r="CT1004" s="62"/>
      <c r="CU1004" s="62"/>
      <c r="CV1004" s="62"/>
      <c r="CW1004" s="62"/>
      <c r="CX1004" s="62"/>
      <c r="CY1004" s="62"/>
      <c r="CZ1004" s="62"/>
      <c r="DA1004" s="62"/>
      <c r="DB1004" s="62"/>
      <c r="DC1004" s="62"/>
      <c r="DD1004" s="62"/>
      <c r="DE1004" s="62"/>
      <c r="DF1004" s="62"/>
      <c r="DG1004" s="62"/>
      <c r="DH1004" s="62"/>
      <c r="DI1004" s="62"/>
      <c r="DJ1004" s="62"/>
      <c r="DK1004" s="62"/>
      <c r="DL1004" s="62"/>
      <c r="DM1004" s="62"/>
      <c r="DN1004" s="62"/>
      <c r="DO1004" s="62"/>
      <c r="DP1004" s="62"/>
      <c r="DQ1004" s="62"/>
      <c r="DR1004" s="62"/>
      <c r="DS1004" s="62"/>
      <c r="DT1004" s="62"/>
      <c r="DU1004" s="62"/>
      <c r="DV1004" s="62"/>
      <c r="DW1004" s="62"/>
      <c r="DX1004" s="62"/>
      <c r="DY1004" s="62"/>
      <c r="DZ1004" s="62"/>
      <c r="EA1004" s="62"/>
      <c r="EB1004" s="62"/>
      <c r="EC1004" s="62"/>
      <c r="ED1004" s="62"/>
      <c r="EE1004" s="62"/>
      <c r="EF1004" s="62"/>
      <c r="EG1004" s="62"/>
      <c r="EH1004" s="62"/>
      <c r="EI1004" s="62"/>
      <c r="EJ1004" s="62"/>
      <c r="EK1004" s="62"/>
      <c r="EL1004" s="62"/>
      <c r="EM1004" s="62"/>
      <c r="EN1004" s="62"/>
      <c r="EO1004" s="62"/>
      <c r="EP1004" s="62"/>
      <c r="EQ1004" s="62"/>
      <c r="ER1004" s="62"/>
      <c r="ES1004" s="62"/>
      <c r="ET1004" s="62"/>
      <c r="EU1004" s="62"/>
      <c r="EV1004" s="62"/>
      <c r="EW1004" s="62"/>
      <c r="EX1004" s="62"/>
      <c r="EY1004" s="62"/>
      <c r="EZ1004" s="62"/>
      <c r="FA1004" s="62"/>
      <c r="FB1004" s="62"/>
      <c r="FC1004" s="62"/>
      <c r="FD1004" s="62"/>
      <c r="FE1004" s="62"/>
      <c r="FF1004" s="62"/>
      <c r="FG1004" s="62"/>
      <c r="FH1004" s="62"/>
      <c r="FI1004" s="62"/>
      <c r="FJ1004" s="62"/>
      <c r="FK1004" s="62"/>
      <c r="FL1004" s="62"/>
      <c r="FM1004" s="62"/>
      <c r="FN1004" s="62"/>
      <c r="FO1004" s="62"/>
      <c r="FP1004" s="62"/>
      <c r="FQ1004" s="62"/>
      <c r="FR1004" s="62"/>
      <c r="FS1004" s="62"/>
      <c r="FT1004" s="62"/>
      <c r="FU1004" s="62"/>
      <c r="FV1004" s="62"/>
    </row>
    <row r="1005" spans="1:178" ht="13.8">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c r="AA1005" s="62"/>
      <c r="AB1005" s="62"/>
      <c r="AC1005" s="62"/>
      <c r="AD1005" s="62"/>
      <c r="AE1005" s="62"/>
      <c r="AF1005" s="62"/>
      <c r="AG1005" s="62"/>
      <c r="AH1005" s="62"/>
      <c r="AI1005" s="62"/>
      <c r="AJ1005" s="62"/>
      <c r="AK1005" s="62"/>
      <c r="AL1005" s="62"/>
      <c r="AM1005" s="62"/>
      <c r="AN1005" s="62"/>
      <c r="AO1005" s="62"/>
      <c r="AP1005" s="62"/>
      <c r="AQ1005" s="62"/>
      <c r="AR1005" s="62"/>
      <c r="AS1005" s="62"/>
      <c r="AT1005" s="62"/>
      <c r="AU1005" s="62"/>
      <c r="AV1005" s="62"/>
      <c r="AW1005" s="62"/>
      <c r="AX1005" s="62"/>
      <c r="AY1005" s="62"/>
      <c r="AZ1005" s="62"/>
      <c r="BA1005" s="62"/>
      <c r="BB1005" s="62"/>
      <c r="BC1005" s="62"/>
      <c r="BD1005" s="62"/>
      <c r="BE1005" s="62"/>
      <c r="BF1005" s="62"/>
      <c r="BG1005" s="62"/>
      <c r="BH1005" s="62"/>
      <c r="BI1005" s="62"/>
      <c r="BJ1005" s="62"/>
      <c r="BK1005" s="62"/>
      <c r="BL1005" s="62"/>
      <c r="BM1005" s="62"/>
      <c r="BN1005" s="62"/>
      <c r="BO1005" s="62"/>
      <c r="BP1005" s="62"/>
      <c r="BQ1005" s="62"/>
      <c r="BR1005" s="62"/>
      <c r="BS1005" s="62"/>
      <c r="BT1005" s="62"/>
      <c r="BU1005" s="62"/>
      <c r="BV1005" s="62"/>
      <c r="BW1005" s="62"/>
      <c r="BX1005" s="62"/>
      <c r="BY1005" s="62"/>
      <c r="BZ1005" s="62"/>
      <c r="CA1005" s="62"/>
      <c r="CB1005" s="62"/>
      <c r="CC1005" s="62"/>
      <c r="CD1005" s="62"/>
      <c r="CE1005" s="62"/>
      <c r="CF1005" s="62"/>
      <c r="CG1005" s="62"/>
      <c r="CH1005" s="62"/>
      <c r="CI1005" s="62"/>
      <c r="CJ1005" s="62"/>
      <c r="CK1005" s="62"/>
      <c r="CL1005" s="62"/>
      <c r="CM1005" s="62"/>
      <c r="CN1005" s="62"/>
      <c r="CO1005" s="62"/>
      <c r="CP1005" s="62"/>
      <c r="CQ1005" s="62"/>
      <c r="CR1005" s="62"/>
      <c r="CS1005" s="62"/>
      <c r="CT1005" s="62"/>
      <c r="CU1005" s="62"/>
      <c r="CV1005" s="62"/>
      <c r="CW1005" s="62"/>
      <c r="CX1005" s="62"/>
      <c r="CY1005" s="62"/>
      <c r="CZ1005" s="62"/>
      <c r="DA1005" s="62"/>
      <c r="DB1005" s="62"/>
      <c r="DC1005" s="62"/>
      <c r="DD1005" s="62"/>
      <c r="DE1005" s="62"/>
      <c r="DF1005" s="62"/>
      <c r="DG1005" s="62"/>
      <c r="DH1005" s="62"/>
      <c r="DI1005" s="62"/>
      <c r="DJ1005" s="62"/>
      <c r="DK1005" s="62"/>
      <c r="DL1005" s="62"/>
      <c r="DM1005" s="62"/>
      <c r="DN1005" s="62"/>
      <c r="DO1005" s="62"/>
      <c r="DP1005" s="62"/>
      <c r="DQ1005" s="62"/>
      <c r="DR1005" s="62"/>
      <c r="DS1005" s="62"/>
      <c r="DT1005" s="62"/>
      <c r="DU1005" s="62"/>
      <c r="DV1005" s="62"/>
      <c r="DW1005" s="62"/>
      <c r="DX1005" s="62"/>
      <c r="DY1005" s="62"/>
      <c r="DZ1005" s="62"/>
      <c r="EA1005" s="62"/>
      <c r="EB1005" s="62"/>
      <c r="EC1005" s="62"/>
      <c r="ED1005" s="62"/>
      <c r="EE1005" s="62"/>
      <c r="EF1005" s="62"/>
      <c r="EG1005" s="62"/>
      <c r="EH1005" s="62"/>
      <c r="EI1005" s="62"/>
      <c r="EJ1005" s="62"/>
      <c r="EK1005" s="62"/>
      <c r="EL1005" s="62"/>
      <c r="EM1005" s="62"/>
      <c r="EN1005" s="62"/>
      <c r="EO1005" s="62"/>
      <c r="EP1005" s="62"/>
      <c r="EQ1005" s="62"/>
      <c r="ER1005" s="62"/>
      <c r="ES1005" s="62"/>
      <c r="ET1005" s="62"/>
      <c r="EU1005" s="62"/>
      <c r="EV1005" s="62"/>
      <c r="EW1005" s="62"/>
      <c r="EX1005" s="62"/>
      <c r="EY1005" s="62"/>
      <c r="EZ1005" s="62"/>
      <c r="FA1005" s="62"/>
      <c r="FB1005" s="62"/>
      <c r="FC1005" s="62"/>
      <c r="FD1005" s="62"/>
      <c r="FE1005" s="62"/>
      <c r="FF1005" s="62"/>
      <c r="FG1005" s="62"/>
      <c r="FH1005" s="62"/>
      <c r="FI1005" s="62"/>
      <c r="FJ1005" s="62"/>
      <c r="FK1005" s="62"/>
      <c r="FL1005" s="62"/>
      <c r="FM1005" s="62"/>
      <c r="FN1005" s="62"/>
      <c r="FO1005" s="62"/>
      <c r="FP1005" s="62"/>
      <c r="FQ1005" s="62"/>
      <c r="FR1005" s="62"/>
      <c r="FS1005" s="62"/>
      <c r="FT1005" s="62"/>
      <c r="FU1005" s="62"/>
      <c r="FV1005" s="62"/>
    </row>
    <row r="1006" spans="1:178" ht="13.8">
      <c r="A1006" s="62"/>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c r="Z1006" s="62"/>
      <c r="AA1006" s="62"/>
      <c r="AB1006" s="62"/>
      <c r="AC1006" s="62"/>
      <c r="AD1006" s="62"/>
      <c r="AE1006" s="62"/>
      <c r="AF1006" s="62"/>
      <c r="AG1006" s="62"/>
      <c r="AH1006" s="62"/>
      <c r="AI1006" s="62"/>
      <c r="AJ1006" s="62"/>
      <c r="AK1006" s="62"/>
      <c r="AL1006" s="62"/>
      <c r="AM1006" s="62"/>
      <c r="AN1006" s="62"/>
      <c r="AO1006" s="62"/>
      <c r="AP1006" s="62"/>
      <c r="AQ1006" s="62"/>
      <c r="AR1006" s="62"/>
      <c r="AS1006" s="62"/>
      <c r="AT1006" s="62"/>
      <c r="AU1006" s="62"/>
      <c r="AV1006" s="62"/>
      <c r="AW1006" s="62"/>
      <c r="AX1006" s="62"/>
      <c r="AY1006" s="62"/>
      <c r="AZ1006" s="62"/>
      <c r="BA1006" s="62"/>
      <c r="BB1006" s="62"/>
      <c r="BC1006" s="62"/>
      <c r="BD1006" s="62"/>
      <c r="BE1006" s="62"/>
      <c r="BF1006" s="62"/>
      <c r="BG1006" s="62"/>
      <c r="BH1006" s="62"/>
      <c r="BI1006" s="62"/>
      <c r="BJ1006" s="62"/>
      <c r="BK1006" s="62"/>
      <c r="BL1006" s="62"/>
      <c r="BM1006" s="62"/>
      <c r="BN1006" s="62"/>
      <c r="BO1006" s="62"/>
      <c r="BP1006" s="62"/>
      <c r="BQ1006" s="62"/>
      <c r="BR1006" s="62"/>
      <c r="BS1006" s="62"/>
      <c r="BT1006" s="62"/>
      <c r="BU1006" s="62"/>
      <c r="BV1006" s="62"/>
      <c r="BW1006" s="62"/>
      <c r="BX1006" s="62"/>
      <c r="BY1006" s="62"/>
      <c r="BZ1006" s="62"/>
      <c r="CA1006" s="62"/>
      <c r="CB1006" s="62"/>
      <c r="CC1006" s="62"/>
      <c r="CD1006" s="62"/>
      <c r="CE1006" s="62"/>
      <c r="CF1006" s="62"/>
      <c r="CG1006" s="62"/>
      <c r="CH1006" s="62"/>
      <c r="CI1006" s="62"/>
      <c r="CJ1006" s="62"/>
      <c r="CK1006" s="62"/>
      <c r="CL1006" s="62"/>
      <c r="CM1006" s="62"/>
      <c r="CN1006" s="62"/>
      <c r="CO1006" s="62"/>
      <c r="CP1006" s="62"/>
      <c r="CQ1006" s="62"/>
      <c r="CR1006" s="62"/>
      <c r="CS1006" s="62"/>
      <c r="CT1006" s="62"/>
      <c r="CU1006" s="62"/>
      <c r="CV1006" s="62"/>
      <c r="CW1006" s="62"/>
      <c r="CX1006" s="62"/>
      <c r="CY1006" s="62"/>
      <c r="CZ1006" s="62"/>
      <c r="DA1006" s="62"/>
      <c r="DB1006" s="62"/>
      <c r="DC1006" s="62"/>
      <c r="DD1006" s="62"/>
      <c r="DE1006" s="62"/>
      <c r="DF1006" s="62"/>
      <c r="DG1006" s="62"/>
      <c r="DH1006" s="62"/>
      <c r="DI1006" s="62"/>
      <c r="DJ1006" s="62"/>
      <c r="DK1006" s="62"/>
      <c r="DL1006" s="62"/>
      <c r="DM1006" s="62"/>
      <c r="DN1006" s="62"/>
      <c r="DO1006" s="62"/>
      <c r="DP1006" s="62"/>
      <c r="DQ1006" s="62"/>
      <c r="DR1006" s="62"/>
      <c r="DS1006" s="62"/>
      <c r="DT1006" s="62"/>
      <c r="DU1006" s="62"/>
      <c r="DV1006" s="62"/>
      <c r="DW1006" s="62"/>
      <c r="DX1006" s="62"/>
      <c r="DY1006" s="62"/>
      <c r="DZ1006" s="62"/>
      <c r="EA1006" s="62"/>
      <c r="EB1006" s="62"/>
      <c r="EC1006" s="62"/>
      <c r="ED1006" s="62"/>
      <c r="EE1006" s="62"/>
      <c r="EF1006" s="62"/>
      <c r="EG1006" s="62"/>
      <c r="EH1006" s="62"/>
      <c r="EI1006" s="62"/>
      <c r="EJ1006" s="62"/>
      <c r="EK1006" s="62"/>
      <c r="EL1006" s="62"/>
      <c r="EM1006" s="62"/>
      <c r="EN1006" s="62"/>
      <c r="EO1006" s="62"/>
      <c r="EP1006" s="62"/>
      <c r="EQ1006" s="62"/>
      <c r="ER1006" s="62"/>
      <c r="ES1006" s="62"/>
      <c r="ET1006" s="62"/>
      <c r="EU1006" s="62"/>
      <c r="EV1006" s="62"/>
      <c r="EW1006" s="62"/>
      <c r="EX1006" s="62"/>
      <c r="EY1006" s="62"/>
      <c r="EZ1006" s="62"/>
      <c r="FA1006" s="62"/>
      <c r="FB1006" s="62"/>
      <c r="FC1006" s="62"/>
      <c r="FD1006" s="62"/>
      <c r="FE1006" s="62"/>
      <c r="FF1006" s="62"/>
      <c r="FG1006" s="62"/>
      <c r="FH1006" s="62"/>
      <c r="FI1006" s="62"/>
      <c r="FJ1006" s="62"/>
      <c r="FK1006" s="62"/>
      <c r="FL1006" s="62"/>
      <c r="FM1006" s="62"/>
      <c r="FN1006" s="62"/>
      <c r="FO1006" s="62"/>
      <c r="FP1006" s="62"/>
      <c r="FQ1006" s="62"/>
      <c r="FR1006" s="62"/>
      <c r="FS1006" s="62"/>
      <c r="FT1006" s="62"/>
      <c r="FU1006" s="62"/>
      <c r="FV1006" s="62"/>
    </row>
    <row r="1007" spans="1:178" ht="13.8">
      <c r="A1007" s="62"/>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c r="Z1007" s="62"/>
      <c r="AA1007" s="62"/>
      <c r="AB1007" s="62"/>
      <c r="AC1007" s="62"/>
      <c r="AD1007" s="62"/>
      <c r="AE1007" s="62"/>
      <c r="AF1007" s="62"/>
      <c r="AG1007" s="62"/>
      <c r="AH1007" s="62"/>
      <c r="AI1007" s="62"/>
      <c r="AJ1007" s="62"/>
      <c r="AK1007" s="62"/>
      <c r="AL1007" s="62"/>
      <c r="AM1007" s="62"/>
      <c r="AN1007" s="62"/>
      <c r="AO1007" s="62"/>
      <c r="AP1007" s="62"/>
      <c r="AQ1007" s="62"/>
      <c r="AR1007" s="62"/>
      <c r="AS1007" s="62"/>
      <c r="AT1007" s="62"/>
      <c r="AU1007" s="62"/>
      <c r="AV1007" s="62"/>
      <c r="AW1007" s="62"/>
      <c r="AX1007" s="62"/>
      <c r="AY1007" s="62"/>
      <c r="AZ1007" s="62"/>
      <c r="BA1007" s="62"/>
      <c r="BB1007" s="62"/>
      <c r="BC1007" s="62"/>
      <c r="BD1007" s="62"/>
      <c r="BE1007" s="62"/>
      <c r="BF1007" s="62"/>
      <c r="BG1007" s="62"/>
      <c r="BH1007" s="62"/>
      <c r="BI1007" s="62"/>
      <c r="BJ1007" s="62"/>
      <c r="BK1007" s="62"/>
      <c r="BL1007" s="62"/>
      <c r="BM1007" s="62"/>
      <c r="BN1007" s="62"/>
      <c r="BO1007" s="62"/>
      <c r="BP1007" s="62"/>
      <c r="BQ1007" s="62"/>
      <c r="BR1007" s="62"/>
      <c r="BS1007" s="62"/>
      <c r="BT1007" s="62"/>
      <c r="BU1007" s="62"/>
      <c r="BV1007" s="62"/>
      <c r="BW1007" s="62"/>
      <c r="BX1007" s="62"/>
      <c r="BY1007" s="62"/>
      <c r="BZ1007" s="62"/>
      <c r="CA1007" s="62"/>
      <c r="CB1007" s="62"/>
      <c r="CC1007" s="62"/>
      <c r="CD1007" s="62"/>
      <c r="CE1007" s="62"/>
      <c r="CF1007" s="62"/>
      <c r="CG1007" s="62"/>
      <c r="CH1007" s="62"/>
      <c r="CI1007" s="62"/>
      <c r="CJ1007" s="62"/>
      <c r="CK1007" s="62"/>
      <c r="CL1007" s="62"/>
      <c r="CM1007" s="62"/>
      <c r="CN1007" s="62"/>
      <c r="CO1007" s="62"/>
      <c r="CP1007" s="62"/>
      <c r="CQ1007" s="62"/>
      <c r="CR1007" s="62"/>
      <c r="CS1007" s="62"/>
      <c r="CT1007" s="62"/>
      <c r="CU1007" s="62"/>
      <c r="CV1007" s="62"/>
      <c r="CW1007" s="62"/>
      <c r="CX1007" s="62"/>
      <c r="CY1007" s="62"/>
      <c r="CZ1007" s="62"/>
      <c r="DA1007" s="62"/>
      <c r="DB1007" s="62"/>
      <c r="DC1007" s="62"/>
      <c r="DD1007" s="62"/>
      <c r="DE1007" s="62"/>
      <c r="DF1007" s="62"/>
      <c r="DG1007" s="62"/>
      <c r="DH1007" s="62"/>
      <c r="DI1007" s="62"/>
      <c r="DJ1007" s="62"/>
      <c r="DK1007" s="62"/>
      <c r="DL1007" s="62"/>
      <c r="DM1007" s="62"/>
      <c r="DN1007" s="62"/>
      <c r="DO1007" s="62"/>
      <c r="DP1007" s="62"/>
      <c r="DQ1007" s="62"/>
      <c r="DR1007" s="62"/>
      <c r="DS1007" s="62"/>
      <c r="DT1007" s="62"/>
      <c r="DU1007" s="62"/>
      <c r="DV1007" s="62"/>
      <c r="DW1007" s="62"/>
      <c r="DX1007" s="62"/>
      <c r="DY1007" s="62"/>
      <c r="DZ1007" s="62"/>
      <c r="EA1007" s="62"/>
      <c r="EB1007" s="62"/>
      <c r="EC1007" s="62"/>
      <c r="ED1007" s="62"/>
      <c r="EE1007" s="62"/>
      <c r="EF1007" s="62"/>
      <c r="EG1007" s="62"/>
      <c r="EH1007" s="62"/>
      <c r="EI1007" s="62"/>
      <c r="EJ1007" s="62"/>
      <c r="EK1007" s="62"/>
      <c r="EL1007" s="62"/>
      <c r="EM1007" s="62"/>
      <c r="EN1007" s="62"/>
      <c r="EO1007" s="62"/>
      <c r="EP1007" s="62"/>
      <c r="EQ1007" s="62"/>
      <c r="ER1007" s="62"/>
      <c r="ES1007" s="62"/>
      <c r="ET1007" s="62"/>
      <c r="EU1007" s="62"/>
      <c r="EV1007" s="62"/>
      <c r="EW1007" s="62"/>
      <c r="EX1007" s="62"/>
      <c r="EY1007" s="62"/>
      <c r="EZ1007" s="62"/>
      <c r="FA1007" s="62"/>
      <c r="FB1007" s="62"/>
      <c r="FC1007" s="62"/>
      <c r="FD1007" s="62"/>
      <c r="FE1007" s="62"/>
      <c r="FF1007" s="62"/>
      <c r="FG1007" s="62"/>
      <c r="FH1007" s="62"/>
      <c r="FI1007" s="62"/>
      <c r="FJ1007" s="62"/>
      <c r="FK1007" s="62"/>
      <c r="FL1007" s="62"/>
      <c r="FM1007" s="62"/>
      <c r="FN1007" s="62"/>
      <c r="FO1007" s="62"/>
      <c r="FP1007" s="62"/>
      <c r="FQ1007" s="62"/>
      <c r="FR1007" s="62"/>
      <c r="FS1007" s="62"/>
      <c r="FT1007" s="62"/>
      <c r="FU1007" s="62"/>
      <c r="FV1007" s="62"/>
    </row>
    <row r="1008" spans="1:178" ht="13.8">
      <c r="A1008" s="62"/>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c r="Z1008" s="62"/>
      <c r="AA1008" s="62"/>
      <c r="AB1008" s="62"/>
      <c r="AC1008" s="62"/>
      <c r="AD1008" s="62"/>
      <c r="AE1008" s="62"/>
      <c r="AF1008" s="62"/>
      <c r="AG1008" s="62"/>
      <c r="AH1008" s="62"/>
      <c r="AI1008" s="62"/>
      <c r="AJ1008" s="62"/>
      <c r="AK1008" s="62"/>
      <c r="AL1008" s="62"/>
      <c r="AM1008" s="62"/>
      <c r="AN1008" s="62"/>
      <c r="AO1008" s="62"/>
      <c r="AP1008" s="62"/>
      <c r="AQ1008" s="62"/>
      <c r="AR1008" s="62"/>
      <c r="AS1008" s="62"/>
      <c r="AT1008" s="62"/>
      <c r="AU1008" s="62"/>
      <c r="AV1008" s="62"/>
      <c r="AW1008" s="62"/>
      <c r="AX1008" s="62"/>
      <c r="AY1008" s="62"/>
      <c r="AZ1008" s="62"/>
      <c r="BA1008" s="62"/>
      <c r="BB1008" s="62"/>
      <c r="BC1008" s="62"/>
      <c r="BD1008" s="62"/>
      <c r="BE1008" s="62"/>
      <c r="BF1008" s="62"/>
      <c r="BG1008" s="62"/>
      <c r="BH1008" s="62"/>
      <c r="BI1008" s="62"/>
      <c r="BJ1008" s="62"/>
      <c r="BK1008" s="62"/>
      <c r="BL1008" s="62"/>
      <c r="BM1008" s="62"/>
      <c r="BN1008" s="62"/>
      <c r="BO1008" s="62"/>
      <c r="BP1008" s="62"/>
      <c r="BQ1008" s="62"/>
      <c r="BR1008" s="62"/>
      <c r="BS1008" s="62"/>
      <c r="BT1008" s="62"/>
      <c r="BU1008" s="62"/>
      <c r="BV1008" s="62"/>
      <c r="BW1008" s="62"/>
      <c r="BX1008" s="62"/>
      <c r="BY1008" s="62"/>
      <c r="BZ1008" s="62"/>
      <c r="CA1008" s="62"/>
      <c r="CB1008" s="62"/>
      <c r="CC1008" s="62"/>
      <c r="CD1008" s="62"/>
      <c r="CE1008" s="62"/>
      <c r="CF1008" s="62"/>
      <c r="CG1008" s="62"/>
      <c r="CH1008" s="62"/>
      <c r="CI1008" s="62"/>
      <c r="CJ1008" s="62"/>
      <c r="CK1008" s="62"/>
      <c r="CL1008" s="62"/>
      <c r="CM1008" s="62"/>
      <c r="CN1008" s="62"/>
      <c r="CO1008" s="62"/>
      <c r="CP1008" s="62"/>
      <c r="CQ1008" s="62"/>
      <c r="CR1008" s="62"/>
      <c r="CS1008" s="62"/>
      <c r="CT1008" s="62"/>
      <c r="CU1008" s="62"/>
      <c r="CV1008" s="62"/>
      <c r="CW1008" s="62"/>
      <c r="CX1008" s="62"/>
      <c r="CY1008" s="62"/>
      <c r="CZ1008" s="62"/>
      <c r="DA1008" s="62"/>
      <c r="DB1008" s="62"/>
      <c r="DC1008" s="62"/>
      <c r="DD1008" s="62"/>
      <c r="DE1008" s="62"/>
      <c r="DF1008" s="62"/>
      <c r="DG1008" s="62"/>
      <c r="DH1008" s="62"/>
      <c r="DI1008" s="62"/>
      <c r="DJ1008" s="62"/>
      <c r="DK1008" s="62"/>
      <c r="DL1008" s="62"/>
      <c r="DM1008" s="62"/>
      <c r="DN1008" s="62"/>
      <c r="DO1008" s="62"/>
      <c r="DP1008" s="62"/>
      <c r="DQ1008" s="62"/>
      <c r="DR1008" s="62"/>
      <c r="DS1008" s="62"/>
      <c r="DT1008" s="62"/>
      <c r="DU1008" s="62"/>
      <c r="DV1008" s="62"/>
      <c r="DW1008" s="62"/>
      <c r="DX1008" s="62"/>
      <c r="DY1008" s="62"/>
      <c r="DZ1008" s="62"/>
      <c r="EA1008" s="62"/>
      <c r="EB1008" s="62"/>
      <c r="EC1008" s="62"/>
      <c r="ED1008" s="62"/>
      <c r="EE1008" s="62"/>
      <c r="EF1008" s="62"/>
      <c r="EG1008" s="62"/>
      <c r="EH1008" s="62"/>
      <c r="EI1008" s="62"/>
      <c r="EJ1008" s="62"/>
      <c r="EK1008" s="62"/>
      <c r="EL1008" s="62"/>
      <c r="EM1008" s="62"/>
      <c r="EN1008" s="62"/>
      <c r="EO1008" s="62"/>
      <c r="EP1008" s="62"/>
      <c r="EQ1008" s="62"/>
      <c r="ER1008" s="62"/>
      <c r="ES1008" s="62"/>
      <c r="ET1008" s="62"/>
      <c r="EU1008" s="62"/>
      <c r="EV1008" s="62"/>
      <c r="EW1008" s="62"/>
      <c r="EX1008" s="62"/>
      <c r="EY1008" s="62"/>
      <c r="EZ1008" s="62"/>
      <c r="FA1008" s="62"/>
      <c r="FB1008" s="62"/>
      <c r="FC1008" s="62"/>
      <c r="FD1008" s="62"/>
      <c r="FE1008" s="62"/>
      <c r="FF1008" s="62"/>
      <c r="FG1008" s="62"/>
      <c r="FH1008" s="62"/>
      <c r="FI1008" s="62"/>
      <c r="FJ1008" s="62"/>
      <c r="FK1008" s="62"/>
      <c r="FL1008" s="62"/>
      <c r="FM1008" s="62"/>
      <c r="FN1008" s="62"/>
      <c r="FO1008" s="62"/>
      <c r="FP1008" s="62"/>
      <c r="FQ1008" s="62"/>
      <c r="FR1008" s="62"/>
      <c r="FS1008" s="62"/>
      <c r="FT1008" s="62"/>
      <c r="FU1008" s="62"/>
      <c r="FV1008" s="62"/>
    </row>
    <row r="1009" spans="1:178" ht="13.8">
      <c r="A1009" s="62"/>
      <c r="B1009" s="62"/>
      <c r="C1009" s="62"/>
      <c r="D1009" s="62"/>
      <c r="E1009" s="62"/>
      <c r="F1009" s="62"/>
      <c r="G1009" s="62"/>
      <c r="H1009" s="62"/>
      <c r="I1009" s="62"/>
      <c r="J1009" s="62"/>
      <c r="K1009" s="62"/>
      <c r="L1009" s="62"/>
      <c r="M1009" s="62"/>
      <c r="N1009" s="62"/>
      <c r="O1009" s="62"/>
      <c r="P1009" s="62"/>
      <c r="Q1009" s="62"/>
      <c r="R1009" s="62"/>
      <c r="S1009" s="62"/>
      <c r="T1009" s="62"/>
      <c r="U1009" s="62"/>
      <c r="V1009" s="62"/>
      <c r="W1009" s="62"/>
      <c r="X1009" s="62"/>
      <c r="Y1009" s="62"/>
      <c r="Z1009" s="62"/>
      <c r="AA1009" s="62"/>
      <c r="AB1009" s="62"/>
      <c r="AC1009" s="62"/>
      <c r="AD1009" s="62"/>
      <c r="AE1009" s="62"/>
      <c r="AF1009" s="62"/>
      <c r="AG1009" s="62"/>
      <c r="AH1009" s="62"/>
      <c r="AI1009" s="62"/>
      <c r="AJ1009" s="62"/>
      <c r="AK1009" s="62"/>
      <c r="AL1009" s="62"/>
      <c r="AM1009" s="62"/>
      <c r="AN1009" s="62"/>
      <c r="AO1009" s="62"/>
      <c r="AP1009" s="62"/>
      <c r="AQ1009" s="62"/>
      <c r="AR1009" s="62"/>
      <c r="AS1009" s="62"/>
      <c r="AT1009" s="62"/>
      <c r="AU1009" s="62"/>
      <c r="AV1009" s="62"/>
      <c r="AW1009" s="62"/>
      <c r="AX1009" s="62"/>
      <c r="AY1009" s="62"/>
      <c r="AZ1009" s="62"/>
      <c r="BA1009" s="62"/>
      <c r="BB1009" s="62"/>
      <c r="BC1009" s="62"/>
      <c r="BD1009" s="62"/>
      <c r="BE1009" s="62"/>
      <c r="BF1009" s="62"/>
      <c r="BG1009" s="62"/>
      <c r="BH1009" s="62"/>
      <c r="BI1009" s="62"/>
      <c r="BJ1009" s="62"/>
      <c r="BK1009" s="62"/>
      <c r="BL1009" s="62"/>
      <c r="BM1009" s="62"/>
      <c r="BN1009" s="62"/>
      <c r="BO1009" s="62"/>
      <c r="BP1009" s="62"/>
      <c r="BQ1009" s="62"/>
      <c r="BR1009" s="62"/>
      <c r="BS1009" s="62"/>
      <c r="BT1009" s="62"/>
      <c r="BU1009" s="62"/>
      <c r="BV1009" s="62"/>
      <c r="BW1009" s="62"/>
      <c r="BX1009" s="62"/>
      <c r="BY1009" s="62"/>
      <c r="BZ1009" s="62"/>
      <c r="CA1009" s="62"/>
      <c r="CB1009" s="62"/>
      <c r="CC1009" s="62"/>
      <c r="CD1009" s="62"/>
      <c r="CE1009" s="62"/>
      <c r="CF1009" s="62"/>
      <c r="CG1009" s="62"/>
      <c r="CH1009" s="62"/>
      <c r="CI1009" s="62"/>
      <c r="CJ1009" s="62"/>
      <c r="CK1009" s="62"/>
      <c r="CL1009" s="62"/>
      <c r="CM1009" s="62"/>
      <c r="CN1009" s="62"/>
      <c r="CO1009" s="62"/>
      <c r="CP1009" s="62"/>
      <c r="CQ1009" s="62"/>
      <c r="CR1009" s="62"/>
      <c r="CS1009" s="62"/>
      <c r="CT1009" s="62"/>
      <c r="CU1009" s="62"/>
      <c r="CV1009" s="62"/>
      <c r="CW1009" s="62"/>
      <c r="CX1009" s="62"/>
      <c r="CY1009" s="62"/>
      <c r="CZ1009" s="62"/>
      <c r="DA1009" s="62"/>
      <c r="DB1009" s="62"/>
      <c r="DC1009" s="62"/>
      <c r="DD1009" s="62"/>
      <c r="DE1009" s="62"/>
      <c r="DF1009" s="62"/>
      <c r="DG1009" s="62"/>
      <c r="DH1009" s="62"/>
      <c r="DI1009" s="62"/>
      <c r="DJ1009" s="62"/>
      <c r="DK1009" s="62"/>
      <c r="DL1009" s="62"/>
      <c r="DM1009" s="62"/>
      <c r="DN1009" s="62"/>
      <c r="DO1009" s="62"/>
      <c r="DP1009" s="62"/>
      <c r="DQ1009" s="62"/>
      <c r="DR1009" s="62"/>
      <c r="DS1009" s="62"/>
      <c r="DT1009" s="62"/>
      <c r="DU1009" s="62"/>
      <c r="DV1009" s="62"/>
      <c r="DW1009" s="62"/>
      <c r="DX1009" s="62"/>
      <c r="DY1009" s="62"/>
      <c r="DZ1009" s="62"/>
      <c r="EA1009" s="62"/>
      <c r="EB1009" s="62"/>
      <c r="EC1009" s="62"/>
      <c r="ED1009" s="62"/>
      <c r="EE1009" s="62"/>
      <c r="EF1009" s="62"/>
      <c r="EG1009" s="62"/>
      <c r="EH1009" s="62"/>
      <c r="EI1009" s="62"/>
      <c r="EJ1009" s="62"/>
      <c r="EK1009" s="62"/>
      <c r="EL1009" s="62"/>
      <c r="EM1009" s="62"/>
      <c r="EN1009" s="62"/>
      <c r="EO1009" s="62"/>
      <c r="EP1009" s="62"/>
      <c r="EQ1009" s="62"/>
      <c r="ER1009" s="62"/>
      <c r="ES1009" s="62"/>
      <c r="ET1009" s="62"/>
      <c r="EU1009" s="62"/>
      <c r="EV1009" s="62"/>
      <c r="EW1009" s="62"/>
      <c r="EX1009" s="62"/>
      <c r="EY1009" s="62"/>
      <c r="EZ1009" s="62"/>
      <c r="FA1009" s="62"/>
      <c r="FB1009" s="62"/>
      <c r="FC1009" s="62"/>
      <c r="FD1009" s="62"/>
      <c r="FE1009" s="62"/>
      <c r="FF1009" s="62"/>
      <c r="FG1009" s="62"/>
      <c r="FH1009" s="62"/>
      <c r="FI1009" s="62"/>
      <c r="FJ1009" s="62"/>
      <c r="FK1009" s="62"/>
      <c r="FL1009" s="62"/>
      <c r="FM1009" s="62"/>
      <c r="FN1009" s="62"/>
      <c r="FO1009" s="62"/>
      <c r="FP1009" s="62"/>
      <c r="FQ1009" s="62"/>
      <c r="FR1009" s="62"/>
      <c r="FS1009" s="62"/>
      <c r="FT1009" s="62"/>
      <c r="FU1009" s="62"/>
      <c r="FV1009" s="62"/>
    </row>
    <row r="1010" spans="1:178" ht="13.8">
      <c r="A1010" s="62"/>
      <c r="B1010" s="62"/>
      <c r="C1010" s="62"/>
      <c r="D1010" s="62"/>
      <c r="E1010" s="62"/>
      <c r="F1010" s="62"/>
      <c r="G1010" s="62"/>
      <c r="H1010" s="62"/>
      <c r="I1010" s="62"/>
      <c r="J1010" s="62"/>
      <c r="K1010" s="62"/>
      <c r="L1010" s="62"/>
      <c r="M1010" s="62"/>
      <c r="N1010" s="62"/>
      <c r="O1010" s="62"/>
      <c r="P1010" s="62"/>
      <c r="Q1010" s="62"/>
      <c r="R1010" s="62"/>
      <c r="S1010" s="62"/>
      <c r="T1010" s="62"/>
      <c r="U1010" s="62"/>
      <c r="V1010" s="62"/>
      <c r="W1010" s="62"/>
      <c r="X1010" s="62"/>
      <c r="Y1010" s="62"/>
      <c r="Z1010" s="62"/>
      <c r="AA1010" s="62"/>
      <c r="AB1010" s="62"/>
      <c r="AC1010" s="62"/>
      <c r="AD1010" s="62"/>
      <c r="AE1010" s="62"/>
      <c r="AF1010" s="62"/>
      <c r="AG1010" s="62"/>
      <c r="AH1010" s="62"/>
      <c r="AI1010" s="62"/>
      <c r="AJ1010" s="62"/>
      <c r="AK1010" s="62"/>
      <c r="AL1010" s="62"/>
      <c r="AM1010" s="62"/>
      <c r="AN1010" s="62"/>
      <c r="AO1010" s="62"/>
      <c r="AP1010" s="62"/>
      <c r="AQ1010" s="62"/>
      <c r="AR1010" s="62"/>
      <c r="AS1010" s="62"/>
      <c r="AT1010" s="62"/>
      <c r="AU1010" s="62"/>
      <c r="AV1010" s="62"/>
      <c r="AW1010" s="62"/>
      <c r="AX1010" s="62"/>
      <c r="AY1010" s="62"/>
      <c r="AZ1010" s="62"/>
      <c r="BA1010" s="62"/>
      <c r="BB1010" s="62"/>
      <c r="BC1010" s="62"/>
      <c r="BD1010" s="62"/>
      <c r="BE1010" s="62"/>
      <c r="BF1010" s="62"/>
      <c r="BG1010" s="62"/>
      <c r="BH1010" s="62"/>
      <c r="BI1010" s="62"/>
      <c r="BJ1010" s="62"/>
      <c r="BK1010" s="62"/>
      <c r="BL1010" s="62"/>
      <c r="BM1010" s="62"/>
      <c r="BN1010" s="62"/>
      <c r="BO1010" s="62"/>
      <c r="BP1010" s="62"/>
      <c r="BQ1010" s="62"/>
      <c r="BR1010" s="62"/>
      <c r="BS1010" s="62"/>
      <c r="BT1010" s="62"/>
      <c r="BU1010" s="62"/>
      <c r="BV1010" s="62"/>
      <c r="BW1010" s="62"/>
      <c r="BX1010" s="62"/>
      <c r="BY1010" s="62"/>
      <c r="BZ1010" s="62"/>
      <c r="CA1010" s="62"/>
      <c r="CB1010" s="62"/>
      <c r="CC1010" s="62"/>
      <c r="CD1010" s="62"/>
      <c r="CE1010" s="62"/>
      <c r="CF1010" s="62"/>
      <c r="CG1010" s="62"/>
      <c r="CH1010" s="62"/>
      <c r="CI1010" s="62"/>
      <c r="CJ1010" s="62"/>
      <c r="CK1010" s="62"/>
      <c r="CL1010" s="62"/>
      <c r="CM1010" s="62"/>
      <c r="CN1010" s="62"/>
      <c r="CO1010" s="62"/>
      <c r="CP1010" s="62"/>
      <c r="CQ1010" s="62"/>
      <c r="CR1010" s="62"/>
      <c r="CS1010" s="62"/>
      <c r="CT1010" s="62"/>
      <c r="CU1010" s="62"/>
      <c r="CV1010" s="62"/>
      <c r="CW1010" s="62"/>
      <c r="CX1010" s="62"/>
      <c r="CY1010" s="62"/>
      <c r="CZ1010" s="62"/>
      <c r="DA1010" s="62"/>
      <c r="DB1010" s="62"/>
      <c r="DC1010" s="62"/>
      <c r="DD1010" s="62"/>
      <c r="DE1010" s="62"/>
      <c r="DF1010" s="62"/>
      <c r="DG1010" s="62"/>
      <c r="DH1010" s="62"/>
      <c r="DI1010" s="62"/>
      <c r="DJ1010" s="62"/>
      <c r="DK1010" s="62"/>
      <c r="DL1010" s="62"/>
      <c r="DM1010" s="62"/>
      <c r="DN1010" s="62"/>
      <c r="DO1010" s="62"/>
      <c r="DP1010" s="62"/>
      <c r="DQ1010" s="62"/>
      <c r="DR1010" s="62"/>
      <c r="DS1010" s="62"/>
      <c r="DT1010" s="62"/>
      <c r="DU1010" s="62"/>
      <c r="DV1010" s="62"/>
      <c r="DW1010" s="62"/>
      <c r="DX1010" s="62"/>
      <c r="DY1010" s="62"/>
      <c r="DZ1010" s="62"/>
      <c r="EA1010" s="62"/>
      <c r="EB1010" s="62"/>
      <c r="EC1010" s="62"/>
      <c r="ED1010" s="62"/>
      <c r="EE1010" s="62"/>
      <c r="EF1010" s="62"/>
      <c r="EG1010" s="62"/>
      <c r="EH1010" s="62"/>
      <c r="EI1010" s="62"/>
      <c r="EJ1010" s="62"/>
      <c r="EK1010" s="62"/>
      <c r="EL1010" s="62"/>
      <c r="EM1010" s="62"/>
      <c r="EN1010" s="62"/>
      <c r="EO1010" s="62"/>
      <c r="EP1010" s="62"/>
      <c r="EQ1010" s="62"/>
      <c r="ER1010" s="62"/>
      <c r="ES1010" s="62"/>
      <c r="ET1010" s="62"/>
      <c r="EU1010" s="62"/>
      <c r="EV1010" s="62"/>
      <c r="EW1010" s="62"/>
      <c r="EX1010" s="62"/>
      <c r="EY1010" s="62"/>
      <c r="EZ1010" s="62"/>
      <c r="FA1010" s="62"/>
      <c r="FB1010" s="62"/>
      <c r="FC1010" s="62"/>
      <c r="FD1010" s="62"/>
      <c r="FE1010" s="62"/>
      <c r="FF1010" s="62"/>
      <c r="FG1010" s="62"/>
      <c r="FH1010" s="62"/>
      <c r="FI1010" s="62"/>
      <c r="FJ1010" s="62"/>
      <c r="FK1010" s="62"/>
      <c r="FL1010" s="62"/>
      <c r="FM1010" s="62"/>
      <c r="FN1010" s="62"/>
      <c r="FO1010" s="62"/>
      <c r="FP1010" s="62"/>
      <c r="FQ1010" s="62"/>
      <c r="FR1010" s="62"/>
      <c r="FS1010" s="62"/>
      <c r="FT1010" s="62"/>
      <c r="FU1010" s="62"/>
      <c r="FV1010" s="62"/>
    </row>
    <row r="1011" spans="1:178" ht="13.8">
      <c r="A1011" s="62"/>
      <c r="B1011" s="62"/>
      <c r="C1011" s="62"/>
      <c r="D1011" s="62"/>
      <c r="E1011" s="62"/>
      <c r="F1011" s="62"/>
      <c r="G1011" s="62"/>
      <c r="H1011" s="62"/>
      <c r="I1011" s="62"/>
      <c r="J1011" s="62"/>
      <c r="K1011" s="62"/>
      <c r="L1011" s="62"/>
      <c r="M1011" s="62"/>
      <c r="N1011" s="62"/>
      <c r="O1011" s="62"/>
      <c r="P1011" s="62"/>
      <c r="Q1011" s="62"/>
      <c r="R1011" s="62"/>
      <c r="S1011" s="62"/>
      <c r="T1011" s="62"/>
      <c r="U1011" s="62"/>
      <c r="V1011" s="62"/>
      <c r="W1011" s="62"/>
      <c r="X1011" s="62"/>
      <c r="Y1011" s="62"/>
      <c r="Z1011" s="62"/>
      <c r="AA1011" s="62"/>
      <c r="AB1011" s="62"/>
      <c r="AC1011" s="62"/>
      <c r="AD1011" s="62"/>
      <c r="AE1011" s="62"/>
      <c r="AF1011" s="62"/>
      <c r="AG1011" s="62"/>
      <c r="AH1011" s="62"/>
      <c r="AI1011" s="62"/>
      <c r="AJ1011" s="62"/>
      <c r="AK1011" s="62"/>
      <c r="AL1011" s="62"/>
      <c r="AM1011" s="62"/>
      <c r="AN1011" s="62"/>
      <c r="AO1011" s="62"/>
      <c r="AP1011" s="62"/>
      <c r="AQ1011" s="62"/>
      <c r="AR1011" s="62"/>
      <c r="AS1011" s="62"/>
      <c r="AT1011" s="62"/>
      <c r="AU1011" s="62"/>
      <c r="AV1011" s="62"/>
      <c r="AW1011" s="62"/>
      <c r="AX1011" s="62"/>
      <c r="AY1011" s="62"/>
      <c r="AZ1011" s="62"/>
      <c r="BA1011" s="62"/>
      <c r="BB1011" s="62"/>
      <c r="BC1011" s="62"/>
      <c r="BD1011" s="62"/>
      <c r="BE1011" s="62"/>
      <c r="BF1011" s="62"/>
      <c r="BG1011" s="62"/>
      <c r="BH1011" s="62"/>
      <c r="BI1011" s="62"/>
      <c r="BJ1011" s="62"/>
      <c r="BK1011" s="62"/>
      <c r="BL1011" s="62"/>
      <c r="BM1011" s="62"/>
      <c r="BN1011" s="62"/>
      <c r="BO1011" s="62"/>
      <c r="BP1011" s="62"/>
      <c r="BQ1011" s="62"/>
      <c r="BR1011" s="62"/>
      <c r="BS1011" s="62"/>
      <c r="BT1011" s="62"/>
      <c r="BU1011" s="62"/>
      <c r="BV1011" s="62"/>
      <c r="BW1011" s="62"/>
      <c r="BX1011" s="62"/>
      <c r="BY1011" s="62"/>
      <c r="BZ1011" s="62"/>
      <c r="CA1011" s="62"/>
      <c r="CB1011" s="62"/>
      <c r="CC1011" s="62"/>
      <c r="CD1011" s="62"/>
      <c r="CE1011" s="62"/>
      <c r="CF1011" s="62"/>
      <c r="CG1011" s="62"/>
      <c r="CH1011" s="62"/>
      <c r="CI1011" s="62"/>
      <c r="CJ1011" s="62"/>
      <c r="CK1011" s="62"/>
      <c r="CL1011" s="62"/>
      <c r="CM1011" s="62"/>
      <c r="CN1011" s="62"/>
      <c r="CO1011" s="62"/>
      <c r="CP1011" s="62"/>
      <c r="CQ1011" s="62"/>
      <c r="CR1011" s="62"/>
      <c r="CS1011" s="62"/>
      <c r="CT1011" s="62"/>
      <c r="CU1011" s="62"/>
      <c r="CV1011" s="62"/>
      <c r="CW1011" s="62"/>
      <c r="CX1011" s="62"/>
      <c r="CY1011" s="62"/>
      <c r="CZ1011" s="62"/>
      <c r="DA1011" s="62"/>
      <c r="DB1011" s="62"/>
      <c r="DC1011" s="62"/>
      <c r="DD1011" s="62"/>
      <c r="DE1011" s="62"/>
      <c r="DF1011" s="62"/>
      <c r="DG1011" s="62"/>
      <c r="DH1011" s="62"/>
      <c r="DI1011" s="62"/>
      <c r="DJ1011" s="62"/>
      <c r="DK1011" s="62"/>
      <c r="DL1011" s="62"/>
      <c r="DM1011" s="62"/>
      <c r="DN1011" s="62"/>
      <c r="DO1011" s="62"/>
      <c r="DP1011" s="62"/>
      <c r="DQ1011" s="62"/>
      <c r="DR1011" s="62"/>
      <c r="DS1011" s="62"/>
      <c r="DT1011" s="62"/>
      <c r="DU1011" s="62"/>
      <c r="DV1011" s="62"/>
      <c r="DW1011" s="62"/>
      <c r="DX1011" s="62"/>
      <c r="DY1011" s="62"/>
      <c r="DZ1011" s="62"/>
      <c r="EA1011" s="62"/>
      <c r="EB1011" s="62"/>
      <c r="EC1011" s="62"/>
      <c r="ED1011" s="62"/>
      <c r="EE1011" s="62"/>
      <c r="EF1011" s="62"/>
      <c r="EG1011" s="62"/>
      <c r="EH1011" s="62"/>
      <c r="EI1011" s="62"/>
      <c r="EJ1011" s="62"/>
      <c r="EK1011" s="62"/>
      <c r="EL1011" s="62"/>
      <c r="EM1011" s="62"/>
      <c r="EN1011" s="62"/>
      <c r="EO1011" s="62"/>
      <c r="EP1011" s="62"/>
      <c r="EQ1011" s="62"/>
      <c r="ER1011" s="62"/>
      <c r="ES1011" s="62"/>
      <c r="ET1011" s="62"/>
      <c r="EU1011" s="62"/>
      <c r="EV1011" s="62"/>
      <c r="EW1011" s="62"/>
      <c r="EX1011" s="62"/>
      <c r="EY1011" s="62"/>
      <c r="EZ1011" s="62"/>
      <c r="FA1011" s="62"/>
      <c r="FB1011" s="62"/>
      <c r="FC1011" s="62"/>
      <c r="FD1011" s="62"/>
      <c r="FE1011" s="62"/>
      <c r="FF1011" s="62"/>
      <c r="FG1011" s="62"/>
      <c r="FH1011" s="62"/>
      <c r="FI1011" s="62"/>
      <c r="FJ1011" s="62"/>
      <c r="FK1011" s="62"/>
      <c r="FL1011" s="62"/>
      <c r="FM1011" s="62"/>
      <c r="FN1011" s="62"/>
      <c r="FO1011" s="62"/>
      <c r="FP1011" s="62"/>
      <c r="FQ1011" s="62"/>
      <c r="FR1011" s="62"/>
      <c r="FS1011" s="62"/>
      <c r="FT1011" s="62"/>
      <c r="FU1011" s="62"/>
      <c r="FV1011" s="62"/>
    </row>
    <row r="1012" spans="1:178" ht="13.8">
      <c r="A1012" s="62"/>
      <c r="B1012" s="62"/>
      <c r="C1012" s="62"/>
      <c r="D1012" s="62"/>
      <c r="E1012" s="62"/>
      <c r="F1012" s="62"/>
      <c r="G1012" s="62"/>
      <c r="H1012" s="62"/>
      <c r="I1012" s="62"/>
      <c r="J1012" s="62"/>
      <c r="K1012" s="62"/>
      <c r="L1012" s="62"/>
      <c r="M1012" s="62"/>
      <c r="N1012" s="62"/>
      <c r="O1012" s="62"/>
      <c r="P1012" s="62"/>
      <c r="Q1012" s="62"/>
      <c r="R1012" s="62"/>
      <c r="S1012" s="62"/>
      <c r="T1012" s="62"/>
      <c r="U1012" s="62"/>
      <c r="V1012" s="62"/>
      <c r="W1012" s="62"/>
      <c r="X1012" s="62"/>
      <c r="Y1012" s="62"/>
      <c r="Z1012" s="62"/>
      <c r="AA1012" s="62"/>
      <c r="AB1012" s="62"/>
      <c r="AC1012" s="62"/>
      <c r="AD1012" s="62"/>
      <c r="AE1012" s="62"/>
      <c r="AF1012" s="62"/>
      <c r="AG1012" s="62"/>
      <c r="AH1012" s="62"/>
      <c r="AI1012" s="62"/>
      <c r="AJ1012" s="62"/>
      <c r="AK1012" s="62"/>
      <c r="AL1012" s="62"/>
      <c r="AM1012" s="62"/>
      <c r="AN1012" s="62"/>
      <c r="AO1012" s="62"/>
      <c r="AP1012" s="62"/>
      <c r="AQ1012" s="62"/>
      <c r="AR1012" s="62"/>
      <c r="AS1012" s="62"/>
      <c r="AT1012" s="62"/>
      <c r="AU1012" s="62"/>
      <c r="AV1012" s="62"/>
      <c r="AW1012" s="62"/>
      <c r="AX1012" s="62"/>
      <c r="AY1012" s="62"/>
      <c r="AZ1012" s="62"/>
      <c r="BA1012" s="62"/>
      <c r="BB1012" s="62"/>
      <c r="BC1012" s="62"/>
      <c r="BD1012" s="62"/>
      <c r="BE1012" s="62"/>
      <c r="BF1012" s="62"/>
      <c r="BG1012" s="62"/>
      <c r="BH1012" s="62"/>
      <c r="BI1012" s="62"/>
      <c r="BJ1012" s="62"/>
      <c r="BK1012" s="62"/>
      <c r="BL1012" s="62"/>
      <c r="BM1012" s="62"/>
      <c r="BN1012" s="62"/>
      <c r="BO1012" s="62"/>
      <c r="BP1012" s="62"/>
      <c r="BQ1012" s="62"/>
      <c r="BR1012" s="62"/>
      <c r="BS1012" s="62"/>
      <c r="BT1012" s="62"/>
      <c r="BU1012" s="62"/>
      <c r="BV1012" s="62"/>
      <c r="BW1012" s="62"/>
      <c r="BX1012" s="62"/>
      <c r="BY1012" s="62"/>
      <c r="BZ1012" s="62"/>
      <c r="CA1012" s="62"/>
      <c r="CB1012" s="62"/>
      <c r="CC1012" s="62"/>
      <c r="CD1012" s="62"/>
      <c r="CE1012" s="62"/>
      <c r="CF1012" s="62"/>
      <c r="CG1012" s="62"/>
      <c r="CH1012" s="62"/>
      <c r="CI1012" s="62"/>
      <c r="CJ1012" s="62"/>
      <c r="CK1012" s="62"/>
      <c r="CL1012" s="62"/>
      <c r="CM1012" s="62"/>
      <c r="CN1012" s="62"/>
      <c r="CO1012" s="62"/>
      <c r="CP1012" s="62"/>
      <c r="CQ1012" s="62"/>
      <c r="CR1012" s="62"/>
      <c r="CS1012" s="62"/>
      <c r="CT1012" s="62"/>
      <c r="CU1012" s="62"/>
      <c r="CV1012" s="62"/>
      <c r="CW1012" s="62"/>
      <c r="CX1012" s="62"/>
      <c r="CY1012" s="62"/>
      <c r="CZ1012" s="62"/>
      <c r="DA1012" s="62"/>
      <c r="DB1012" s="62"/>
      <c r="DC1012" s="62"/>
      <c r="DD1012" s="62"/>
      <c r="DE1012" s="62"/>
      <c r="DF1012" s="62"/>
      <c r="DG1012" s="62"/>
      <c r="DH1012" s="62"/>
      <c r="DI1012" s="62"/>
      <c r="DJ1012" s="62"/>
      <c r="DK1012" s="62"/>
      <c r="DL1012" s="62"/>
      <c r="DM1012" s="62"/>
      <c r="DN1012" s="62"/>
      <c r="DO1012" s="62"/>
      <c r="DP1012" s="62"/>
      <c r="DQ1012" s="62"/>
      <c r="DR1012" s="62"/>
      <c r="DS1012" s="62"/>
      <c r="DT1012" s="62"/>
      <c r="DU1012" s="62"/>
      <c r="DV1012" s="62"/>
      <c r="DW1012" s="62"/>
      <c r="DX1012" s="62"/>
      <c r="DY1012" s="62"/>
      <c r="DZ1012" s="62"/>
      <c r="EA1012" s="62"/>
      <c r="EB1012" s="62"/>
      <c r="EC1012" s="62"/>
      <c r="ED1012" s="62"/>
      <c r="EE1012" s="62"/>
      <c r="EF1012" s="62"/>
      <c r="EG1012" s="62"/>
      <c r="EH1012" s="62"/>
      <c r="EI1012" s="62"/>
      <c r="EJ1012" s="62"/>
      <c r="EK1012" s="62"/>
      <c r="EL1012" s="62"/>
      <c r="EM1012" s="62"/>
      <c r="EN1012" s="62"/>
      <c r="EO1012" s="62"/>
      <c r="EP1012" s="62"/>
      <c r="EQ1012" s="62"/>
      <c r="ER1012" s="62"/>
      <c r="ES1012" s="62"/>
      <c r="ET1012" s="62"/>
      <c r="EU1012" s="62"/>
      <c r="EV1012" s="62"/>
      <c r="EW1012" s="62"/>
      <c r="EX1012" s="62"/>
      <c r="EY1012" s="62"/>
      <c r="EZ1012" s="62"/>
      <c r="FA1012" s="62"/>
      <c r="FB1012" s="62"/>
      <c r="FC1012" s="62"/>
      <c r="FD1012" s="62"/>
      <c r="FE1012" s="62"/>
      <c r="FF1012" s="62"/>
      <c r="FG1012" s="62"/>
      <c r="FH1012" s="62"/>
      <c r="FI1012" s="62"/>
      <c r="FJ1012" s="62"/>
      <c r="FK1012" s="62"/>
      <c r="FL1012" s="62"/>
      <c r="FM1012" s="62"/>
      <c r="FN1012" s="62"/>
      <c r="FO1012" s="62"/>
      <c r="FP1012" s="62"/>
      <c r="FQ1012" s="62"/>
      <c r="FR1012" s="62"/>
      <c r="FS1012" s="62"/>
      <c r="FT1012" s="62"/>
      <c r="FU1012" s="62"/>
      <c r="FV1012" s="62"/>
    </row>
    <row r="1013" spans="1:178" ht="13.8">
      <c r="A1013" s="62"/>
      <c r="B1013" s="62"/>
      <c r="C1013" s="62"/>
      <c r="D1013" s="62"/>
      <c r="E1013" s="62"/>
      <c r="F1013" s="62"/>
      <c r="G1013" s="62"/>
      <c r="H1013" s="62"/>
      <c r="I1013" s="62"/>
      <c r="J1013" s="62"/>
      <c r="K1013" s="62"/>
      <c r="L1013" s="62"/>
      <c r="M1013" s="62"/>
      <c r="N1013" s="62"/>
      <c r="O1013" s="62"/>
      <c r="P1013" s="62"/>
      <c r="Q1013" s="62"/>
      <c r="R1013" s="62"/>
      <c r="S1013" s="62"/>
      <c r="T1013" s="62"/>
      <c r="U1013" s="62"/>
      <c r="V1013" s="62"/>
      <c r="W1013" s="62"/>
      <c r="X1013" s="62"/>
      <c r="Y1013" s="62"/>
      <c r="Z1013" s="62"/>
      <c r="AA1013" s="62"/>
      <c r="AB1013" s="62"/>
      <c r="AC1013" s="62"/>
      <c r="AD1013" s="62"/>
      <c r="AE1013" s="62"/>
      <c r="AF1013" s="62"/>
      <c r="AG1013" s="62"/>
      <c r="AH1013" s="62"/>
      <c r="AI1013" s="62"/>
      <c r="AJ1013" s="62"/>
      <c r="AK1013" s="62"/>
      <c r="AL1013" s="62"/>
      <c r="AM1013" s="62"/>
      <c r="AN1013" s="62"/>
      <c r="AO1013" s="62"/>
      <c r="AP1013" s="62"/>
      <c r="AQ1013" s="62"/>
      <c r="AR1013" s="62"/>
      <c r="AS1013" s="62"/>
      <c r="AT1013" s="62"/>
      <c r="AU1013" s="62"/>
      <c r="AV1013" s="62"/>
      <c r="AW1013" s="62"/>
      <c r="AX1013" s="62"/>
      <c r="AY1013" s="62"/>
      <c r="AZ1013" s="62"/>
      <c r="BA1013" s="62"/>
      <c r="BB1013" s="62"/>
      <c r="BC1013" s="62"/>
      <c r="BD1013" s="62"/>
      <c r="BE1013" s="62"/>
      <c r="BF1013" s="62"/>
      <c r="BG1013" s="62"/>
      <c r="BH1013" s="62"/>
      <c r="BI1013" s="62"/>
      <c r="BJ1013" s="62"/>
      <c r="BK1013" s="62"/>
      <c r="BL1013" s="62"/>
      <c r="BM1013" s="62"/>
      <c r="BN1013" s="62"/>
      <c r="BO1013" s="62"/>
      <c r="BP1013" s="62"/>
      <c r="BQ1013" s="62"/>
      <c r="BR1013" s="62"/>
      <c r="BS1013" s="62"/>
      <c r="BT1013" s="62"/>
      <c r="BU1013" s="62"/>
      <c r="BV1013" s="62"/>
      <c r="BW1013" s="62"/>
      <c r="BX1013" s="62"/>
      <c r="BY1013" s="62"/>
      <c r="BZ1013" s="62"/>
      <c r="CA1013" s="62"/>
      <c r="CB1013" s="62"/>
      <c r="CC1013" s="62"/>
      <c r="CD1013" s="62"/>
      <c r="CE1013" s="62"/>
      <c r="CF1013" s="62"/>
      <c r="CG1013" s="62"/>
      <c r="CH1013" s="62"/>
      <c r="CI1013" s="62"/>
      <c r="CJ1013" s="62"/>
      <c r="CK1013" s="62"/>
      <c r="CL1013" s="62"/>
      <c r="CM1013" s="62"/>
      <c r="CN1013" s="62"/>
      <c r="CO1013" s="62"/>
      <c r="CP1013" s="62"/>
      <c r="CQ1013" s="62"/>
      <c r="CR1013" s="62"/>
      <c r="CS1013" s="62"/>
      <c r="CT1013" s="62"/>
      <c r="CU1013" s="62"/>
      <c r="CV1013" s="62"/>
      <c r="CW1013" s="62"/>
      <c r="CX1013" s="62"/>
      <c r="CY1013" s="62"/>
      <c r="CZ1013" s="62"/>
      <c r="DA1013" s="62"/>
      <c r="DB1013" s="62"/>
      <c r="DC1013" s="62"/>
      <c r="DD1013" s="62"/>
      <c r="DE1013" s="62"/>
      <c r="DF1013" s="62"/>
      <c r="DG1013" s="62"/>
      <c r="DH1013" s="62"/>
      <c r="DI1013" s="62"/>
      <c r="DJ1013" s="62"/>
      <c r="DK1013" s="62"/>
      <c r="DL1013" s="62"/>
      <c r="DM1013" s="62"/>
      <c r="DN1013" s="62"/>
      <c r="DO1013" s="62"/>
      <c r="DP1013" s="62"/>
      <c r="DQ1013" s="62"/>
      <c r="DR1013" s="62"/>
      <c r="DS1013" s="62"/>
      <c r="DT1013" s="62"/>
      <c r="DU1013" s="62"/>
      <c r="DV1013" s="62"/>
      <c r="DW1013" s="62"/>
      <c r="DX1013" s="62"/>
      <c r="DY1013" s="62"/>
      <c r="DZ1013" s="62"/>
      <c r="EA1013" s="62"/>
      <c r="EB1013" s="62"/>
      <c r="EC1013" s="62"/>
      <c r="ED1013" s="62"/>
      <c r="EE1013" s="62"/>
      <c r="EF1013" s="62"/>
      <c r="EG1013" s="62"/>
      <c r="EH1013" s="62"/>
      <c r="EI1013" s="62"/>
      <c r="EJ1013" s="62"/>
      <c r="EK1013" s="62"/>
      <c r="EL1013" s="62"/>
      <c r="EM1013" s="62"/>
      <c r="EN1013" s="62"/>
      <c r="EO1013" s="62"/>
      <c r="EP1013" s="62"/>
      <c r="EQ1013" s="62"/>
      <c r="ER1013" s="62"/>
      <c r="ES1013" s="62"/>
      <c r="ET1013" s="62"/>
      <c r="EU1013" s="62"/>
      <c r="EV1013" s="62"/>
      <c r="EW1013" s="62"/>
      <c r="EX1013" s="62"/>
      <c r="EY1013" s="62"/>
      <c r="EZ1013" s="62"/>
      <c r="FA1013" s="62"/>
      <c r="FB1013" s="62"/>
      <c r="FC1013" s="62"/>
      <c r="FD1013" s="62"/>
      <c r="FE1013" s="62"/>
      <c r="FF1013" s="62"/>
      <c r="FG1013" s="62"/>
      <c r="FH1013" s="62"/>
      <c r="FI1013" s="62"/>
      <c r="FJ1013" s="62"/>
      <c r="FK1013" s="62"/>
      <c r="FL1013" s="62"/>
      <c r="FM1013" s="62"/>
      <c r="FN1013" s="62"/>
      <c r="FO1013" s="62"/>
      <c r="FP1013" s="62"/>
      <c r="FQ1013" s="62"/>
      <c r="FR1013" s="62"/>
      <c r="FS1013" s="62"/>
      <c r="FT1013" s="62"/>
      <c r="FU1013" s="62"/>
      <c r="FV1013" s="62"/>
    </row>
    <row r="1014" spans="1:178" ht="13.8">
      <c r="A1014" s="62"/>
      <c r="B1014" s="62"/>
      <c r="C1014" s="62"/>
      <c r="D1014" s="62"/>
      <c r="E1014" s="62"/>
      <c r="F1014" s="62"/>
      <c r="G1014" s="62"/>
      <c r="H1014" s="62"/>
      <c r="I1014" s="62"/>
      <c r="J1014" s="62"/>
      <c r="K1014" s="62"/>
      <c r="L1014" s="62"/>
      <c r="M1014" s="62"/>
      <c r="N1014" s="62"/>
      <c r="O1014" s="62"/>
      <c r="P1014" s="62"/>
      <c r="Q1014" s="62"/>
      <c r="R1014" s="62"/>
      <c r="S1014" s="62"/>
      <c r="T1014" s="62"/>
      <c r="U1014" s="62"/>
      <c r="V1014" s="62"/>
      <c r="W1014" s="62"/>
      <c r="X1014" s="62"/>
      <c r="Y1014" s="62"/>
      <c r="Z1014" s="62"/>
      <c r="AA1014" s="62"/>
      <c r="AB1014" s="62"/>
      <c r="AC1014" s="62"/>
      <c r="AD1014" s="62"/>
      <c r="AE1014" s="62"/>
      <c r="AF1014" s="62"/>
      <c r="AG1014" s="62"/>
      <c r="AH1014" s="62"/>
      <c r="AI1014" s="62"/>
      <c r="AJ1014" s="62"/>
      <c r="AK1014" s="62"/>
      <c r="AL1014" s="62"/>
      <c r="AM1014" s="62"/>
      <c r="AN1014" s="62"/>
      <c r="AO1014" s="62"/>
      <c r="AP1014" s="62"/>
      <c r="AQ1014" s="62"/>
      <c r="AR1014" s="62"/>
      <c r="AS1014" s="62"/>
      <c r="AT1014" s="62"/>
      <c r="AU1014" s="62"/>
      <c r="AV1014" s="62"/>
      <c r="AW1014" s="62"/>
      <c r="AX1014" s="62"/>
      <c r="AY1014" s="62"/>
      <c r="AZ1014" s="62"/>
      <c r="BA1014" s="62"/>
      <c r="BB1014" s="62"/>
      <c r="BC1014" s="62"/>
      <c r="BD1014" s="62"/>
      <c r="BE1014" s="62"/>
      <c r="BF1014" s="62"/>
      <c r="BG1014" s="62"/>
      <c r="BH1014" s="62"/>
      <c r="BI1014" s="62"/>
      <c r="BJ1014" s="62"/>
      <c r="BK1014" s="62"/>
      <c r="BL1014" s="62"/>
      <c r="BM1014" s="62"/>
      <c r="BN1014" s="62"/>
      <c r="BO1014" s="62"/>
      <c r="BP1014" s="62"/>
      <c r="BQ1014" s="62"/>
      <c r="BR1014" s="62"/>
      <c r="BS1014" s="62"/>
      <c r="BT1014" s="62"/>
      <c r="BU1014" s="62"/>
      <c r="BV1014" s="62"/>
      <c r="BW1014" s="62"/>
      <c r="BX1014" s="62"/>
      <c r="BY1014" s="62"/>
      <c r="BZ1014" s="62"/>
      <c r="CA1014" s="62"/>
      <c r="CB1014" s="62"/>
      <c r="CC1014" s="62"/>
      <c r="CD1014" s="62"/>
      <c r="CE1014" s="62"/>
      <c r="CF1014" s="62"/>
      <c r="CG1014" s="62"/>
      <c r="CH1014" s="62"/>
      <c r="CI1014" s="62"/>
      <c r="CJ1014" s="62"/>
      <c r="CK1014" s="62"/>
      <c r="CL1014" s="62"/>
      <c r="CM1014" s="62"/>
      <c r="CN1014" s="62"/>
      <c r="CO1014" s="62"/>
      <c r="CP1014" s="62"/>
      <c r="CQ1014" s="62"/>
      <c r="CR1014" s="62"/>
      <c r="CS1014" s="62"/>
      <c r="CT1014" s="62"/>
      <c r="CU1014" s="62"/>
      <c r="CV1014" s="62"/>
      <c r="CW1014" s="62"/>
      <c r="CX1014" s="62"/>
      <c r="CY1014" s="62"/>
      <c r="CZ1014" s="62"/>
      <c r="DA1014" s="62"/>
      <c r="DB1014" s="62"/>
      <c r="DC1014" s="62"/>
      <c r="DD1014" s="62"/>
      <c r="DE1014" s="62"/>
      <c r="DF1014" s="62"/>
      <c r="DG1014" s="62"/>
      <c r="DH1014" s="62"/>
      <c r="DI1014" s="62"/>
      <c r="DJ1014" s="62"/>
      <c r="DK1014" s="62"/>
      <c r="DL1014" s="62"/>
      <c r="DM1014" s="62"/>
      <c r="DN1014" s="62"/>
      <c r="DO1014" s="62"/>
      <c r="DP1014" s="62"/>
      <c r="DQ1014" s="62"/>
      <c r="DR1014" s="62"/>
      <c r="DS1014" s="62"/>
      <c r="DT1014" s="62"/>
      <c r="DU1014" s="62"/>
      <c r="DV1014" s="62"/>
      <c r="DW1014" s="62"/>
      <c r="DX1014" s="62"/>
      <c r="DY1014" s="62"/>
      <c r="DZ1014" s="62"/>
      <c r="EA1014" s="62"/>
      <c r="EB1014" s="62"/>
      <c r="EC1014" s="62"/>
      <c r="ED1014" s="62"/>
      <c r="EE1014" s="62"/>
      <c r="EF1014" s="62"/>
      <c r="EG1014" s="62"/>
      <c r="EH1014" s="62"/>
      <c r="EI1014" s="62"/>
      <c r="EJ1014" s="62"/>
      <c r="EK1014" s="62"/>
      <c r="EL1014" s="62"/>
      <c r="EM1014" s="62"/>
      <c r="EN1014" s="62"/>
      <c r="EO1014" s="62"/>
      <c r="EP1014" s="62"/>
      <c r="EQ1014" s="62"/>
      <c r="ER1014" s="62"/>
      <c r="ES1014" s="62"/>
      <c r="ET1014" s="62"/>
      <c r="EU1014" s="62"/>
      <c r="EV1014" s="62"/>
      <c r="EW1014" s="62"/>
      <c r="EX1014" s="62"/>
      <c r="EY1014" s="62"/>
      <c r="EZ1014" s="62"/>
      <c r="FA1014" s="62"/>
      <c r="FB1014" s="62"/>
      <c r="FC1014" s="62"/>
      <c r="FD1014" s="62"/>
      <c r="FE1014" s="62"/>
      <c r="FF1014" s="62"/>
      <c r="FG1014" s="62"/>
      <c r="FH1014" s="62"/>
      <c r="FI1014" s="62"/>
      <c r="FJ1014" s="62"/>
      <c r="FK1014" s="62"/>
      <c r="FL1014" s="62"/>
      <c r="FM1014" s="62"/>
      <c r="FN1014" s="62"/>
      <c r="FO1014" s="62"/>
      <c r="FP1014" s="62"/>
      <c r="FQ1014" s="62"/>
      <c r="FR1014" s="62"/>
      <c r="FS1014" s="62"/>
      <c r="FT1014" s="62"/>
      <c r="FU1014" s="62"/>
      <c r="FV1014" s="62"/>
    </row>
    <row r="1015" spans="1:178" ht="13.8">
      <c r="A1015" s="62"/>
      <c r="B1015" s="62"/>
      <c r="C1015" s="62"/>
      <c r="D1015" s="62"/>
      <c r="E1015" s="62"/>
      <c r="F1015" s="62"/>
      <c r="G1015" s="62"/>
      <c r="H1015" s="62"/>
      <c r="I1015" s="62"/>
      <c r="J1015" s="62"/>
      <c r="K1015" s="62"/>
      <c r="L1015" s="62"/>
      <c r="M1015" s="62"/>
      <c r="N1015" s="62"/>
      <c r="O1015" s="62"/>
      <c r="P1015" s="62"/>
      <c r="Q1015" s="62"/>
      <c r="R1015" s="62"/>
      <c r="S1015" s="62"/>
      <c r="T1015" s="62"/>
      <c r="U1015" s="62"/>
      <c r="V1015" s="62"/>
      <c r="W1015" s="62"/>
      <c r="X1015" s="62"/>
      <c r="Y1015" s="62"/>
      <c r="Z1015" s="62"/>
      <c r="AA1015" s="62"/>
      <c r="AB1015" s="62"/>
      <c r="AC1015" s="62"/>
      <c r="AD1015" s="62"/>
      <c r="AE1015" s="62"/>
      <c r="AF1015" s="62"/>
      <c r="AG1015" s="62"/>
      <c r="AH1015" s="62"/>
      <c r="AI1015" s="62"/>
      <c r="AJ1015" s="62"/>
      <c r="AK1015" s="62"/>
      <c r="AL1015" s="62"/>
      <c r="AM1015" s="62"/>
      <c r="AN1015" s="62"/>
      <c r="AO1015" s="62"/>
      <c r="AP1015" s="62"/>
      <c r="AQ1015" s="62"/>
      <c r="AR1015" s="62"/>
      <c r="AS1015" s="62"/>
      <c r="AT1015" s="62"/>
      <c r="AU1015" s="62"/>
      <c r="AV1015" s="62"/>
      <c r="AW1015" s="62"/>
      <c r="AX1015" s="62"/>
      <c r="AY1015" s="62"/>
      <c r="AZ1015" s="62"/>
      <c r="BA1015" s="62"/>
      <c r="BB1015" s="62"/>
      <c r="BC1015" s="62"/>
      <c r="BD1015" s="62"/>
      <c r="BE1015" s="62"/>
      <c r="BF1015" s="62"/>
      <c r="BG1015" s="62"/>
      <c r="BH1015" s="62"/>
      <c r="BI1015" s="62"/>
      <c r="BJ1015" s="62"/>
      <c r="BK1015" s="62"/>
      <c r="BL1015" s="62"/>
      <c r="BM1015" s="62"/>
      <c r="BN1015" s="62"/>
      <c r="BO1015" s="62"/>
      <c r="BP1015" s="62"/>
      <c r="BQ1015" s="62"/>
      <c r="BR1015" s="62"/>
      <c r="BS1015" s="62"/>
      <c r="BT1015" s="62"/>
      <c r="BU1015" s="62"/>
      <c r="BV1015" s="62"/>
      <c r="BW1015" s="62"/>
      <c r="BX1015" s="62"/>
      <c r="BY1015" s="62"/>
      <c r="BZ1015" s="62"/>
      <c r="CA1015" s="62"/>
      <c r="CB1015" s="62"/>
      <c r="CC1015" s="62"/>
      <c r="CD1015" s="62"/>
      <c r="CE1015" s="62"/>
      <c r="CF1015" s="62"/>
      <c r="CG1015" s="62"/>
      <c r="CH1015" s="62"/>
      <c r="CI1015" s="62"/>
      <c r="CJ1015" s="62"/>
      <c r="CK1015" s="62"/>
      <c r="CL1015" s="62"/>
      <c r="CM1015" s="62"/>
      <c r="CN1015" s="62"/>
      <c r="CO1015" s="62"/>
      <c r="CP1015" s="62"/>
      <c r="CQ1015" s="62"/>
      <c r="CR1015" s="62"/>
      <c r="CS1015" s="62"/>
      <c r="CT1015" s="62"/>
      <c r="CU1015" s="62"/>
      <c r="CV1015" s="62"/>
      <c r="CW1015" s="62"/>
      <c r="CX1015" s="62"/>
      <c r="CY1015" s="62"/>
      <c r="CZ1015" s="62"/>
      <c r="DA1015" s="62"/>
      <c r="DB1015" s="62"/>
      <c r="DC1015" s="62"/>
      <c r="DD1015" s="62"/>
      <c r="DE1015" s="62"/>
      <c r="DF1015" s="62"/>
      <c r="DG1015" s="62"/>
      <c r="DH1015" s="62"/>
      <c r="DI1015" s="62"/>
      <c r="DJ1015" s="62"/>
      <c r="DK1015" s="62"/>
      <c r="DL1015" s="62"/>
      <c r="DM1015" s="62"/>
      <c r="DN1015" s="62"/>
      <c r="DO1015" s="62"/>
      <c r="DP1015" s="62"/>
      <c r="DQ1015" s="62"/>
      <c r="DR1015" s="62"/>
      <c r="DS1015" s="62"/>
      <c r="DT1015" s="62"/>
      <c r="DU1015" s="62"/>
      <c r="DV1015" s="62"/>
      <c r="DW1015" s="62"/>
      <c r="DX1015" s="62"/>
      <c r="DY1015" s="62"/>
      <c r="DZ1015" s="62"/>
      <c r="EA1015" s="62"/>
      <c r="EB1015" s="62"/>
      <c r="EC1015" s="62"/>
      <c r="ED1015" s="62"/>
      <c r="EE1015" s="62"/>
      <c r="EF1015" s="62"/>
      <c r="EG1015" s="62"/>
      <c r="EH1015" s="62"/>
      <c r="EI1015" s="62"/>
      <c r="EJ1015" s="62"/>
      <c r="EK1015" s="62"/>
      <c r="EL1015" s="62"/>
      <c r="EM1015" s="62"/>
      <c r="EN1015" s="62"/>
      <c r="EO1015" s="62"/>
      <c r="EP1015" s="62"/>
      <c r="EQ1015" s="62"/>
      <c r="ER1015" s="62"/>
      <c r="ES1015" s="62"/>
      <c r="ET1015" s="62"/>
      <c r="EU1015" s="62"/>
      <c r="EV1015" s="62"/>
      <c r="EW1015" s="62"/>
      <c r="EX1015" s="62"/>
      <c r="EY1015" s="62"/>
      <c r="EZ1015" s="62"/>
      <c r="FA1015" s="62"/>
      <c r="FB1015" s="62"/>
      <c r="FC1015" s="62"/>
      <c r="FD1015" s="62"/>
      <c r="FE1015" s="62"/>
      <c r="FF1015" s="62"/>
      <c r="FG1015" s="62"/>
      <c r="FH1015" s="62"/>
      <c r="FI1015" s="62"/>
      <c r="FJ1015" s="62"/>
      <c r="FK1015" s="62"/>
      <c r="FL1015" s="62"/>
      <c r="FM1015" s="62"/>
      <c r="FN1015" s="62"/>
      <c r="FO1015" s="62"/>
      <c r="FP1015" s="62"/>
      <c r="FQ1015" s="62"/>
      <c r="FR1015" s="62"/>
      <c r="FS1015" s="62"/>
      <c r="FT1015" s="62"/>
      <c r="FU1015" s="62"/>
      <c r="FV1015" s="62"/>
    </row>
    <row r="1016" spans="1:178" ht="13.8">
      <c r="A1016" s="62"/>
      <c r="B1016" s="62"/>
      <c r="C1016" s="62"/>
      <c r="D1016" s="62"/>
      <c r="E1016" s="62"/>
      <c r="F1016" s="62"/>
      <c r="G1016" s="62"/>
      <c r="H1016" s="62"/>
      <c r="I1016" s="62"/>
      <c r="J1016" s="62"/>
      <c r="K1016" s="62"/>
      <c r="L1016" s="62"/>
      <c r="M1016" s="62"/>
      <c r="N1016" s="62"/>
      <c r="O1016" s="62"/>
      <c r="P1016" s="62"/>
      <c r="Q1016" s="62"/>
      <c r="R1016" s="62"/>
      <c r="S1016" s="62"/>
      <c r="T1016" s="62"/>
      <c r="U1016" s="62"/>
      <c r="V1016" s="62"/>
      <c r="W1016" s="62"/>
      <c r="X1016" s="62"/>
      <c r="Y1016" s="62"/>
      <c r="Z1016" s="62"/>
      <c r="AA1016" s="62"/>
      <c r="AB1016" s="62"/>
      <c r="AC1016" s="62"/>
      <c r="AD1016" s="62"/>
      <c r="AE1016" s="62"/>
      <c r="AF1016" s="62"/>
      <c r="AG1016" s="62"/>
      <c r="AH1016" s="62"/>
      <c r="AI1016" s="62"/>
      <c r="AJ1016" s="62"/>
      <c r="AK1016" s="62"/>
      <c r="AL1016" s="62"/>
      <c r="AM1016" s="62"/>
      <c r="AN1016" s="62"/>
      <c r="AO1016" s="62"/>
      <c r="AP1016" s="62"/>
      <c r="AQ1016" s="62"/>
      <c r="AR1016" s="62"/>
      <c r="AS1016" s="62"/>
      <c r="AT1016" s="62"/>
      <c r="AU1016" s="62"/>
      <c r="AV1016" s="62"/>
      <c r="AW1016" s="62"/>
      <c r="AX1016" s="62"/>
      <c r="AY1016" s="62"/>
      <c r="AZ1016" s="62"/>
      <c r="BA1016" s="62"/>
      <c r="BB1016" s="62"/>
      <c r="BC1016" s="62"/>
      <c r="BD1016" s="62"/>
      <c r="BE1016" s="62"/>
      <c r="BF1016" s="62"/>
      <c r="BG1016" s="62"/>
      <c r="BH1016" s="62"/>
      <c r="BI1016" s="62"/>
      <c r="BJ1016" s="62"/>
      <c r="BK1016" s="62"/>
      <c r="BL1016" s="62"/>
      <c r="BM1016" s="62"/>
      <c r="BN1016" s="62"/>
      <c r="BO1016" s="62"/>
      <c r="BP1016" s="62"/>
      <c r="BQ1016" s="62"/>
      <c r="BR1016" s="62"/>
      <c r="BS1016" s="62"/>
      <c r="BT1016" s="62"/>
      <c r="BU1016" s="62"/>
      <c r="BV1016" s="62"/>
      <c r="BW1016" s="62"/>
      <c r="BX1016" s="62"/>
      <c r="BY1016" s="62"/>
      <c r="BZ1016" s="62"/>
      <c r="CA1016" s="62"/>
      <c r="CB1016" s="62"/>
      <c r="CC1016" s="62"/>
      <c r="CD1016" s="62"/>
      <c r="CE1016" s="62"/>
      <c r="CF1016" s="62"/>
      <c r="CG1016" s="62"/>
      <c r="CH1016" s="62"/>
      <c r="CI1016" s="62"/>
      <c r="CJ1016" s="62"/>
      <c r="CK1016" s="62"/>
      <c r="CL1016" s="62"/>
      <c r="CM1016" s="62"/>
      <c r="CN1016" s="62"/>
      <c r="CO1016" s="62"/>
      <c r="CP1016" s="62"/>
      <c r="CQ1016" s="62"/>
      <c r="CR1016" s="62"/>
      <c r="CS1016" s="62"/>
      <c r="CT1016" s="62"/>
      <c r="CU1016" s="62"/>
      <c r="CV1016" s="62"/>
      <c r="CW1016" s="62"/>
      <c r="CX1016" s="62"/>
      <c r="CY1016" s="62"/>
      <c r="CZ1016" s="62"/>
      <c r="DA1016" s="62"/>
      <c r="DB1016" s="62"/>
      <c r="DC1016" s="62"/>
      <c r="DD1016" s="62"/>
      <c r="DE1016" s="62"/>
      <c r="DF1016" s="62"/>
      <c r="DG1016" s="62"/>
      <c r="DH1016" s="62"/>
      <c r="DI1016" s="62"/>
      <c r="DJ1016" s="62"/>
      <c r="DK1016" s="62"/>
      <c r="DL1016" s="62"/>
      <c r="DM1016" s="62"/>
      <c r="DN1016" s="62"/>
      <c r="DO1016" s="62"/>
      <c r="DP1016" s="62"/>
      <c r="DQ1016" s="62"/>
      <c r="DR1016" s="62"/>
      <c r="DS1016" s="62"/>
      <c r="DT1016" s="62"/>
      <c r="DU1016" s="62"/>
      <c r="DV1016" s="62"/>
      <c r="DW1016" s="62"/>
      <c r="DX1016" s="62"/>
      <c r="DY1016" s="62"/>
      <c r="DZ1016" s="62"/>
      <c r="EA1016" s="62"/>
      <c r="EB1016" s="62"/>
      <c r="EC1016" s="62"/>
      <c r="ED1016" s="62"/>
      <c r="EE1016" s="62"/>
      <c r="EF1016" s="62"/>
      <c r="EG1016" s="62"/>
      <c r="EH1016" s="62"/>
      <c r="EI1016" s="62"/>
      <c r="EJ1016" s="62"/>
      <c r="EK1016" s="62"/>
      <c r="EL1016" s="62"/>
      <c r="EM1016" s="62"/>
      <c r="EN1016" s="62"/>
      <c r="EO1016" s="62"/>
      <c r="EP1016" s="62"/>
      <c r="EQ1016" s="62"/>
      <c r="ER1016" s="62"/>
      <c r="ES1016" s="62"/>
      <c r="ET1016" s="62"/>
      <c r="EU1016" s="62"/>
      <c r="EV1016" s="62"/>
      <c r="EW1016" s="62"/>
      <c r="EX1016" s="62"/>
      <c r="EY1016" s="62"/>
      <c r="EZ1016" s="62"/>
      <c r="FA1016" s="62"/>
      <c r="FB1016" s="62"/>
      <c r="FC1016" s="62"/>
      <c r="FD1016" s="62"/>
      <c r="FE1016" s="62"/>
      <c r="FF1016" s="62"/>
      <c r="FG1016" s="62"/>
      <c r="FH1016" s="62"/>
      <c r="FI1016" s="62"/>
      <c r="FJ1016" s="62"/>
      <c r="FK1016" s="62"/>
      <c r="FL1016" s="62"/>
      <c r="FM1016" s="62"/>
      <c r="FN1016" s="62"/>
      <c r="FO1016" s="62"/>
      <c r="FP1016" s="62"/>
      <c r="FQ1016" s="62"/>
      <c r="FR1016" s="62"/>
      <c r="FS1016" s="62"/>
      <c r="FT1016" s="62"/>
      <c r="FU1016" s="62"/>
      <c r="FV1016" s="62"/>
    </row>
    <row r="1017" spans="1:178" ht="13.8">
      <c r="A1017" s="62"/>
      <c r="B1017" s="62"/>
      <c r="C1017" s="62"/>
      <c r="D1017" s="62"/>
      <c r="E1017" s="62"/>
      <c r="F1017" s="62"/>
      <c r="G1017" s="62"/>
      <c r="H1017" s="62"/>
      <c r="I1017" s="62"/>
      <c r="J1017" s="62"/>
      <c r="K1017" s="62"/>
      <c r="L1017" s="62"/>
      <c r="M1017" s="62"/>
      <c r="N1017" s="62"/>
      <c r="O1017" s="62"/>
      <c r="P1017" s="62"/>
      <c r="Q1017" s="62"/>
      <c r="R1017" s="62"/>
      <c r="S1017" s="62"/>
      <c r="T1017" s="62"/>
      <c r="U1017" s="62"/>
      <c r="V1017" s="62"/>
      <c r="W1017" s="62"/>
      <c r="X1017" s="62"/>
      <c r="Y1017" s="62"/>
      <c r="Z1017" s="62"/>
      <c r="AA1017" s="62"/>
      <c r="AB1017" s="62"/>
      <c r="AC1017" s="62"/>
      <c r="AD1017" s="62"/>
      <c r="AE1017" s="62"/>
      <c r="AF1017" s="62"/>
      <c r="AG1017" s="62"/>
      <c r="AH1017" s="62"/>
      <c r="AI1017" s="62"/>
      <c r="AJ1017" s="62"/>
      <c r="AK1017" s="62"/>
      <c r="AL1017" s="62"/>
      <c r="AM1017" s="62"/>
      <c r="AN1017" s="62"/>
      <c r="AO1017" s="62"/>
      <c r="AP1017" s="62"/>
      <c r="AQ1017" s="62"/>
      <c r="AR1017" s="62"/>
      <c r="AS1017" s="62"/>
      <c r="AT1017" s="62"/>
      <c r="AU1017" s="62"/>
      <c r="AV1017" s="62"/>
      <c r="AW1017" s="62"/>
      <c r="AX1017" s="62"/>
      <c r="AY1017" s="62"/>
      <c r="AZ1017" s="62"/>
      <c r="BA1017" s="62"/>
      <c r="BB1017" s="62"/>
      <c r="BC1017" s="62"/>
      <c r="BD1017" s="62"/>
      <c r="BE1017" s="62"/>
      <c r="BF1017" s="62"/>
      <c r="BG1017" s="62"/>
      <c r="BH1017" s="62"/>
      <c r="BI1017" s="62"/>
      <c r="BJ1017" s="62"/>
      <c r="BK1017" s="62"/>
      <c r="BL1017" s="62"/>
      <c r="BM1017" s="62"/>
      <c r="BN1017" s="62"/>
      <c r="BO1017" s="62"/>
      <c r="BP1017" s="62"/>
      <c r="BQ1017" s="62"/>
      <c r="BR1017" s="62"/>
      <c r="BS1017" s="62"/>
      <c r="BT1017" s="62"/>
      <c r="BU1017" s="62"/>
      <c r="BV1017" s="62"/>
      <c r="BW1017" s="62"/>
      <c r="BX1017" s="62"/>
      <c r="BY1017" s="62"/>
      <c r="BZ1017" s="62"/>
      <c r="CA1017" s="62"/>
      <c r="CB1017" s="62"/>
      <c r="CC1017" s="62"/>
      <c r="CD1017" s="62"/>
      <c r="CE1017" s="62"/>
      <c r="CF1017" s="62"/>
      <c r="CG1017" s="62"/>
      <c r="CH1017" s="62"/>
      <c r="CI1017" s="62"/>
      <c r="CJ1017" s="62"/>
      <c r="CK1017" s="62"/>
      <c r="CL1017" s="62"/>
      <c r="CM1017" s="62"/>
      <c r="CN1017" s="62"/>
      <c r="CO1017" s="62"/>
      <c r="CP1017" s="62"/>
      <c r="CQ1017" s="62"/>
      <c r="CR1017" s="62"/>
      <c r="CS1017" s="62"/>
      <c r="CT1017" s="62"/>
      <c r="CU1017" s="62"/>
      <c r="CV1017" s="62"/>
      <c r="CW1017" s="62"/>
      <c r="CX1017" s="62"/>
      <c r="CY1017" s="62"/>
      <c r="CZ1017" s="62"/>
      <c r="DA1017" s="62"/>
      <c r="DB1017" s="62"/>
      <c r="DC1017" s="62"/>
      <c r="DD1017" s="62"/>
      <c r="DE1017" s="62"/>
      <c r="DF1017" s="62"/>
      <c r="DG1017" s="62"/>
      <c r="DH1017" s="62"/>
      <c r="DI1017" s="62"/>
      <c r="DJ1017" s="62"/>
      <c r="DK1017" s="62"/>
      <c r="DL1017" s="62"/>
      <c r="DM1017" s="62"/>
      <c r="DN1017" s="62"/>
      <c r="DO1017" s="62"/>
      <c r="DP1017" s="62"/>
      <c r="DQ1017" s="62"/>
      <c r="DR1017" s="62"/>
      <c r="DS1017" s="62"/>
      <c r="DT1017" s="62"/>
      <c r="DU1017" s="62"/>
      <c r="DV1017" s="62"/>
      <c r="DW1017" s="62"/>
      <c r="DX1017" s="62"/>
      <c r="DY1017" s="62"/>
      <c r="DZ1017" s="62"/>
      <c r="EA1017" s="62"/>
      <c r="EB1017" s="62"/>
      <c r="EC1017" s="62"/>
      <c r="ED1017" s="62"/>
      <c r="EE1017" s="62"/>
      <c r="EF1017" s="62"/>
      <c r="EG1017" s="62"/>
      <c r="EH1017" s="62"/>
      <c r="EI1017" s="62"/>
      <c r="EJ1017" s="62"/>
      <c r="EK1017" s="62"/>
      <c r="EL1017" s="62"/>
      <c r="EM1017" s="62"/>
      <c r="EN1017" s="62"/>
      <c r="EO1017" s="62"/>
      <c r="EP1017" s="62"/>
      <c r="EQ1017" s="62"/>
      <c r="ER1017" s="62"/>
      <c r="ES1017" s="62"/>
      <c r="ET1017" s="62"/>
      <c r="EU1017" s="62"/>
      <c r="EV1017" s="62"/>
      <c r="EW1017" s="62"/>
      <c r="EX1017" s="62"/>
      <c r="EY1017" s="62"/>
      <c r="EZ1017" s="62"/>
      <c r="FA1017" s="62"/>
      <c r="FB1017" s="62"/>
      <c r="FC1017" s="62"/>
      <c r="FD1017" s="62"/>
      <c r="FE1017" s="62"/>
      <c r="FF1017" s="62"/>
      <c r="FG1017" s="62"/>
      <c r="FH1017" s="62"/>
      <c r="FI1017" s="62"/>
      <c r="FJ1017" s="62"/>
      <c r="FK1017" s="62"/>
      <c r="FL1017" s="62"/>
      <c r="FM1017" s="62"/>
      <c r="FN1017" s="62"/>
      <c r="FO1017" s="62"/>
      <c r="FP1017" s="62"/>
      <c r="FQ1017" s="62"/>
      <c r="FR1017" s="62"/>
      <c r="FS1017" s="62"/>
      <c r="FT1017" s="62"/>
      <c r="FU1017" s="62"/>
      <c r="FV1017" s="62"/>
    </row>
    <row r="1018" spans="1:178" ht="13.8">
      <c r="A1018" s="62"/>
      <c r="B1018" s="62"/>
      <c r="C1018" s="62"/>
      <c r="D1018" s="62"/>
      <c r="E1018" s="62"/>
      <c r="F1018" s="62"/>
      <c r="G1018" s="62"/>
      <c r="H1018" s="62"/>
      <c r="I1018" s="62"/>
      <c r="J1018" s="62"/>
      <c r="K1018" s="62"/>
      <c r="L1018" s="62"/>
      <c r="M1018" s="62"/>
      <c r="N1018" s="62"/>
      <c r="O1018" s="62"/>
      <c r="P1018" s="62"/>
      <c r="Q1018" s="62"/>
      <c r="R1018" s="62"/>
      <c r="S1018" s="62"/>
      <c r="T1018" s="62"/>
      <c r="U1018" s="62"/>
      <c r="V1018" s="62"/>
      <c r="W1018" s="62"/>
      <c r="X1018" s="62"/>
      <c r="Y1018" s="62"/>
      <c r="Z1018" s="62"/>
      <c r="AA1018" s="62"/>
      <c r="AB1018" s="62"/>
      <c r="AC1018" s="62"/>
      <c r="AD1018" s="62"/>
      <c r="AE1018" s="62"/>
      <c r="AF1018" s="62"/>
      <c r="AG1018" s="62"/>
      <c r="AH1018" s="62"/>
      <c r="AI1018" s="62"/>
      <c r="AJ1018" s="62"/>
      <c r="AK1018" s="62"/>
      <c r="AL1018" s="62"/>
      <c r="AM1018" s="62"/>
      <c r="AN1018" s="62"/>
      <c r="AO1018" s="62"/>
      <c r="AP1018" s="62"/>
      <c r="AQ1018" s="62"/>
      <c r="AR1018" s="62"/>
      <c r="AS1018" s="62"/>
      <c r="AT1018" s="62"/>
      <c r="AU1018" s="62"/>
      <c r="AV1018" s="62"/>
      <c r="AW1018" s="62"/>
      <c r="AX1018" s="62"/>
      <c r="AY1018" s="62"/>
      <c r="AZ1018" s="62"/>
      <c r="BA1018" s="62"/>
      <c r="BB1018" s="62"/>
      <c r="BC1018" s="62"/>
      <c r="BD1018" s="62"/>
      <c r="BE1018" s="62"/>
      <c r="BF1018" s="62"/>
      <c r="BG1018" s="62"/>
      <c r="BH1018" s="62"/>
      <c r="BI1018" s="62"/>
      <c r="BJ1018" s="62"/>
      <c r="BK1018" s="62"/>
      <c r="BL1018" s="62"/>
      <c r="BM1018" s="62"/>
      <c r="BN1018" s="62"/>
      <c r="BO1018" s="62"/>
      <c r="BP1018" s="62"/>
      <c r="BQ1018" s="62"/>
      <c r="BR1018" s="62"/>
      <c r="BS1018" s="62"/>
      <c r="BT1018" s="62"/>
      <c r="BU1018" s="62"/>
      <c r="BV1018" s="62"/>
      <c r="BW1018" s="62"/>
      <c r="BX1018" s="62"/>
      <c r="BY1018" s="62"/>
      <c r="BZ1018" s="62"/>
      <c r="CA1018" s="62"/>
      <c r="CB1018" s="62"/>
      <c r="CC1018" s="62"/>
      <c r="CD1018" s="62"/>
      <c r="CE1018" s="62"/>
      <c r="CF1018" s="62"/>
      <c r="CG1018" s="62"/>
      <c r="CH1018" s="62"/>
      <c r="CI1018" s="62"/>
      <c r="CJ1018" s="62"/>
      <c r="CK1018" s="62"/>
      <c r="CL1018" s="62"/>
      <c r="CM1018" s="62"/>
      <c r="CN1018" s="62"/>
      <c r="CO1018" s="62"/>
      <c r="CP1018" s="62"/>
      <c r="CQ1018" s="62"/>
      <c r="CR1018" s="62"/>
      <c r="CS1018" s="62"/>
      <c r="CT1018" s="62"/>
      <c r="CU1018" s="62"/>
      <c r="CV1018" s="62"/>
      <c r="CW1018" s="62"/>
      <c r="CX1018" s="62"/>
      <c r="CY1018" s="62"/>
      <c r="CZ1018" s="62"/>
      <c r="DA1018" s="62"/>
      <c r="DB1018" s="62"/>
      <c r="DC1018" s="62"/>
      <c r="DD1018" s="62"/>
      <c r="DE1018" s="62"/>
      <c r="DF1018" s="62"/>
      <c r="DG1018" s="62"/>
      <c r="DH1018" s="62"/>
      <c r="DI1018" s="62"/>
      <c r="DJ1018" s="62"/>
      <c r="DK1018" s="62"/>
      <c r="DL1018" s="62"/>
      <c r="DM1018" s="62"/>
      <c r="DN1018" s="62"/>
      <c r="DO1018" s="62"/>
      <c r="DP1018" s="62"/>
      <c r="DQ1018" s="62"/>
      <c r="DR1018" s="62"/>
      <c r="DS1018" s="62"/>
      <c r="DT1018" s="62"/>
      <c r="DU1018" s="62"/>
      <c r="DV1018" s="62"/>
      <c r="DW1018" s="62"/>
      <c r="DX1018" s="62"/>
      <c r="DY1018" s="62"/>
      <c r="DZ1018" s="62"/>
      <c r="EA1018" s="62"/>
      <c r="EB1018" s="62"/>
      <c r="EC1018" s="62"/>
      <c r="ED1018" s="62"/>
      <c r="EE1018" s="62"/>
      <c r="EF1018" s="62"/>
      <c r="EG1018" s="62"/>
      <c r="EH1018" s="62"/>
      <c r="EI1018" s="62"/>
      <c r="EJ1018" s="62"/>
      <c r="EK1018" s="62"/>
      <c r="EL1018" s="62"/>
      <c r="EM1018" s="62"/>
      <c r="EN1018" s="62"/>
      <c r="EO1018" s="62"/>
      <c r="EP1018" s="62"/>
      <c r="EQ1018" s="62"/>
      <c r="ER1018" s="62"/>
      <c r="ES1018" s="62"/>
      <c r="ET1018" s="62"/>
      <c r="EU1018" s="62"/>
      <c r="EV1018" s="62"/>
      <c r="EW1018" s="62"/>
      <c r="EX1018" s="62"/>
      <c r="EY1018" s="62"/>
      <c r="EZ1018" s="62"/>
      <c r="FA1018" s="62"/>
      <c r="FB1018" s="62"/>
      <c r="FC1018" s="62"/>
      <c r="FD1018" s="62"/>
      <c r="FE1018" s="62"/>
      <c r="FF1018" s="62"/>
      <c r="FG1018" s="62"/>
      <c r="FH1018" s="62"/>
      <c r="FI1018" s="62"/>
      <c r="FJ1018" s="62"/>
      <c r="FK1018" s="62"/>
      <c r="FL1018" s="62"/>
      <c r="FM1018" s="62"/>
      <c r="FN1018" s="62"/>
      <c r="FO1018" s="62"/>
      <c r="FP1018" s="62"/>
      <c r="FQ1018" s="62"/>
      <c r="FR1018" s="62"/>
      <c r="FS1018" s="62"/>
      <c r="FT1018" s="62"/>
      <c r="FU1018" s="62"/>
      <c r="FV1018" s="62"/>
    </row>
    <row r="1019" spans="1:178" ht="13.8">
      <c r="A1019" s="62"/>
      <c r="B1019" s="62"/>
      <c r="C1019" s="62"/>
      <c r="D1019" s="62"/>
      <c r="E1019" s="62"/>
      <c r="F1019" s="62"/>
      <c r="G1019" s="62"/>
      <c r="H1019" s="62"/>
      <c r="I1019" s="62"/>
      <c r="J1019" s="62"/>
      <c r="K1019" s="62"/>
      <c r="L1019" s="62"/>
      <c r="M1019" s="62"/>
      <c r="N1019" s="62"/>
      <c r="O1019" s="62"/>
      <c r="P1019" s="62"/>
      <c r="Q1019" s="62"/>
      <c r="R1019" s="62"/>
      <c r="S1019" s="62"/>
      <c r="T1019" s="62"/>
      <c r="U1019" s="62"/>
      <c r="V1019" s="62"/>
      <c r="W1019" s="62"/>
      <c r="X1019" s="62"/>
      <c r="Y1019" s="62"/>
      <c r="Z1019" s="62"/>
      <c r="AA1019" s="62"/>
      <c r="AB1019" s="62"/>
      <c r="AC1019" s="62"/>
      <c r="AD1019" s="62"/>
      <c r="AE1019" s="62"/>
      <c r="AF1019" s="62"/>
      <c r="AG1019" s="62"/>
      <c r="AH1019" s="62"/>
      <c r="AI1019" s="62"/>
      <c r="AJ1019" s="62"/>
      <c r="AK1019" s="62"/>
      <c r="AL1019" s="62"/>
      <c r="AM1019" s="62"/>
      <c r="AN1019" s="62"/>
      <c r="AO1019" s="62"/>
      <c r="AP1019" s="62"/>
      <c r="AQ1019" s="62"/>
      <c r="AR1019" s="62"/>
      <c r="AS1019" s="62"/>
      <c r="AT1019" s="62"/>
      <c r="AU1019" s="62"/>
      <c r="AV1019" s="62"/>
      <c r="AW1019" s="62"/>
      <c r="AX1019" s="62"/>
      <c r="AY1019" s="62"/>
      <c r="AZ1019" s="62"/>
      <c r="BA1019" s="62"/>
      <c r="BB1019" s="62"/>
      <c r="BC1019" s="62"/>
      <c r="BD1019" s="62"/>
      <c r="BE1019" s="62"/>
      <c r="BF1019" s="62"/>
      <c r="BG1019" s="62"/>
      <c r="BH1019" s="62"/>
      <c r="BI1019" s="62"/>
      <c r="BJ1019" s="62"/>
      <c r="BK1019" s="62"/>
      <c r="BL1019" s="62"/>
      <c r="BM1019" s="62"/>
      <c r="BN1019" s="62"/>
      <c r="BO1019" s="62"/>
      <c r="BP1019" s="62"/>
      <c r="BQ1019" s="62"/>
      <c r="BR1019" s="62"/>
      <c r="BS1019" s="62"/>
      <c r="BT1019" s="62"/>
      <c r="BU1019" s="62"/>
      <c r="BV1019" s="62"/>
      <c r="BW1019" s="62"/>
      <c r="BX1019" s="62"/>
      <c r="BY1019" s="62"/>
      <c r="BZ1019" s="62"/>
      <c r="CA1019" s="62"/>
      <c r="CB1019" s="62"/>
      <c r="CC1019" s="62"/>
      <c r="CD1019" s="62"/>
      <c r="CE1019" s="62"/>
      <c r="CF1019" s="62"/>
      <c r="CG1019" s="62"/>
      <c r="CH1019" s="62"/>
      <c r="CI1019" s="62"/>
      <c r="CJ1019" s="62"/>
      <c r="CK1019" s="62"/>
      <c r="CL1019" s="62"/>
      <c r="CM1019" s="62"/>
      <c r="CN1019" s="62"/>
      <c r="CO1019" s="62"/>
      <c r="CP1019" s="62"/>
      <c r="CQ1019" s="62"/>
      <c r="CR1019" s="62"/>
      <c r="CS1019" s="62"/>
      <c r="CT1019" s="62"/>
      <c r="CU1019" s="62"/>
      <c r="CV1019" s="62"/>
      <c r="CW1019" s="62"/>
      <c r="CX1019" s="62"/>
      <c r="CY1019" s="62"/>
      <c r="CZ1019" s="62"/>
      <c r="DA1019" s="62"/>
      <c r="DB1019" s="62"/>
      <c r="DC1019" s="62"/>
      <c r="DD1019" s="62"/>
      <c r="DE1019" s="62"/>
      <c r="DF1019" s="62"/>
      <c r="DG1019" s="62"/>
      <c r="DH1019" s="62"/>
      <c r="DI1019" s="62"/>
      <c r="DJ1019" s="62"/>
      <c r="DK1019" s="62"/>
      <c r="DL1019" s="62"/>
      <c r="DM1019" s="62"/>
      <c r="DN1019" s="62"/>
      <c r="DO1019" s="62"/>
      <c r="DP1019" s="62"/>
      <c r="DQ1019" s="62"/>
      <c r="DR1019" s="62"/>
      <c r="DS1019" s="62"/>
      <c r="DT1019" s="62"/>
      <c r="DU1019" s="62"/>
      <c r="DV1019" s="62"/>
      <c r="DW1019" s="62"/>
      <c r="DX1019" s="62"/>
      <c r="DY1019" s="62"/>
      <c r="DZ1019" s="62"/>
      <c r="EA1019" s="62"/>
      <c r="EB1019" s="62"/>
      <c r="EC1019" s="62"/>
      <c r="ED1019" s="62"/>
      <c r="EE1019" s="62"/>
      <c r="EF1019" s="62"/>
      <c r="EG1019" s="62"/>
      <c r="EH1019" s="62"/>
      <c r="EI1019" s="62"/>
      <c r="EJ1019" s="62"/>
      <c r="EK1019" s="62"/>
      <c r="EL1019" s="62"/>
      <c r="EM1019" s="62"/>
      <c r="EN1019" s="62"/>
      <c r="EO1019" s="62"/>
      <c r="EP1019" s="62"/>
      <c r="EQ1019" s="62"/>
      <c r="ER1019" s="62"/>
      <c r="ES1019" s="62"/>
      <c r="ET1019" s="62"/>
      <c r="EU1019" s="62"/>
      <c r="EV1019" s="62"/>
      <c r="EW1019" s="62"/>
      <c r="EX1019" s="62"/>
      <c r="EY1019" s="62"/>
      <c r="EZ1019" s="62"/>
      <c r="FA1019" s="62"/>
      <c r="FB1019" s="62"/>
      <c r="FC1019" s="62"/>
      <c r="FD1019" s="62"/>
      <c r="FE1019" s="62"/>
      <c r="FF1019" s="62"/>
      <c r="FG1019" s="62"/>
      <c r="FH1019" s="62"/>
      <c r="FI1019" s="62"/>
      <c r="FJ1019" s="62"/>
      <c r="FK1019" s="62"/>
      <c r="FL1019" s="62"/>
      <c r="FM1019" s="62"/>
      <c r="FN1019" s="62"/>
      <c r="FO1019" s="62"/>
      <c r="FP1019" s="62"/>
      <c r="FQ1019" s="62"/>
      <c r="FR1019" s="62"/>
      <c r="FS1019" s="62"/>
      <c r="FT1019" s="62"/>
      <c r="FU1019" s="62"/>
      <c r="FV1019" s="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9"/>
  <sheetViews>
    <sheetView workbookViewId="0"/>
  </sheetViews>
  <sheetFormatPr defaultColWidth="12.6640625" defaultRowHeight="15.75" customHeight="1"/>
  <cols>
    <col min="1" max="1" width="24.33203125" customWidth="1"/>
    <col min="2" max="2" width="22.109375" customWidth="1"/>
    <col min="3" max="3" width="35.21875" customWidth="1"/>
  </cols>
  <sheetData>
    <row r="1" spans="1:26">
      <c r="A1" s="66" t="s">
        <v>150</v>
      </c>
      <c r="B1" s="66" t="s">
        <v>122</v>
      </c>
      <c r="C1" s="66" t="s">
        <v>151</v>
      </c>
      <c r="D1" s="66"/>
      <c r="E1" s="66"/>
      <c r="F1" s="66"/>
      <c r="G1" s="66"/>
      <c r="H1" s="66"/>
      <c r="I1" s="66"/>
      <c r="J1" s="66"/>
      <c r="K1" s="66"/>
      <c r="L1" s="66"/>
      <c r="M1" s="66"/>
      <c r="N1" s="66"/>
      <c r="O1" s="66"/>
      <c r="P1" s="66"/>
      <c r="Q1" s="66"/>
      <c r="R1" s="66"/>
      <c r="S1" s="66"/>
      <c r="T1" s="66"/>
      <c r="U1" s="66"/>
      <c r="V1" s="66"/>
      <c r="W1" s="66"/>
      <c r="X1" s="66"/>
      <c r="Y1" s="66"/>
      <c r="Z1" s="66"/>
    </row>
    <row r="2" spans="1:26">
      <c r="C2" s="67" t="b">
        <f ca="1">IFERROR(__xludf.DUMMYFUNCTION("ISEMAIL(B2)"),FALSE)</f>
        <v>0</v>
      </c>
    </row>
    <row r="3" spans="1:26">
      <c r="C3" s="67" t="b">
        <f ca="1">IFERROR(__xludf.DUMMYFUNCTION("ISEMAIL(B3)"),FALSE)</f>
        <v>0</v>
      </c>
    </row>
    <row r="4" spans="1:26">
      <c r="C4" s="67" t="b">
        <f ca="1">IFERROR(__xludf.DUMMYFUNCTION("ISEMAIL(B4)"),FALSE)</f>
        <v>0</v>
      </c>
    </row>
    <row r="5" spans="1:26">
      <c r="C5" s="67" t="b">
        <f ca="1">IFERROR(__xludf.DUMMYFUNCTION("ISEMAIL(B5)"),FALSE)</f>
        <v>0</v>
      </c>
    </row>
    <row r="6" spans="1:26">
      <c r="C6" s="67" t="b">
        <f ca="1">IFERROR(__xludf.DUMMYFUNCTION("ISEMAIL(B6)"),FALSE)</f>
        <v>0</v>
      </c>
    </row>
    <row r="7" spans="1:26">
      <c r="C7" s="67" t="b">
        <f ca="1">IFERROR(__xludf.DUMMYFUNCTION("ISEMAIL(B7)"),FALSE)</f>
        <v>0</v>
      </c>
    </row>
    <row r="8" spans="1:26">
      <c r="C8" s="67" t="b">
        <f ca="1">IFERROR(__xludf.DUMMYFUNCTION("ISEMAIL(B8)"),FALSE)</f>
        <v>0</v>
      </c>
    </row>
    <row r="9" spans="1:26">
      <c r="C9" s="67" t="b">
        <f ca="1">IFERROR(__xludf.DUMMYFUNCTION("ISEMAIL(B9)"),FALSE)</f>
        <v>0</v>
      </c>
    </row>
    <row r="10" spans="1:26">
      <c r="C10" s="67" t="b">
        <f ca="1">IFERROR(__xludf.DUMMYFUNCTION("ISEMAIL(B10)"),FALSE)</f>
        <v>0</v>
      </c>
    </row>
    <row r="11" spans="1:26">
      <c r="C11" s="67" t="b">
        <f ca="1">IFERROR(__xludf.DUMMYFUNCTION("ISEMAIL(B11)"),FALSE)</f>
        <v>0</v>
      </c>
    </row>
    <row r="12" spans="1:26">
      <c r="C12" s="67" t="b">
        <f ca="1">IFERROR(__xludf.DUMMYFUNCTION("ISEMAIL(B12)"),FALSE)</f>
        <v>0</v>
      </c>
    </row>
    <row r="13" spans="1:26">
      <c r="C13" s="67" t="b">
        <f ca="1">IFERROR(__xludf.DUMMYFUNCTION("ISEMAIL(B13)"),FALSE)</f>
        <v>0</v>
      </c>
    </row>
    <row r="14" spans="1:26">
      <c r="C14" s="67" t="b">
        <f ca="1">IFERROR(__xludf.DUMMYFUNCTION("ISEMAIL(B14)"),FALSE)</f>
        <v>0</v>
      </c>
    </row>
    <row r="15" spans="1:26">
      <c r="C15" s="67" t="b">
        <f ca="1">IFERROR(__xludf.DUMMYFUNCTION("ISEMAIL(B15)"),FALSE)</f>
        <v>0</v>
      </c>
    </row>
    <row r="16" spans="1:26">
      <c r="C16" s="67" t="b">
        <f ca="1">IFERROR(__xludf.DUMMYFUNCTION("ISEMAIL(B16)"),FALSE)</f>
        <v>0</v>
      </c>
    </row>
    <row r="17" spans="3:3">
      <c r="C17" s="67" t="b">
        <f ca="1">IFERROR(__xludf.DUMMYFUNCTION("ISEMAIL(B17)"),FALSE)</f>
        <v>0</v>
      </c>
    </row>
    <row r="18" spans="3:3">
      <c r="C18" s="67" t="b">
        <f ca="1">IFERROR(__xludf.DUMMYFUNCTION("ISEMAIL(B18)"),FALSE)</f>
        <v>0</v>
      </c>
    </row>
    <row r="19" spans="3:3">
      <c r="C19" s="67" t="b">
        <f ca="1">IFERROR(__xludf.DUMMYFUNCTION("ISEMAIL(B19)"),FALSE)</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Dashboard (Analytics)</vt:lpstr>
      <vt:lpstr>Leads</vt:lpstr>
      <vt:lpstr>Email Sender</vt:lpstr>
      <vt:lpstr>Templates</vt:lpstr>
      <vt:lpstr>Contact Management</vt:lpstr>
      <vt:lpstr>Contacts 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Lowe</cp:lastModifiedBy>
  <dcterms:created xsi:type="dcterms:W3CDTF">2026-04-21T23:17:56Z</dcterms:created>
  <dcterms:modified xsi:type="dcterms:W3CDTF">2026-04-21T23:17:57Z</dcterms:modified>
</cp:coreProperties>
</file>