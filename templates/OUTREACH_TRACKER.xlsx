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36ED768D0FBEBA00/Documents/"/>
    </mc:Choice>
  </mc:AlternateContent>
  <xr:revisionPtr revIDLastSave="1" documentId="8_{912344B9-A453-4B81-86AF-A963C844498B}" xr6:coauthVersionLast="47" xr6:coauthVersionMax="47" xr10:uidLastSave="{3D3795EC-D6A1-4672-8270-3984AF1BA23A}"/>
  <bookViews>
    <workbookView minimized="1" xWindow="8280" yWindow="6060" windowWidth="36636" windowHeight="18144" activeTab="5" xr2:uid="{00000000-000D-0000-FFFF-FFFF00000000}"/>
  </bookViews>
  <sheets>
    <sheet name="Contacts" sheetId="1" r:id="rId1"/>
    <sheet name="Send_Schedule" sheetId="2" r:id="rId2"/>
    <sheet name="Email_Styles" sheetId="3" r:id="rId3"/>
    <sheet name="Daily_Limits" sheetId="4" r:id="rId4"/>
    <sheet name="Tracking_Summary" sheetId="5" r:id="rId5"/>
    <sheet name="Moral_Decline_Paper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5" l="1"/>
  <c r="C12" i="5"/>
  <c r="C10" i="5"/>
  <c r="C7" i="5"/>
  <c r="B2" i="5"/>
  <c r="C6" i="5" s="1"/>
  <c r="C5" i="5" l="1"/>
  <c r="C4" i="5"/>
</calcChain>
</file>

<file path=xl/sharedStrings.xml><?xml version="1.0" encoding="utf-8"?>
<sst xmlns="http://schemas.openxmlformats.org/spreadsheetml/2006/main" count="326" uniqueCount="176">
  <si>
    <t>ID</t>
  </si>
  <si>
    <t>Name</t>
  </si>
  <si>
    <t>Email</t>
  </si>
  <si>
    <t>Institution</t>
  </si>
  <si>
    <t>Type</t>
  </si>
  <si>
    <t>Style</t>
  </si>
  <si>
    <t>Domain</t>
  </si>
  <si>
    <t>Touch1_Date</t>
  </si>
  <si>
    <t>Touch1_Status</t>
  </si>
  <si>
    <t>Touch2_Date</t>
  </si>
  <si>
    <t>Touch2_Status</t>
  </si>
  <si>
    <t>Touch3_Date</t>
  </si>
  <si>
    <t>Touch3_Status</t>
  </si>
  <si>
    <t>Reply_Date</t>
  </si>
  <si>
    <t>Notes</t>
  </si>
  <si>
    <t>Dr. Sample Physicist</t>
  </si>
  <si>
    <t>physicist@university.edu</t>
  </si>
  <si>
    <t>MIT</t>
  </si>
  <si>
    <t>Physicist</t>
  </si>
  <si>
    <t>S</t>
  </si>
  <si>
    <t>theophysics.pro</t>
  </si>
  <si>
    <t>PENDING</t>
  </si>
  <si>
    <t>Dr. Sample Theologian</t>
  </si>
  <si>
    <t>theologian@seminary.edu</t>
  </si>
  <si>
    <t>Fuller</t>
  </si>
  <si>
    <t>Theologian</t>
  </si>
  <si>
    <t>R</t>
  </si>
  <si>
    <t>faiththruphysics.com</t>
  </si>
  <si>
    <t>Date</t>
  </si>
  <si>
    <t>Day</t>
  </si>
  <si>
    <t>Contacts_Today</t>
  </si>
  <si>
    <t>Style_Mix</t>
  </si>
  <si>
    <t>Touch_Type</t>
  </si>
  <si>
    <t>2026-01-05</t>
  </si>
  <si>
    <t>Monday</t>
  </si>
  <si>
    <t>S/R/E mix</t>
  </si>
  <si>
    <t>Touch 1</t>
  </si>
  <si>
    <t>2026-01-06</t>
  </si>
  <si>
    <t>Tuesday</t>
  </si>
  <si>
    <t>2026-01-07</t>
  </si>
  <si>
    <t>Wednesday</t>
  </si>
  <si>
    <t>2026-01-08</t>
  </si>
  <si>
    <t>Thursday</t>
  </si>
  <si>
    <t>2026-01-09</t>
  </si>
  <si>
    <t>Friday</t>
  </si>
  <si>
    <t>2026-01-12</t>
  </si>
  <si>
    <t>2026-01-13</t>
  </si>
  <si>
    <t>2026-01-14</t>
  </si>
  <si>
    <t>2026-01-15</t>
  </si>
  <si>
    <t>2026-01-16</t>
  </si>
  <si>
    <t>2026-01-19</t>
  </si>
  <si>
    <t>2026-01-20</t>
  </si>
  <si>
    <t>2026-01-21</t>
  </si>
  <si>
    <t>2026-01-22</t>
  </si>
  <si>
    <t>2026-01-23</t>
  </si>
  <si>
    <t>2026-01-26</t>
  </si>
  <si>
    <t>2026-01-27</t>
  </si>
  <si>
    <t>2026-01-28</t>
  </si>
  <si>
    <t>2026-01-29</t>
  </si>
  <si>
    <t>2026-01-30</t>
  </si>
  <si>
    <t>2026-02-02</t>
  </si>
  <si>
    <t>2026-02-03</t>
  </si>
  <si>
    <t>Style_Name</t>
  </si>
  <si>
    <t>Tone</t>
  </si>
  <si>
    <t>Lead_With</t>
  </si>
  <si>
    <t>Best_For</t>
  </si>
  <si>
    <t>Template_File</t>
  </si>
  <si>
    <t>Sensational</t>
  </si>
  <si>
    <t>Bold, paradigm-shift</t>
  </si>
  <si>
    <t>What if consciousness is fundamental?</t>
  </si>
  <si>
    <t>Open-minded researchers</t>
  </si>
  <si>
    <t>template_S.html</t>
  </si>
  <si>
    <t>Rational</t>
  </si>
  <si>
    <t>Academic, measured</t>
  </si>
  <si>
    <t>Anomalies in QM/GR integration</t>
  </si>
  <si>
    <t>Skeptical academics</t>
  </si>
  <si>
    <t>template_R.html</t>
  </si>
  <si>
    <t>E</t>
  </si>
  <si>
    <t>Evidential</t>
  </si>
  <si>
    <t>Data-first</t>
  </si>
  <si>
    <t>6-sigma correlations from PEAR/GCP</t>
  </si>
  <si>
    <t>Empiricists</t>
  </si>
  <si>
    <t>template_E.html</t>
  </si>
  <si>
    <t>P</t>
  </si>
  <si>
    <t>Personal</t>
  </si>
  <si>
    <t>Story-driven</t>
  </si>
  <si>
    <t>The journey of discovery</t>
  </si>
  <si>
    <t>Journalists, writers</t>
  </si>
  <si>
    <t>template_P.html</t>
  </si>
  <si>
    <t>C</t>
  </si>
  <si>
    <t>Challenge</t>
  </si>
  <si>
    <t>Direct, provocative</t>
  </si>
  <si>
    <t>Biaxiosum challenge</t>
  </si>
  <si>
    <t>Confident critics</t>
  </si>
  <si>
    <t>template_C.html</t>
  </si>
  <si>
    <t>H</t>
  </si>
  <si>
    <t>Humble</t>
  </si>
  <si>
    <t>Seeking collaboration</t>
  </si>
  <si>
    <t>I might be wrong, but...</t>
  </si>
  <si>
    <t>Potential allies</t>
  </si>
  <si>
    <t>template_H.html</t>
  </si>
  <si>
    <t>Week1_Daily</t>
  </si>
  <si>
    <t>Week2_Daily</t>
  </si>
  <si>
    <t>Week3_Daily</t>
  </si>
  <si>
    <t>Week4_Daily</t>
  </si>
  <si>
    <t>SPF</t>
  </si>
  <si>
    <t>DKIM</t>
  </si>
  <si>
    <t>DMARC</t>
  </si>
  <si>
    <t>Status</t>
  </si>
  <si>
    <t>CHECK</t>
  </si>
  <si>
    <t>READY</t>
  </si>
  <si>
    <t>domain3.com</t>
  </si>
  <si>
    <t>NEEDED</t>
  </si>
  <si>
    <t>SETUP</t>
  </si>
  <si>
    <t>domain4.com</t>
  </si>
  <si>
    <t>Count</t>
  </si>
  <si>
    <t>Percentage</t>
  </si>
  <si>
    <t>Total Contacts</t>
  </si>
  <si>
    <t>Unique people</t>
  </si>
  <si>
    <t>Emails Sent</t>
  </si>
  <si>
    <t>All touches</t>
  </si>
  <si>
    <t>Opens</t>
  </si>
  <si>
    <t>Mailgun pixel</t>
  </si>
  <si>
    <t>Clicks</t>
  </si>
  <si>
    <t>Link clicks</t>
  </si>
  <si>
    <t>Replies</t>
  </si>
  <si>
    <t>Any response</t>
  </si>
  <si>
    <t>Positive Replies</t>
  </si>
  <si>
    <t>Interested</t>
  </si>
  <si>
    <t>Style S Sent</t>
  </si>
  <si>
    <t>Style S Replies</t>
  </si>
  <si>
    <t>Style R Sent</t>
  </si>
  <si>
    <t>Style R Replies</t>
  </si>
  <si>
    <t>Style E Sent</t>
  </si>
  <si>
    <t>Style E Replies</t>
  </si>
  <si>
    <t>Decade</t>
  </si>
  <si>
    <t>Title</t>
  </si>
  <si>
    <t>Word_Count</t>
  </si>
  <si>
    <t>Audio</t>
  </si>
  <si>
    <t>HTML</t>
  </si>
  <si>
    <t>File_Path</t>
  </si>
  <si>
    <t>1900-1919</t>
  </si>
  <si>
    <t>The Progressive Fracture</t>
  </si>
  <si>
    <t>MISSING</t>
  </si>
  <si>
    <t>NO</t>
  </si>
  <si>
    <t>Need to generate</t>
  </si>
  <si>
    <t>1920-1929</t>
  </si>
  <si>
    <t>The Great Loosening</t>
  </si>
  <si>
    <t>1930-1939</t>
  </si>
  <si>
    <t>The Age of Collective Security</t>
  </si>
  <si>
    <t>COMPLETE</t>
  </si>
  <si>
    <t>In Google Drive</t>
  </si>
  <si>
    <t>1940-1949</t>
  </si>
  <si>
    <t>The Crucible of Consensus</t>
  </si>
  <si>
    <t>1950-1960</t>
  </si>
  <si>
    <t>The Fissure in Conformity</t>
  </si>
  <si>
    <t>1960-1967</t>
  </si>
  <si>
    <t>The Unraveling</t>
  </si>
  <si>
    <t>1968-1973</t>
  </si>
  <si>
    <t>The Smoking Gun</t>
  </si>
  <si>
    <t>Multiple domain docs</t>
  </si>
  <si>
    <t>1973-1980</t>
  </si>
  <si>
    <t>The Malaise</t>
  </si>
  <si>
    <t>1980-1990</t>
  </si>
  <si>
    <t>The Reagan Realignment</t>
  </si>
  <si>
    <t>1990-2000</t>
  </si>
  <si>
    <t>The Culture Wars Begin</t>
  </si>
  <si>
    <t>2000-2010</t>
  </si>
  <si>
    <t>The Trust Collapse</t>
  </si>
  <si>
    <t>2010-2020</t>
  </si>
  <si>
    <t>The Polarization Explosion</t>
  </si>
  <si>
    <t>2020-2025</t>
  </si>
  <si>
    <t>The Threshold Crossing</t>
  </si>
  <si>
    <t xml:space="preserve">Well I heard that you wanted a haircut yes so I had a razor but it doesn't have the right charger but I gave it to Dagwood to give to you it's a decent razor but I just yeah but I don't have the trigger for it that's what I'm thinking </t>
  </si>
  <si>
    <t xml:space="preserve">of the sun </t>
  </si>
  <si>
    <t xml:space="preserve">And I'm cool with that that's why I have lady friends that I ain't never touched or never will touch and people say they can't have that I beg the difference for real I bet it because I can go try everybody though So we have a friendship nobody believes us no Red shoe man like I stayed with the Chicken they swell **** up like this my sister she helping me 'cause I ain't got nowhere to go she she put me in a hotel to where she want to do a thing will do like for real like real like the latest the stable side tammy ringing the girl the girl at my home still to the day she came to see my friend I got out she sent me money while I was locked up wow she didn't do a lot for me she's a very strong woman she just they took a child in her dark moment they took a child and I see blaming them that's only thing I like about she blame them for that but it was her fault but you don't tell the foster parent that's why you can't have no kids **** I said that's going I say you are prolonging that yeah I hate what she told me that man she picked me out the blue but it went really it was like I can't be myself but I'll be here with Holiday I wanna see here cry just be up in my **** I can't do that while you you need to go i'm like talk to me and tell me that like tell me that I would even gotta tell me that if you just need me to go to tell me I had to find somewhere that's why with the Midwest city with the with the girl that I had the episode trying to go make it not work with her but it was the last thing she worked in a hotel we did overnight the office jet shaking with it so I took about two hours that was like I say she don't know I smoke but I knew I was gonna be able to find nothing nowhere else out there so II probably have some deadwood already I got a 23 different place and I made sure I had enough and then she lasted me about four months five months so I ran out when I ran out I never go back and talk to him I called the Uber for $43 Never I was supposed to be left I said that three times three times you only give a cigarette MMM cigarette cigarette I only got one left oh no one so yeah yeah yeah why you cheating right now you smoke the smoking weed huh how you cheating oh I'm good sinus thing going on just bring it on the balls please The cheeky eye cheeky cheeky cheeky cheeky cheeky cheeky yeah no my sinus has been acting up no right here So you can get about that phone I want that to bring it down bring it down and I can't let it bring me down i'm just saying anybody bringing business about her trying to see and understand you don't have to close everybody out when you when you like that I don't understand help me understand if you don't want to talk tell me that you don't want you don't want me around tell me that 0 you just want me around to shut up tell me that Just don't ignore me I hate being ignored when I'm when I'm being gene with when I was literally being gene when there ain't nobody else there I can see it ain't nobody else because everybody else What's that we need to ship that everybody else really Like she don't have no friends like that like the two the couple they should come through with her yeah the only one that really stayed staying true but they kind of like cuckoo too they came by that day that she was here to bring her birthday cake or something yeah 'cause the girl didn't cut her hair off which I could she say that she think George is gay like for recent phone list like engaged so she didn't start projecting herself like a boy then she cut all the long as hell 'cause I only have to one card like did you try to get away with it like literally it didn't fit in you tell she didn't like it she didn't want to come all the way into the apartment because I don't know yeah she didn't like it she didn't like it she didn't like it did he say something gay too and my you gave to you I don't care for them i'm not gonna be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</si>
</sst>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8">
    <fill>
      <patternFill patternType="none"/>
    </fill>
    <fill>
      <patternFill patternType="gray125"/>
    </fill>
    <fill>
      <patternFill patternType="solid">
        <fgColor rgb="FF2F5496"/>
      </patternFill>
    </fill>
    <fill>
      <patternFill patternType="solid">
        <fgColor rgb="FF548235"/>
      </patternFill>
    </fill>
    <fill>
      <patternFill patternType="solid">
        <fgColor rgb="FF7030A0"/>
      </patternFill>
    </fill>
    <fill>
      <patternFill patternType="solid">
        <fgColor rgb="FFC65911"/>
      </patternFill>
    </fill>
    <fill>
      <patternFill patternType="solid">
        <fgColor rgb="FF375623"/>
      </patternFill>
    </fill>
    <fill>
      <patternFill patternType="solid">
        <fgColor rgb="FF833C0C"/>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xf>
    <xf numFmtId="0" fontId="1" fillId="3" borderId="0" xfId="0" applyFont="1" applyFill="1" applyAlignment="1">
      <alignment horizontal="center"/>
    </xf>
    <xf numFmtId="0" fontId="1" fillId="4" borderId="0" xfId="0" applyFont="1" applyFill="1" applyAlignment="1">
      <alignment horizontal="center"/>
    </xf>
    <xf numFmtId="0" fontId="1" fillId="5"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
  <sheetViews>
    <sheetView workbookViewId="0">
      <pane ySplit="1" topLeftCell="A2" activePane="bottomLeft" state="frozen"/>
      <selection pane="bottomLeft" activeCell="E48" sqref="E48"/>
    </sheetView>
  </sheetViews>
  <sheetFormatPr defaultRowHeight="14.4" x14ac:dyDescent="0.3"/>
  <cols>
    <col min="1" max="1" width="5" customWidth="1"/>
    <col min="2" max="2" width="25" customWidth="1"/>
    <col min="3" max="3" width="35" customWidth="1"/>
    <col min="4" max="4" width="30" customWidth="1"/>
    <col min="5" max="5" width="15" customWidth="1"/>
    <col min="6" max="6" width="8" customWidth="1"/>
    <col min="7" max="7" width="25" customWidth="1"/>
    <col min="8" max="14" width="12" customWidth="1"/>
    <col min="15" max="15" width="30"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1</v>
      </c>
      <c r="B2" t="s">
        <v>15</v>
      </c>
      <c r="C2" t="s">
        <v>16</v>
      </c>
      <c r="D2" t="s">
        <v>17</v>
      </c>
      <c r="E2" t="s">
        <v>18</v>
      </c>
      <c r="F2" t="s">
        <v>19</v>
      </c>
      <c r="G2" t="s">
        <v>20</v>
      </c>
      <c r="I2" t="s">
        <v>21</v>
      </c>
    </row>
    <row r="3" spans="1:15" x14ac:dyDescent="0.3">
      <c r="A3">
        <v>2</v>
      </c>
      <c r="B3" t="s">
        <v>22</v>
      </c>
      <c r="C3" t="s">
        <v>23</v>
      </c>
      <c r="D3" t="s">
        <v>24</v>
      </c>
      <c r="E3" t="s">
        <v>25</v>
      </c>
      <c r="F3" t="s">
        <v>26</v>
      </c>
      <c r="G3" t="s">
        <v>27</v>
      </c>
      <c r="I3"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
  <sheetViews>
    <sheetView workbookViewId="0">
      <pane ySplit="1" topLeftCell="A2" activePane="bottomLeft" state="frozen"/>
      <selection pane="bottomLeft"/>
    </sheetView>
  </sheetViews>
  <sheetFormatPr defaultRowHeight="14.4" x14ac:dyDescent="0.3"/>
  <cols>
    <col min="1" max="2" width="12" customWidth="1"/>
    <col min="3" max="3" width="25" customWidth="1"/>
    <col min="4" max="5" width="15" customWidth="1"/>
    <col min="6" max="6" width="12" customWidth="1"/>
    <col min="7" max="7" width="30" customWidth="1"/>
  </cols>
  <sheetData>
    <row r="1" spans="1:7" x14ac:dyDescent="0.3">
      <c r="A1" s="2" t="s">
        <v>28</v>
      </c>
      <c r="B1" s="2" t="s">
        <v>29</v>
      </c>
      <c r="C1" s="2" t="s">
        <v>6</v>
      </c>
      <c r="D1" s="2" t="s">
        <v>30</v>
      </c>
      <c r="E1" s="2" t="s">
        <v>31</v>
      </c>
      <c r="F1" s="2" t="s">
        <v>32</v>
      </c>
      <c r="G1" s="2" t="s">
        <v>14</v>
      </c>
    </row>
    <row r="2" spans="1:7" x14ac:dyDescent="0.3">
      <c r="A2" t="s">
        <v>33</v>
      </c>
      <c r="B2" t="s">
        <v>34</v>
      </c>
      <c r="C2" t="s">
        <v>20</v>
      </c>
      <c r="D2">
        <v>10</v>
      </c>
      <c r="E2" t="s">
        <v>35</v>
      </c>
      <c r="F2" t="s">
        <v>36</v>
      </c>
    </row>
    <row r="3" spans="1:7" x14ac:dyDescent="0.3">
      <c r="A3" t="s">
        <v>37</v>
      </c>
      <c r="B3" t="s">
        <v>38</v>
      </c>
      <c r="C3" t="s">
        <v>27</v>
      </c>
      <c r="D3">
        <v>10</v>
      </c>
      <c r="E3" t="s">
        <v>35</v>
      </c>
      <c r="F3" t="s">
        <v>36</v>
      </c>
    </row>
    <row r="4" spans="1:7" x14ac:dyDescent="0.3">
      <c r="A4" t="s">
        <v>39</v>
      </c>
      <c r="B4" t="s">
        <v>40</v>
      </c>
      <c r="C4" t="s">
        <v>20</v>
      </c>
      <c r="D4">
        <v>10</v>
      </c>
      <c r="E4" t="s">
        <v>35</v>
      </c>
      <c r="F4" t="s">
        <v>36</v>
      </c>
    </row>
    <row r="5" spans="1:7" x14ac:dyDescent="0.3">
      <c r="A5" t="s">
        <v>41</v>
      </c>
      <c r="B5" t="s">
        <v>42</v>
      </c>
      <c r="C5" t="s">
        <v>27</v>
      </c>
      <c r="D5">
        <v>10</v>
      </c>
      <c r="E5" t="s">
        <v>35</v>
      </c>
      <c r="F5" t="s">
        <v>36</v>
      </c>
    </row>
    <row r="6" spans="1:7" x14ac:dyDescent="0.3">
      <c r="A6" t="s">
        <v>43</v>
      </c>
      <c r="B6" t="s">
        <v>44</v>
      </c>
      <c r="C6" t="s">
        <v>20</v>
      </c>
      <c r="D6">
        <v>10</v>
      </c>
      <c r="E6" t="s">
        <v>35</v>
      </c>
      <c r="F6" t="s">
        <v>36</v>
      </c>
    </row>
    <row r="7" spans="1:7" x14ac:dyDescent="0.3">
      <c r="A7" t="s">
        <v>45</v>
      </c>
      <c r="B7" t="s">
        <v>34</v>
      </c>
      <c r="C7" t="s">
        <v>27</v>
      </c>
      <c r="D7">
        <v>20</v>
      </c>
      <c r="E7" t="s">
        <v>35</v>
      </c>
      <c r="F7" t="s">
        <v>36</v>
      </c>
    </row>
    <row r="8" spans="1:7" x14ac:dyDescent="0.3">
      <c r="A8" t="s">
        <v>46</v>
      </c>
      <c r="B8" t="s">
        <v>38</v>
      </c>
      <c r="C8" t="s">
        <v>20</v>
      </c>
      <c r="D8">
        <v>20</v>
      </c>
      <c r="E8" t="s">
        <v>35</v>
      </c>
      <c r="F8" t="s">
        <v>36</v>
      </c>
    </row>
    <row r="9" spans="1:7" x14ac:dyDescent="0.3">
      <c r="A9" t="s">
        <v>47</v>
      </c>
      <c r="B9" t="s">
        <v>40</v>
      </c>
      <c r="C9" t="s">
        <v>27</v>
      </c>
      <c r="D9">
        <v>20</v>
      </c>
      <c r="E9" t="s">
        <v>35</v>
      </c>
      <c r="F9" t="s">
        <v>36</v>
      </c>
    </row>
    <row r="10" spans="1:7" x14ac:dyDescent="0.3">
      <c r="A10" t="s">
        <v>48</v>
      </c>
      <c r="B10" t="s">
        <v>42</v>
      </c>
      <c r="C10" t="s">
        <v>20</v>
      </c>
      <c r="D10">
        <v>20</v>
      </c>
      <c r="E10" t="s">
        <v>35</v>
      </c>
      <c r="F10" t="s">
        <v>36</v>
      </c>
    </row>
    <row r="11" spans="1:7" x14ac:dyDescent="0.3">
      <c r="A11" t="s">
        <v>49</v>
      </c>
      <c r="B11" t="s">
        <v>44</v>
      </c>
      <c r="C11" t="s">
        <v>27</v>
      </c>
      <c r="D11">
        <v>20</v>
      </c>
      <c r="E11" t="s">
        <v>35</v>
      </c>
      <c r="F11" t="s">
        <v>36</v>
      </c>
    </row>
    <row r="12" spans="1:7" x14ac:dyDescent="0.3">
      <c r="A12" t="s">
        <v>50</v>
      </c>
      <c r="B12" t="s">
        <v>34</v>
      </c>
      <c r="C12" t="s">
        <v>20</v>
      </c>
      <c r="D12">
        <v>30</v>
      </c>
      <c r="E12" t="s">
        <v>35</v>
      </c>
      <c r="F12" t="s">
        <v>36</v>
      </c>
    </row>
    <row r="13" spans="1:7" x14ac:dyDescent="0.3">
      <c r="A13" t="s">
        <v>51</v>
      </c>
      <c r="B13" t="s">
        <v>38</v>
      </c>
      <c r="C13" t="s">
        <v>27</v>
      </c>
      <c r="D13">
        <v>30</v>
      </c>
      <c r="E13" t="s">
        <v>35</v>
      </c>
      <c r="F13" t="s">
        <v>36</v>
      </c>
    </row>
    <row r="14" spans="1:7" x14ac:dyDescent="0.3">
      <c r="A14" t="s">
        <v>52</v>
      </c>
      <c r="B14" t="s">
        <v>40</v>
      </c>
      <c r="C14" t="s">
        <v>20</v>
      </c>
      <c r="D14">
        <v>30</v>
      </c>
      <c r="E14" t="s">
        <v>35</v>
      </c>
      <c r="F14" t="s">
        <v>36</v>
      </c>
    </row>
    <row r="15" spans="1:7" x14ac:dyDescent="0.3">
      <c r="A15" t="s">
        <v>53</v>
      </c>
      <c r="B15" t="s">
        <v>42</v>
      </c>
      <c r="C15" t="s">
        <v>27</v>
      </c>
      <c r="D15">
        <v>30</v>
      </c>
      <c r="E15" t="s">
        <v>35</v>
      </c>
      <c r="F15" t="s">
        <v>36</v>
      </c>
    </row>
    <row r="16" spans="1:7" x14ac:dyDescent="0.3">
      <c r="A16" t="s">
        <v>54</v>
      </c>
      <c r="B16" t="s">
        <v>44</v>
      </c>
      <c r="C16" t="s">
        <v>20</v>
      </c>
      <c r="D16">
        <v>30</v>
      </c>
      <c r="E16" t="s">
        <v>35</v>
      </c>
      <c r="F16" t="s">
        <v>36</v>
      </c>
    </row>
    <row r="17" spans="1:6" x14ac:dyDescent="0.3">
      <c r="A17" t="s">
        <v>55</v>
      </c>
      <c r="B17" t="s">
        <v>34</v>
      </c>
      <c r="C17" t="s">
        <v>27</v>
      </c>
      <c r="D17">
        <v>40</v>
      </c>
      <c r="E17" t="s">
        <v>35</v>
      </c>
      <c r="F17" t="s">
        <v>36</v>
      </c>
    </row>
    <row r="18" spans="1:6" x14ac:dyDescent="0.3">
      <c r="A18" t="s">
        <v>56</v>
      </c>
      <c r="B18" t="s">
        <v>38</v>
      </c>
      <c r="C18" t="s">
        <v>20</v>
      </c>
      <c r="D18">
        <v>40</v>
      </c>
      <c r="E18" t="s">
        <v>35</v>
      </c>
      <c r="F18" t="s">
        <v>36</v>
      </c>
    </row>
    <row r="19" spans="1:6" x14ac:dyDescent="0.3">
      <c r="A19" t="s">
        <v>57</v>
      </c>
      <c r="B19" t="s">
        <v>40</v>
      </c>
      <c r="C19" t="s">
        <v>27</v>
      </c>
      <c r="D19">
        <v>40</v>
      </c>
      <c r="E19" t="s">
        <v>35</v>
      </c>
      <c r="F19" t="s">
        <v>36</v>
      </c>
    </row>
    <row r="20" spans="1:6" x14ac:dyDescent="0.3">
      <c r="A20" t="s">
        <v>58</v>
      </c>
      <c r="B20" t="s">
        <v>42</v>
      </c>
      <c r="C20" t="s">
        <v>20</v>
      </c>
      <c r="D20">
        <v>40</v>
      </c>
      <c r="E20" t="s">
        <v>35</v>
      </c>
      <c r="F20" t="s">
        <v>36</v>
      </c>
    </row>
    <row r="21" spans="1:6" x14ac:dyDescent="0.3">
      <c r="A21" t="s">
        <v>59</v>
      </c>
      <c r="B21" t="s">
        <v>44</v>
      </c>
      <c r="C21" t="s">
        <v>27</v>
      </c>
      <c r="D21">
        <v>40</v>
      </c>
      <c r="E21" t="s">
        <v>35</v>
      </c>
      <c r="F21" t="s">
        <v>36</v>
      </c>
    </row>
    <row r="22" spans="1:6" x14ac:dyDescent="0.3">
      <c r="A22" t="s">
        <v>60</v>
      </c>
      <c r="B22" t="s">
        <v>34</v>
      </c>
      <c r="C22" t="s">
        <v>20</v>
      </c>
      <c r="D22">
        <v>40</v>
      </c>
      <c r="E22" t="s">
        <v>35</v>
      </c>
      <c r="F22" t="s">
        <v>36</v>
      </c>
    </row>
    <row r="23" spans="1:6" x14ac:dyDescent="0.3">
      <c r="A23" t="s">
        <v>61</v>
      </c>
      <c r="B23" t="s">
        <v>38</v>
      </c>
      <c r="C23" t="s">
        <v>27</v>
      </c>
      <c r="D23">
        <v>40</v>
      </c>
      <c r="E23" t="s">
        <v>35</v>
      </c>
      <c r="F23" t="s">
        <v>36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
  <sheetViews>
    <sheetView workbookViewId="0">
      <pane ySplit="1" topLeftCell="A2" activePane="bottomLeft" state="frozen"/>
      <selection pane="bottomLeft"/>
    </sheetView>
  </sheetViews>
  <sheetFormatPr defaultRowHeight="14.4" x14ac:dyDescent="0.3"/>
  <cols>
    <col min="1" max="1" width="8" customWidth="1"/>
    <col min="2" max="2" width="15" customWidth="1"/>
    <col min="3" max="3" width="20" customWidth="1"/>
    <col min="4" max="4" width="40" customWidth="1"/>
    <col min="5" max="5" width="25" customWidth="1"/>
    <col min="6" max="6" width="20" customWidth="1"/>
  </cols>
  <sheetData>
    <row r="1" spans="1:6" x14ac:dyDescent="0.3">
      <c r="A1" s="3" t="s">
        <v>175</v>
      </c>
      <c r="B1" s="3" t="s">
        <v>62</v>
      </c>
      <c r="C1" s="3" t="s">
        <v>63</v>
      </c>
      <c r="D1" s="3" t="s">
        <v>64</v>
      </c>
      <c r="E1" s="3" t="s">
        <v>65</v>
      </c>
      <c r="F1" s="3" t="s">
        <v>66</v>
      </c>
    </row>
    <row r="2" spans="1:6" x14ac:dyDescent="0.3">
      <c r="A2" t="s">
        <v>19</v>
      </c>
      <c r="B2" t="s">
        <v>67</v>
      </c>
      <c r="C2" t="s">
        <v>68</v>
      </c>
      <c r="D2" t="s">
        <v>69</v>
      </c>
      <c r="E2" t="s">
        <v>70</v>
      </c>
      <c r="F2" t="s">
        <v>71</v>
      </c>
    </row>
    <row r="3" spans="1:6" x14ac:dyDescent="0.3">
      <c r="A3" t="s">
        <v>26</v>
      </c>
      <c r="B3" t="s">
        <v>72</v>
      </c>
      <c r="C3" t="s">
        <v>73</v>
      </c>
      <c r="D3" t="s">
        <v>74</v>
      </c>
      <c r="E3" t="s">
        <v>75</v>
      </c>
      <c r="F3" t="s">
        <v>76</v>
      </c>
    </row>
    <row r="4" spans="1:6" x14ac:dyDescent="0.3">
      <c r="A4" t="s">
        <v>77</v>
      </c>
      <c r="B4" t="s">
        <v>78</v>
      </c>
      <c r="C4" t="s">
        <v>79</v>
      </c>
      <c r="D4" t="s">
        <v>80</v>
      </c>
      <c r="E4" t="s">
        <v>81</v>
      </c>
      <c r="F4" t="s">
        <v>82</v>
      </c>
    </row>
    <row r="5" spans="1:6" x14ac:dyDescent="0.3">
      <c r="A5" t="s">
        <v>83</v>
      </c>
      <c r="B5" t="s">
        <v>84</v>
      </c>
      <c r="C5" t="s">
        <v>85</v>
      </c>
      <c r="D5" t="s">
        <v>86</v>
      </c>
      <c r="E5" t="s">
        <v>87</v>
      </c>
      <c r="F5" t="s">
        <v>88</v>
      </c>
    </row>
    <row r="6" spans="1:6" x14ac:dyDescent="0.3">
      <c r="A6" t="s">
        <v>89</v>
      </c>
      <c r="B6" t="s">
        <v>90</v>
      </c>
      <c r="C6" t="s">
        <v>91</v>
      </c>
      <c r="D6" t="s">
        <v>92</v>
      </c>
      <c r="E6" t="s">
        <v>93</v>
      </c>
      <c r="F6" t="s">
        <v>94</v>
      </c>
    </row>
    <row r="7" spans="1:6" x14ac:dyDescent="0.3">
      <c r="A7" t="s">
        <v>95</v>
      </c>
      <c r="B7" t="s">
        <v>96</v>
      </c>
      <c r="C7" t="s">
        <v>97</v>
      </c>
      <c r="D7" t="s">
        <v>98</v>
      </c>
      <c r="E7" t="s">
        <v>99</v>
      </c>
      <c r="F7" t="s">
        <v>100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
  <sheetViews>
    <sheetView workbookViewId="0">
      <pane ySplit="1" topLeftCell="A2" activePane="bottomLeft" state="frozen"/>
      <selection pane="bottomLeft"/>
    </sheetView>
  </sheetViews>
  <sheetFormatPr defaultRowHeight="14.4" x14ac:dyDescent="0.3"/>
  <cols>
    <col min="1" max="1" width="25" customWidth="1"/>
    <col min="2" max="5" width="12" customWidth="1"/>
    <col min="6" max="8" width="10" customWidth="1"/>
    <col min="9" max="9" width="12" customWidth="1"/>
  </cols>
  <sheetData>
    <row r="1" spans="1:9" x14ac:dyDescent="0.3">
      <c r="A1" s="4" t="s">
        <v>6</v>
      </c>
      <c r="B1" s="4" t="s">
        <v>101</v>
      </c>
      <c r="C1" s="4" t="s">
        <v>102</v>
      </c>
      <c r="D1" s="4" t="s">
        <v>103</v>
      </c>
      <c r="E1" s="4" t="s">
        <v>104</v>
      </c>
      <c r="F1" s="4" t="s">
        <v>105</v>
      </c>
      <c r="G1" s="4" t="s">
        <v>106</v>
      </c>
      <c r="H1" s="4" t="s">
        <v>107</v>
      </c>
      <c r="I1" s="4" t="s">
        <v>108</v>
      </c>
    </row>
    <row r="2" spans="1:9" x14ac:dyDescent="0.3">
      <c r="A2" t="s">
        <v>20</v>
      </c>
      <c r="B2">
        <v>10</v>
      </c>
      <c r="C2">
        <v>20</v>
      </c>
      <c r="D2">
        <v>30</v>
      </c>
      <c r="E2">
        <v>40</v>
      </c>
      <c r="F2" t="s">
        <v>109</v>
      </c>
      <c r="G2" t="s">
        <v>109</v>
      </c>
      <c r="H2" t="s">
        <v>109</v>
      </c>
      <c r="I2" t="s">
        <v>110</v>
      </c>
    </row>
    <row r="3" spans="1:9" x14ac:dyDescent="0.3">
      <c r="A3" t="s">
        <v>27</v>
      </c>
      <c r="B3">
        <v>10</v>
      </c>
      <c r="C3">
        <v>20</v>
      </c>
      <c r="D3">
        <v>30</v>
      </c>
      <c r="E3">
        <v>40</v>
      </c>
      <c r="F3" t="s">
        <v>109</v>
      </c>
      <c r="G3" t="s">
        <v>109</v>
      </c>
      <c r="H3" t="s">
        <v>109</v>
      </c>
      <c r="I3" t="s">
        <v>110</v>
      </c>
    </row>
    <row r="4" spans="1:9" x14ac:dyDescent="0.3">
      <c r="A4" t="s">
        <v>111</v>
      </c>
      <c r="B4">
        <v>10</v>
      </c>
      <c r="C4">
        <v>20</v>
      </c>
      <c r="D4">
        <v>30</v>
      </c>
      <c r="E4">
        <v>40</v>
      </c>
      <c r="F4" t="s">
        <v>112</v>
      </c>
      <c r="G4" t="s">
        <v>112</v>
      </c>
      <c r="H4" t="s">
        <v>112</v>
      </c>
      <c r="I4" t="s">
        <v>113</v>
      </c>
    </row>
    <row r="5" spans="1:9" x14ac:dyDescent="0.3">
      <c r="A5" t="s">
        <v>114</v>
      </c>
      <c r="B5">
        <v>10</v>
      </c>
      <c r="C5">
        <v>20</v>
      </c>
      <c r="D5">
        <v>30</v>
      </c>
      <c r="E5">
        <v>40</v>
      </c>
      <c r="F5" t="s">
        <v>112</v>
      </c>
      <c r="G5" t="s">
        <v>112</v>
      </c>
      <c r="H5" t="s">
        <v>112</v>
      </c>
      <c r="I5" t="s">
        <v>113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4"/>
  <sheetViews>
    <sheetView workbookViewId="0">
      <pane ySplit="1" topLeftCell="A2" activePane="bottomLeft" state="frozen"/>
      <selection pane="bottomLeft"/>
    </sheetView>
  </sheetViews>
  <sheetFormatPr defaultRowHeight="14.4" x14ac:dyDescent="0.3"/>
  <cols>
    <col min="1" max="1" width="20" customWidth="1"/>
    <col min="2" max="3" width="15" customWidth="1"/>
    <col min="4" max="4" width="30" customWidth="1"/>
  </cols>
  <sheetData>
    <row r="1" spans="1:4" x14ac:dyDescent="0.3">
      <c r="A1" s="5" t="s">
        <v>174</v>
      </c>
      <c r="B1" s="5" t="s">
        <v>115</v>
      </c>
      <c r="C1" s="5" t="s">
        <v>116</v>
      </c>
      <c r="D1" s="5" t="s">
        <v>14</v>
      </c>
    </row>
    <row r="2" spans="1:4" x14ac:dyDescent="0.3">
      <c r="A2" t="s">
        <v>117</v>
      </c>
      <c r="B2">
        <f>COUNTA(Contacts!A:A)-1</f>
        <v>2</v>
      </c>
      <c r="D2" t="s">
        <v>118</v>
      </c>
    </row>
    <row r="3" spans="1:4" x14ac:dyDescent="0.3">
      <c r="A3" t="s">
        <v>119</v>
      </c>
      <c r="B3">
        <v>0</v>
      </c>
      <c r="D3" t="s">
        <v>120</v>
      </c>
    </row>
    <row r="4" spans="1:4" x14ac:dyDescent="0.3">
      <c r="A4" t="s">
        <v>121</v>
      </c>
      <c r="B4">
        <v>0</v>
      </c>
      <c r="C4">
        <f>B3/B2</f>
        <v>0</v>
      </c>
      <c r="D4" t="s">
        <v>122</v>
      </c>
    </row>
    <row r="5" spans="1:4" x14ac:dyDescent="0.3">
      <c r="A5" t="s">
        <v>123</v>
      </c>
      <c r="B5">
        <v>0</v>
      </c>
      <c r="C5">
        <f>B4/B2</f>
        <v>0</v>
      </c>
      <c r="D5" t="s">
        <v>124</v>
      </c>
    </row>
    <row r="6" spans="1:4" x14ac:dyDescent="0.3">
      <c r="A6" t="s">
        <v>125</v>
      </c>
      <c r="B6">
        <v>0</v>
      </c>
      <c r="C6">
        <f>B5/B2</f>
        <v>0</v>
      </c>
      <c r="D6" t="s">
        <v>126</v>
      </c>
    </row>
    <row r="7" spans="1:4" x14ac:dyDescent="0.3">
      <c r="A7" t="s">
        <v>127</v>
      </c>
      <c r="B7">
        <v>0</v>
      </c>
      <c r="C7" t="e">
        <f>B6/B5</f>
        <v>#DIV/0!</v>
      </c>
      <c r="D7" t="s">
        <v>128</v>
      </c>
    </row>
    <row r="9" spans="1:4" x14ac:dyDescent="0.3">
      <c r="A9" t="s">
        <v>129</v>
      </c>
      <c r="B9">
        <v>0</v>
      </c>
    </row>
    <row r="10" spans="1:4" x14ac:dyDescent="0.3">
      <c r="A10" t="s">
        <v>130</v>
      </c>
      <c r="B10">
        <v>0</v>
      </c>
      <c r="C10" t="e">
        <f>B9/B8</f>
        <v>#DIV/0!</v>
      </c>
    </row>
    <row r="11" spans="1:4" x14ac:dyDescent="0.3">
      <c r="A11" t="s">
        <v>131</v>
      </c>
      <c r="B11">
        <v>0</v>
      </c>
    </row>
    <row r="12" spans="1:4" x14ac:dyDescent="0.3">
      <c r="A12" t="s">
        <v>132</v>
      </c>
      <c r="B12">
        <v>0</v>
      </c>
      <c r="C12" t="e">
        <f>B11/B10</f>
        <v>#DIV/0!</v>
      </c>
    </row>
    <row r="13" spans="1:4" x14ac:dyDescent="0.3">
      <c r="A13" t="s">
        <v>133</v>
      </c>
      <c r="B13">
        <v>0</v>
      </c>
    </row>
    <row r="14" spans="1:4" x14ac:dyDescent="0.3">
      <c r="A14" t="s">
        <v>134</v>
      </c>
      <c r="B14">
        <v>0</v>
      </c>
      <c r="C14" t="e">
        <f>B13/B12</f>
        <v>#DIV/0!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4"/>
  <sheetViews>
    <sheetView tabSelected="1" workbookViewId="0">
      <pane ySplit="1" topLeftCell="A2" activePane="bottomLeft" state="frozen"/>
      <selection pane="bottomLeft"/>
    </sheetView>
  </sheetViews>
  <sheetFormatPr defaultRowHeight="14.4" x14ac:dyDescent="0.3"/>
  <cols>
    <col min="1" max="1" width="5" customWidth="1"/>
    <col min="2" max="2" width="12" customWidth="1"/>
    <col min="3" max="3" width="30" customWidth="1"/>
    <col min="4" max="5" width="12" customWidth="1"/>
    <col min="6" max="7" width="8" customWidth="1"/>
    <col min="8" max="8" width="40" customWidth="1"/>
    <col min="9" max="9" width="25" customWidth="1"/>
  </cols>
  <sheetData>
    <row r="1" spans="1:9" x14ac:dyDescent="0.3">
      <c r="A1" s="6" t="s">
        <v>173</v>
      </c>
      <c r="B1" s="6" t="s">
        <v>135</v>
      </c>
      <c r="C1" s="6" t="s">
        <v>136</v>
      </c>
      <c r="D1" s="6" t="s">
        <v>108</v>
      </c>
      <c r="E1" s="6" t="s">
        <v>137</v>
      </c>
      <c r="F1" s="6" t="s">
        <v>138</v>
      </c>
      <c r="G1" s="6" t="s">
        <v>139</v>
      </c>
      <c r="H1" s="6" t="s">
        <v>140</v>
      </c>
      <c r="I1" s="6" t="s">
        <v>14</v>
      </c>
    </row>
    <row r="2" spans="1:9" x14ac:dyDescent="0.3">
      <c r="A2">
        <v>1</v>
      </c>
      <c r="B2" t="s">
        <v>141</v>
      </c>
      <c r="C2" t="s">
        <v>142</v>
      </c>
      <c r="D2" t="s">
        <v>143</v>
      </c>
      <c r="E2">
        <v>0</v>
      </c>
      <c r="F2" t="s">
        <v>144</v>
      </c>
      <c r="G2" t="s">
        <v>144</v>
      </c>
      <c r="I2" t="s">
        <v>145</v>
      </c>
    </row>
    <row r="3" spans="1:9" x14ac:dyDescent="0.3">
      <c r="A3">
        <v>2</v>
      </c>
      <c r="B3" t="s">
        <v>146</v>
      </c>
      <c r="C3" t="s">
        <v>147</v>
      </c>
      <c r="D3" t="s">
        <v>143</v>
      </c>
      <c r="E3">
        <v>0</v>
      </c>
      <c r="F3" t="s">
        <v>144</v>
      </c>
      <c r="G3" t="s">
        <v>144</v>
      </c>
      <c r="I3" t="s">
        <v>145</v>
      </c>
    </row>
    <row r="4" spans="1:9" x14ac:dyDescent="0.3">
      <c r="A4">
        <v>3</v>
      </c>
      <c r="B4" t="s">
        <v>148</v>
      </c>
      <c r="C4" t="s">
        <v>149</v>
      </c>
      <c r="D4" t="s">
        <v>150</v>
      </c>
      <c r="E4">
        <v>0</v>
      </c>
      <c r="F4" t="s">
        <v>144</v>
      </c>
      <c r="G4" t="s">
        <v>144</v>
      </c>
      <c r="I4" t="s">
        <v>151</v>
      </c>
    </row>
    <row r="5" spans="1:9" x14ac:dyDescent="0.3">
      <c r="A5">
        <v>4</v>
      </c>
      <c r="B5" t="s">
        <v>152</v>
      </c>
      <c r="C5" t="s">
        <v>153</v>
      </c>
      <c r="D5" t="s">
        <v>143</v>
      </c>
      <c r="E5">
        <v>0</v>
      </c>
      <c r="F5" t="s">
        <v>144</v>
      </c>
      <c r="G5" t="s">
        <v>144</v>
      </c>
      <c r="I5" t="s">
        <v>145</v>
      </c>
    </row>
    <row r="6" spans="1:9" x14ac:dyDescent="0.3">
      <c r="A6">
        <v>5</v>
      </c>
      <c r="B6" t="s">
        <v>154</v>
      </c>
      <c r="C6" t="s">
        <v>155</v>
      </c>
      <c r="D6" t="s">
        <v>150</v>
      </c>
      <c r="E6">
        <v>0</v>
      </c>
      <c r="F6" t="s">
        <v>144</v>
      </c>
      <c r="G6" t="s">
        <v>144</v>
      </c>
      <c r="I6" t="s">
        <v>151</v>
      </c>
    </row>
    <row r="7" spans="1:9" x14ac:dyDescent="0.3">
      <c r="A7">
        <v>6</v>
      </c>
      <c r="B7" t="s">
        <v>156</v>
      </c>
      <c r="C7" t="s">
        <v>157</v>
      </c>
      <c r="D7" t="s">
        <v>150</v>
      </c>
      <c r="E7">
        <v>0</v>
      </c>
      <c r="F7" t="s">
        <v>144</v>
      </c>
      <c r="G7" t="s">
        <v>144</v>
      </c>
      <c r="I7" t="s">
        <v>151</v>
      </c>
    </row>
    <row r="8" spans="1:9" x14ac:dyDescent="0.3">
      <c r="A8">
        <v>7</v>
      </c>
      <c r="B8" t="s">
        <v>158</v>
      </c>
      <c r="C8" t="s">
        <v>159</v>
      </c>
      <c r="D8" t="s">
        <v>150</v>
      </c>
      <c r="E8">
        <v>0</v>
      </c>
      <c r="F8" t="s">
        <v>144</v>
      </c>
      <c r="G8" t="s">
        <v>144</v>
      </c>
      <c r="I8" t="s">
        <v>160</v>
      </c>
    </row>
    <row r="9" spans="1:9" x14ac:dyDescent="0.3">
      <c r="A9">
        <v>8</v>
      </c>
      <c r="B9" t="s">
        <v>161</v>
      </c>
      <c r="C9" t="s">
        <v>162</v>
      </c>
      <c r="D9" t="s">
        <v>143</v>
      </c>
      <c r="E9">
        <v>0</v>
      </c>
      <c r="F9" t="s">
        <v>144</v>
      </c>
      <c r="G9" t="s">
        <v>144</v>
      </c>
      <c r="I9" t="s">
        <v>145</v>
      </c>
    </row>
    <row r="10" spans="1:9" x14ac:dyDescent="0.3">
      <c r="A10">
        <v>9</v>
      </c>
      <c r="B10" t="s">
        <v>163</v>
      </c>
      <c r="C10" t="s">
        <v>164</v>
      </c>
      <c r="D10" t="s">
        <v>143</v>
      </c>
      <c r="E10">
        <v>0</v>
      </c>
      <c r="F10" t="s">
        <v>144</v>
      </c>
      <c r="G10" t="s">
        <v>144</v>
      </c>
      <c r="I10" t="s">
        <v>145</v>
      </c>
    </row>
    <row r="11" spans="1:9" x14ac:dyDescent="0.3">
      <c r="A11">
        <v>10</v>
      </c>
      <c r="B11" t="s">
        <v>165</v>
      </c>
      <c r="C11" t="s">
        <v>166</v>
      </c>
      <c r="D11" t="s">
        <v>143</v>
      </c>
      <c r="E11">
        <v>0</v>
      </c>
      <c r="F11" t="s">
        <v>144</v>
      </c>
      <c r="G11" t="s">
        <v>144</v>
      </c>
      <c r="I11" t="s">
        <v>145</v>
      </c>
    </row>
    <row r="12" spans="1:9" x14ac:dyDescent="0.3">
      <c r="A12">
        <v>11</v>
      </c>
      <c r="B12" t="s">
        <v>167</v>
      </c>
      <c r="C12" t="s">
        <v>168</v>
      </c>
      <c r="D12" t="s">
        <v>143</v>
      </c>
      <c r="E12">
        <v>0</v>
      </c>
      <c r="F12" t="s">
        <v>144</v>
      </c>
      <c r="G12" t="s">
        <v>144</v>
      </c>
      <c r="I12" t="s">
        <v>145</v>
      </c>
    </row>
    <row r="13" spans="1:9" x14ac:dyDescent="0.3">
      <c r="A13">
        <v>12</v>
      </c>
      <c r="B13" t="s">
        <v>169</v>
      </c>
      <c r="C13" t="s">
        <v>170</v>
      </c>
      <c r="D13" t="s">
        <v>143</v>
      </c>
      <c r="E13">
        <v>0</v>
      </c>
      <c r="F13" t="s">
        <v>144</v>
      </c>
      <c r="G13" t="s">
        <v>144</v>
      </c>
      <c r="I13" t="s">
        <v>145</v>
      </c>
    </row>
    <row r="14" spans="1:9" x14ac:dyDescent="0.3">
      <c r="A14">
        <v>13</v>
      </c>
      <c r="B14" t="s">
        <v>171</v>
      </c>
      <c r="C14" t="s">
        <v>172</v>
      </c>
      <c r="D14" t="s">
        <v>143</v>
      </c>
      <c r="E14">
        <v>0</v>
      </c>
      <c r="F14" t="s">
        <v>144</v>
      </c>
      <c r="G14" t="s">
        <v>144</v>
      </c>
      <c r="I14" t="s">
        <v>145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Contacts</vt:lpstr>
      <vt:lpstr>Send_Schedule</vt:lpstr>
      <vt:lpstr>Email_Styles</vt:lpstr>
      <vt:lpstr>Daily_Limits</vt:lpstr>
      <vt:lpstr>Tracking_Summary</vt:lpstr>
      <vt:lpstr>Moral_Decline_Papers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Lowe</cp:lastModifiedBy>
  <dcterms:created xsi:type="dcterms:W3CDTF">2026-01-04T06:46:08Z</dcterms:created>
  <dcterms:modified xsi:type="dcterms:W3CDTF">2026-01-04T13:09:01Z</dcterms:modified>
</cp:coreProperties>
</file>